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mes\Desktop\Machine_Learning_NFL\"/>
    </mc:Choice>
  </mc:AlternateContent>
  <xr:revisionPtr revIDLastSave="0" documentId="13_ncr:1_{49014C0B-702E-4EBD-A3E0-26568ED1FD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Year_2025" sheetId="3" r:id="rId1"/>
    <sheet name="Map" sheetId="7" r:id="rId2"/>
    <sheet name="Range_2018_2024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2" i="6"/>
  <c r="F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</calcChain>
</file>

<file path=xl/sharedStrings.xml><?xml version="1.0" encoding="utf-8"?>
<sst xmlns="http://schemas.openxmlformats.org/spreadsheetml/2006/main" count="8220" uniqueCount="259">
  <si>
    <t>TotalPoints</t>
  </si>
  <si>
    <t>Spread</t>
  </si>
  <si>
    <t>HomeWin</t>
  </si>
  <si>
    <t>HomeTeamName</t>
  </si>
  <si>
    <t>AwayTeamName</t>
  </si>
  <si>
    <t>NuetralSite</t>
  </si>
  <si>
    <t>DivisionCompetition</t>
  </si>
  <si>
    <t>ConferenceCompetition</t>
  </si>
  <si>
    <t>HomeWinner</t>
  </si>
  <si>
    <t>HomeWins</t>
  </si>
  <si>
    <t>HomeLosses</t>
  </si>
  <si>
    <t>HomeAveragePointsAgainst</t>
  </si>
  <si>
    <t>HomeAveragePointsFor</t>
  </si>
  <si>
    <t>HomePointDifferential</t>
  </si>
  <si>
    <t>HomeStreak</t>
  </si>
  <si>
    <t>HomeWinPercent</t>
  </si>
  <si>
    <t>HomeDivisionWins</t>
  </si>
  <si>
    <t>HomeDivisionLosses</t>
  </si>
  <si>
    <t>HomeTeamHomeWins</t>
  </si>
  <si>
    <t>HomeTeamHomeLosses</t>
  </si>
  <si>
    <t>HomeTeamAwayWins</t>
  </si>
  <si>
    <t>HomeTeamAwayLosses</t>
  </si>
  <si>
    <t>HomeConferenceWins</t>
  </si>
  <si>
    <t>HomeConferenceLosses</t>
  </si>
  <si>
    <t>HomeTeamMlWins</t>
  </si>
  <si>
    <t>HomeTeamMlLosses</t>
  </si>
  <si>
    <t>HomeTeamSpreadWins</t>
  </si>
  <si>
    <t>HomeTeamSpreadLosses</t>
  </si>
  <si>
    <t>HomeInjuryCount</t>
  </si>
  <si>
    <t>AwayWinner</t>
  </si>
  <si>
    <t>AwayWins</t>
  </si>
  <si>
    <t>AwayLosses</t>
  </si>
  <si>
    <t>AwayAveragePointsAgainst</t>
  </si>
  <si>
    <t>AwayAveragePointsFor</t>
  </si>
  <si>
    <t>AwayPointDifferential</t>
  </si>
  <si>
    <t>AwayStreak</t>
  </si>
  <si>
    <t>AwayWinPercent</t>
  </si>
  <si>
    <t>AwayDivisionWins</t>
  </si>
  <si>
    <t>AwayDivisionLosses</t>
  </si>
  <si>
    <t>AwayTeamHomeWins</t>
  </si>
  <si>
    <t>AwayTeamHomeLosses</t>
  </si>
  <si>
    <t>AwayTeamAwayWins</t>
  </si>
  <si>
    <t>AwayTeamAwayLosses</t>
  </si>
  <si>
    <t>AwayConferenceWins</t>
  </si>
  <si>
    <t>AwayConferenceLosses</t>
  </si>
  <si>
    <t>AwayTeamMlWins</t>
  </si>
  <si>
    <t>AwayTeamMlLosses</t>
  </si>
  <si>
    <t>AwayTeamSpreadWins</t>
  </si>
  <si>
    <t>AwayTeamSpreadLosses</t>
  </si>
  <si>
    <t>AwayInjuryCount</t>
  </si>
  <si>
    <t>AveragePredictedTotal</t>
  </si>
  <si>
    <t>AveragePredictedSpread</t>
  </si>
  <si>
    <t>MoneyLineWinner</t>
  </si>
  <si>
    <t>SpreadWinner</t>
  </si>
  <si>
    <t>PredictedHomeWinPercent</t>
  </si>
  <si>
    <t>PredicitedHomeMatchupQuality</t>
  </si>
  <si>
    <t>PredictedHomeLossPercent</t>
  </si>
  <si>
    <t>PredictedHomeDefenseEfficiency</t>
  </si>
  <si>
    <t>PredictedHomeOffenseEfficiency</t>
  </si>
  <si>
    <t>PredictedHomeTotalEfficiency</t>
  </si>
  <si>
    <t>PredictedHomePointDifferential</t>
  </si>
  <si>
    <t>PredictedAwayWinPercent</t>
  </si>
  <si>
    <t>PredicitedAwayMatchupQuality</t>
  </si>
  <si>
    <t>PredictedAwayOpponentStrenth</t>
  </si>
  <si>
    <t>PredictedAwayLossPercent</t>
  </si>
  <si>
    <t>PredictedAwayPointDifferential</t>
  </si>
  <si>
    <t>PredictedAwayDefenseEfficiency</t>
  </si>
  <si>
    <t>PredictedAwayOffenseEfficiency</t>
  </si>
  <si>
    <t>PredictedAwayTotalEfficiency</t>
  </si>
  <si>
    <t>HomeQbr</t>
  </si>
  <si>
    <t>HomeCompletionPercent</t>
  </si>
  <si>
    <t>HomeNetPassYardsPerGame</t>
  </si>
  <si>
    <t>HomePassingBigPlays</t>
  </si>
  <si>
    <t>HomeScrimmageYardsPerGame</t>
  </si>
  <si>
    <t>HomeYardsPerPassAttempt</t>
  </si>
  <si>
    <t>HomeRbRating</t>
  </si>
  <si>
    <t>HomeRushYardsPerGame</t>
  </si>
  <si>
    <t>HomeYardsPerRushAttempt</t>
  </si>
  <si>
    <t>HomeRushingTouchdowns</t>
  </si>
  <si>
    <t>HomeWrRating</t>
  </si>
  <si>
    <t>HomeReceivingTouchdowns</t>
  </si>
  <si>
    <t>HomeReceivingYardsPerGame</t>
  </si>
  <si>
    <t>HomeReceivingYardsPerReception</t>
  </si>
  <si>
    <t>HomeAverageSackYards</t>
  </si>
  <si>
    <t>HomeAverageStuffYards</t>
  </si>
  <si>
    <t>HomeDefensiveTouchdowns</t>
  </si>
  <si>
    <t>HomeSacks</t>
  </si>
  <si>
    <t>HomeYardsAllowed</t>
  </si>
  <si>
    <t>HomeExtraPointPercentage</t>
  </si>
  <si>
    <t>HomeFieldGoalPercent</t>
  </si>
  <si>
    <t>HomeFieldGoalsMade</t>
  </si>
  <si>
    <t>HomeTotalKickingPoints</t>
  </si>
  <si>
    <t>HomeNetAveragePuntYards</t>
  </si>
  <si>
    <t>HomeTotalPunts</t>
  </si>
  <si>
    <t>HomePuntsInsideTwenty</t>
  </si>
  <si>
    <t>HomeDefensivePoints</t>
  </si>
  <si>
    <t>HomePassingTouchdowns</t>
  </si>
  <si>
    <t>HomeTotalPoints</t>
  </si>
  <si>
    <t>HomeFirstDownsPerGame</t>
  </si>
  <si>
    <t>HomeFourthDownConversionPercent</t>
  </si>
  <si>
    <t>HomeThirdDownConversionPercent</t>
  </si>
  <si>
    <t>HomeRedZoneEfficiencyPercent</t>
  </si>
  <si>
    <t>HomeTurnoverDifferential</t>
  </si>
  <si>
    <t>AwayQbr</t>
  </si>
  <si>
    <t>AwayCompletionPercent</t>
  </si>
  <si>
    <t>AwayNetPassYardsPerGame</t>
  </si>
  <si>
    <t>AwayPassingBigPlays</t>
  </si>
  <si>
    <t>AwayScrimmageYardsPerGame</t>
  </si>
  <si>
    <t>AwayYardsPerPassAttempt</t>
  </si>
  <si>
    <t>AwayRbRating</t>
  </si>
  <si>
    <t>AwayRushYardsPerGame</t>
  </si>
  <si>
    <t>AwayYardsPerRushAttempt</t>
  </si>
  <si>
    <t>AwayRushingTouchdowns</t>
  </si>
  <si>
    <t>AwayWrRating</t>
  </si>
  <si>
    <t>AwayReceivingTouchdowns</t>
  </si>
  <si>
    <t>AwayReceivingYardsPerGame</t>
  </si>
  <si>
    <t>AwayReceivingYardsPerReception</t>
  </si>
  <si>
    <t>AwayAverageSackYards</t>
  </si>
  <si>
    <t>AwayAverageStuffYards</t>
  </si>
  <si>
    <t>AwayDefensiveTouchdowns</t>
  </si>
  <si>
    <t>AwaySacks</t>
  </si>
  <si>
    <t>AwayYardsAllowed</t>
  </si>
  <si>
    <t>AwayExtraPointPercentage</t>
  </si>
  <si>
    <t>AwayFieldGoalPercent</t>
  </si>
  <si>
    <t>AwayFieldGoalsMade</t>
  </si>
  <si>
    <t>AwayTotalKickingPoints</t>
  </si>
  <si>
    <t>AwayNetAveragePuntYards</t>
  </si>
  <si>
    <t>AwayPuntsInsideTwenty</t>
  </si>
  <si>
    <t>AwayTotalPunts</t>
  </si>
  <si>
    <t>AwayDefensivePoints</t>
  </si>
  <si>
    <t>AwayPassingTouchdowns</t>
  </si>
  <si>
    <t>AwayTotalPoints</t>
  </si>
  <si>
    <t>AwayFirstDownsPerGame</t>
  </si>
  <si>
    <t>AwayFourthDownConversionPercent</t>
  </si>
  <si>
    <t>AwayThirdDownConversionPercent</t>
  </si>
  <si>
    <t>AwayRedZoneEfficiencyPercent</t>
  </si>
  <si>
    <t>AwayTurnoverDifferential</t>
  </si>
  <si>
    <t>Texans</t>
  </si>
  <si>
    <t>Colts</t>
  </si>
  <si>
    <t>Jaguars</t>
  </si>
  <si>
    <t>Titans</t>
  </si>
  <si>
    <t>Buccaneers</t>
  </si>
  <si>
    <t>Panthers</t>
  </si>
  <si>
    <t>49ers</t>
  </si>
  <si>
    <t>Seahawks</t>
  </si>
  <si>
    <t>Steelers</t>
  </si>
  <si>
    <t>Ravens</t>
  </si>
  <si>
    <t>Eagles</t>
  </si>
  <si>
    <t>Commanders</t>
  </si>
  <si>
    <t>Giants</t>
  </si>
  <si>
    <t>Cowboys</t>
  </si>
  <si>
    <t>Patriots</t>
  </si>
  <si>
    <t>Dolphins</t>
  </si>
  <si>
    <t>Vikings</t>
  </si>
  <si>
    <t>Packers</t>
  </si>
  <si>
    <t>Rams</t>
  </si>
  <si>
    <t>Cardinals</t>
  </si>
  <si>
    <t>Raiders</t>
  </si>
  <si>
    <t>Chiefs</t>
  </si>
  <si>
    <t>Broncos</t>
  </si>
  <si>
    <t>Chargers</t>
  </si>
  <si>
    <t>Bengals</t>
  </si>
  <si>
    <t>Browns</t>
  </si>
  <si>
    <t>Bears</t>
  </si>
  <si>
    <t>Lions</t>
  </si>
  <si>
    <t>Bills</t>
  </si>
  <si>
    <t>Jets</t>
  </si>
  <si>
    <t>Falcons</t>
  </si>
  <si>
    <t>Saints</t>
  </si>
  <si>
    <t/>
  </si>
  <si>
    <t>23</t>
  </si>
  <si>
    <t>5</t>
  </si>
  <si>
    <t>20</t>
  </si>
  <si>
    <t>8</t>
  </si>
  <si>
    <t>10</t>
  </si>
  <si>
    <t>15</t>
  </si>
  <si>
    <t>4</t>
  </si>
  <si>
    <t>11</t>
  </si>
  <si>
    <t>14</t>
  </si>
  <si>
    <t>13</t>
  </si>
  <si>
    <t>2</t>
  </si>
  <si>
    <t>33</t>
  </si>
  <si>
    <t>26</t>
  </si>
  <si>
    <t>7</t>
  </si>
  <si>
    <t>6</t>
  </si>
  <si>
    <t>29</t>
  </si>
  <si>
    <t>27</t>
  </si>
  <si>
    <t>17</t>
  </si>
  <si>
    <t>1</t>
  </si>
  <si>
    <t>HomeTeamId</t>
  </si>
  <si>
    <t>22</t>
  </si>
  <si>
    <t>BestPredictedSpread</t>
  </si>
  <si>
    <t>18</t>
  </si>
  <si>
    <t>MeanTemperature</t>
  </si>
  <si>
    <t>MeanWindSpeed</t>
  </si>
  <si>
    <t>BestPredictedTotal</t>
  </si>
  <si>
    <t>SnowfallSum</t>
  </si>
  <si>
    <t>25</t>
  </si>
  <si>
    <t>DominantWindDirection</t>
  </si>
  <si>
    <t>MaxTemperature</t>
  </si>
  <si>
    <t>9</t>
  </si>
  <si>
    <t>MeanRelativeHumidity</t>
  </si>
  <si>
    <t>12</t>
  </si>
  <si>
    <t>AwayTeamId</t>
  </si>
  <si>
    <t>Redskins</t>
  </si>
  <si>
    <t>28</t>
  </si>
  <si>
    <t>21</t>
  </si>
  <si>
    <t>RainSum</t>
  </si>
  <si>
    <t>ApparentTemperature</t>
  </si>
  <si>
    <t>34</t>
  </si>
  <si>
    <t>24</t>
  </si>
  <si>
    <t>MeanWindGusts</t>
  </si>
  <si>
    <t>MinTemperature</t>
  </si>
  <si>
    <t>WindSpeedMax</t>
  </si>
  <si>
    <t>16</t>
  </si>
  <si>
    <t>PrecipitationSum</t>
  </si>
  <si>
    <t>3</t>
  </si>
  <si>
    <t>PrecipitationHours</t>
  </si>
  <si>
    <t>WindGustsMax</t>
  </si>
  <si>
    <t>19</t>
  </si>
  <si>
    <t>30</t>
  </si>
  <si>
    <t>Team Name</t>
  </si>
  <si>
    <t>Abbreviation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</si>
  <si>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</si>
  <si>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</si>
  <si>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</si>
  <si>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</si>
  <si>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</si>
  <si>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</si>
  <si>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</si>
  <si>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</si>
  <si>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</si>
  <si>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</si>
  <si>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</si>
  <si>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</si>
  <si>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</si>
  <si>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</si>
  <si>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</si>
  <si>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</si>
  <si>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LA</t>
  </si>
  <si>
    <t>LAC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</si>
  <si>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</si>
  <si>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</si>
  <si>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</si>
  <si>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</si>
  <si>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</si>
  <si>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</si>
  <si>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</si>
  <si>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</si>
  <si>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</si>
  <si>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</si>
  <si>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</si>
  <si>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</si>
  <si>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</si>
  <si>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</si>
  <si>
    <t>season</t>
  </si>
  <si>
    <t>week</t>
  </si>
  <si>
    <t>team</t>
  </si>
  <si>
    <t>opponent_team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</si>
</sst>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DEB7-8EFA-4EAB-B18A-3D0535BADE4D}">
  <dimension ref="A1:EK273"/>
  <sheetViews>
    <sheetView workbookViewId="0">
      <selection activeCell="F2" sqref="F2"/>
    </sheetView>
  </sheetViews>
  <sheetFormatPr defaultRowHeight="15" x14ac:dyDescent="0.25"/>
  <cols>
    <col min="1" max="1" width="11" customWidth="1"/>
    <col min="2" max="2" width="7.28515625" customWidth="1"/>
    <col min="3" max="3" width="9.85546875" customWidth="1"/>
    <col min="4" max="4" width="11.140625" customWidth="1"/>
    <col min="5" max="6" width="13.42578125" customWidth="1"/>
    <col min="7" max="8" width="16.42578125" customWidth="1"/>
    <col min="9" max="9" width="15.85546875" customWidth="1"/>
    <col min="10" max="10" width="10.7109375" customWidth="1"/>
    <col min="11" max="11" width="19.28515625" customWidth="1"/>
    <col min="12" max="12" width="22.5703125" customWidth="1"/>
    <col min="13" max="13" width="13" customWidth="1"/>
    <col min="14" max="14" width="10.7109375" customWidth="1"/>
    <col min="15" max="15" width="12" customWidth="1"/>
    <col min="16" max="16" width="25.85546875" customWidth="1"/>
    <col min="17" max="17" width="22.42578125" customWidth="1"/>
    <col min="18" max="18" width="20.85546875" customWidth="1"/>
    <col min="19" max="19" width="11.85546875" customWidth="1"/>
    <col min="20" max="20" width="16.7109375" customWidth="1"/>
    <col min="21" max="21" width="18" customWidth="1"/>
    <col min="22" max="22" width="19.28515625" customWidth="1"/>
    <col min="23" max="23" width="21.140625" customWidth="1"/>
    <col min="24" max="24" width="22.7109375" customWidth="1"/>
    <col min="25" max="25" width="20.5703125" customWidth="1"/>
    <col min="26" max="26" width="21.85546875" customWidth="1"/>
    <col min="27" max="27" width="21" customWidth="1"/>
    <col min="28" max="28" width="22.5703125" customWidth="1"/>
    <col min="29" max="29" width="18.28515625" customWidth="1"/>
    <col min="30" max="30" width="19.5703125" customWidth="1"/>
    <col min="31" max="31" width="22" customWidth="1"/>
    <col min="32" max="32" width="23.5703125" customWidth="1"/>
    <col min="33" max="33" width="17.42578125" customWidth="1"/>
    <col min="34" max="34" width="12.42578125" customWidth="1"/>
    <col min="35" max="35" width="10.140625" customWidth="1"/>
    <col min="36" max="36" width="11.42578125" customWidth="1"/>
    <col min="37" max="37" width="25.28515625" customWidth="1"/>
    <col min="38" max="38" width="21.5703125" customWidth="1"/>
    <col min="39" max="39" width="20.28515625" customWidth="1"/>
    <col min="40" max="40" width="11.28515625" customWidth="1"/>
    <col min="41" max="41" width="16.140625" customWidth="1"/>
    <col min="42" max="42" width="17.42578125" customWidth="1"/>
    <col min="43" max="43" width="18.7109375" customWidth="1"/>
    <col min="44" max="44" width="20.5703125" customWidth="1"/>
    <col min="45" max="45" width="21.85546875" customWidth="1"/>
    <col min="46" max="46" width="20" customWidth="1"/>
    <col min="47" max="47" width="21.28515625" customWidth="1"/>
    <col min="48" max="48" width="20.42578125" customWidth="1"/>
    <col min="49" max="49" width="21.7109375" customWidth="1"/>
    <col min="50" max="50" width="17.7109375" customWidth="1"/>
    <col min="51" max="51" width="19" customWidth="1"/>
    <col min="52" max="52" width="21.42578125" customWidth="1"/>
    <col min="53" max="53" width="23" customWidth="1"/>
    <col min="54" max="54" width="16.5703125" customWidth="1"/>
    <col min="55" max="55" width="21.140625" customWidth="1"/>
    <col min="56" max="56" width="23.140625" customWidth="1"/>
    <col min="57" max="57" width="17.7109375" customWidth="1"/>
    <col min="58" max="58" width="13.85546875" customWidth="1"/>
    <col min="59" max="59" width="25.42578125" customWidth="1"/>
    <col min="60" max="60" width="30.140625" customWidth="1"/>
    <col min="61" max="61" width="25.7109375" customWidth="1"/>
    <col min="62" max="62" width="30.42578125" customWidth="1"/>
    <col min="63" max="63" width="30.140625" customWidth="1"/>
    <col min="64" max="64" width="27.85546875" customWidth="1"/>
    <col min="65" max="65" width="29.5703125" customWidth="1"/>
    <col min="66" max="66" width="24.85546875" customWidth="1"/>
    <col min="67" max="67" width="29.5703125" customWidth="1"/>
    <col min="68" max="68" width="30.42578125" customWidth="1"/>
    <col min="69" max="69" width="25.140625" customWidth="1"/>
    <col min="70" max="70" width="29" customWidth="1"/>
    <col min="71" max="71" width="29.85546875" customWidth="1"/>
    <col min="72" max="72" width="29.5703125" customWidth="1"/>
    <col min="73" max="73" width="27" customWidth="1"/>
    <col min="74" max="74" width="9.7109375" customWidth="1"/>
    <col min="75" max="75" width="23.85546875" customWidth="1"/>
    <col min="76" max="76" width="26.7109375" customWidth="1"/>
    <col min="77" max="77" width="20.42578125" customWidth="1"/>
    <col min="78" max="78" width="29.5703125" customWidth="1"/>
    <col min="79" max="79" width="25.85546875" customWidth="1"/>
    <col min="80" max="80" width="14.42578125" customWidth="1"/>
    <col min="81" max="81" width="24.140625" customWidth="1"/>
    <col min="82" max="82" width="26.28515625" customWidth="1"/>
    <col min="83" max="83" width="25.140625" customWidth="1"/>
    <col min="84" max="84" width="14.7109375" customWidth="1"/>
    <col min="85" max="85" width="26.28515625" customWidth="1"/>
    <col min="86" max="86" width="28.140625" customWidth="1"/>
    <col min="87" max="87" width="31.7109375" customWidth="1"/>
    <col min="88" max="88" width="22.7109375" customWidth="1"/>
    <col min="89" max="89" width="22.85546875" customWidth="1"/>
    <col min="90" max="90" width="26.5703125" customWidth="1"/>
    <col min="91" max="91" width="11.140625" customWidth="1"/>
    <col min="92" max="92" width="18.42578125" customWidth="1"/>
    <col min="93" max="93" width="25.7109375" customWidth="1"/>
    <col min="94" max="94" width="21.42578125" customWidth="1"/>
    <col min="95" max="95" width="20.7109375" customWidth="1"/>
    <col min="96" max="96" width="23" customWidth="1"/>
    <col min="97" max="97" width="26" customWidth="1"/>
    <col min="98" max="98" width="16" customWidth="1"/>
    <col min="99" max="99" width="23.7109375" customWidth="1"/>
    <col min="100" max="100" width="20.7109375" customWidth="1"/>
    <col min="101" max="101" width="24.7109375" customWidth="1"/>
    <col min="102" max="102" width="16.42578125" customWidth="1"/>
    <col min="103" max="103" width="24.7109375" customWidth="1"/>
    <col min="104" max="104" width="35" customWidth="1"/>
    <col min="105" max="105" width="33.5703125" customWidth="1"/>
    <col min="106" max="106" width="29.5703125" customWidth="1"/>
    <col min="107" max="107" width="24.42578125" customWidth="1"/>
    <col min="108" max="108" width="9.140625" customWidth="1"/>
    <col min="109" max="109" width="23.28515625" customWidth="1"/>
    <col min="110" max="110" width="26.140625" customWidth="1"/>
    <col min="111" max="111" width="19.85546875" customWidth="1"/>
    <col min="112" max="112" width="29" customWidth="1"/>
    <col min="113" max="113" width="25.28515625" customWidth="1"/>
    <col min="114" max="114" width="13.85546875" customWidth="1"/>
    <col min="115" max="115" width="23.5703125" customWidth="1"/>
    <col min="116" max="116" width="25.7109375" customWidth="1"/>
    <col min="117" max="117" width="24.5703125" customWidth="1"/>
    <col min="118" max="118" width="14.140625" customWidth="1"/>
    <col min="119" max="119" width="25.7109375" customWidth="1"/>
    <col min="120" max="120" width="27.5703125" customWidth="1"/>
    <col min="121" max="121" width="31.140625" customWidth="1"/>
    <col min="122" max="122" width="21.85546875" customWidth="1"/>
    <col min="123" max="123" width="22" customWidth="1"/>
    <col min="124" max="124" width="26" customWidth="1"/>
    <col min="125" max="125" width="10.5703125" customWidth="1"/>
    <col min="126" max="126" width="17.85546875" customWidth="1"/>
    <col min="127" max="127" width="25.140625" customWidth="1"/>
    <col min="128" max="128" width="20.85546875" customWidth="1"/>
    <col min="129" max="129" width="20.140625" customWidth="1"/>
    <col min="130" max="130" width="22.42578125" customWidth="1"/>
    <col min="131" max="131" width="25.42578125" customWidth="1"/>
    <col min="132" max="132" width="23.140625" customWidth="1"/>
    <col min="133" max="133" width="15.42578125" customWidth="1"/>
    <col min="134" max="134" width="20.140625" customWidth="1"/>
    <col min="135" max="135" width="24.140625" customWidth="1"/>
    <col min="136" max="136" width="15.85546875" customWidth="1"/>
    <col min="137" max="137" width="24.140625" customWidth="1"/>
    <col min="138" max="138" width="34.42578125" customWidth="1"/>
    <col min="139" max="139" width="33" customWidth="1"/>
    <col min="140" max="140" width="29" customWidth="1"/>
    <col min="141" max="141" width="23.85546875" customWidth="1"/>
  </cols>
  <sheetData>
    <row r="1" spans="1:141" s="1" customFormat="1" x14ac:dyDescent="0.25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257</v>
      </c>
      <c r="G1" s="1" t="s">
        <v>3</v>
      </c>
      <c r="H1" s="1" t="s">
        <v>258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</row>
    <row r="2" spans="1:141" x14ac:dyDescent="0.25">
      <c r="A2">
        <v>44</v>
      </c>
      <c r="B2">
        <v>4</v>
      </c>
      <c r="C2">
        <v>1</v>
      </c>
      <c r="D2">
        <v>2025</v>
      </c>
      <c r="E2">
        <v>1</v>
      </c>
      <c r="F2" t="str">
        <f>VLOOKUP(G2, Map!$A$1:$B$33, 2, FALSE)</f>
        <v>PHI</v>
      </c>
      <c r="G2" t="s">
        <v>147</v>
      </c>
      <c r="H2" t="str">
        <f>VLOOKUP(I2, Map!$A$1:$B$33, 2, FALSE)</f>
        <v>DAL</v>
      </c>
      <c r="I2" t="s">
        <v>150</v>
      </c>
      <c r="J2">
        <v>0</v>
      </c>
      <c r="K2">
        <v>0</v>
      </c>
      <c r="L2">
        <v>0</v>
      </c>
      <c r="M2">
        <v>1</v>
      </c>
      <c r="N2">
        <v>6</v>
      </c>
      <c r="O2">
        <v>2</v>
      </c>
      <c r="P2">
        <v>23.125</v>
      </c>
      <c r="Q2">
        <v>26</v>
      </c>
      <c r="R2">
        <v>23</v>
      </c>
      <c r="S2">
        <v>2</v>
      </c>
      <c r="T2">
        <v>0.75</v>
      </c>
      <c r="U2">
        <v>2</v>
      </c>
      <c r="V2">
        <v>1</v>
      </c>
      <c r="W2">
        <v>3</v>
      </c>
      <c r="X2">
        <v>1</v>
      </c>
      <c r="Y2">
        <v>3</v>
      </c>
      <c r="Z2">
        <v>1</v>
      </c>
      <c r="AA2">
        <v>5</v>
      </c>
      <c r="AB2">
        <v>1</v>
      </c>
      <c r="AC2">
        <v>16</v>
      </c>
      <c r="AD2">
        <v>3</v>
      </c>
      <c r="AE2">
        <v>10</v>
      </c>
      <c r="AF2">
        <v>9</v>
      </c>
      <c r="AG2">
        <v>63</v>
      </c>
      <c r="AH2">
        <v>0</v>
      </c>
      <c r="AI2">
        <v>3</v>
      </c>
      <c r="AJ2">
        <v>4</v>
      </c>
      <c r="AK2">
        <v>31.25</v>
      </c>
      <c r="AL2">
        <v>30.75</v>
      </c>
      <c r="AM2">
        <v>-4</v>
      </c>
      <c r="AN2">
        <v>-1</v>
      </c>
      <c r="AO2">
        <v>0.4375</v>
      </c>
      <c r="AP2">
        <v>2</v>
      </c>
      <c r="AQ2">
        <v>1</v>
      </c>
      <c r="AR2">
        <v>2</v>
      </c>
      <c r="AS2">
        <v>0</v>
      </c>
      <c r="AT2">
        <v>1</v>
      </c>
      <c r="AU2">
        <v>4</v>
      </c>
      <c r="AV2">
        <v>2</v>
      </c>
      <c r="AW2">
        <v>3</v>
      </c>
      <c r="AX2">
        <v>13</v>
      </c>
      <c r="AY2">
        <v>5</v>
      </c>
      <c r="AZ2">
        <v>11</v>
      </c>
      <c r="BA2">
        <v>7</v>
      </c>
      <c r="BB2">
        <v>68</v>
      </c>
      <c r="BC2">
        <v>46</v>
      </c>
      <c r="BD2">
        <v>-6</v>
      </c>
      <c r="BE2">
        <v>0</v>
      </c>
      <c r="BF2">
        <v>0</v>
      </c>
      <c r="BG2">
        <v>67.47</v>
      </c>
      <c r="BH2">
        <v>64.040999999999997</v>
      </c>
      <c r="BI2">
        <v>32.270000000000003</v>
      </c>
      <c r="BJ2">
        <v>40.889000000000003</v>
      </c>
      <c r="BK2">
        <v>77.242000000000004</v>
      </c>
      <c r="BL2">
        <v>62.405000000000001</v>
      </c>
      <c r="BM2">
        <v>7.5720000000000001</v>
      </c>
      <c r="BN2">
        <v>32.270000000000003</v>
      </c>
      <c r="BO2">
        <v>64.040999999999997</v>
      </c>
      <c r="BP2">
        <v>0</v>
      </c>
      <c r="BQ2">
        <v>67.47</v>
      </c>
      <c r="BR2">
        <v>-7.5720000000000001</v>
      </c>
      <c r="BS2">
        <v>22.757999999999999</v>
      </c>
      <c r="BT2">
        <v>59.110999999999997</v>
      </c>
      <c r="BU2">
        <v>37.594999999999999</v>
      </c>
      <c r="BV2">
        <v>2679</v>
      </c>
      <c r="BW2">
        <v>70.233000000000004</v>
      </c>
      <c r="BX2">
        <v>192.75</v>
      </c>
      <c r="BY2">
        <v>23</v>
      </c>
      <c r="BZ2">
        <v>321.25</v>
      </c>
      <c r="CA2">
        <v>7.7160000000000002</v>
      </c>
      <c r="CB2">
        <v>1178</v>
      </c>
      <c r="CC2">
        <v>111.625</v>
      </c>
      <c r="CD2">
        <v>4.0960000000000001</v>
      </c>
      <c r="CE2">
        <v>9</v>
      </c>
      <c r="CF2">
        <v>2957</v>
      </c>
      <c r="CG2">
        <v>15</v>
      </c>
      <c r="CH2">
        <v>209.625</v>
      </c>
      <c r="CI2">
        <v>10.987</v>
      </c>
      <c r="CJ2">
        <v>4.75</v>
      </c>
      <c r="CK2">
        <v>3.75</v>
      </c>
      <c r="CL2">
        <v>3</v>
      </c>
      <c r="CM2">
        <v>16</v>
      </c>
      <c r="CN2">
        <v>0</v>
      </c>
      <c r="CO2">
        <v>100</v>
      </c>
      <c r="CP2">
        <v>77.778000000000006</v>
      </c>
      <c r="CQ2">
        <v>7</v>
      </c>
      <c r="CR2">
        <v>46</v>
      </c>
      <c r="CS2">
        <v>13.55</v>
      </c>
      <c r="CT2">
        <v>34</v>
      </c>
      <c r="CU2">
        <v>7</v>
      </c>
      <c r="CV2">
        <v>6</v>
      </c>
      <c r="CW2">
        <v>15</v>
      </c>
      <c r="CX2">
        <v>208</v>
      </c>
      <c r="CY2">
        <v>17.875</v>
      </c>
      <c r="CZ2">
        <v>78.570999999999998</v>
      </c>
      <c r="DA2">
        <v>33.332999999999998</v>
      </c>
      <c r="DB2">
        <v>87.14</v>
      </c>
      <c r="DC2">
        <v>4</v>
      </c>
      <c r="DD2">
        <v>3160</v>
      </c>
      <c r="DE2">
        <v>70.233999999999995</v>
      </c>
      <c r="DF2">
        <v>263.75</v>
      </c>
      <c r="DG2">
        <v>25</v>
      </c>
      <c r="DH2">
        <v>391.375</v>
      </c>
      <c r="DI2">
        <v>7.1909999999999998</v>
      </c>
      <c r="DJ2">
        <v>1283</v>
      </c>
      <c r="DK2">
        <v>120.375</v>
      </c>
      <c r="DL2">
        <v>4.6749999999999998</v>
      </c>
      <c r="DM2">
        <v>10</v>
      </c>
      <c r="DN2">
        <v>3813</v>
      </c>
      <c r="DO2">
        <v>17</v>
      </c>
      <c r="DP2">
        <v>271</v>
      </c>
      <c r="DQ2">
        <v>10.238</v>
      </c>
      <c r="DR2">
        <v>7.7329999999999997</v>
      </c>
      <c r="DS2">
        <v>4.8099999999999996</v>
      </c>
      <c r="DT2">
        <v>1</v>
      </c>
      <c r="DU2">
        <v>15</v>
      </c>
      <c r="DV2">
        <v>0</v>
      </c>
      <c r="DW2">
        <v>96.296000000000006</v>
      </c>
      <c r="DX2">
        <v>100</v>
      </c>
      <c r="DY2">
        <v>16</v>
      </c>
      <c r="DZ2">
        <v>74</v>
      </c>
      <c r="EA2">
        <v>10</v>
      </c>
      <c r="EB2">
        <v>11</v>
      </c>
      <c r="EC2">
        <v>28</v>
      </c>
      <c r="ED2">
        <v>6</v>
      </c>
      <c r="EE2">
        <v>17</v>
      </c>
      <c r="EF2">
        <v>246</v>
      </c>
      <c r="EG2">
        <v>23.125</v>
      </c>
      <c r="EH2">
        <v>77.778000000000006</v>
      </c>
      <c r="EI2">
        <v>43.158000000000001</v>
      </c>
      <c r="EJ2">
        <v>74.19</v>
      </c>
      <c r="EK2">
        <v>-1</v>
      </c>
    </row>
    <row r="3" spans="1:141" x14ac:dyDescent="0.25">
      <c r="A3">
        <v>48</v>
      </c>
      <c r="B3">
        <v>6</v>
      </c>
      <c r="C3">
        <v>1</v>
      </c>
      <c r="D3">
        <v>2025</v>
      </c>
      <c r="E3">
        <v>1</v>
      </c>
      <c r="F3" t="str">
        <f>VLOOKUP(G3, Map!$A$1:$B$33, 2, FALSE)</f>
        <v>LAC</v>
      </c>
      <c r="G3" t="s">
        <v>160</v>
      </c>
      <c r="H3" t="str">
        <f>VLOOKUP(I3, Map!$A$1:$B$33, 2, FALSE)</f>
        <v>KC</v>
      </c>
      <c r="I3" t="s">
        <v>158</v>
      </c>
      <c r="J3">
        <v>0</v>
      </c>
      <c r="K3">
        <v>0</v>
      </c>
      <c r="L3">
        <v>0</v>
      </c>
      <c r="M3">
        <v>1</v>
      </c>
      <c r="N3">
        <v>5</v>
      </c>
      <c r="O3">
        <v>3</v>
      </c>
      <c r="P3">
        <v>21.625</v>
      </c>
      <c r="Q3">
        <v>23.5</v>
      </c>
      <c r="R3">
        <v>15</v>
      </c>
      <c r="S3">
        <v>1</v>
      </c>
      <c r="T3">
        <v>0.625</v>
      </c>
      <c r="U3">
        <v>3</v>
      </c>
      <c r="V3">
        <v>0</v>
      </c>
      <c r="W3">
        <v>3</v>
      </c>
      <c r="X3">
        <v>2</v>
      </c>
      <c r="Y3">
        <v>2</v>
      </c>
      <c r="Z3">
        <v>1</v>
      </c>
      <c r="AA3">
        <v>4</v>
      </c>
      <c r="AB3">
        <v>1</v>
      </c>
      <c r="AC3">
        <v>10</v>
      </c>
      <c r="AD3">
        <v>7</v>
      </c>
      <c r="AE3">
        <v>11</v>
      </c>
      <c r="AF3">
        <v>5</v>
      </c>
      <c r="AG3">
        <v>65</v>
      </c>
      <c r="AH3">
        <v>0</v>
      </c>
      <c r="AI3">
        <v>5</v>
      </c>
      <c r="AJ3">
        <v>3</v>
      </c>
      <c r="AK3">
        <v>16.375</v>
      </c>
      <c r="AL3">
        <v>26.75</v>
      </c>
      <c r="AM3">
        <v>83</v>
      </c>
      <c r="AN3">
        <v>3</v>
      </c>
      <c r="AO3">
        <v>0.625</v>
      </c>
      <c r="AP3">
        <v>1</v>
      </c>
      <c r="AQ3">
        <v>1</v>
      </c>
      <c r="AR3">
        <v>4</v>
      </c>
      <c r="AS3">
        <v>1</v>
      </c>
      <c r="AT3">
        <v>1</v>
      </c>
      <c r="AU3">
        <v>2</v>
      </c>
      <c r="AV3">
        <v>2</v>
      </c>
      <c r="AW3">
        <v>2</v>
      </c>
      <c r="AX3">
        <v>16</v>
      </c>
      <c r="AY3">
        <v>3</v>
      </c>
      <c r="AZ3">
        <v>7</v>
      </c>
      <c r="BA3">
        <v>11</v>
      </c>
      <c r="BB3">
        <v>65</v>
      </c>
      <c r="BC3">
        <v>49.5</v>
      </c>
      <c r="BD3">
        <v>0</v>
      </c>
      <c r="BE3">
        <v>0</v>
      </c>
      <c r="BF3">
        <v>0</v>
      </c>
      <c r="BG3">
        <v>42.363</v>
      </c>
      <c r="BH3">
        <v>75.986999999999995</v>
      </c>
      <c r="BI3">
        <v>57.296999999999997</v>
      </c>
      <c r="BJ3">
        <v>43.683999999999997</v>
      </c>
      <c r="BK3">
        <v>83.054000000000002</v>
      </c>
      <c r="BL3">
        <v>69.27</v>
      </c>
      <c r="BM3">
        <v>-2.7709999999999999</v>
      </c>
      <c r="BN3">
        <v>57.296999999999997</v>
      </c>
      <c r="BO3">
        <v>75.986999999999995</v>
      </c>
      <c r="BP3">
        <v>0</v>
      </c>
      <c r="BQ3">
        <v>42.363</v>
      </c>
      <c r="BR3">
        <v>2.7709999999999999</v>
      </c>
      <c r="BS3">
        <v>16.946000000000002</v>
      </c>
      <c r="BT3">
        <v>56.316000000000003</v>
      </c>
      <c r="BU3">
        <v>30.73</v>
      </c>
      <c r="BV3">
        <v>3094</v>
      </c>
      <c r="BW3">
        <v>68</v>
      </c>
      <c r="BX3">
        <v>255.375</v>
      </c>
      <c r="BY3">
        <v>26</v>
      </c>
      <c r="BZ3">
        <v>396.125</v>
      </c>
      <c r="CA3">
        <v>7.28</v>
      </c>
      <c r="CB3">
        <v>1030</v>
      </c>
      <c r="CC3">
        <v>123.125</v>
      </c>
      <c r="CD3">
        <v>4.8520000000000003</v>
      </c>
      <c r="CE3">
        <v>3</v>
      </c>
      <c r="CF3">
        <v>3764</v>
      </c>
      <c r="CG3">
        <v>16</v>
      </c>
      <c r="CH3">
        <v>273</v>
      </c>
      <c r="CI3">
        <v>10.706</v>
      </c>
      <c r="CJ3">
        <v>5.5910000000000002</v>
      </c>
      <c r="CK3">
        <v>5.05</v>
      </c>
      <c r="CL3">
        <v>0</v>
      </c>
      <c r="CM3">
        <v>22</v>
      </c>
      <c r="CN3">
        <v>0</v>
      </c>
      <c r="CO3">
        <v>100</v>
      </c>
      <c r="CP3">
        <v>94.736999999999995</v>
      </c>
      <c r="CQ3">
        <v>18</v>
      </c>
      <c r="CR3">
        <v>72</v>
      </c>
      <c r="CS3">
        <v>12.5</v>
      </c>
      <c r="CT3">
        <v>20</v>
      </c>
      <c r="CU3">
        <v>8</v>
      </c>
      <c r="CV3">
        <v>0</v>
      </c>
      <c r="CW3">
        <v>16</v>
      </c>
      <c r="CX3">
        <v>188</v>
      </c>
      <c r="CY3">
        <v>21.875</v>
      </c>
      <c r="CZ3">
        <v>70</v>
      </c>
      <c r="DA3">
        <v>48.673000000000002</v>
      </c>
      <c r="DB3">
        <v>61.73</v>
      </c>
      <c r="DC3">
        <v>-3</v>
      </c>
      <c r="DD3">
        <v>3149</v>
      </c>
      <c r="DE3">
        <v>67.021000000000001</v>
      </c>
      <c r="DF3">
        <v>251.75</v>
      </c>
      <c r="DG3">
        <v>25</v>
      </c>
      <c r="DH3">
        <v>388.875</v>
      </c>
      <c r="DI3">
        <v>7.3719999999999999</v>
      </c>
      <c r="DJ3">
        <v>1327</v>
      </c>
      <c r="DK3">
        <v>126.5</v>
      </c>
      <c r="DL3">
        <v>4.4980000000000002</v>
      </c>
      <c r="DM3">
        <v>9</v>
      </c>
      <c r="DN3">
        <v>3639</v>
      </c>
      <c r="DO3">
        <v>17</v>
      </c>
      <c r="DP3">
        <v>262.375</v>
      </c>
      <c r="DQ3">
        <v>11</v>
      </c>
      <c r="DR3">
        <v>4</v>
      </c>
      <c r="DS3">
        <v>3.4</v>
      </c>
      <c r="DT3">
        <v>0</v>
      </c>
      <c r="DU3">
        <v>17</v>
      </c>
      <c r="DV3">
        <v>0</v>
      </c>
      <c r="DW3">
        <v>88</v>
      </c>
      <c r="DX3">
        <v>80</v>
      </c>
      <c r="DY3">
        <v>12</v>
      </c>
      <c r="DZ3">
        <v>58</v>
      </c>
      <c r="EA3">
        <v>8.3330000000000002</v>
      </c>
      <c r="EB3">
        <v>11</v>
      </c>
      <c r="EC3">
        <v>19</v>
      </c>
      <c r="ED3">
        <v>0</v>
      </c>
      <c r="EE3">
        <v>17</v>
      </c>
      <c r="EF3">
        <v>214</v>
      </c>
      <c r="EG3">
        <v>23.625</v>
      </c>
      <c r="EH3">
        <v>82.352999999999994</v>
      </c>
      <c r="EI3">
        <v>44</v>
      </c>
      <c r="EJ3">
        <v>78.150000000000006</v>
      </c>
      <c r="EK3">
        <v>5</v>
      </c>
    </row>
    <row r="4" spans="1:141" x14ac:dyDescent="0.25">
      <c r="A4">
        <v>43</v>
      </c>
      <c r="B4">
        <v>-3</v>
      </c>
      <c r="C4">
        <v>0</v>
      </c>
      <c r="D4">
        <v>2025</v>
      </c>
      <c r="E4">
        <v>1</v>
      </c>
      <c r="F4" t="str">
        <f>VLOOKUP(G4, Map!$A$1:$B$33, 2, FALSE)</f>
        <v>ATL</v>
      </c>
      <c r="G4" t="s">
        <v>167</v>
      </c>
      <c r="H4" t="str">
        <f>VLOOKUP(I4, Map!$A$1:$B$33, 2, FALSE)</f>
        <v>TB</v>
      </c>
      <c r="I4" t="s">
        <v>141</v>
      </c>
      <c r="J4">
        <v>0</v>
      </c>
      <c r="K4">
        <v>0</v>
      </c>
      <c r="L4">
        <v>0</v>
      </c>
      <c r="M4">
        <v>0</v>
      </c>
      <c r="N4">
        <v>3</v>
      </c>
      <c r="O4">
        <v>4</v>
      </c>
      <c r="P4">
        <v>22</v>
      </c>
      <c r="Q4">
        <v>17.142856999999999</v>
      </c>
      <c r="R4">
        <v>-34</v>
      </c>
      <c r="S4">
        <v>-2</v>
      </c>
      <c r="T4">
        <v>0.42857142999999998</v>
      </c>
      <c r="U4">
        <v>0</v>
      </c>
      <c r="V4">
        <v>2</v>
      </c>
      <c r="W4">
        <v>2</v>
      </c>
      <c r="X4">
        <v>2</v>
      </c>
      <c r="Y4">
        <v>1</v>
      </c>
      <c r="Z4">
        <v>2</v>
      </c>
      <c r="AA4">
        <v>2</v>
      </c>
      <c r="AB4">
        <v>3</v>
      </c>
      <c r="AC4">
        <v>7</v>
      </c>
      <c r="AD4">
        <v>10</v>
      </c>
      <c r="AE4">
        <v>9</v>
      </c>
      <c r="AF4">
        <v>8</v>
      </c>
      <c r="AG4">
        <v>64</v>
      </c>
      <c r="AH4">
        <v>1</v>
      </c>
      <c r="AI4">
        <v>6</v>
      </c>
      <c r="AJ4">
        <v>2</v>
      </c>
      <c r="AK4">
        <v>22.25</v>
      </c>
      <c r="AL4">
        <v>24.625</v>
      </c>
      <c r="AM4">
        <v>19</v>
      </c>
      <c r="AN4">
        <v>1</v>
      </c>
      <c r="AO4">
        <v>0.75</v>
      </c>
      <c r="AP4">
        <v>2</v>
      </c>
      <c r="AQ4">
        <v>0</v>
      </c>
      <c r="AR4">
        <v>2</v>
      </c>
      <c r="AS4">
        <v>1</v>
      </c>
      <c r="AT4">
        <v>4</v>
      </c>
      <c r="AU4">
        <v>1</v>
      </c>
      <c r="AV4">
        <v>4</v>
      </c>
      <c r="AW4">
        <v>2</v>
      </c>
      <c r="AX4">
        <v>8</v>
      </c>
      <c r="AY4">
        <v>9</v>
      </c>
      <c r="AZ4">
        <v>4</v>
      </c>
      <c r="BA4">
        <v>12</v>
      </c>
      <c r="BB4">
        <v>59</v>
      </c>
      <c r="BC4">
        <v>45</v>
      </c>
      <c r="BD4">
        <v>-2</v>
      </c>
      <c r="BE4">
        <v>0</v>
      </c>
      <c r="BF4">
        <v>0</v>
      </c>
      <c r="BG4">
        <v>44.023000000000003</v>
      </c>
      <c r="BH4">
        <v>43.179000000000002</v>
      </c>
      <c r="BI4">
        <v>55.622999999999998</v>
      </c>
      <c r="BJ4">
        <v>24.259</v>
      </c>
      <c r="BK4">
        <v>60.414000000000001</v>
      </c>
      <c r="BL4">
        <v>41.887999999999998</v>
      </c>
      <c r="BM4">
        <v>-2.0699999999999998</v>
      </c>
      <c r="BN4">
        <v>55.622999999999998</v>
      </c>
      <c r="BO4">
        <v>43.179000000000002</v>
      </c>
      <c r="BP4">
        <v>0</v>
      </c>
      <c r="BQ4">
        <v>44.023000000000003</v>
      </c>
      <c r="BR4">
        <v>2.0699999999999998</v>
      </c>
      <c r="BS4">
        <v>39.585999999999999</v>
      </c>
      <c r="BT4">
        <v>75.741</v>
      </c>
      <c r="BU4">
        <v>58.112000000000002</v>
      </c>
      <c r="BV4">
        <v>1871</v>
      </c>
      <c r="BW4">
        <v>62.231999999999999</v>
      </c>
      <c r="BX4">
        <v>219.42857000000001</v>
      </c>
      <c r="BY4">
        <v>19</v>
      </c>
      <c r="BZ4">
        <v>353.42856</v>
      </c>
      <c r="CA4">
        <v>6.9139999999999997</v>
      </c>
      <c r="CB4">
        <v>1048</v>
      </c>
      <c r="CC4">
        <v>123.286</v>
      </c>
      <c r="CD4">
        <v>4.4029999999999996</v>
      </c>
      <c r="CE4">
        <v>7</v>
      </c>
      <c r="CF4">
        <v>2511</v>
      </c>
      <c r="CG4">
        <v>5</v>
      </c>
      <c r="CH4">
        <v>230.143</v>
      </c>
      <c r="CI4">
        <v>11.11</v>
      </c>
      <c r="CJ4">
        <v>5.9379999999999997</v>
      </c>
      <c r="CK4">
        <v>5.6429999999999998</v>
      </c>
      <c r="CL4">
        <v>0</v>
      </c>
      <c r="CM4">
        <v>16</v>
      </c>
      <c r="CN4">
        <v>0</v>
      </c>
      <c r="CO4">
        <v>100</v>
      </c>
      <c r="CP4">
        <v>75</v>
      </c>
      <c r="CQ4">
        <v>12</v>
      </c>
      <c r="CR4">
        <v>48</v>
      </c>
      <c r="CS4">
        <v>7.5380000000000003</v>
      </c>
      <c r="CT4">
        <v>22</v>
      </c>
      <c r="CU4">
        <v>9</v>
      </c>
      <c r="CV4">
        <v>0</v>
      </c>
      <c r="CW4">
        <v>5</v>
      </c>
      <c r="CX4">
        <v>120</v>
      </c>
      <c r="CY4">
        <v>19.286000000000001</v>
      </c>
      <c r="CZ4">
        <v>40</v>
      </c>
      <c r="DA4">
        <v>39.326000000000001</v>
      </c>
      <c r="DB4">
        <v>57.86</v>
      </c>
      <c r="DC4">
        <v>2</v>
      </c>
      <c r="DD4">
        <v>2769</v>
      </c>
      <c r="DE4">
        <v>63.941000000000003</v>
      </c>
      <c r="DF4">
        <v>224.875</v>
      </c>
      <c r="DG4">
        <v>29</v>
      </c>
      <c r="DH4">
        <v>338</v>
      </c>
      <c r="DI4">
        <v>7.1340000000000003</v>
      </c>
      <c r="DJ4">
        <v>950</v>
      </c>
      <c r="DK4">
        <v>98.125</v>
      </c>
      <c r="DL4">
        <v>3.8479999999999999</v>
      </c>
      <c r="DM4">
        <v>6</v>
      </c>
      <c r="DN4">
        <v>3234</v>
      </c>
      <c r="DO4">
        <v>13</v>
      </c>
      <c r="DP4">
        <v>239.875</v>
      </c>
      <c r="DQ4">
        <v>11.157</v>
      </c>
      <c r="DR4">
        <v>7.8</v>
      </c>
      <c r="DS4">
        <v>6.8</v>
      </c>
      <c r="DT4">
        <v>2</v>
      </c>
      <c r="DU4">
        <v>25</v>
      </c>
      <c r="DV4">
        <v>0</v>
      </c>
      <c r="DW4">
        <v>94.117999999999995</v>
      </c>
      <c r="DX4">
        <v>80.951999999999998</v>
      </c>
      <c r="DY4">
        <v>17</v>
      </c>
      <c r="DZ4">
        <v>67</v>
      </c>
      <c r="EA4">
        <v>14.667</v>
      </c>
      <c r="EB4">
        <v>12</v>
      </c>
      <c r="EC4">
        <v>32</v>
      </c>
      <c r="ED4">
        <v>14</v>
      </c>
      <c r="EE4">
        <v>13</v>
      </c>
      <c r="EF4">
        <v>197</v>
      </c>
      <c r="EG4">
        <v>18.875</v>
      </c>
      <c r="EH4">
        <v>50</v>
      </c>
      <c r="EI4">
        <v>36.274999999999999</v>
      </c>
      <c r="EJ4">
        <v>55.19</v>
      </c>
      <c r="EK4">
        <v>7</v>
      </c>
    </row>
    <row r="5" spans="1:141" x14ac:dyDescent="0.25">
      <c r="A5">
        <v>33</v>
      </c>
      <c r="B5">
        <v>-1</v>
      </c>
      <c r="C5">
        <v>0</v>
      </c>
      <c r="D5">
        <v>2025</v>
      </c>
      <c r="E5">
        <v>1</v>
      </c>
      <c r="F5" t="str">
        <f>VLOOKUP(G5, Map!$A$1:$B$33, 2, FALSE)</f>
        <v>CLE</v>
      </c>
      <c r="G5" t="s">
        <v>162</v>
      </c>
      <c r="H5" t="str">
        <f>VLOOKUP(I5, Map!$A$1:$B$33, 2, FALSE)</f>
        <v>CIN</v>
      </c>
      <c r="I5" t="s">
        <v>161</v>
      </c>
      <c r="J5">
        <v>0</v>
      </c>
      <c r="K5">
        <v>0</v>
      </c>
      <c r="L5">
        <v>0</v>
      </c>
      <c r="M5">
        <v>0</v>
      </c>
      <c r="N5">
        <v>2</v>
      </c>
      <c r="O5">
        <v>6</v>
      </c>
      <c r="P5">
        <v>23</v>
      </c>
      <c r="Q5">
        <v>15.75</v>
      </c>
      <c r="R5">
        <v>-58</v>
      </c>
      <c r="S5">
        <v>-1</v>
      </c>
      <c r="T5">
        <v>0.25</v>
      </c>
      <c r="U5">
        <v>0</v>
      </c>
      <c r="V5">
        <v>3</v>
      </c>
      <c r="W5">
        <v>2</v>
      </c>
      <c r="X5">
        <v>2</v>
      </c>
      <c r="Y5">
        <v>0</v>
      </c>
      <c r="Z5">
        <v>4</v>
      </c>
      <c r="AA5">
        <v>1</v>
      </c>
      <c r="AB5">
        <v>4</v>
      </c>
      <c r="AC5">
        <v>7</v>
      </c>
      <c r="AD5">
        <v>10</v>
      </c>
      <c r="AE5">
        <v>8</v>
      </c>
      <c r="AF5">
        <v>9</v>
      </c>
      <c r="AG5">
        <v>61</v>
      </c>
      <c r="AH5">
        <v>1</v>
      </c>
      <c r="AI5">
        <v>3</v>
      </c>
      <c r="AJ5">
        <v>5</v>
      </c>
      <c r="AK5">
        <v>31.625</v>
      </c>
      <c r="AL5">
        <v>21.75</v>
      </c>
      <c r="AM5">
        <v>-79</v>
      </c>
      <c r="AN5">
        <v>-1</v>
      </c>
      <c r="AO5">
        <v>0.375</v>
      </c>
      <c r="AP5">
        <v>2</v>
      </c>
      <c r="AQ5">
        <v>0</v>
      </c>
      <c r="AR5">
        <v>2</v>
      </c>
      <c r="AS5">
        <v>2</v>
      </c>
      <c r="AT5">
        <v>1</v>
      </c>
      <c r="AU5">
        <v>3</v>
      </c>
      <c r="AV5">
        <v>3</v>
      </c>
      <c r="AW5">
        <v>2</v>
      </c>
      <c r="AX5">
        <v>14</v>
      </c>
      <c r="AY5">
        <v>4</v>
      </c>
      <c r="AZ5">
        <v>13</v>
      </c>
      <c r="BA5">
        <v>5</v>
      </c>
      <c r="BB5">
        <v>59</v>
      </c>
      <c r="BC5">
        <v>43</v>
      </c>
      <c r="BD5">
        <v>2</v>
      </c>
      <c r="BE5">
        <v>0</v>
      </c>
      <c r="BF5">
        <v>0</v>
      </c>
      <c r="BG5">
        <v>35.722999999999999</v>
      </c>
      <c r="BH5">
        <v>42.871000000000002</v>
      </c>
      <c r="BI5">
        <v>63.99</v>
      </c>
      <c r="BJ5">
        <v>65.486000000000004</v>
      </c>
      <c r="BK5">
        <v>38.131</v>
      </c>
      <c r="BL5">
        <v>46.24</v>
      </c>
      <c r="BM5">
        <v>-5.8840000000000003</v>
      </c>
      <c r="BN5">
        <v>63.99</v>
      </c>
      <c r="BO5">
        <v>42.871000000000002</v>
      </c>
      <c r="BP5">
        <v>0</v>
      </c>
      <c r="BQ5">
        <v>35.722999999999999</v>
      </c>
      <c r="BR5">
        <v>5.8840000000000003</v>
      </c>
      <c r="BS5">
        <v>61.869</v>
      </c>
      <c r="BT5">
        <v>34.514000000000003</v>
      </c>
      <c r="BU5">
        <v>53.76</v>
      </c>
      <c r="BV5">
        <v>1756</v>
      </c>
      <c r="BW5">
        <v>58.94</v>
      </c>
      <c r="BX5">
        <v>174.125</v>
      </c>
      <c r="BY5">
        <v>14</v>
      </c>
      <c r="BZ5">
        <v>279.125</v>
      </c>
      <c r="CA5">
        <v>4.9870000000000001</v>
      </c>
      <c r="CB5">
        <v>896</v>
      </c>
      <c r="CC5">
        <v>89.5</v>
      </c>
      <c r="CD5">
        <v>3.7679999999999998</v>
      </c>
      <c r="CE5">
        <v>6</v>
      </c>
      <c r="CF5">
        <v>2652</v>
      </c>
      <c r="CG5">
        <v>7</v>
      </c>
      <c r="CH5">
        <v>189.625</v>
      </c>
      <c r="CI5">
        <v>8.4610000000000003</v>
      </c>
      <c r="CJ5">
        <v>6.9169999999999998</v>
      </c>
      <c r="CK5">
        <v>4.3029999999999999</v>
      </c>
      <c r="CL5">
        <v>1</v>
      </c>
      <c r="CM5">
        <v>24</v>
      </c>
      <c r="CN5">
        <v>0</v>
      </c>
      <c r="CO5">
        <v>92.308000000000007</v>
      </c>
      <c r="CP5">
        <v>76.923000000000002</v>
      </c>
      <c r="CQ5">
        <v>10</v>
      </c>
      <c r="CR5">
        <v>42</v>
      </c>
      <c r="CS5">
        <v>11.412000000000001</v>
      </c>
      <c r="CT5">
        <v>42</v>
      </c>
      <c r="CU5">
        <v>16</v>
      </c>
      <c r="CV5">
        <v>6</v>
      </c>
      <c r="CW5">
        <v>7</v>
      </c>
      <c r="CX5">
        <v>126</v>
      </c>
      <c r="CY5">
        <v>16.75</v>
      </c>
      <c r="CZ5">
        <v>57.895000000000003</v>
      </c>
      <c r="DA5">
        <v>33.042999999999999</v>
      </c>
      <c r="DB5">
        <v>69.39</v>
      </c>
      <c r="DC5">
        <v>0</v>
      </c>
      <c r="DD5">
        <v>2540</v>
      </c>
      <c r="DE5">
        <v>63.636000000000003</v>
      </c>
      <c r="DF5">
        <v>202</v>
      </c>
      <c r="DG5">
        <v>15</v>
      </c>
      <c r="DH5">
        <v>299.125</v>
      </c>
      <c r="DI5">
        <v>6.0490000000000004</v>
      </c>
      <c r="DJ5">
        <v>793</v>
      </c>
      <c r="DK5">
        <v>82.875</v>
      </c>
      <c r="DL5">
        <v>4.3049999999999997</v>
      </c>
      <c r="DM5">
        <v>5</v>
      </c>
      <c r="DN5">
        <v>3165</v>
      </c>
      <c r="DO5">
        <v>15</v>
      </c>
      <c r="DP5">
        <v>216.25</v>
      </c>
      <c r="DQ5">
        <v>9.5050000000000008</v>
      </c>
      <c r="DR5">
        <v>5.2729999999999997</v>
      </c>
      <c r="DS5">
        <v>3.3570000000000002</v>
      </c>
      <c r="DT5">
        <v>0</v>
      </c>
      <c r="DU5">
        <v>11</v>
      </c>
      <c r="DV5">
        <v>0</v>
      </c>
      <c r="DW5">
        <v>100</v>
      </c>
      <c r="DX5">
        <v>84.614999999999995</v>
      </c>
      <c r="DY5">
        <v>11</v>
      </c>
      <c r="DZ5">
        <v>52</v>
      </c>
      <c r="EA5">
        <v>11.523999999999999</v>
      </c>
      <c r="EB5">
        <v>11</v>
      </c>
      <c r="EC5">
        <v>37</v>
      </c>
      <c r="ED5">
        <v>0</v>
      </c>
      <c r="EE5">
        <v>15</v>
      </c>
      <c r="EF5">
        <v>174</v>
      </c>
      <c r="EG5">
        <v>18.5</v>
      </c>
      <c r="EH5">
        <v>80</v>
      </c>
      <c r="EI5">
        <v>39.393999999999998</v>
      </c>
      <c r="EJ5">
        <v>79.87</v>
      </c>
      <c r="EK5">
        <v>-2</v>
      </c>
    </row>
    <row r="6" spans="1:141" x14ac:dyDescent="0.25">
      <c r="A6">
        <v>41</v>
      </c>
      <c r="B6">
        <v>25</v>
      </c>
      <c r="C6">
        <v>1</v>
      </c>
      <c r="D6">
        <v>2025</v>
      </c>
      <c r="E6">
        <v>1</v>
      </c>
      <c r="F6" t="str">
        <f>VLOOKUP(G6, Map!$A$1:$B$33, 2, FALSE)</f>
        <v>IND</v>
      </c>
      <c r="G6" t="s">
        <v>138</v>
      </c>
      <c r="H6" t="str">
        <f>VLOOKUP(I6, Map!$A$1:$B$33, 2, FALSE)</f>
        <v>MIA</v>
      </c>
      <c r="I6" t="s">
        <v>152</v>
      </c>
      <c r="J6">
        <v>0</v>
      </c>
      <c r="K6">
        <v>0</v>
      </c>
      <c r="L6">
        <v>0</v>
      </c>
      <c r="M6">
        <v>1</v>
      </c>
      <c r="N6">
        <v>7</v>
      </c>
      <c r="O6">
        <v>1</v>
      </c>
      <c r="P6">
        <v>19.25</v>
      </c>
      <c r="Q6">
        <v>33.75</v>
      </c>
      <c r="R6">
        <v>116</v>
      </c>
      <c r="S6">
        <v>4</v>
      </c>
      <c r="T6">
        <v>0.875</v>
      </c>
      <c r="U6">
        <v>2</v>
      </c>
      <c r="V6">
        <v>0</v>
      </c>
      <c r="W6">
        <v>5</v>
      </c>
      <c r="X6">
        <v>0</v>
      </c>
      <c r="Y6">
        <v>2</v>
      </c>
      <c r="Z6">
        <v>1</v>
      </c>
      <c r="AA6">
        <v>6</v>
      </c>
      <c r="AB6">
        <v>0</v>
      </c>
      <c r="AC6">
        <v>4</v>
      </c>
      <c r="AD6">
        <v>12</v>
      </c>
      <c r="AE6">
        <v>6</v>
      </c>
      <c r="AF6">
        <v>11</v>
      </c>
      <c r="AG6">
        <v>68</v>
      </c>
      <c r="AH6">
        <v>0</v>
      </c>
      <c r="AI6">
        <v>2</v>
      </c>
      <c r="AJ6">
        <v>6</v>
      </c>
      <c r="AK6">
        <v>26.875</v>
      </c>
      <c r="AL6">
        <v>21.75</v>
      </c>
      <c r="AM6">
        <v>-41</v>
      </c>
      <c r="AN6">
        <v>1</v>
      </c>
      <c r="AO6">
        <v>0.25</v>
      </c>
      <c r="AP6">
        <v>1</v>
      </c>
      <c r="AQ6">
        <v>2</v>
      </c>
      <c r="AR6">
        <v>1</v>
      </c>
      <c r="AS6">
        <v>2</v>
      </c>
      <c r="AT6">
        <v>1</v>
      </c>
      <c r="AU6">
        <v>4</v>
      </c>
      <c r="AV6">
        <v>1</v>
      </c>
      <c r="AW6">
        <v>5</v>
      </c>
      <c r="AX6">
        <v>9</v>
      </c>
      <c r="AY6">
        <v>9</v>
      </c>
      <c r="AZ6">
        <v>10</v>
      </c>
      <c r="BA6">
        <v>8</v>
      </c>
      <c r="BB6">
        <v>68</v>
      </c>
      <c r="BC6">
        <v>44.5</v>
      </c>
      <c r="BD6">
        <v>-13</v>
      </c>
      <c r="BE6">
        <v>0</v>
      </c>
      <c r="BF6">
        <v>0</v>
      </c>
      <c r="BG6">
        <v>52.21</v>
      </c>
      <c r="BH6">
        <v>36.923000000000002</v>
      </c>
      <c r="BI6">
        <v>47.41</v>
      </c>
      <c r="BJ6">
        <v>98.325999999999993</v>
      </c>
      <c r="BK6">
        <v>87.313999999999993</v>
      </c>
      <c r="BL6">
        <v>98.343000000000004</v>
      </c>
      <c r="BM6">
        <v>0.92900000000000005</v>
      </c>
      <c r="BN6">
        <v>47.41</v>
      </c>
      <c r="BO6">
        <v>36.923000000000002</v>
      </c>
      <c r="BP6">
        <v>0</v>
      </c>
      <c r="BQ6">
        <v>52.21</v>
      </c>
      <c r="BR6">
        <v>-0.92900000000000005</v>
      </c>
      <c r="BS6">
        <v>12.686</v>
      </c>
      <c r="BT6">
        <v>1.6739999999999999</v>
      </c>
      <c r="BU6">
        <v>1.657</v>
      </c>
      <c r="BV6">
        <v>2891</v>
      </c>
      <c r="BW6">
        <v>70.161000000000001</v>
      </c>
      <c r="BX6">
        <v>250.875</v>
      </c>
      <c r="BY6">
        <v>23</v>
      </c>
      <c r="BZ6">
        <v>393.25</v>
      </c>
      <c r="CA6">
        <v>8.3510000000000009</v>
      </c>
      <c r="CB6">
        <v>1690</v>
      </c>
      <c r="CC6">
        <v>134.375</v>
      </c>
      <c r="CD6">
        <v>5.0229999999999997</v>
      </c>
      <c r="CE6">
        <v>18</v>
      </c>
      <c r="CF6">
        <v>3396</v>
      </c>
      <c r="CG6">
        <v>13</v>
      </c>
      <c r="CH6">
        <v>258.875</v>
      </c>
      <c r="CI6">
        <v>11.901999999999999</v>
      </c>
      <c r="CJ6">
        <v>6.8259999999999996</v>
      </c>
      <c r="CK6">
        <v>6.0910000000000002</v>
      </c>
      <c r="CL6">
        <v>1</v>
      </c>
      <c r="CM6">
        <v>23</v>
      </c>
      <c r="CN6">
        <v>0</v>
      </c>
      <c r="CO6">
        <v>96.296000000000006</v>
      </c>
      <c r="CP6">
        <v>94.117999999999995</v>
      </c>
      <c r="CQ6">
        <v>16</v>
      </c>
      <c r="CR6">
        <v>74</v>
      </c>
      <c r="CS6">
        <v>4.25</v>
      </c>
      <c r="CT6">
        <v>16</v>
      </c>
      <c r="CU6">
        <v>8</v>
      </c>
      <c r="CV6">
        <v>6</v>
      </c>
      <c r="CW6">
        <v>13</v>
      </c>
      <c r="CX6">
        <v>270</v>
      </c>
      <c r="CY6">
        <v>23.25</v>
      </c>
      <c r="CZ6">
        <v>83.332999999999998</v>
      </c>
      <c r="DA6">
        <v>45.348999999999997</v>
      </c>
      <c r="DB6">
        <v>77.069999999999993</v>
      </c>
      <c r="DC6">
        <v>8</v>
      </c>
      <c r="DD6">
        <v>2361</v>
      </c>
      <c r="DE6">
        <v>68.674999999999997</v>
      </c>
      <c r="DF6">
        <v>187.875</v>
      </c>
      <c r="DG6">
        <v>17</v>
      </c>
      <c r="DH6">
        <v>299.875</v>
      </c>
      <c r="DI6">
        <v>6.47</v>
      </c>
      <c r="DJ6">
        <v>898</v>
      </c>
      <c r="DK6">
        <v>98.5</v>
      </c>
      <c r="DL6">
        <v>4.452</v>
      </c>
      <c r="DM6">
        <v>4</v>
      </c>
      <c r="DN6">
        <v>2991</v>
      </c>
      <c r="DO6">
        <v>15</v>
      </c>
      <c r="DP6">
        <v>201.375</v>
      </c>
      <c r="DQ6">
        <v>9.4209999999999994</v>
      </c>
      <c r="DR6">
        <v>6.4669999999999996</v>
      </c>
      <c r="DS6">
        <v>4.8239999999999998</v>
      </c>
      <c r="DT6">
        <v>1</v>
      </c>
      <c r="DU6">
        <v>15</v>
      </c>
      <c r="DV6">
        <v>0</v>
      </c>
      <c r="DW6">
        <v>100</v>
      </c>
      <c r="DX6">
        <v>91.667000000000002</v>
      </c>
      <c r="DY6">
        <v>11</v>
      </c>
      <c r="DZ6">
        <v>52</v>
      </c>
      <c r="EA6">
        <v>7</v>
      </c>
      <c r="EB6">
        <v>11</v>
      </c>
      <c r="EC6">
        <v>26</v>
      </c>
      <c r="ED6">
        <v>6</v>
      </c>
      <c r="EE6">
        <v>15</v>
      </c>
      <c r="EF6">
        <v>174</v>
      </c>
      <c r="EG6">
        <v>17</v>
      </c>
      <c r="EH6">
        <v>53.845999999999997</v>
      </c>
      <c r="EI6">
        <v>41.237000000000002</v>
      </c>
      <c r="EJ6">
        <v>72.05</v>
      </c>
      <c r="EK6">
        <v>-5</v>
      </c>
    </row>
    <row r="7" spans="1:141" x14ac:dyDescent="0.25">
      <c r="A7">
        <v>33</v>
      </c>
      <c r="B7">
        <v>-7</v>
      </c>
      <c r="C7">
        <v>0</v>
      </c>
      <c r="D7">
        <v>2025</v>
      </c>
      <c r="E7">
        <v>1</v>
      </c>
      <c r="F7" t="str">
        <f>VLOOKUP(G7, Map!$A$1:$B$33, 2, FALSE)</f>
        <v>NE</v>
      </c>
      <c r="G7" t="s">
        <v>151</v>
      </c>
      <c r="H7" t="str">
        <f>VLOOKUP(I7, Map!$A$1:$B$33, 2, FALSE)</f>
        <v>LV</v>
      </c>
      <c r="I7" t="s">
        <v>157</v>
      </c>
      <c r="J7">
        <v>0</v>
      </c>
      <c r="K7">
        <v>0</v>
      </c>
      <c r="L7">
        <v>0</v>
      </c>
      <c r="M7">
        <v>0</v>
      </c>
      <c r="N7">
        <v>6</v>
      </c>
      <c r="O7">
        <v>2</v>
      </c>
      <c r="P7">
        <v>18.25</v>
      </c>
      <c r="Q7">
        <v>26.625</v>
      </c>
      <c r="R7">
        <v>67</v>
      </c>
      <c r="S7">
        <v>5</v>
      </c>
      <c r="T7">
        <v>0.75</v>
      </c>
      <c r="U7">
        <v>2</v>
      </c>
      <c r="V7">
        <v>0</v>
      </c>
      <c r="W7">
        <v>2</v>
      </c>
      <c r="X7">
        <v>2</v>
      </c>
      <c r="Y7">
        <v>4</v>
      </c>
      <c r="Z7">
        <v>0</v>
      </c>
      <c r="AA7">
        <v>4</v>
      </c>
      <c r="AB7">
        <v>2</v>
      </c>
      <c r="AC7">
        <v>8</v>
      </c>
      <c r="AD7">
        <v>9</v>
      </c>
      <c r="AE7">
        <v>7</v>
      </c>
      <c r="AF7">
        <v>9</v>
      </c>
      <c r="AG7">
        <v>61</v>
      </c>
      <c r="AH7">
        <v>1</v>
      </c>
      <c r="AI7">
        <v>2</v>
      </c>
      <c r="AJ7">
        <v>5</v>
      </c>
      <c r="AK7">
        <v>25.714285</v>
      </c>
      <c r="AL7">
        <v>14.714286</v>
      </c>
      <c r="AM7">
        <v>-77</v>
      </c>
      <c r="AN7">
        <v>-1</v>
      </c>
      <c r="AO7">
        <v>0.28571429999999998</v>
      </c>
      <c r="AP7">
        <v>0</v>
      </c>
      <c r="AQ7">
        <v>2</v>
      </c>
      <c r="AR7">
        <v>1</v>
      </c>
      <c r="AS7">
        <v>2</v>
      </c>
      <c r="AT7">
        <v>1</v>
      </c>
      <c r="AU7">
        <v>3</v>
      </c>
      <c r="AV7">
        <v>2</v>
      </c>
      <c r="AW7">
        <v>3</v>
      </c>
      <c r="AX7">
        <v>6</v>
      </c>
      <c r="AY7">
        <v>10</v>
      </c>
      <c r="AZ7">
        <v>8</v>
      </c>
      <c r="BA7">
        <v>8</v>
      </c>
      <c r="BB7">
        <v>56</v>
      </c>
      <c r="BC7">
        <v>40</v>
      </c>
      <c r="BD7">
        <v>4</v>
      </c>
      <c r="BE7">
        <v>0</v>
      </c>
      <c r="BF7">
        <v>0</v>
      </c>
      <c r="BG7">
        <v>51.338999999999999</v>
      </c>
      <c r="BH7">
        <v>32.274999999999999</v>
      </c>
      <c r="BI7">
        <v>48.273000000000003</v>
      </c>
      <c r="BJ7">
        <v>33.497</v>
      </c>
      <c r="BK7">
        <v>37.097000000000001</v>
      </c>
      <c r="BL7">
        <v>28.852</v>
      </c>
      <c r="BM7">
        <v>0.748</v>
      </c>
      <c r="BN7">
        <v>48.273000000000003</v>
      </c>
      <c r="BO7">
        <v>32.274999999999999</v>
      </c>
      <c r="BP7">
        <v>0</v>
      </c>
      <c r="BQ7">
        <v>51.338999999999999</v>
      </c>
      <c r="BR7">
        <v>-0.748</v>
      </c>
      <c r="BS7">
        <v>62.902999999999999</v>
      </c>
      <c r="BT7">
        <v>66.503</v>
      </c>
      <c r="BU7">
        <v>71.147999999999996</v>
      </c>
      <c r="BV7">
        <v>2965</v>
      </c>
      <c r="BW7">
        <v>75</v>
      </c>
      <c r="BX7">
        <v>240.5</v>
      </c>
      <c r="BY7">
        <v>29</v>
      </c>
      <c r="BZ7">
        <v>367.375</v>
      </c>
      <c r="CA7">
        <v>8.7940000000000005</v>
      </c>
      <c r="CB7">
        <v>1056</v>
      </c>
      <c r="CC7">
        <v>112.625</v>
      </c>
      <c r="CD7">
        <v>3.9340000000000002</v>
      </c>
      <c r="CE7">
        <v>7</v>
      </c>
      <c r="CF7">
        <v>3418</v>
      </c>
      <c r="CG7">
        <v>15</v>
      </c>
      <c r="CH7">
        <v>254.75</v>
      </c>
      <c r="CI7">
        <v>11.725</v>
      </c>
      <c r="CJ7">
        <v>6.3159999999999998</v>
      </c>
      <c r="CK7">
        <v>3.7410000000000001</v>
      </c>
      <c r="CL7">
        <v>4</v>
      </c>
      <c r="CM7">
        <v>19</v>
      </c>
      <c r="CN7">
        <v>0</v>
      </c>
      <c r="CO7">
        <v>91.304000000000002</v>
      </c>
      <c r="CP7">
        <v>92.308000000000007</v>
      </c>
      <c r="CQ7">
        <v>12</v>
      </c>
      <c r="CR7">
        <v>57</v>
      </c>
      <c r="CS7">
        <v>16.8</v>
      </c>
      <c r="CT7">
        <v>27</v>
      </c>
      <c r="CU7">
        <v>10</v>
      </c>
      <c r="CV7">
        <v>14</v>
      </c>
      <c r="CW7">
        <v>15</v>
      </c>
      <c r="CX7">
        <v>213</v>
      </c>
      <c r="CY7">
        <v>20.375</v>
      </c>
      <c r="CZ7">
        <v>83.332999999999998</v>
      </c>
      <c r="DA7">
        <v>39.784999999999997</v>
      </c>
      <c r="DB7">
        <v>67</v>
      </c>
      <c r="DC7">
        <v>2</v>
      </c>
      <c r="DD7">
        <v>1570</v>
      </c>
      <c r="DE7">
        <v>66.176000000000002</v>
      </c>
      <c r="DF7">
        <v>182.71428</v>
      </c>
      <c r="DG7">
        <v>19</v>
      </c>
      <c r="DH7">
        <v>297.28570000000002</v>
      </c>
      <c r="DI7">
        <v>6.7649999999999997</v>
      </c>
      <c r="DJ7">
        <v>731</v>
      </c>
      <c r="DK7">
        <v>93.713999999999999</v>
      </c>
      <c r="DL7">
        <v>3.859</v>
      </c>
      <c r="DM7">
        <v>3</v>
      </c>
      <c r="DN7">
        <v>2345</v>
      </c>
      <c r="DO7">
        <v>7</v>
      </c>
      <c r="DP7">
        <v>203.571</v>
      </c>
      <c r="DQ7">
        <v>10.222</v>
      </c>
      <c r="DR7">
        <v>6.7329999999999997</v>
      </c>
      <c r="DS7">
        <v>3.0710000000000002</v>
      </c>
      <c r="DT7">
        <v>0</v>
      </c>
      <c r="DU7">
        <v>15</v>
      </c>
      <c r="DV7">
        <v>0</v>
      </c>
      <c r="DW7">
        <v>100</v>
      </c>
      <c r="DX7">
        <v>78.570999999999998</v>
      </c>
      <c r="DY7">
        <v>11</v>
      </c>
      <c r="DZ7">
        <v>41</v>
      </c>
      <c r="EA7">
        <v>15.333</v>
      </c>
      <c r="EB7">
        <v>8</v>
      </c>
      <c r="EC7">
        <v>26</v>
      </c>
      <c r="ED7">
        <v>0</v>
      </c>
      <c r="EE7">
        <v>7</v>
      </c>
      <c r="EF7">
        <v>103</v>
      </c>
      <c r="EG7">
        <v>15.856999999999999</v>
      </c>
      <c r="EH7">
        <v>45.454999999999998</v>
      </c>
      <c r="EI7">
        <v>37.930999999999997</v>
      </c>
      <c r="EJ7">
        <v>53.17</v>
      </c>
      <c r="EK7">
        <v>-5</v>
      </c>
    </row>
    <row r="8" spans="1:141" x14ac:dyDescent="0.25">
      <c r="A8">
        <v>33</v>
      </c>
      <c r="B8">
        <v>-7</v>
      </c>
      <c r="C8">
        <v>0</v>
      </c>
      <c r="D8">
        <v>2025</v>
      </c>
      <c r="E8">
        <v>1</v>
      </c>
      <c r="F8" t="str">
        <f>VLOOKUP(G8, Map!$A$1:$B$33, 2, FALSE)</f>
        <v>NO</v>
      </c>
      <c r="G8" t="s">
        <v>168</v>
      </c>
      <c r="H8" t="str">
        <f>VLOOKUP(I8, Map!$A$1:$B$33, 2, FALSE)</f>
        <v>ARI</v>
      </c>
      <c r="I8" t="s">
        <v>156</v>
      </c>
      <c r="J8">
        <v>0</v>
      </c>
      <c r="K8">
        <v>0</v>
      </c>
      <c r="L8">
        <v>0</v>
      </c>
      <c r="M8">
        <v>0</v>
      </c>
      <c r="N8">
        <v>1</v>
      </c>
      <c r="O8">
        <v>7</v>
      </c>
      <c r="P8">
        <v>26.125</v>
      </c>
      <c r="Q8">
        <v>16</v>
      </c>
      <c r="R8">
        <v>-81</v>
      </c>
      <c r="S8">
        <v>-3</v>
      </c>
      <c r="T8">
        <v>0.125</v>
      </c>
      <c r="U8">
        <v>0</v>
      </c>
      <c r="V8">
        <v>1</v>
      </c>
      <c r="W8">
        <v>1</v>
      </c>
      <c r="X8">
        <v>4</v>
      </c>
      <c r="Y8">
        <v>0</v>
      </c>
      <c r="Z8">
        <v>3</v>
      </c>
      <c r="AA8">
        <v>1</v>
      </c>
      <c r="AB8">
        <v>5</v>
      </c>
      <c r="AC8">
        <v>7</v>
      </c>
      <c r="AD8">
        <v>10</v>
      </c>
      <c r="AE8">
        <v>7</v>
      </c>
      <c r="AF8">
        <v>10</v>
      </c>
      <c r="AG8">
        <v>64</v>
      </c>
      <c r="AH8">
        <v>1</v>
      </c>
      <c r="AI8">
        <v>2</v>
      </c>
      <c r="AJ8">
        <v>5</v>
      </c>
      <c r="AK8">
        <v>22</v>
      </c>
      <c r="AL8">
        <v>21.857143000000001</v>
      </c>
      <c r="AM8">
        <v>-1</v>
      </c>
      <c r="AN8">
        <v>-5</v>
      </c>
      <c r="AO8">
        <v>0.28571429999999998</v>
      </c>
      <c r="AP8">
        <v>0</v>
      </c>
      <c r="AQ8">
        <v>2</v>
      </c>
      <c r="AR8">
        <v>1</v>
      </c>
      <c r="AS8">
        <v>3</v>
      </c>
      <c r="AT8">
        <v>1</v>
      </c>
      <c r="AU8">
        <v>2</v>
      </c>
      <c r="AV8">
        <v>2</v>
      </c>
      <c r="AW8">
        <v>3</v>
      </c>
      <c r="AX8">
        <v>4</v>
      </c>
      <c r="AY8">
        <v>12</v>
      </c>
      <c r="AZ8">
        <v>8</v>
      </c>
      <c r="BA8">
        <v>8</v>
      </c>
      <c r="BB8">
        <v>69</v>
      </c>
      <c r="BC8">
        <v>41</v>
      </c>
      <c r="BD8">
        <v>4.5</v>
      </c>
      <c r="BE8">
        <v>0</v>
      </c>
      <c r="BF8">
        <v>0</v>
      </c>
      <c r="BG8">
        <v>41.433999999999997</v>
      </c>
      <c r="BH8">
        <v>30.07</v>
      </c>
      <c r="BI8">
        <v>58.234000000000002</v>
      </c>
      <c r="BJ8">
        <v>33.128999999999998</v>
      </c>
      <c r="BK8">
        <v>44.441000000000003</v>
      </c>
      <c r="BL8">
        <v>29.829000000000001</v>
      </c>
      <c r="BM8">
        <v>-3.2810000000000001</v>
      </c>
      <c r="BN8">
        <v>58.234000000000002</v>
      </c>
      <c r="BO8">
        <v>30.07</v>
      </c>
      <c r="BP8">
        <v>0</v>
      </c>
      <c r="BQ8">
        <v>41.433999999999997</v>
      </c>
      <c r="BR8">
        <v>3.2810000000000001</v>
      </c>
      <c r="BS8">
        <v>55.558999999999997</v>
      </c>
      <c r="BT8">
        <v>66.870999999999995</v>
      </c>
      <c r="BU8">
        <v>70.171000000000006</v>
      </c>
      <c r="BV8">
        <v>2083</v>
      </c>
      <c r="BW8">
        <v>66.206999999999994</v>
      </c>
      <c r="BX8">
        <v>201.375</v>
      </c>
      <c r="BY8">
        <v>13</v>
      </c>
      <c r="BZ8">
        <v>310.25</v>
      </c>
      <c r="CA8">
        <v>5.976</v>
      </c>
      <c r="CB8">
        <v>779</v>
      </c>
      <c r="CC8">
        <v>93.625</v>
      </c>
      <c r="CD8">
        <v>3.7829999999999999</v>
      </c>
      <c r="CE8">
        <v>3</v>
      </c>
      <c r="CF8">
        <v>2973</v>
      </c>
      <c r="CG8">
        <v>8</v>
      </c>
      <c r="CH8">
        <v>216.625</v>
      </c>
      <c r="CI8">
        <v>9.0259999999999998</v>
      </c>
      <c r="CJ8">
        <v>6.0590000000000002</v>
      </c>
      <c r="CK8">
        <v>4.7779999999999996</v>
      </c>
      <c r="CL8">
        <v>1</v>
      </c>
      <c r="CM8">
        <v>17</v>
      </c>
      <c r="CN8">
        <v>0</v>
      </c>
      <c r="CO8">
        <v>100</v>
      </c>
      <c r="CP8">
        <v>71.429000000000002</v>
      </c>
      <c r="CQ8">
        <v>15</v>
      </c>
      <c r="CR8">
        <v>56</v>
      </c>
      <c r="CS8">
        <v>15.25</v>
      </c>
      <c r="CT8">
        <v>27</v>
      </c>
      <c r="CU8">
        <v>7</v>
      </c>
      <c r="CV8">
        <v>6</v>
      </c>
      <c r="CW8">
        <v>8</v>
      </c>
      <c r="CX8">
        <v>128</v>
      </c>
      <c r="CY8">
        <v>19.125</v>
      </c>
      <c r="CZ8">
        <v>33.332999999999998</v>
      </c>
      <c r="DA8">
        <v>38.835000000000001</v>
      </c>
      <c r="DB8">
        <v>61.22</v>
      </c>
      <c r="DC8">
        <v>-2</v>
      </c>
      <c r="DD8">
        <v>2113</v>
      </c>
      <c r="DE8">
        <v>66.941999999999993</v>
      </c>
      <c r="DF8">
        <v>199.85714999999999</v>
      </c>
      <c r="DG8">
        <v>18</v>
      </c>
      <c r="DH8">
        <v>333.42856</v>
      </c>
      <c r="DI8">
        <v>6.335</v>
      </c>
      <c r="DJ8">
        <v>888</v>
      </c>
      <c r="DK8">
        <v>110.429</v>
      </c>
      <c r="DL8">
        <v>4.4169999999999998</v>
      </c>
      <c r="DM8">
        <v>5</v>
      </c>
      <c r="DN8">
        <v>2721</v>
      </c>
      <c r="DO8">
        <v>10</v>
      </c>
      <c r="DP8">
        <v>223</v>
      </c>
      <c r="DQ8">
        <v>9.4629999999999992</v>
      </c>
      <c r="DR8">
        <v>6.6669999999999998</v>
      </c>
      <c r="DS8">
        <v>3.238</v>
      </c>
      <c r="DT8">
        <v>1</v>
      </c>
      <c r="DU8">
        <v>12</v>
      </c>
      <c r="DV8">
        <v>0</v>
      </c>
      <c r="DW8">
        <v>100</v>
      </c>
      <c r="DX8">
        <v>86.667000000000002</v>
      </c>
      <c r="DY8">
        <v>13</v>
      </c>
      <c r="DZ8">
        <v>55</v>
      </c>
      <c r="EA8">
        <v>8.25</v>
      </c>
      <c r="EB8">
        <v>9</v>
      </c>
      <c r="EC8">
        <v>25</v>
      </c>
      <c r="ED8">
        <v>8</v>
      </c>
      <c r="EE8">
        <v>10</v>
      </c>
      <c r="EF8">
        <v>153</v>
      </c>
      <c r="EG8">
        <v>19</v>
      </c>
      <c r="EH8">
        <v>57.143000000000001</v>
      </c>
      <c r="EI8">
        <v>44.792000000000002</v>
      </c>
      <c r="EJ8">
        <v>63.49</v>
      </c>
      <c r="EK8">
        <v>-1</v>
      </c>
    </row>
    <row r="9" spans="1:141" x14ac:dyDescent="0.25">
      <c r="A9">
        <v>66</v>
      </c>
      <c r="B9">
        <v>-2</v>
      </c>
      <c r="C9">
        <v>0</v>
      </c>
      <c r="D9">
        <v>2025</v>
      </c>
      <c r="E9">
        <v>1</v>
      </c>
      <c r="F9" t="str">
        <f>VLOOKUP(G9, Map!$A$1:$B$33, 2, FALSE)</f>
        <v>NYJ</v>
      </c>
      <c r="G9" t="s">
        <v>166</v>
      </c>
      <c r="H9" t="str">
        <f>VLOOKUP(I9, Map!$A$1:$B$33, 2, FALSE)</f>
        <v>PIT</v>
      </c>
      <c r="I9" t="s">
        <v>145</v>
      </c>
      <c r="J9">
        <v>0</v>
      </c>
      <c r="K9">
        <v>0</v>
      </c>
      <c r="L9">
        <v>0</v>
      </c>
      <c r="M9">
        <v>0</v>
      </c>
      <c r="N9">
        <v>1</v>
      </c>
      <c r="O9">
        <v>7</v>
      </c>
      <c r="P9">
        <v>27.625</v>
      </c>
      <c r="Q9">
        <v>21</v>
      </c>
      <c r="R9">
        <v>-53</v>
      </c>
      <c r="S9">
        <v>1</v>
      </c>
      <c r="T9">
        <v>0.125</v>
      </c>
      <c r="U9">
        <v>0</v>
      </c>
      <c r="V9">
        <v>2</v>
      </c>
      <c r="W9">
        <v>0</v>
      </c>
      <c r="X9">
        <v>5</v>
      </c>
      <c r="Y9">
        <v>1</v>
      </c>
      <c r="Z9">
        <v>2</v>
      </c>
      <c r="AA9">
        <v>1</v>
      </c>
      <c r="AB9">
        <v>4</v>
      </c>
      <c r="AC9">
        <v>7</v>
      </c>
      <c r="AD9">
        <v>10</v>
      </c>
      <c r="AE9">
        <v>8</v>
      </c>
      <c r="AF9">
        <v>9</v>
      </c>
      <c r="AG9">
        <v>60</v>
      </c>
      <c r="AH9">
        <v>1</v>
      </c>
      <c r="AI9">
        <v>4</v>
      </c>
      <c r="AJ9">
        <v>3</v>
      </c>
      <c r="AK9">
        <v>25</v>
      </c>
      <c r="AL9">
        <v>25</v>
      </c>
      <c r="AM9">
        <v>0</v>
      </c>
      <c r="AN9">
        <v>-2</v>
      </c>
      <c r="AO9">
        <v>0.57142859999999995</v>
      </c>
      <c r="AP9">
        <v>1</v>
      </c>
      <c r="AQ9">
        <v>1</v>
      </c>
      <c r="AR9">
        <v>2</v>
      </c>
      <c r="AS9">
        <v>2</v>
      </c>
      <c r="AT9">
        <v>2</v>
      </c>
      <c r="AU9">
        <v>1</v>
      </c>
      <c r="AV9">
        <v>3</v>
      </c>
      <c r="AW9">
        <v>1</v>
      </c>
      <c r="AX9">
        <v>9</v>
      </c>
      <c r="AY9">
        <v>8</v>
      </c>
      <c r="AZ9">
        <v>10</v>
      </c>
      <c r="BA9">
        <v>6</v>
      </c>
      <c r="BB9">
        <v>66</v>
      </c>
      <c r="BC9">
        <v>51</v>
      </c>
      <c r="BD9">
        <v>2</v>
      </c>
      <c r="BE9">
        <v>0</v>
      </c>
      <c r="BF9">
        <v>0</v>
      </c>
      <c r="BG9">
        <v>41.433999999999997</v>
      </c>
      <c r="BH9">
        <v>36.137</v>
      </c>
      <c r="BI9">
        <v>58.234000000000002</v>
      </c>
      <c r="BJ9">
        <v>24.87</v>
      </c>
      <c r="BK9">
        <v>76.346000000000004</v>
      </c>
      <c r="BL9">
        <v>41.368000000000002</v>
      </c>
      <c r="BM9">
        <v>-3.5289999999999999</v>
      </c>
      <c r="BN9">
        <v>58.234000000000002</v>
      </c>
      <c r="BO9">
        <v>36.137</v>
      </c>
      <c r="BP9">
        <v>0</v>
      </c>
      <c r="BQ9">
        <v>41.433999999999997</v>
      </c>
      <c r="BR9">
        <v>3.5289999999999999</v>
      </c>
      <c r="BS9">
        <v>23.654</v>
      </c>
      <c r="BT9">
        <v>75.13</v>
      </c>
      <c r="BU9">
        <v>58.631999999999998</v>
      </c>
      <c r="BV9">
        <v>2012</v>
      </c>
      <c r="BW9">
        <v>63.713000000000001</v>
      </c>
      <c r="BX9">
        <v>156.5</v>
      </c>
      <c r="BY9">
        <v>15</v>
      </c>
      <c r="BZ9">
        <v>327.625</v>
      </c>
      <c r="CA9">
        <v>6.2110000000000003</v>
      </c>
      <c r="CB9">
        <v>1254</v>
      </c>
      <c r="CC9">
        <v>143.625</v>
      </c>
      <c r="CD9">
        <v>5.1989999999999998</v>
      </c>
      <c r="CE9">
        <v>6</v>
      </c>
      <c r="CF9">
        <v>2542</v>
      </c>
      <c r="CG9">
        <v>9</v>
      </c>
      <c r="CH9">
        <v>184</v>
      </c>
      <c r="CI9">
        <v>9.7479999999999993</v>
      </c>
      <c r="CJ9">
        <v>6.2729999999999997</v>
      </c>
      <c r="CK9">
        <v>2.4169999999999998</v>
      </c>
      <c r="CL9">
        <v>1</v>
      </c>
      <c r="CM9">
        <v>11</v>
      </c>
      <c r="CN9">
        <v>0</v>
      </c>
      <c r="CO9">
        <v>100</v>
      </c>
      <c r="CP9">
        <v>100</v>
      </c>
      <c r="CQ9">
        <v>17</v>
      </c>
      <c r="CR9">
        <v>60</v>
      </c>
      <c r="CS9">
        <v>6.25</v>
      </c>
      <c r="CT9">
        <v>31</v>
      </c>
      <c r="CU9">
        <v>11</v>
      </c>
      <c r="CV9">
        <v>2</v>
      </c>
      <c r="CW9">
        <v>9</v>
      </c>
      <c r="CX9">
        <v>168</v>
      </c>
      <c r="CY9">
        <v>18.5</v>
      </c>
      <c r="CZ9">
        <v>52.631999999999998</v>
      </c>
      <c r="DA9">
        <v>34.905999999999999</v>
      </c>
      <c r="DB9">
        <v>69.17</v>
      </c>
      <c r="DC9">
        <v>-9</v>
      </c>
      <c r="DD9">
        <v>2471</v>
      </c>
      <c r="DE9">
        <v>68.570999999999998</v>
      </c>
      <c r="DF9">
        <v>202.85714999999999</v>
      </c>
      <c r="DG9">
        <v>20</v>
      </c>
      <c r="DH9">
        <v>308.71429999999998</v>
      </c>
      <c r="DI9">
        <v>7.1479999999999997</v>
      </c>
      <c r="DJ9">
        <v>750</v>
      </c>
      <c r="DK9">
        <v>94.286000000000001</v>
      </c>
      <c r="DL9">
        <v>4.0739999999999998</v>
      </c>
      <c r="DM9">
        <v>3</v>
      </c>
      <c r="DN9">
        <v>2781</v>
      </c>
      <c r="DO9">
        <v>16</v>
      </c>
      <c r="DP9">
        <v>214.429</v>
      </c>
      <c r="DQ9">
        <v>10.423999999999999</v>
      </c>
      <c r="DR9">
        <v>6.4089999999999998</v>
      </c>
      <c r="DS9">
        <v>7.4379999999999997</v>
      </c>
      <c r="DT9">
        <v>0</v>
      </c>
      <c r="DU9">
        <v>22</v>
      </c>
      <c r="DV9">
        <v>0</v>
      </c>
      <c r="DW9">
        <v>100</v>
      </c>
      <c r="DX9">
        <v>87.5</v>
      </c>
      <c r="DY9">
        <v>14</v>
      </c>
      <c r="DZ9">
        <v>59</v>
      </c>
      <c r="EA9">
        <v>8.25</v>
      </c>
      <c r="EB9">
        <v>8</v>
      </c>
      <c r="EC9">
        <v>23</v>
      </c>
      <c r="ED9">
        <v>0</v>
      </c>
      <c r="EE9">
        <v>16</v>
      </c>
      <c r="EF9">
        <v>175</v>
      </c>
      <c r="EG9">
        <v>17.428999999999998</v>
      </c>
      <c r="EH9">
        <v>50</v>
      </c>
      <c r="EI9">
        <v>38.960999999999999</v>
      </c>
      <c r="EJ9">
        <v>75.94</v>
      </c>
      <c r="EK9">
        <v>4</v>
      </c>
    </row>
    <row r="10" spans="1:141" x14ac:dyDescent="0.25">
      <c r="A10">
        <v>27</v>
      </c>
      <c r="B10">
        <v>15</v>
      </c>
      <c r="C10">
        <v>1</v>
      </c>
      <c r="D10">
        <v>2025</v>
      </c>
      <c r="E10">
        <v>1</v>
      </c>
      <c r="F10" t="str">
        <f>VLOOKUP(G10, Map!$A$1:$B$33, 2, FALSE)</f>
        <v>WAS</v>
      </c>
      <c r="G10" t="s">
        <v>148</v>
      </c>
      <c r="H10" t="str">
        <f>VLOOKUP(I10, Map!$A$1:$B$33, 2, FALSE)</f>
        <v>NYG</v>
      </c>
      <c r="I10" t="s">
        <v>149</v>
      </c>
      <c r="J10">
        <v>0</v>
      </c>
      <c r="K10">
        <v>0</v>
      </c>
      <c r="L10">
        <v>0</v>
      </c>
      <c r="M10">
        <v>1</v>
      </c>
      <c r="N10">
        <v>3</v>
      </c>
      <c r="O10">
        <v>5</v>
      </c>
      <c r="P10">
        <v>24.75</v>
      </c>
      <c r="Q10">
        <v>23.375</v>
      </c>
      <c r="R10">
        <v>-11</v>
      </c>
      <c r="S10">
        <v>-3</v>
      </c>
      <c r="T10">
        <v>0.375</v>
      </c>
      <c r="U10">
        <v>1</v>
      </c>
      <c r="V10">
        <v>1</v>
      </c>
      <c r="W10">
        <v>2</v>
      </c>
      <c r="X10">
        <v>1</v>
      </c>
      <c r="Y10">
        <v>1</v>
      </c>
      <c r="Z10">
        <v>4</v>
      </c>
      <c r="AA10">
        <v>1</v>
      </c>
      <c r="AB10">
        <v>4</v>
      </c>
      <c r="AC10">
        <v>7</v>
      </c>
      <c r="AD10">
        <v>8</v>
      </c>
      <c r="AE10">
        <v>7</v>
      </c>
      <c r="AF10">
        <v>8</v>
      </c>
      <c r="AG10">
        <v>65</v>
      </c>
      <c r="AH10">
        <v>0</v>
      </c>
      <c r="AI10">
        <v>2</v>
      </c>
      <c r="AJ10">
        <v>6</v>
      </c>
      <c r="AK10">
        <v>26.875</v>
      </c>
      <c r="AL10">
        <v>21.625</v>
      </c>
      <c r="AM10">
        <v>-42</v>
      </c>
      <c r="AN10">
        <v>-2</v>
      </c>
      <c r="AO10">
        <v>0.25</v>
      </c>
      <c r="AP10">
        <v>1</v>
      </c>
      <c r="AQ10">
        <v>3</v>
      </c>
      <c r="AR10">
        <v>2</v>
      </c>
      <c r="AS10">
        <v>1</v>
      </c>
      <c r="AT10">
        <v>0</v>
      </c>
      <c r="AU10">
        <v>5</v>
      </c>
      <c r="AV10">
        <v>1</v>
      </c>
      <c r="AW10">
        <v>4</v>
      </c>
      <c r="AX10">
        <v>10</v>
      </c>
      <c r="AY10">
        <v>7</v>
      </c>
      <c r="AZ10">
        <v>14</v>
      </c>
      <c r="BA10">
        <v>4</v>
      </c>
      <c r="BB10">
        <v>67</v>
      </c>
      <c r="BC10">
        <v>39</v>
      </c>
      <c r="BD10">
        <v>-8.5</v>
      </c>
      <c r="BE10">
        <v>0</v>
      </c>
      <c r="BF10">
        <v>0</v>
      </c>
      <c r="BG10">
        <v>67.537000000000006</v>
      </c>
      <c r="BH10">
        <v>45.613999999999997</v>
      </c>
      <c r="BI10">
        <v>32.204000000000001</v>
      </c>
      <c r="BJ10">
        <v>76.825999999999993</v>
      </c>
      <c r="BK10">
        <v>67.760000000000005</v>
      </c>
      <c r="BL10">
        <v>81.373000000000005</v>
      </c>
      <c r="BM10">
        <v>7.2409999999999997</v>
      </c>
      <c r="BN10">
        <v>32.204000000000001</v>
      </c>
      <c r="BO10">
        <v>45.613999999999997</v>
      </c>
      <c r="BP10">
        <v>0</v>
      </c>
      <c r="BQ10">
        <v>67.537000000000006</v>
      </c>
      <c r="BR10">
        <v>-7.2409999999999997</v>
      </c>
      <c r="BS10">
        <v>32.24</v>
      </c>
      <c r="BT10">
        <v>23.173999999999999</v>
      </c>
      <c r="BU10">
        <v>18.626999999999999</v>
      </c>
      <c r="BV10">
        <v>2360</v>
      </c>
      <c r="BW10">
        <v>61.966000000000001</v>
      </c>
      <c r="BX10">
        <v>196.625</v>
      </c>
      <c r="BY10">
        <v>20</v>
      </c>
      <c r="BZ10">
        <v>346.5</v>
      </c>
      <c r="CA10">
        <v>7.1369999999999996</v>
      </c>
      <c r="CB10">
        <v>1342</v>
      </c>
      <c r="CC10">
        <v>137.75</v>
      </c>
      <c r="CD10">
        <v>5.1980000000000004</v>
      </c>
      <c r="CE10">
        <v>9</v>
      </c>
      <c r="CF10">
        <v>2815</v>
      </c>
      <c r="CG10">
        <v>12</v>
      </c>
      <c r="CH10">
        <v>208.75</v>
      </c>
      <c r="CI10">
        <v>11.516999999999999</v>
      </c>
      <c r="CJ10">
        <v>6.1360000000000001</v>
      </c>
      <c r="CK10">
        <v>5.9470000000000001</v>
      </c>
      <c r="CL10">
        <v>1</v>
      </c>
      <c r="CM10">
        <v>22</v>
      </c>
      <c r="CN10">
        <v>0</v>
      </c>
      <c r="CO10">
        <v>100</v>
      </c>
      <c r="CP10">
        <v>71.429000000000002</v>
      </c>
      <c r="CQ10">
        <v>10</v>
      </c>
      <c r="CR10">
        <v>49</v>
      </c>
      <c r="CS10">
        <v>4</v>
      </c>
      <c r="CT10">
        <v>25</v>
      </c>
      <c r="CU10">
        <v>11</v>
      </c>
      <c r="CV10">
        <v>8</v>
      </c>
      <c r="CW10">
        <v>12</v>
      </c>
      <c r="CX10">
        <v>187</v>
      </c>
      <c r="CY10">
        <v>18.75</v>
      </c>
      <c r="CZ10">
        <v>45.454999999999998</v>
      </c>
      <c r="DA10">
        <v>38.636000000000003</v>
      </c>
      <c r="DB10">
        <v>79.290000000000006</v>
      </c>
      <c r="DC10">
        <v>-5</v>
      </c>
      <c r="DD10">
        <v>2348</v>
      </c>
      <c r="DE10">
        <v>59.448999999999998</v>
      </c>
      <c r="DF10">
        <v>207.25</v>
      </c>
      <c r="DG10">
        <v>23</v>
      </c>
      <c r="DH10">
        <v>339.25</v>
      </c>
      <c r="DI10">
        <v>6.9210000000000003</v>
      </c>
      <c r="DJ10">
        <v>1249</v>
      </c>
      <c r="DK10">
        <v>118</v>
      </c>
      <c r="DL10">
        <v>4.0339999999999998</v>
      </c>
      <c r="DM10">
        <v>10</v>
      </c>
      <c r="DN10">
        <v>2910</v>
      </c>
      <c r="DO10">
        <v>11</v>
      </c>
      <c r="DP10">
        <v>221.25</v>
      </c>
      <c r="DQ10">
        <v>11.641999999999999</v>
      </c>
      <c r="DR10">
        <v>7.2629999999999999</v>
      </c>
      <c r="DS10">
        <v>5.1740000000000004</v>
      </c>
      <c r="DT10">
        <v>0</v>
      </c>
      <c r="DU10">
        <v>19</v>
      </c>
      <c r="DV10">
        <v>0</v>
      </c>
      <c r="DW10">
        <v>78.947000000000003</v>
      </c>
      <c r="DX10">
        <v>100</v>
      </c>
      <c r="DY10">
        <v>10</v>
      </c>
      <c r="DZ10">
        <v>45</v>
      </c>
      <c r="EA10">
        <v>7.1539999999999999</v>
      </c>
      <c r="EB10">
        <v>12</v>
      </c>
      <c r="EC10">
        <v>32</v>
      </c>
      <c r="ED10">
        <v>0</v>
      </c>
      <c r="EE10">
        <v>11</v>
      </c>
      <c r="EF10">
        <v>173</v>
      </c>
      <c r="EG10">
        <v>20.625</v>
      </c>
      <c r="EH10">
        <v>52.941000000000003</v>
      </c>
      <c r="EI10">
        <v>39.814999999999998</v>
      </c>
      <c r="EJ10">
        <v>59.26</v>
      </c>
      <c r="EK10">
        <v>-4</v>
      </c>
    </row>
    <row r="11" spans="1:141" x14ac:dyDescent="0.25">
      <c r="A11">
        <v>36</v>
      </c>
      <c r="B11">
        <v>16</v>
      </c>
      <c r="C11">
        <v>1</v>
      </c>
      <c r="D11">
        <v>2025</v>
      </c>
      <c r="E11">
        <v>1</v>
      </c>
      <c r="F11" t="str">
        <f>VLOOKUP(G11, Map!$A$1:$B$33, 2, FALSE)</f>
        <v>JAX</v>
      </c>
      <c r="G11" t="s">
        <v>139</v>
      </c>
      <c r="H11" t="str">
        <f>VLOOKUP(I11, Map!$A$1:$B$33, 2, FALSE)</f>
        <v>CAR</v>
      </c>
      <c r="I11" t="s">
        <v>142</v>
      </c>
      <c r="J11">
        <v>0</v>
      </c>
      <c r="K11">
        <v>0</v>
      </c>
      <c r="L11">
        <v>0</v>
      </c>
      <c r="M11">
        <v>1</v>
      </c>
      <c r="N11">
        <v>4</v>
      </c>
      <c r="O11">
        <v>3</v>
      </c>
      <c r="P11">
        <v>22.142856999999999</v>
      </c>
      <c r="Q11">
        <v>20.857143000000001</v>
      </c>
      <c r="R11">
        <v>-9</v>
      </c>
      <c r="S11">
        <v>-2</v>
      </c>
      <c r="T11">
        <v>0.57142859999999995</v>
      </c>
      <c r="U11">
        <v>1</v>
      </c>
      <c r="V11">
        <v>0</v>
      </c>
      <c r="W11">
        <v>3</v>
      </c>
      <c r="X11">
        <v>2</v>
      </c>
      <c r="Y11">
        <v>1</v>
      </c>
      <c r="Z11">
        <v>1</v>
      </c>
      <c r="AA11">
        <v>2</v>
      </c>
      <c r="AB11">
        <v>1</v>
      </c>
      <c r="AC11">
        <v>10</v>
      </c>
      <c r="AD11">
        <v>8</v>
      </c>
      <c r="AE11">
        <v>9</v>
      </c>
      <c r="AF11">
        <v>9</v>
      </c>
      <c r="AG11">
        <v>58</v>
      </c>
      <c r="AH11">
        <v>0</v>
      </c>
      <c r="AI11">
        <v>4</v>
      </c>
      <c r="AJ11">
        <v>4</v>
      </c>
      <c r="AK11">
        <v>24</v>
      </c>
      <c r="AL11">
        <v>19.25</v>
      </c>
      <c r="AM11">
        <v>-38</v>
      </c>
      <c r="AN11">
        <v>-1</v>
      </c>
      <c r="AO11">
        <v>0.5</v>
      </c>
      <c r="AP11">
        <v>1</v>
      </c>
      <c r="AQ11">
        <v>0</v>
      </c>
      <c r="AR11">
        <v>3</v>
      </c>
      <c r="AS11">
        <v>1</v>
      </c>
      <c r="AT11">
        <v>1</v>
      </c>
      <c r="AU11">
        <v>3</v>
      </c>
      <c r="AV11">
        <v>2</v>
      </c>
      <c r="AW11">
        <v>1</v>
      </c>
      <c r="AX11">
        <v>7</v>
      </c>
      <c r="AY11">
        <v>10</v>
      </c>
      <c r="AZ11">
        <v>9</v>
      </c>
      <c r="BA11">
        <v>8</v>
      </c>
      <c r="BB11">
        <v>58</v>
      </c>
      <c r="BC11">
        <v>40.5</v>
      </c>
      <c r="BD11">
        <v>-10</v>
      </c>
      <c r="BE11">
        <v>0</v>
      </c>
      <c r="BF11">
        <v>0</v>
      </c>
      <c r="BG11">
        <v>60.978000000000002</v>
      </c>
      <c r="BH11">
        <v>27.239000000000001</v>
      </c>
      <c r="BI11">
        <v>38.710999999999999</v>
      </c>
      <c r="BJ11">
        <v>86.441000000000003</v>
      </c>
      <c r="BK11">
        <v>74.884</v>
      </c>
      <c r="BL11">
        <v>90.352999999999994</v>
      </c>
      <c r="BM11">
        <v>4.0990000000000002</v>
      </c>
      <c r="BN11">
        <v>38.710999999999999</v>
      </c>
      <c r="BO11">
        <v>27.239000000000001</v>
      </c>
      <c r="BP11">
        <v>0</v>
      </c>
      <c r="BQ11">
        <v>60.978000000000002</v>
      </c>
      <c r="BR11">
        <v>-4.0990000000000002</v>
      </c>
      <c r="BS11">
        <v>25.116</v>
      </c>
      <c r="BT11">
        <v>13.558999999999999</v>
      </c>
      <c r="BU11">
        <v>9.6470000000000002</v>
      </c>
      <c r="BV11">
        <v>2100</v>
      </c>
      <c r="BW11">
        <v>58.686999999999998</v>
      </c>
      <c r="BX11">
        <v>215.14285000000001</v>
      </c>
      <c r="BY11">
        <v>21</v>
      </c>
      <c r="BZ11">
        <v>351.14285000000001</v>
      </c>
      <c r="CA11">
        <v>6.2549999999999999</v>
      </c>
      <c r="CB11">
        <v>1033</v>
      </c>
      <c r="CC11">
        <v>119.714</v>
      </c>
      <c r="CD11">
        <v>4.6820000000000004</v>
      </c>
      <c r="CE11">
        <v>6</v>
      </c>
      <c r="CF11">
        <v>2695</v>
      </c>
      <c r="CG11">
        <v>9</v>
      </c>
      <c r="CH11">
        <v>231.429</v>
      </c>
      <c r="CI11">
        <v>10.657999999999999</v>
      </c>
      <c r="CJ11">
        <v>7.375</v>
      </c>
      <c r="CK11">
        <v>3.1880000000000002</v>
      </c>
      <c r="CL11">
        <v>2</v>
      </c>
      <c r="CM11">
        <v>8</v>
      </c>
      <c r="CN11">
        <v>0</v>
      </c>
      <c r="CO11">
        <v>93.332999999999998</v>
      </c>
      <c r="CP11">
        <v>71.429000000000002</v>
      </c>
      <c r="CQ11">
        <v>10</v>
      </c>
      <c r="CR11">
        <v>44</v>
      </c>
      <c r="CS11">
        <v>4.4290000000000003</v>
      </c>
      <c r="CT11">
        <v>30</v>
      </c>
      <c r="CU11">
        <v>10</v>
      </c>
      <c r="CV11">
        <v>12</v>
      </c>
      <c r="CW11">
        <v>9</v>
      </c>
      <c r="CX11">
        <v>146</v>
      </c>
      <c r="CY11">
        <v>19.143000000000001</v>
      </c>
      <c r="CZ11">
        <v>53.332999999999998</v>
      </c>
      <c r="DA11">
        <v>32.978999999999999</v>
      </c>
      <c r="DB11">
        <v>59.74</v>
      </c>
      <c r="DC11">
        <v>8</v>
      </c>
      <c r="DD11">
        <v>2241</v>
      </c>
      <c r="DE11">
        <v>62.451999999999998</v>
      </c>
      <c r="DF11">
        <v>179.5</v>
      </c>
      <c r="DG11">
        <v>19</v>
      </c>
      <c r="DH11">
        <v>334.5</v>
      </c>
      <c r="DI11">
        <v>6.0570000000000004</v>
      </c>
      <c r="DJ11">
        <v>1145</v>
      </c>
      <c r="DK11">
        <v>136.875</v>
      </c>
      <c r="DL11">
        <v>4.6399999999999997</v>
      </c>
      <c r="DM11">
        <v>4</v>
      </c>
      <c r="DN11">
        <v>2816</v>
      </c>
      <c r="DO11">
        <v>12</v>
      </c>
      <c r="DP11">
        <v>197.625</v>
      </c>
      <c r="DQ11">
        <v>9.6989999999999998</v>
      </c>
      <c r="DR11">
        <v>6.8460000000000001</v>
      </c>
      <c r="DS11">
        <v>4.75</v>
      </c>
      <c r="DT11">
        <v>1</v>
      </c>
      <c r="DU11">
        <v>13</v>
      </c>
      <c r="DV11">
        <v>0</v>
      </c>
      <c r="DW11">
        <v>86.667000000000002</v>
      </c>
      <c r="DX11">
        <v>86.667000000000002</v>
      </c>
      <c r="DY11">
        <v>13</v>
      </c>
      <c r="DZ11">
        <v>52</v>
      </c>
      <c r="EA11">
        <v>16.411999999999999</v>
      </c>
      <c r="EB11">
        <v>11</v>
      </c>
      <c r="EC11">
        <v>27</v>
      </c>
      <c r="ED11">
        <v>6</v>
      </c>
      <c r="EE11">
        <v>12</v>
      </c>
      <c r="EF11">
        <v>154</v>
      </c>
      <c r="EG11">
        <v>20.75</v>
      </c>
      <c r="EH11">
        <v>68.421000000000006</v>
      </c>
      <c r="EI11">
        <v>37.255000000000003</v>
      </c>
      <c r="EJ11">
        <v>70.83</v>
      </c>
      <c r="EK11">
        <v>-5</v>
      </c>
    </row>
    <row r="12" spans="1:141" x14ac:dyDescent="0.25">
      <c r="A12">
        <v>32</v>
      </c>
      <c r="B12">
        <v>8</v>
      </c>
      <c r="C12">
        <v>1</v>
      </c>
      <c r="D12">
        <v>2025</v>
      </c>
      <c r="E12">
        <v>1</v>
      </c>
      <c r="F12" t="str">
        <f>VLOOKUP(G12, Map!$A$1:$B$33, 2, FALSE)</f>
        <v>DEN</v>
      </c>
      <c r="G12" t="s">
        <v>159</v>
      </c>
      <c r="H12" t="str">
        <f>VLOOKUP(I12, Map!$A$1:$B$33, 2, FALSE)</f>
        <v>TEN</v>
      </c>
      <c r="I12" t="s">
        <v>140</v>
      </c>
      <c r="J12">
        <v>0</v>
      </c>
      <c r="K12">
        <v>0</v>
      </c>
      <c r="L12">
        <v>0</v>
      </c>
      <c r="M12">
        <v>1</v>
      </c>
      <c r="N12">
        <v>6</v>
      </c>
      <c r="O12">
        <v>2</v>
      </c>
      <c r="P12">
        <v>18.875</v>
      </c>
      <c r="Q12">
        <v>25.875</v>
      </c>
      <c r="R12">
        <v>56</v>
      </c>
      <c r="S12">
        <v>5</v>
      </c>
      <c r="T12">
        <v>0.75</v>
      </c>
      <c r="U12">
        <v>0</v>
      </c>
      <c r="V12">
        <v>1</v>
      </c>
      <c r="W12">
        <v>4</v>
      </c>
      <c r="X12">
        <v>0</v>
      </c>
      <c r="Y12">
        <v>2</v>
      </c>
      <c r="Z12">
        <v>2</v>
      </c>
      <c r="AA12">
        <v>3</v>
      </c>
      <c r="AB12">
        <v>2</v>
      </c>
      <c r="AC12">
        <v>4</v>
      </c>
      <c r="AD12">
        <v>12</v>
      </c>
      <c r="AE12">
        <v>7</v>
      </c>
      <c r="AF12">
        <v>9</v>
      </c>
      <c r="AG12">
        <v>63</v>
      </c>
      <c r="AH12">
        <v>0</v>
      </c>
      <c r="AI12">
        <v>1</v>
      </c>
      <c r="AJ12">
        <v>7</v>
      </c>
      <c r="AK12">
        <v>28.75</v>
      </c>
      <c r="AL12">
        <v>13.75</v>
      </c>
      <c r="AM12">
        <v>-120</v>
      </c>
      <c r="AN12">
        <v>-3</v>
      </c>
      <c r="AO12">
        <v>0.125</v>
      </c>
      <c r="AP12">
        <v>0</v>
      </c>
      <c r="AQ12">
        <v>3</v>
      </c>
      <c r="AR12">
        <v>0</v>
      </c>
      <c r="AS12">
        <v>3</v>
      </c>
      <c r="AT12">
        <v>1</v>
      </c>
      <c r="AU12">
        <v>4</v>
      </c>
      <c r="AV12">
        <v>0</v>
      </c>
      <c r="AW12">
        <v>6</v>
      </c>
      <c r="AX12">
        <v>7</v>
      </c>
      <c r="AY12">
        <v>9</v>
      </c>
      <c r="AZ12">
        <v>8</v>
      </c>
      <c r="BA12">
        <v>7</v>
      </c>
      <c r="BB12">
        <v>59</v>
      </c>
      <c r="BC12">
        <v>39</v>
      </c>
      <c r="BD12">
        <v>-10</v>
      </c>
      <c r="BE12">
        <v>0</v>
      </c>
      <c r="BF12">
        <v>0</v>
      </c>
      <c r="BG12">
        <v>67.603999999999999</v>
      </c>
      <c r="BH12">
        <v>40.033000000000001</v>
      </c>
      <c r="BI12">
        <v>32.137999999999998</v>
      </c>
      <c r="BJ12">
        <v>97.308000000000007</v>
      </c>
      <c r="BK12">
        <v>27.745999999999999</v>
      </c>
      <c r="BL12">
        <v>67.454999999999998</v>
      </c>
      <c r="BM12">
        <v>7.6760000000000002</v>
      </c>
      <c r="BN12">
        <v>32.137999999999998</v>
      </c>
      <c r="BO12">
        <v>40.033000000000001</v>
      </c>
      <c r="BP12">
        <v>0</v>
      </c>
      <c r="BQ12">
        <v>67.603999999999999</v>
      </c>
      <c r="BR12">
        <v>-7.6760000000000002</v>
      </c>
      <c r="BS12">
        <v>72.254000000000005</v>
      </c>
      <c r="BT12">
        <v>2.6920000000000002</v>
      </c>
      <c r="BU12">
        <v>32.545000000000002</v>
      </c>
      <c r="BV12">
        <v>2703</v>
      </c>
      <c r="BW12">
        <v>62.807000000000002</v>
      </c>
      <c r="BX12">
        <v>219.125</v>
      </c>
      <c r="BY12">
        <v>22</v>
      </c>
      <c r="BZ12">
        <v>363.125</v>
      </c>
      <c r="CA12">
        <v>6.3259999999999996</v>
      </c>
      <c r="CB12">
        <v>1407</v>
      </c>
      <c r="CC12">
        <v>137.75</v>
      </c>
      <c r="CD12">
        <v>5.0090000000000003</v>
      </c>
      <c r="CE12">
        <v>10</v>
      </c>
      <c r="CF12">
        <v>3223</v>
      </c>
      <c r="CG12">
        <v>15</v>
      </c>
      <c r="CH12">
        <v>225.375</v>
      </c>
      <c r="CI12">
        <v>10.073</v>
      </c>
      <c r="CJ12">
        <v>6.0279999999999996</v>
      </c>
      <c r="CK12">
        <v>90.5</v>
      </c>
      <c r="CL12">
        <v>0</v>
      </c>
      <c r="CM12">
        <v>36</v>
      </c>
      <c r="CN12">
        <v>0</v>
      </c>
      <c r="CO12">
        <v>100</v>
      </c>
      <c r="CP12">
        <v>90.909000000000006</v>
      </c>
      <c r="CQ12">
        <v>10</v>
      </c>
      <c r="CR12">
        <v>51</v>
      </c>
      <c r="CS12">
        <v>10.467000000000001</v>
      </c>
      <c r="CT12">
        <v>38</v>
      </c>
      <c r="CU12">
        <v>18</v>
      </c>
      <c r="CV12">
        <v>0</v>
      </c>
      <c r="CW12">
        <v>15</v>
      </c>
      <c r="CX12">
        <v>207</v>
      </c>
      <c r="CY12">
        <v>20.75</v>
      </c>
      <c r="CZ12">
        <v>50</v>
      </c>
      <c r="DA12">
        <v>37.863999999999997</v>
      </c>
      <c r="DB12">
        <v>73.02</v>
      </c>
      <c r="DC12">
        <v>-1</v>
      </c>
      <c r="DD12">
        <v>1785</v>
      </c>
      <c r="DE12">
        <v>57.664000000000001</v>
      </c>
      <c r="DF12">
        <v>168.375</v>
      </c>
      <c r="DG12">
        <v>21</v>
      </c>
      <c r="DH12">
        <v>282.25</v>
      </c>
      <c r="DI12">
        <v>5.8940000000000001</v>
      </c>
      <c r="DJ12">
        <v>643</v>
      </c>
      <c r="DK12">
        <v>80.375</v>
      </c>
      <c r="DL12">
        <v>3.9209999999999998</v>
      </c>
      <c r="DM12">
        <v>3</v>
      </c>
      <c r="DN12">
        <v>2580</v>
      </c>
      <c r="DO12">
        <v>5</v>
      </c>
      <c r="DP12">
        <v>201.875</v>
      </c>
      <c r="DQ12">
        <v>10.222</v>
      </c>
      <c r="DR12">
        <v>6.8129999999999997</v>
      </c>
      <c r="DS12">
        <v>4.8949999999999996</v>
      </c>
      <c r="DT12">
        <v>0</v>
      </c>
      <c r="DU12">
        <v>16</v>
      </c>
      <c r="DV12">
        <v>0</v>
      </c>
      <c r="DW12">
        <v>88.888999999999996</v>
      </c>
      <c r="DX12">
        <v>76.19</v>
      </c>
      <c r="DY12">
        <v>16</v>
      </c>
      <c r="DZ12">
        <v>56</v>
      </c>
      <c r="EA12">
        <v>10.75</v>
      </c>
      <c r="EB12">
        <v>12</v>
      </c>
      <c r="EC12">
        <v>37</v>
      </c>
      <c r="ED12">
        <v>6</v>
      </c>
      <c r="EE12">
        <v>5</v>
      </c>
      <c r="EF12">
        <v>110</v>
      </c>
      <c r="EG12">
        <v>15.875</v>
      </c>
      <c r="EH12">
        <v>38.462000000000003</v>
      </c>
      <c r="EI12">
        <v>29.907</v>
      </c>
      <c r="EJ12">
        <v>65.31</v>
      </c>
      <c r="EK12">
        <v>-4</v>
      </c>
    </row>
    <row r="13" spans="1:141" x14ac:dyDescent="0.25">
      <c r="A13">
        <v>30</v>
      </c>
      <c r="B13">
        <v>-4</v>
      </c>
      <c r="C13">
        <v>0</v>
      </c>
      <c r="D13">
        <v>2025</v>
      </c>
      <c r="E13">
        <v>1</v>
      </c>
      <c r="F13" t="str">
        <f>VLOOKUP(G13, Map!$A$1:$B$33, 2, FALSE)</f>
        <v>SEA</v>
      </c>
      <c r="G13" t="s">
        <v>144</v>
      </c>
      <c r="H13" t="str">
        <f>VLOOKUP(I13, Map!$A$1:$B$33, 2, FALSE)</f>
        <v>SF</v>
      </c>
      <c r="I13" t="s">
        <v>143</v>
      </c>
      <c r="J13">
        <v>0</v>
      </c>
      <c r="K13">
        <v>0</v>
      </c>
      <c r="L13">
        <v>0</v>
      </c>
      <c r="M13">
        <v>0</v>
      </c>
      <c r="N13">
        <v>5</v>
      </c>
      <c r="O13">
        <v>2</v>
      </c>
      <c r="P13">
        <v>19.428571999999999</v>
      </c>
      <c r="Q13">
        <v>27.571428000000001</v>
      </c>
      <c r="R13">
        <v>57</v>
      </c>
      <c r="S13">
        <v>2</v>
      </c>
      <c r="T13">
        <v>0.71428572999999995</v>
      </c>
      <c r="U13">
        <v>1</v>
      </c>
      <c r="V13">
        <v>1</v>
      </c>
      <c r="W13">
        <v>2</v>
      </c>
      <c r="X13">
        <v>2</v>
      </c>
      <c r="Y13">
        <v>3</v>
      </c>
      <c r="Z13">
        <v>0</v>
      </c>
      <c r="AA13">
        <v>2</v>
      </c>
      <c r="AB13">
        <v>2</v>
      </c>
      <c r="AC13">
        <v>9</v>
      </c>
      <c r="AD13">
        <v>8</v>
      </c>
      <c r="AE13">
        <v>7</v>
      </c>
      <c r="AF13">
        <v>10</v>
      </c>
      <c r="AG13">
        <v>61</v>
      </c>
      <c r="AH13">
        <v>1</v>
      </c>
      <c r="AI13">
        <v>5</v>
      </c>
      <c r="AJ13">
        <v>3</v>
      </c>
      <c r="AK13">
        <v>20.5</v>
      </c>
      <c r="AL13">
        <v>20</v>
      </c>
      <c r="AM13">
        <v>-4</v>
      </c>
      <c r="AN13">
        <v>-1</v>
      </c>
      <c r="AO13">
        <v>0.625</v>
      </c>
      <c r="AP13">
        <v>3</v>
      </c>
      <c r="AQ13">
        <v>0</v>
      </c>
      <c r="AR13">
        <v>2</v>
      </c>
      <c r="AS13">
        <v>1</v>
      </c>
      <c r="AT13">
        <v>3</v>
      </c>
      <c r="AU13">
        <v>2</v>
      </c>
      <c r="AV13">
        <v>5</v>
      </c>
      <c r="AW13">
        <v>1</v>
      </c>
      <c r="AX13">
        <v>15</v>
      </c>
      <c r="AY13">
        <v>5</v>
      </c>
      <c r="AZ13">
        <v>13</v>
      </c>
      <c r="BA13">
        <v>7</v>
      </c>
      <c r="BB13">
        <v>68</v>
      </c>
      <c r="BC13">
        <v>36</v>
      </c>
      <c r="BD13">
        <v>-0.5</v>
      </c>
      <c r="BE13">
        <v>0</v>
      </c>
      <c r="BF13">
        <v>0</v>
      </c>
      <c r="BG13">
        <v>44.621000000000002</v>
      </c>
      <c r="BH13">
        <v>51.069000000000003</v>
      </c>
      <c r="BI13">
        <v>55.021000000000001</v>
      </c>
      <c r="BJ13">
        <v>42.511000000000003</v>
      </c>
      <c r="BK13">
        <v>23.279</v>
      </c>
      <c r="BL13">
        <v>42.594000000000001</v>
      </c>
      <c r="BM13">
        <v>-1.696</v>
      </c>
      <c r="BN13">
        <v>55.021000000000001</v>
      </c>
      <c r="BO13">
        <v>51.069000000000003</v>
      </c>
      <c r="BP13">
        <v>0</v>
      </c>
      <c r="BQ13">
        <v>44.621000000000002</v>
      </c>
      <c r="BR13">
        <v>1.696</v>
      </c>
      <c r="BS13">
        <v>76.721000000000004</v>
      </c>
      <c r="BT13">
        <v>57.488999999999997</v>
      </c>
      <c r="BU13">
        <v>57.405999999999999</v>
      </c>
      <c r="BV13">
        <v>2459</v>
      </c>
      <c r="BW13">
        <v>67.856999999999999</v>
      </c>
      <c r="BX13">
        <v>244.42857000000001</v>
      </c>
      <c r="BY13">
        <v>27</v>
      </c>
      <c r="BZ13">
        <v>358.85714999999999</v>
      </c>
      <c r="CA13">
        <v>9.0259999999999998</v>
      </c>
      <c r="CB13">
        <v>918</v>
      </c>
      <c r="CC13">
        <v>106.143</v>
      </c>
      <c r="CD13">
        <v>3.6779999999999999</v>
      </c>
      <c r="CE13">
        <v>8</v>
      </c>
      <c r="CF13">
        <v>2854</v>
      </c>
      <c r="CG13">
        <v>12</v>
      </c>
      <c r="CH13">
        <v>252.714</v>
      </c>
      <c r="CI13">
        <v>13.301</v>
      </c>
      <c r="CJ13">
        <v>7.1740000000000004</v>
      </c>
      <c r="CK13">
        <v>7.8890000000000002</v>
      </c>
      <c r="CL13">
        <v>2</v>
      </c>
      <c r="CM13">
        <v>23</v>
      </c>
      <c r="CN13">
        <v>0</v>
      </c>
      <c r="CO13">
        <v>100</v>
      </c>
      <c r="CP13">
        <v>76.471000000000004</v>
      </c>
      <c r="CQ13">
        <v>13</v>
      </c>
      <c r="CR13">
        <v>61</v>
      </c>
      <c r="CS13">
        <v>11</v>
      </c>
      <c r="CT13">
        <v>26</v>
      </c>
      <c r="CU13">
        <v>10</v>
      </c>
      <c r="CV13">
        <v>6</v>
      </c>
      <c r="CW13">
        <v>12</v>
      </c>
      <c r="CX13">
        <v>193</v>
      </c>
      <c r="CY13">
        <v>19.428999999999998</v>
      </c>
      <c r="CZ13">
        <v>66.667000000000002</v>
      </c>
      <c r="DA13">
        <v>33.332999999999998</v>
      </c>
      <c r="DB13">
        <v>76.569999999999993</v>
      </c>
      <c r="DC13">
        <v>-4</v>
      </c>
      <c r="DD13">
        <v>2753</v>
      </c>
      <c r="DE13">
        <v>65.885999999999996</v>
      </c>
      <c r="DF13">
        <v>259.25</v>
      </c>
      <c r="DG13">
        <v>23</v>
      </c>
      <c r="DH13">
        <v>362.25</v>
      </c>
      <c r="DI13">
        <v>7.3010000000000002</v>
      </c>
      <c r="DJ13">
        <v>775</v>
      </c>
      <c r="DK13">
        <v>89.375</v>
      </c>
      <c r="DL13">
        <v>3.4049999999999998</v>
      </c>
      <c r="DM13">
        <v>3</v>
      </c>
      <c r="DN13">
        <v>3588</v>
      </c>
      <c r="DO13">
        <v>12</v>
      </c>
      <c r="DP13">
        <v>272.875</v>
      </c>
      <c r="DQ13">
        <v>11.081</v>
      </c>
      <c r="DR13">
        <v>6.6669999999999998</v>
      </c>
      <c r="DS13">
        <v>1.889</v>
      </c>
      <c r="DT13">
        <v>0</v>
      </c>
      <c r="DU13">
        <v>9</v>
      </c>
      <c r="DV13">
        <v>0</v>
      </c>
      <c r="DW13">
        <v>92.308000000000007</v>
      </c>
      <c r="DX13">
        <v>90</v>
      </c>
      <c r="DY13">
        <v>18</v>
      </c>
      <c r="DZ13">
        <v>66</v>
      </c>
      <c r="EA13">
        <v>14.308</v>
      </c>
      <c r="EB13">
        <v>12</v>
      </c>
      <c r="EC13">
        <v>25</v>
      </c>
      <c r="ED13">
        <v>0</v>
      </c>
      <c r="EE13">
        <v>12</v>
      </c>
      <c r="EF13">
        <v>160</v>
      </c>
      <c r="EG13">
        <v>20.875</v>
      </c>
      <c r="EH13">
        <v>54.545000000000002</v>
      </c>
      <c r="EI13">
        <v>46.363999999999997</v>
      </c>
      <c r="EJ13">
        <v>65.709999999999994</v>
      </c>
      <c r="EK13">
        <v>-5</v>
      </c>
    </row>
    <row r="14" spans="1:141" x14ac:dyDescent="0.25">
      <c r="A14">
        <v>40</v>
      </c>
      <c r="B14">
        <v>14</v>
      </c>
      <c r="C14">
        <v>1</v>
      </c>
      <c r="D14">
        <v>2025</v>
      </c>
      <c r="E14">
        <v>1</v>
      </c>
      <c r="F14" t="str">
        <f>VLOOKUP(G14, Map!$A$1:$B$33, 2, FALSE)</f>
        <v>GB</v>
      </c>
      <c r="G14" t="s">
        <v>154</v>
      </c>
      <c r="H14" t="str">
        <f>VLOOKUP(I14, Map!$A$1:$B$33, 2, FALSE)</f>
        <v>DET</v>
      </c>
      <c r="I14" t="s">
        <v>164</v>
      </c>
      <c r="J14">
        <v>0</v>
      </c>
      <c r="K14">
        <v>0</v>
      </c>
      <c r="L14">
        <v>0</v>
      </c>
      <c r="M14">
        <v>1</v>
      </c>
      <c r="N14">
        <v>5</v>
      </c>
      <c r="O14">
        <v>1</v>
      </c>
      <c r="P14">
        <v>21.428571999999999</v>
      </c>
      <c r="Q14">
        <v>27.571428000000001</v>
      </c>
      <c r="R14">
        <v>43</v>
      </c>
      <c r="S14">
        <v>3</v>
      </c>
      <c r="T14">
        <v>0.78571427000000005</v>
      </c>
      <c r="U14">
        <v>1</v>
      </c>
      <c r="V14">
        <v>0</v>
      </c>
      <c r="W14">
        <v>3</v>
      </c>
      <c r="X14">
        <v>0</v>
      </c>
      <c r="Y14">
        <v>2</v>
      </c>
      <c r="Z14">
        <v>1</v>
      </c>
      <c r="AA14">
        <v>3</v>
      </c>
      <c r="AB14">
        <v>0</v>
      </c>
      <c r="AC14">
        <v>8</v>
      </c>
      <c r="AD14">
        <v>8</v>
      </c>
      <c r="AE14">
        <v>8</v>
      </c>
      <c r="AF14">
        <v>8</v>
      </c>
      <c r="AG14">
        <v>61</v>
      </c>
      <c r="AH14">
        <v>0</v>
      </c>
      <c r="AI14">
        <v>5</v>
      </c>
      <c r="AJ14">
        <v>2</v>
      </c>
      <c r="AK14">
        <v>21.571428000000001</v>
      </c>
      <c r="AL14">
        <v>30.714285</v>
      </c>
      <c r="AM14">
        <v>64</v>
      </c>
      <c r="AN14">
        <v>1</v>
      </c>
      <c r="AO14">
        <v>0.71428572999999995</v>
      </c>
      <c r="AP14">
        <v>1</v>
      </c>
      <c r="AQ14">
        <v>1</v>
      </c>
      <c r="AR14">
        <v>3</v>
      </c>
      <c r="AS14">
        <v>0</v>
      </c>
      <c r="AT14">
        <v>2</v>
      </c>
      <c r="AU14">
        <v>2</v>
      </c>
      <c r="AV14">
        <v>2</v>
      </c>
      <c r="AW14">
        <v>1</v>
      </c>
      <c r="AX14">
        <v>8</v>
      </c>
      <c r="AY14">
        <v>8</v>
      </c>
      <c r="AZ14">
        <v>11</v>
      </c>
      <c r="BA14">
        <v>5</v>
      </c>
      <c r="BB14">
        <v>73</v>
      </c>
      <c r="BC14">
        <v>42</v>
      </c>
      <c r="BD14">
        <v>-11</v>
      </c>
      <c r="BE14">
        <v>0</v>
      </c>
      <c r="BF14">
        <v>0</v>
      </c>
      <c r="BG14">
        <v>49.933999999999997</v>
      </c>
      <c r="BH14">
        <v>75.409000000000006</v>
      </c>
      <c r="BI14">
        <v>49.667000000000002</v>
      </c>
      <c r="BJ14">
        <v>72.063999999999993</v>
      </c>
      <c r="BK14">
        <v>90.018000000000001</v>
      </c>
      <c r="BL14">
        <v>89.197999999999993</v>
      </c>
      <c r="BM14">
        <v>-6.5000000000000002E-2</v>
      </c>
      <c r="BN14">
        <v>49.667000000000002</v>
      </c>
      <c r="BO14">
        <v>75.409000000000006</v>
      </c>
      <c r="BP14">
        <v>0</v>
      </c>
      <c r="BQ14">
        <v>49.933999999999997</v>
      </c>
      <c r="BR14">
        <v>6.5000000000000002E-2</v>
      </c>
      <c r="BS14">
        <v>9.9819999999999993</v>
      </c>
      <c r="BT14">
        <v>27.936</v>
      </c>
      <c r="BU14">
        <v>10.802</v>
      </c>
      <c r="BV14">
        <v>2648</v>
      </c>
      <c r="BW14">
        <v>70.891999999999996</v>
      </c>
      <c r="BX14">
        <v>245</v>
      </c>
      <c r="BY14">
        <v>26</v>
      </c>
      <c r="BZ14">
        <v>371</v>
      </c>
      <c r="CA14">
        <v>8.4410000000000007</v>
      </c>
      <c r="CB14">
        <v>1099</v>
      </c>
      <c r="CC14">
        <v>114.143</v>
      </c>
      <c r="CD14">
        <v>3.9359999999999999</v>
      </c>
      <c r="CE14">
        <v>9</v>
      </c>
      <c r="CF14">
        <v>3008</v>
      </c>
      <c r="CG14">
        <v>13</v>
      </c>
      <c r="CH14">
        <v>256.85700000000003</v>
      </c>
      <c r="CI14">
        <v>11.907</v>
      </c>
      <c r="CJ14">
        <v>6.1429999999999998</v>
      </c>
      <c r="CK14">
        <v>6.75</v>
      </c>
      <c r="CL14">
        <v>0</v>
      </c>
      <c r="CM14">
        <v>21</v>
      </c>
      <c r="CN14">
        <v>0</v>
      </c>
      <c r="CO14">
        <v>95.238</v>
      </c>
      <c r="CP14">
        <v>76.471000000000004</v>
      </c>
      <c r="CQ14">
        <v>13</v>
      </c>
      <c r="CR14">
        <v>59</v>
      </c>
      <c r="CS14">
        <v>11.909000000000001</v>
      </c>
      <c r="CT14">
        <v>22</v>
      </c>
      <c r="CU14">
        <v>6</v>
      </c>
      <c r="CV14">
        <v>0</v>
      </c>
      <c r="CW14">
        <v>13</v>
      </c>
      <c r="CX14">
        <v>193</v>
      </c>
      <c r="CY14">
        <v>21</v>
      </c>
      <c r="CZ14">
        <v>75</v>
      </c>
      <c r="DA14">
        <v>48.276000000000003</v>
      </c>
      <c r="DB14">
        <v>78.569999999999993</v>
      </c>
      <c r="DC14">
        <v>1</v>
      </c>
      <c r="DD14">
        <v>2664</v>
      </c>
      <c r="DE14">
        <v>75</v>
      </c>
      <c r="DF14">
        <v>223.57142999999999</v>
      </c>
      <c r="DG14">
        <v>23</v>
      </c>
      <c r="DH14">
        <v>367.14285000000001</v>
      </c>
      <c r="DI14">
        <v>8.01</v>
      </c>
      <c r="DJ14">
        <v>1256</v>
      </c>
      <c r="DK14">
        <v>133.714</v>
      </c>
      <c r="DL14">
        <v>4.5220000000000002</v>
      </c>
      <c r="DM14">
        <v>10</v>
      </c>
      <c r="DN14">
        <v>2959</v>
      </c>
      <c r="DO14">
        <v>16</v>
      </c>
      <c r="DP14">
        <v>233.429</v>
      </c>
      <c r="DQ14">
        <v>10.68</v>
      </c>
      <c r="DR14">
        <v>6.2610000000000001</v>
      </c>
      <c r="DS14">
        <v>24.2</v>
      </c>
      <c r="DT14">
        <v>1</v>
      </c>
      <c r="DU14">
        <v>23</v>
      </c>
      <c r="DV14">
        <v>0</v>
      </c>
      <c r="DW14">
        <v>100</v>
      </c>
      <c r="DX14">
        <v>72.727000000000004</v>
      </c>
      <c r="DY14">
        <v>8</v>
      </c>
      <c r="DZ14">
        <v>51</v>
      </c>
      <c r="EA14">
        <v>10</v>
      </c>
      <c r="EB14">
        <v>14</v>
      </c>
      <c r="EC14">
        <v>27</v>
      </c>
      <c r="ED14">
        <v>8</v>
      </c>
      <c r="EE14">
        <v>16</v>
      </c>
      <c r="EF14">
        <v>215</v>
      </c>
      <c r="EG14">
        <v>19.856999999999999</v>
      </c>
      <c r="EH14">
        <v>61.537999999999997</v>
      </c>
      <c r="EI14">
        <v>37.646999999999998</v>
      </c>
      <c r="EJ14">
        <v>74.88</v>
      </c>
      <c r="EK14">
        <v>6</v>
      </c>
    </row>
    <row r="15" spans="1:141" x14ac:dyDescent="0.25">
      <c r="A15">
        <v>23</v>
      </c>
      <c r="B15">
        <v>5</v>
      </c>
      <c r="C15">
        <v>1</v>
      </c>
      <c r="D15">
        <v>2025</v>
      </c>
      <c r="E15">
        <v>1</v>
      </c>
      <c r="F15" t="str">
        <f>VLOOKUP(G15, Map!$A$1:$B$33, 2, FALSE)</f>
        <v>LA</v>
      </c>
      <c r="G15" t="s">
        <v>155</v>
      </c>
      <c r="H15" t="str">
        <f>VLOOKUP(I15, Map!$A$1:$B$33, 2, FALSE)</f>
        <v>HOU</v>
      </c>
      <c r="I15" t="s">
        <v>137</v>
      </c>
      <c r="J15">
        <v>0</v>
      </c>
      <c r="K15">
        <v>0</v>
      </c>
      <c r="L15">
        <v>0</v>
      </c>
      <c r="M15">
        <v>1</v>
      </c>
      <c r="N15">
        <v>5</v>
      </c>
      <c r="O15">
        <v>2</v>
      </c>
      <c r="P15">
        <v>16.714285</v>
      </c>
      <c r="Q15">
        <v>25</v>
      </c>
      <c r="R15">
        <v>58</v>
      </c>
      <c r="S15">
        <v>2</v>
      </c>
      <c r="T15">
        <v>0.71428572999999995</v>
      </c>
      <c r="U15">
        <v>0</v>
      </c>
      <c r="V15">
        <v>1</v>
      </c>
      <c r="W15">
        <v>2</v>
      </c>
      <c r="X15">
        <v>1</v>
      </c>
      <c r="Y15">
        <v>3</v>
      </c>
      <c r="Z15">
        <v>1</v>
      </c>
      <c r="AA15">
        <v>0</v>
      </c>
      <c r="AB15">
        <v>2</v>
      </c>
      <c r="AC15">
        <v>5</v>
      </c>
      <c r="AD15">
        <v>11</v>
      </c>
      <c r="AE15">
        <v>5</v>
      </c>
      <c r="AF15">
        <v>9</v>
      </c>
      <c r="AG15">
        <v>57</v>
      </c>
      <c r="AH15">
        <v>0</v>
      </c>
      <c r="AI15">
        <v>3</v>
      </c>
      <c r="AJ15">
        <v>4</v>
      </c>
      <c r="AK15">
        <v>14.714286</v>
      </c>
      <c r="AL15">
        <v>21.857143000000001</v>
      </c>
      <c r="AM15">
        <v>50</v>
      </c>
      <c r="AN15">
        <v>1</v>
      </c>
      <c r="AO15">
        <v>0.42857142999999998</v>
      </c>
      <c r="AP15">
        <v>1</v>
      </c>
      <c r="AQ15">
        <v>1</v>
      </c>
      <c r="AR15">
        <v>2</v>
      </c>
      <c r="AS15">
        <v>1</v>
      </c>
      <c r="AT15">
        <v>1</v>
      </c>
      <c r="AU15">
        <v>3</v>
      </c>
      <c r="AV15">
        <v>2</v>
      </c>
      <c r="AW15">
        <v>1</v>
      </c>
      <c r="AX15">
        <v>3</v>
      </c>
      <c r="AY15">
        <v>13</v>
      </c>
      <c r="AZ15">
        <v>8</v>
      </c>
      <c r="BA15">
        <v>8</v>
      </c>
      <c r="BB15">
        <v>69</v>
      </c>
      <c r="BC15">
        <v>33.5</v>
      </c>
      <c r="BD15">
        <v>-4</v>
      </c>
      <c r="BE15">
        <v>0</v>
      </c>
      <c r="BF15">
        <v>0</v>
      </c>
      <c r="BG15">
        <v>54.619</v>
      </c>
      <c r="BH15">
        <v>58.957000000000001</v>
      </c>
      <c r="BI15">
        <v>45.018999999999998</v>
      </c>
      <c r="BJ15">
        <v>76.963999999999999</v>
      </c>
      <c r="BK15">
        <v>54.713000000000001</v>
      </c>
      <c r="BL15">
        <v>65.257000000000005</v>
      </c>
      <c r="BM15">
        <v>2.0169999999999999</v>
      </c>
      <c r="BN15">
        <v>45.018999999999998</v>
      </c>
      <c r="BO15">
        <v>58.957000000000001</v>
      </c>
      <c r="BP15">
        <v>0</v>
      </c>
      <c r="BQ15">
        <v>54.619</v>
      </c>
      <c r="BR15">
        <v>-2.0169999999999999</v>
      </c>
      <c r="BS15">
        <v>45.286999999999999</v>
      </c>
      <c r="BT15">
        <v>23.036000000000001</v>
      </c>
      <c r="BU15">
        <v>34.743000000000002</v>
      </c>
      <c r="BV15">
        <v>2996</v>
      </c>
      <c r="BW15">
        <v>65.843999999999994</v>
      </c>
      <c r="BX15">
        <v>256.71429999999998</v>
      </c>
      <c r="BY15">
        <v>30</v>
      </c>
      <c r="BZ15">
        <v>370</v>
      </c>
      <c r="CA15">
        <v>7.6790000000000003</v>
      </c>
      <c r="CB15">
        <v>789</v>
      </c>
      <c r="CC15">
        <v>103.429</v>
      </c>
      <c r="CD15">
        <v>4.1369999999999996</v>
      </c>
      <c r="CE15">
        <v>4</v>
      </c>
      <c r="CF15">
        <v>3261</v>
      </c>
      <c r="CG15">
        <v>17</v>
      </c>
      <c r="CH15">
        <v>266.57100000000003</v>
      </c>
      <c r="CI15">
        <v>11.663</v>
      </c>
      <c r="CJ15">
        <v>6.577</v>
      </c>
      <c r="CK15">
        <v>16.111000000000001</v>
      </c>
      <c r="CL15">
        <v>0</v>
      </c>
      <c r="CM15">
        <v>26</v>
      </c>
      <c r="CN15">
        <v>0</v>
      </c>
      <c r="CO15">
        <v>90.475999999999999</v>
      </c>
      <c r="CP15">
        <v>71.429000000000002</v>
      </c>
      <c r="CQ15">
        <v>10</v>
      </c>
      <c r="CR15">
        <v>49</v>
      </c>
      <c r="CS15">
        <v>14.2</v>
      </c>
      <c r="CT15">
        <v>22</v>
      </c>
      <c r="CU15">
        <v>11</v>
      </c>
      <c r="CV15">
        <v>0</v>
      </c>
      <c r="CW15">
        <v>17</v>
      </c>
      <c r="CX15">
        <v>175</v>
      </c>
      <c r="CY15">
        <v>22</v>
      </c>
      <c r="CZ15">
        <v>66.667000000000002</v>
      </c>
      <c r="DA15">
        <v>37.661999999999999</v>
      </c>
      <c r="DB15">
        <v>65.239999999999995</v>
      </c>
      <c r="DC15">
        <v>3</v>
      </c>
      <c r="DD15">
        <v>2266</v>
      </c>
      <c r="DE15">
        <v>66.525000000000006</v>
      </c>
      <c r="DF15">
        <v>215.28572</v>
      </c>
      <c r="DG15">
        <v>22</v>
      </c>
      <c r="DH15">
        <v>348.57144</v>
      </c>
      <c r="DI15">
        <v>6.9749999999999996</v>
      </c>
      <c r="DJ15">
        <v>869</v>
      </c>
      <c r="DK15">
        <v>113.429</v>
      </c>
      <c r="DL15">
        <v>4.2690000000000001</v>
      </c>
      <c r="DM15">
        <v>3</v>
      </c>
      <c r="DN15">
        <v>2816</v>
      </c>
      <c r="DO15">
        <v>11</v>
      </c>
      <c r="DP15">
        <v>235.143</v>
      </c>
      <c r="DQ15">
        <v>10.484</v>
      </c>
      <c r="DR15">
        <v>7.875</v>
      </c>
      <c r="DS15">
        <v>6.1109999999999998</v>
      </c>
      <c r="DT15">
        <v>1</v>
      </c>
      <c r="DU15">
        <v>16</v>
      </c>
      <c r="DV15">
        <v>0</v>
      </c>
      <c r="DW15">
        <v>100</v>
      </c>
      <c r="DX15">
        <v>89.474000000000004</v>
      </c>
      <c r="DY15">
        <v>17</v>
      </c>
      <c r="DZ15">
        <v>63</v>
      </c>
      <c r="EA15">
        <v>11.545</v>
      </c>
      <c r="EB15">
        <v>9</v>
      </c>
      <c r="EC15">
        <v>27</v>
      </c>
      <c r="ED15">
        <v>6</v>
      </c>
      <c r="EE15">
        <v>11</v>
      </c>
      <c r="EF15">
        <v>153</v>
      </c>
      <c r="EG15">
        <v>18.713999999999999</v>
      </c>
      <c r="EH15">
        <v>66.667000000000002</v>
      </c>
      <c r="EI15">
        <v>35.164999999999999</v>
      </c>
      <c r="EJ15">
        <v>60.15</v>
      </c>
      <c r="EK15">
        <v>4</v>
      </c>
    </row>
    <row r="16" spans="1:141" x14ac:dyDescent="0.25">
      <c r="A16">
        <v>81</v>
      </c>
      <c r="B16">
        <v>1</v>
      </c>
      <c r="C16">
        <v>1</v>
      </c>
      <c r="D16">
        <v>2025</v>
      </c>
      <c r="E16">
        <v>1</v>
      </c>
      <c r="F16" t="str">
        <f>VLOOKUP(G16, Map!$A$1:$B$33, 2, FALSE)</f>
        <v>BUF</v>
      </c>
      <c r="G16" t="s">
        <v>165</v>
      </c>
      <c r="H16" t="str">
        <f>VLOOKUP(I16, Map!$A$1:$B$33, 2, FALSE)</f>
        <v>BAL</v>
      </c>
      <c r="I16" t="s">
        <v>146</v>
      </c>
      <c r="J16">
        <v>0</v>
      </c>
      <c r="K16">
        <v>0</v>
      </c>
      <c r="L16">
        <v>0</v>
      </c>
      <c r="M16">
        <v>1</v>
      </c>
      <c r="N16">
        <v>5</v>
      </c>
      <c r="O16">
        <v>2</v>
      </c>
      <c r="P16">
        <v>20.857143000000001</v>
      </c>
      <c r="Q16">
        <v>29.571428000000001</v>
      </c>
      <c r="R16">
        <v>61</v>
      </c>
      <c r="S16">
        <v>1</v>
      </c>
      <c r="T16">
        <v>0.71428572999999995</v>
      </c>
      <c r="U16">
        <v>2</v>
      </c>
      <c r="V16">
        <v>1</v>
      </c>
      <c r="W16">
        <v>3</v>
      </c>
      <c r="X16">
        <v>1</v>
      </c>
      <c r="Y16">
        <v>2</v>
      </c>
      <c r="Z16">
        <v>1</v>
      </c>
      <c r="AA16">
        <v>3</v>
      </c>
      <c r="AB16">
        <v>1</v>
      </c>
      <c r="AC16">
        <v>14</v>
      </c>
      <c r="AD16">
        <v>4</v>
      </c>
      <c r="AE16">
        <v>8</v>
      </c>
      <c r="AF16">
        <v>9</v>
      </c>
      <c r="AG16">
        <v>68</v>
      </c>
      <c r="AH16">
        <v>0</v>
      </c>
      <c r="AI16">
        <v>2</v>
      </c>
      <c r="AJ16">
        <v>5</v>
      </c>
      <c r="AK16">
        <v>30</v>
      </c>
      <c r="AL16">
        <v>24.857143000000001</v>
      </c>
      <c r="AM16">
        <v>-36</v>
      </c>
      <c r="AN16">
        <v>1</v>
      </c>
      <c r="AO16">
        <v>0.28571429999999998</v>
      </c>
      <c r="AP16">
        <v>1</v>
      </c>
      <c r="AQ16">
        <v>0</v>
      </c>
      <c r="AR16">
        <v>2</v>
      </c>
      <c r="AS16">
        <v>3</v>
      </c>
      <c r="AT16">
        <v>0</v>
      </c>
      <c r="AU16">
        <v>2</v>
      </c>
      <c r="AV16">
        <v>1</v>
      </c>
      <c r="AW16">
        <v>3</v>
      </c>
      <c r="AX16">
        <v>10</v>
      </c>
      <c r="AY16">
        <v>7</v>
      </c>
      <c r="AZ16">
        <v>7</v>
      </c>
      <c r="BA16">
        <v>9</v>
      </c>
      <c r="BB16">
        <v>61</v>
      </c>
      <c r="BC16">
        <v>62</v>
      </c>
      <c r="BD16">
        <v>4.5</v>
      </c>
      <c r="BE16">
        <v>0</v>
      </c>
      <c r="BF16">
        <v>0</v>
      </c>
      <c r="BG16">
        <v>50.469000000000001</v>
      </c>
      <c r="BH16">
        <v>84.197999999999993</v>
      </c>
      <c r="BI16">
        <v>49.136000000000003</v>
      </c>
      <c r="BJ16">
        <v>6.1429999999999998</v>
      </c>
      <c r="BK16">
        <v>73.664000000000001</v>
      </c>
      <c r="BL16">
        <v>31.620999999999999</v>
      </c>
      <c r="BM16">
        <v>0.57199999999999995</v>
      </c>
      <c r="BN16">
        <v>49.136000000000003</v>
      </c>
      <c r="BO16">
        <v>84.197999999999993</v>
      </c>
      <c r="BP16">
        <v>0</v>
      </c>
      <c r="BQ16">
        <v>50.469000000000001</v>
      </c>
      <c r="BR16">
        <v>-0.57199999999999995</v>
      </c>
      <c r="BS16">
        <v>26.335999999999999</v>
      </c>
      <c r="BT16">
        <v>93.856999999999999</v>
      </c>
      <c r="BU16">
        <v>68.379000000000005</v>
      </c>
      <c r="BV16">
        <v>2334</v>
      </c>
      <c r="BW16">
        <v>67.488</v>
      </c>
      <c r="BX16">
        <v>218.42857000000001</v>
      </c>
      <c r="BY16">
        <v>22</v>
      </c>
      <c r="BZ16">
        <v>395</v>
      </c>
      <c r="CA16">
        <v>7.9509999999999996</v>
      </c>
      <c r="CB16">
        <v>1576</v>
      </c>
      <c r="CC16">
        <v>164.429</v>
      </c>
      <c r="CD16">
        <v>5.2080000000000002</v>
      </c>
      <c r="CE16">
        <v>13</v>
      </c>
      <c r="CF16">
        <v>2719</v>
      </c>
      <c r="CG16">
        <v>12</v>
      </c>
      <c r="CH16">
        <v>230.571</v>
      </c>
      <c r="CI16">
        <v>11.781000000000001</v>
      </c>
      <c r="CJ16">
        <v>5.8639999999999999</v>
      </c>
      <c r="CK16">
        <v>5.35</v>
      </c>
      <c r="CL16">
        <v>0</v>
      </c>
      <c r="CM16">
        <v>22</v>
      </c>
      <c r="CN16">
        <v>0</v>
      </c>
      <c r="CO16">
        <v>95.454999999999998</v>
      </c>
      <c r="CP16">
        <v>92.308000000000007</v>
      </c>
      <c r="CQ16">
        <v>12</v>
      </c>
      <c r="CR16">
        <v>57</v>
      </c>
      <c r="CS16">
        <v>8</v>
      </c>
      <c r="CT16">
        <v>22</v>
      </c>
      <c r="CU16">
        <v>10</v>
      </c>
      <c r="CV16">
        <v>0</v>
      </c>
      <c r="CW16">
        <v>12</v>
      </c>
      <c r="CX16">
        <v>207</v>
      </c>
      <c r="CY16">
        <v>23.143000000000001</v>
      </c>
      <c r="CZ16">
        <v>60</v>
      </c>
      <c r="DA16">
        <v>43.75</v>
      </c>
      <c r="DB16">
        <v>73.47</v>
      </c>
      <c r="DC16">
        <v>2</v>
      </c>
      <c r="DD16">
        <v>2046</v>
      </c>
      <c r="DE16">
        <v>69.73</v>
      </c>
      <c r="DF16">
        <v>182.28572</v>
      </c>
      <c r="DG16">
        <v>19</v>
      </c>
      <c r="DH16">
        <v>337.14285000000001</v>
      </c>
      <c r="DI16">
        <v>7.7080000000000002</v>
      </c>
      <c r="DJ16">
        <v>1139</v>
      </c>
      <c r="DK16">
        <v>133.429</v>
      </c>
      <c r="DL16">
        <v>5.2770000000000001</v>
      </c>
      <c r="DM16">
        <v>8</v>
      </c>
      <c r="DN16">
        <v>2456</v>
      </c>
      <c r="DO16">
        <v>11</v>
      </c>
      <c r="DP16">
        <v>203.714</v>
      </c>
      <c r="DQ16">
        <v>11.054</v>
      </c>
      <c r="DR16">
        <v>6.8890000000000002</v>
      </c>
      <c r="DS16">
        <v>2.4089999999999998</v>
      </c>
      <c r="DT16">
        <v>1</v>
      </c>
      <c r="DU16">
        <v>9</v>
      </c>
      <c r="DV16">
        <v>0</v>
      </c>
      <c r="DW16">
        <v>94.736999999999995</v>
      </c>
      <c r="DX16">
        <v>92.308000000000007</v>
      </c>
      <c r="DY16">
        <v>12</v>
      </c>
      <c r="DZ16">
        <v>54</v>
      </c>
      <c r="EA16">
        <v>5.8330000000000002</v>
      </c>
      <c r="EB16">
        <v>8</v>
      </c>
      <c r="EC16">
        <v>19</v>
      </c>
      <c r="ED16">
        <v>6</v>
      </c>
      <c r="EE16">
        <v>11</v>
      </c>
      <c r="EF16">
        <v>174</v>
      </c>
      <c r="EG16">
        <v>18.143000000000001</v>
      </c>
      <c r="EH16">
        <v>38.462000000000003</v>
      </c>
      <c r="EI16">
        <v>40.506</v>
      </c>
      <c r="EJ16">
        <v>52.38</v>
      </c>
      <c r="EK16">
        <v>-6</v>
      </c>
    </row>
    <row r="17" spans="1:141" x14ac:dyDescent="0.25">
      <c r="A17">
        <v>51</v>
      </c>
      <c r="B17">
        <v>-3</v>
      </c>
      <c r="C17">
        <v>0</v>
      </c>
      <c r="D17">
        <v>2025</v>
      </c>
      <c r="E17">
        <v>1</v>
      </c>
      <c r="F17" t="str">
        <f>VLOOKUP(G17, Map!$A$1:$B$33, 2, FALSE)</f>
        <v>CHI</v>
      </c>
      <c r="G17" t="s">
        <v>163</v>
      </c>
      <c r="H17" t="str">
        <f>VLOOKUP(I17, Map!$A$1:$B$33, 2, FALSE)</f>
        <v>MIN</v>
      </c>
      <c r="I17" t="s">
        <v>153</v>
      </c>
      <c r="J17">
        <v>0</v>
      </c>
      <c r="K17">
        <v>0</v>
      </c>
      <c r="L17">
        <v>0</v>
      </c>
      <c r="M17">
        <v>0</v>
      </c>
      <c r="N17">
        <v>4</v>
      </c>
      <c r="O17">
        <v>3</v>
      </c>
      <c r="P17">
        <v>26.428571999999999</v>
      </c>
      <c r="Q17">
        <v>24</v>
      </c>
      <c r="R17">
        <v>-17</v>
      </c>
      <c r="S17">
        <v>-1</v>
      </c>
      <c r="T17">
        <v>0.57142859999999995</v>
      </c>
      <c r="U17">
        <v>0</v>
      </c>
      <c r="V17">
        <v>2</v>
      </c>
      <c r="W17">
        <v>2</v>
      </c>
      <c r="X17">
        <v>1</v>
      </c>
      <c r="Y17">
        <v>2</v>
      </c>
      <c r="Z17">
        <v>2</v>
      </c>
      <c r="AA17">
        <v>3</v>
      </c>
      <c r="AB17">
        <v>2</v>
      </c>
      <c r="AC17">
        <v>3</v>
      </c>
      <c r="AD17">
        <v>14</v>
      </c>
      <c r="AE17">
        <v>5</v>
      </c>
      <c r="AF17">
        <v>11</v>
      </c>
      <c r="AG17">
        <v>61</v>
      </c>
      <c r="AH17">
        <v>1</v>
      </c>
      <c r="AI17">
        <v>3</v>
      </c>
      <c r="AJ17">
        <v>4</v>
      </c>
      <c r="AK17">
        <v>23.142856999999999</v>
      </c>
      <c r="AL17">
        <v>22.142856999999999</v>
      </c>
      <c r="AM17">
        <v>-7</v>
      </c>
      <c r="AN17">
        <v>-2</v>
      </c>
      <c r="AO17">
        <v>0.42857142999999998</v>
      </c>
      <c r="AP17">
        <v>1</v>
      </c>
      <c r="AQ17">
        <v>0</v>
      </c>
      <c r="AR17">
        <v>1</v>
      </c>
      <c r="AS17">
        <v>2</v>
      </c>
      <c r="AT17">
        <v>2</v>
      </c>
      <c r="AU17">
        <v>2</v>
      </c>
      <c r="AV17">
        <v>1</v>
      </c>
      <c r="AW17">
        <v>2</v>
      </c>
      <c r="AX17">
        <v>13</v>
      </c>
      <c r="AY17">
        <v>4</v>
      </c>
      <c r="AZ17">
        <v>7</v>
      </c>
      <c r="BA17">
        <v>9</v>
      </c>
      <c r="BB17">
        <v>61</v>
      </c>
      <c r="BC17">
        <v>44</v>
      </c>
      <c r="BD17">
        <v>1</v>
      </c>
      <c r="BE17">
        <v>0</v>
      </c>
      <c r="BF17">
        <v>0</v>
      </c>
      <c r="BG17">
        <v>51.875</v>
      </c>
      <c r="BH17">
        <v>54.86</v>
      </c>
      <c r="BI17">
        <v>47.741999999999997</v>
      </c>
      <c r="BJ17">
        <v>75.126000000000005</v>
      </c>
      <c r="BK17">
        <v>29.966999999999999</v>
      </c>
      <c r="BL17">
        <v>43.622999999999998</v>
      </c>
      <c r="BM17">
        <v>0.73299999999999998</v>
      </c>
      <c r="BN17">
        <v>47.741999999999997</v>
      </c>
      <c r="BO17">
        <v>54.86</v>
      </c>
      <c r="BP17">
        <v>0</v>
      </c>
      <c r="BQ17">
        <v>51.875</v>
      </c>
      <c r="BR17">
        <v>-0.73299999999999998</v>
      </c>
      <c r="BS17">
        <v>70.033000000000001</v>
      </c>
      <c r="BT17">
        <v>24.873999999999999</v>
      </c>
      <c r="BU17">
        <v>56.377000000000002</v>
      </c>
      <c r="BV17">
        <v>2157</v>
      </c>
      <c r="BW17">
        <v>61.947000000000003</v>
      </c>
      <c r="BX17">
        <v>225.57142999999999</v>
      </c>
      <c r="BY17">
        <v>26</v>
      </c>
      <c r="BZ17">
        <v>362.14285000000001</v>
      </c>
      <c r="CA17">
        <v>7.2880000000000003</v>
      </c>
      <c r="CB17">
        <v>1087</v>
      </c>
      <c r="CC17">
        <v>124.571</v>
      </c>
      <c r="CD17">
        <v>4.4039999999999999</v>
      </c>
      <c r="CE17">
        <v>7</v>
      </c>
      <c r="CF17">
        <v>2678</v>
      </c>
      <c r="CG17">
        <v>9</v>
      </c>
      <c r="CH17">
        <v>237.571</v>
      </c>
      <c r="CI17">
        <v>11.763999999999999</v>
      </c>
      <c r="CJ17">
        <v>4.5709999999999997</v>
      </c>
      <c r="CK17">
        <v>2.9409999999999998</v>
      </c>
      <c r="CL17">
        <v>1</v>
      </c>
      <c r="CM17">
        <v>14</v>
      </c>
      <c r="CN17">
        <v>0</v>
      </c>
      <c r="CO17">
        <v>100</v>
      </c>
      <c r="CP17">
        <v>85</v>
      </c>
      <c r="CQ17">
        <v>17</v>
      </c>
      <c r="CR17">
        <v>66</v>
      </c>
      <c r="CS17">
        <v>11.909000000000001</v>
      </c>
      <c r="CT17">
        <v>24</v>
      </c>
      <c r="CU17">
        <v>7</v>
      </c>
      <c r="CV17">
        <v>6</v>
      </c>
      <c r="CW17">
        <v>9</v>
      </c>
      <c r="CX17">
        <v>168</v>
      </c>
      <c r="CY17">
        <v>19.286000000000001</v>
      </c>
      <c r="CZ17">
        <v>37.5</v>
      </c>
      <c r="DA17">
        <v>41.110999999999997</v>
      </c>
      <c r="DB17">
        <v>57.14</v>
      </c>
      <c r="DC17">
        <v>10</v>
      </c>
      <c r="DD17">
        <v>1981</v>
      </c>
      <c r="DE17">
        <v>63.927</v>
      </c>
      <c r="DF17">
        <v>202.71428</v>
      </c>
      <c r="DG17">
        <v>21</v>
      </c>
      <c r="DH17">
        <v>321.14285000000001</v>
      </c>
      <c r="DI17">
        <v>7.2649999999999997</v>
      </c>
      <c r="DJ17">
        <v>772</v>
      </c>
      <c r="DK17">
        <v>93.856999999999999</v>
      </c>
      <c r="DL17">
        <v>4.2939999999999996</v>
      </c>
      <c r="DM17">
        <v>5</v>
      </c>
      <c r="DN17">
        <v>2606</v>
      </c>
      <c r="DO17">
        <v>9</v>
      </c>
      <c r="DP17">
        <v>227.286</v>
      </c>
      <c r="DQ17">
        <v>11.364000000000001</v>
      </c>
      <c r="DR17">
        <v>6.2220000000000004</v>
      </c>
      <c r="DS17">
        <v>3.3570000000000002</v>
      </c>
      <c r="DT17">
        <v>2</v>
      </c>
      <c r="DU17">
        <v>18</v>
      </c>
      <c r="DV17">
        <v>0</v>
      </c>
      <c r="DW17">
        <v>100</v>
      </c>
      <c r="DX17">
        <v>87.5</v>
      </c>
      <c r="DY17">
        <v>14</v>
      </c>
      <c r="DZ17">
        <v>55</v>
      </c>
      <c r="EA17">
        <v>7.8179999999999996</v>
      </c>
      <c r="EB17">
        <v>10</v>
      </c>
      <c r="EC17">
        <v>29</v>
      </c>
      <c r="ED17">
        <v>12</v>
      </c>
      <c r="EE17">
        <v>9</v>
      </c>
      <c r="EF17">
        <v>155</v>
      </c>
      <c r="EG17">
        <v>17.428999999999998</v>
      </c>
      <c r="EH17">
        <v>62.5</v>
      </c>
      <c r="EI17">
        <v>33.332999999999998</v>
      </c>
      <c r="EJ17">
        <v>70.13</v>
      </c>
      <c r="EK17">
        <v>-4</v>
      </c>
    </row>
    <row r="18" spans="1:141" x14ac:dyDescent="0.25">
      <c r="A18">
        <v>45</v>
      </c>
      <c r="B18">
        <v>9</v>
      </c>
      <c r="C18">
        <v>1</v>
      </c>
      <c r="D18">
        <v>2025</v>
      </c>
      <c r="E18">
        <v>2</v>
      </c>
      <c r="F18" t="str">
        <f>VLOOKUP(G18, Map!$A$1:$B$33, 2, FALSE)</f>
        <v>GB</v>
      </c>
      <c r="G18" t="s">
        <v>154</v>
      </c>
      <c r="H18" t="str">
        <f>VLOOKUP(I18, Map!$A$1:$B$33, 2, FALSE)</f>
        <v>WAS</v>
      </c>
      <c r="I18" t="s">
        <v>148</v>
      </c>
      <c r="J18">
        <v>0</v>
      </c>
      <c r="K18">
        <v>0</v>
      </c>
      <c r="L18">
        <v>0</v>
      </c>
      <c r="M18">
        <v>1</v>
      </c>
      <c r="N18">
        <v>5</v>
      </c>
      <c r="O18">
        <v>1</v>
      </c>
      <c r="P18">
        <v>21.428571999999999</v>
      </c>
      <c r="Q18">
        <v>27.571428000000001</v>
      </c>
      <c r="R18">
        <v>43</v>
      </c>
      <c r="S18">
        <v>3</v>
      </c>
      <c r="T18">
        <v>0.78571427000000005</v>
      </c>
      <c r="U18">
        <v>1</v>
      </c>
      <c r="V18">
        <v>0</v>
      </c>
      <c r="W18">
        <v>3</v>
      </c>
      <c r="X18">
        <v>0</v>
      </c>
      <c r="Y18">
        <v>2</v>
      </c>
      <c r="Z18">
        <v>1</v>
      </c>
      <c r="AA18">
        <v>3</v>
      </c>
      <c r="AB18">
        <v>0</v>
      </c>
      <c r="AC18">
        <v>8</v>
      </c>
      <c r="AD18">
        <v>8</v>
      </c>
      <c r="AE18">
        <v>8</v>
      </c>
      <c r="AF18">
        <v>8</v>
      </c>
      <c r="AG18">
        <v>61</v>
      </c>
      <c r="AH18">
        <v>0</v>
      </c>
      <c r="AI18">
        <v>3</v>
      </c>
      <c r="AJ18">
        <v>5</v>
      </c>
      <c r="AK18">
        <v>24.75</v>
      </c>
      <c r="AL18">
        <v>23.375</v>
      </c>
      <c r="AM18">
        <v>-11</v>
      </c>
      <c r="AN18">
        <v>-3</v>
      </c>
      <c r="AO18">
        <v>0.375</v>
      </c>
      <c r="AP18">
        <v>1</v>
      </c>
      <c r="AQ18">
        <v>1</v>
      </c>
      <c r="AR18">
        <v>2</v>
      </c>
      <c r="AS18">
        <v>1</v>
      </c>
      <c r="AT18">
        <v>1</v>
      </c>
      <c r="AU18">
        <v>4</v>
      </c>
      <c r="AV18">
        <v>1</v>
      </c>
      <c r="AW18">
        <v>4</v>
      </c>
      <c r="AX18">
        <v>7</v>
      </c>
      <c r="AY18">
        <v>8</v>
      </c>
      <c r="AZ18">
        <v>7</v>
      </c>
      <c r="BA18">
        <v>8</v>
      </c>
      <c r="BB18">
        <v>65</v>
      </c>
      <c r="BC18">
        <v>46</v>
      </c>
      <c r="BD18">
        <v>-7</v>
      </c>
      <c r="BE18">
        <v>0</v>
      </c>
      <c r="BF18">
        <v>0</v>
      </c>
      <c r="BG18">
        <v>58.366999999999997</v>
      </c>
      <c r="BH18">
        <v>75.861000000000004</v>
      </c>
      <c r="BI18">
        <v>41.301000000000002</v>
      </c>
      <c r="BJ18">
        <v>82.703999999999994</v>
      </c>
      <c r="BK18">
        <v>76.262</v>
      </c>
      <c r="BL18">
        <v>83.765000000000001</v>
      </c>
      <c r="BM18">
        <v>3.5859999999999999</v>
      </c>
      <c r="BN18">
        <v>41.301000000000002</v>
      </c>
      <c r="BO18">
        <v>75.861000000000004</v>
      </c>
      <c r="BP18">
        <v>0</v>
      </c>
      <c r="BQ18">
        <v>58.366999999999997</v>
      </c>
      <c r="BR18">
        <v>-3.5859999999999999</v>
      </c>
      <c r="BS18">
        <v>23.738</v>
      </c>
      <c r="BT18">
        <v>17.295999999999999</v>
      </c>
      <c r="BU18">
        <v>16.234999999999999</v>
      </c>
      <c r="BV18">
        <v>2648</v>
      </c>
      <c r="BW18">
        <v>70.891999999999996</v>
      </c>
      <c r="BX18">
        <v>245</v>
      </c>
      <c r="BY18">
        <v>26</v>
      </c>
      <c r="BZ18">
        <v>371</v>
      </c>
      <c r="CA18">
        <v>8.4410000000000007</v>
      </c>
      <c r="CB18">
        <v>1099</v>
      </c>
      <c r="CC18">
        <v>114.143</v>
      </c>
      <c r="CD18">
        <v>3.9359999999999999</v>
      </c>
      <c r="CE18">
        <v>9</v>
      </c>
      <c r="CF18">
        <v>3008</v>
      </c>
      <c r="CG18">
        <v>13</v>
      </c>
      <c r="CH18">
        <v>256.85700000000003</v>
      </c>
      <c r="CI18">
        <v>11.907</v>
      </c>
      <c r="CJ18">
        <v>6.1429999999999998</v>
      </c>
      <c r="CK18">
        <v>6.75</v>
      </c>
      <c r="CL18">
        <v>0</v>
      </c>
      <c r="CM18">
        <v>21</v>
      </c>
      <c r="CN18">
        <v>0</v>
      </c>
      <c r="CO18">
        <v>95.238</v>
      </c>
      <c r="CP18">
        <v>76.471000000000004</v>
      </c>
      <c r="CQ18">
        <v>13</v>
      </c>
      <c r="CR18">
        <v>59</v>
      </c>
      <c r="CS18">
        <v>11.909000000000001</v>
      </c>
      <c r="CT18">
        <v>22</v>
      </c>
      <c r="CU18">
        <v>6</v>
      </c>
      <c r="CV18">
        <v>0</v>
      </c>
      <c r="CW18">
        <v>13</v>
      </c>
      <c r="CX18">
        <v>193</v>
      </c>
      <c r="CY18">
        <v>21</v>
      </c>
      <c r="CZ18">
        <v>75</v>
      </c>
      <c r="DA18">
        <v>48.276000000000003</v>
      </c>
      <c r="DB18">
        <v>78.569999999999993</v>
      </c>
      <c r="DC18">
        <v>1</v>
      </c>
      <c r="DD18">
        <v>2360</v>
      </c>
      <c r="DE18">
        <v>61.966000000000001</v>
      </c>
      <c r="DF18">
        <v>196.625</v>
      </c>
      <c r="DG18">
        <v>20</v>
      </c>
      <c r="DH18">
        <v>346.5</v>
      </c>
      <c r="DI18">
        <v>7.1369999999999996</v>
      </c>
      <c r="DJ18">
        <v>1342</v>
      </c>
      <c r="DK18">
        <v>137.75</v>
      </c>
      <c r="DL18">
        <v>5.1980000000000004</v>
      </c>
      <c r="DM18">
        <v>9</v>
      </c>
      <c r="DN18">
        <v>2815</v>
      </c>
      <c r="DO18">
        <v>12</v>
      </c>
      <c r="DP18">
        <v>208.75</v>
      </c>
      <c r="DQ18">
        <v>11.516999999999999</v>
      </c>
      <c r="DR18">
        <v>6.1360000000000001</v>
      </c>
      <c r="DS18">
        <v>5.9470000000000001</v>
      </c>
      <c r="DT18">
        <v>1</v>
      </c>
      <c r="DU18">
        <v>22</v>
      </c>
      <c r="DV18">
        <v>0</v>
      </c>
      <c r="DW18">
        <v>100</v>
      </c>
      <c r="DX18">
        <v>71.429000000000002</v>
      </c>
      <c r="DY18">
        <v>10</v>
      </c>
      <c r="DZ18">
        <v>49</v>
      </c>
      <c r="EA18">
        <v>4</v>
      </c>
      <c r="EB18">
        <v>11</v>
      </c>
      <c r="EC18">
        <v>25</v>
      </c>
      <c r="ED18">
        <v>8</v>
      </c>
      <c r="EE18">
        <v>12</v>
      </c>
      <c r="EF18">
        <v>187</v>
      </c>
      <c r="EG18">
        <v>18.75</v>
      </c>
      <c r="EH18">
        <v>45.454999999999998</v>
      </c>
      <c r="EI18">
        <v>38.636000000000003</v>
      </c>
      <c r="EJ18">
        <v>79.290000000000006</v>
      </c>
      <c r="EK18">
        <v>-5</v>
      </c>
    </row>
    <row r="19" spans="1:141" x14ac:dyDescent="0.25">
      <c r="A19">
        <v>58</v>
      </c>
      <c r="B19">
        <v>4</v>
      </c>
      <c r="C19">
        <v>1</v>
      </c>
      <c r="D19">
        <v>2025</v>
      </c>
      <c r="E19">
        <v>2</v>
      </c>
      <c r="F19" t="str">
        <f>VLOOKUP(G19, Map!$A$1:$B$33, 2, FALSE)</f>
        <v>CIN</v>
      </c>
      <c r="G19" t="s">
        <v>161</v>
      </c>
      <c r="H19" t="str">
        <f>VLOOKUP(I19, Map!$A$1:$B$33, 2, FALSE)</f>
        <v>JAX</v>
      </c>
      <c r="I19" t="s">
        <v>139</v>
      </c>
      <c r="J19">
        <v>0</v>
      </c>
      <c r="K19">
        <v>0</v>
      </c>
      <c r="L19">
        <v>0</v>
      </c>
      <c r="M19">
        <v>1</v>
      </c>
      <c r="N19">
        <v>3</v>
      </c>
      <c r="O19">
        <v>5</v>
      </c>
      <c r="P19">
        <v>31.625</v>
      </c>
      <c r="Q19">
        <v>21.75</v>
      </c>
      <c r="R19">
        <v>-79</v>
      </c>
      <c r="S19">
        <v>-1</v>
      </c>
      <c r="T19">
        <v>0.375</v>
      </c>
      <c r="U19">
        <v>2</v>
      </c>
      <c r="V19">
        <v>0</v>
      </c>
      <c r="W19">
        <v>2</v>
      </c>
      <c r="X19">
        <v>2</v>
      </c>
      <c r="Y19">
        <v>1</v>
      </c>
      <c r="Z19">
        <v>3</v>
      </c>
      <c r="AA19">
        <v>3</v>
      </c>
      <c r="AB19">
        <v>2</v>
      </c>
      <c r="AC19">
        <v>14</v>
      </c>
      <c r="AD19">
        <v>4</v>
      </c>
      <c r="AE19">
        <v>13</v>
      </c>
      <c r="AF19">
        <v>5</v>
      </c>
      <c r="AG19">
        <v>59</v>
      </c>
      <c r="AH19">
        <v>0</v>
      </c>
      <c r="AI19">
        <v>4</v>
      </c>
      <c r="AJ19">
        <v>3</v>
      </c>
      <c r="AK19">
        <v>22.142856999999999</v>
      </c>
      <c r="AL19">
        <v>20.857143000000001</v>
      </c>
      <c r="AM19">
        <v>-9</v>
      </c>
      <c r="AN19">
        <v>-2</v>
      </c>
      <c r="AO19">
        <v>0.57142859999999995</v>
      </c>
      <c r="AP19">
        <v>1</v>
      </c>
      <c r="AQ19">
        <v>0</v>
      </c>
      <c r="AR19">
        <v>3</v>
      </c>
      <c r="AS19">
        <v>2</v>
      </c>
      <c r="AT19">
        <v>1</v>
      </c>
      <c r="AU19">
        <v>1</v>
      </c>
      <c r="AV19">
        <v>2</v>
      </c>
      <c r="AW19">
        <v>1</v>
      </c>
      <c r="AX19">
        <v>10</v>
      </c>
      <c r="AY19">
        <v>8</v>
      </c>
      <c r="AZ19">
        <v>9</v>
      </c>
      <c r="BA19">
        <v>9</v>
      </c>
      <c r="BB19">
        <v>58</v>
      </c>
      <c r="BC19">
        <v>52</v>
      </c>
      <c r="BD19">
        <v>0</v>
      </c>
      <c r="BE19">
        <v>0</v>
      </c>
      <c r="BF19">
        <v>0</v>
      </c>
      <c r="BG19">
        <v>59.906999999999996</v>
      </c>
      <c r="BH19">
        <v>54.814</v>
      </c>
      <c r="BI19">
        <v>39.774000000000001</v>
      </c>
      <c r="BJ19">
        <v>48.228999999999999</v>
      </c>
      <c r="BK19">
        <v>54.405999999999999</v>
      </c>
      <c r="BL19">
        <v>57.875999999999998</v>
      </c>
      <c r="BM19">
        <v>3.99</v>
      </c>
      <c r="BN19">
        <v>39.774000000000001</v>
      </c>
      <c r="BO19">
        <v>54.814</v>
      </c>
      <c r="BP19">
        <v>0</v>
      </c>
      <c r="BQ19">
        <v>59.906999999999996</v>
      </c>
      <c r="BR19">
        <v>-3.99</v>
      </c>
      <c r="BS19">
        <v>45.594000000000001</v>
      </c>
      <c r="BT19">
        <v>51.771000000000001</v>
      </c>
      <c r="BU19">
        <v>42.124000000000002</v>
      </c>
      <c r="BV19">
        <v>2540</v>
      </c>
      <c r="BW19">
        <v>63.636000000000003</v>
      </c>
      <c r="BX19">
        <v>202</v>
      </c>
      <c r="BY19">
        <v>15</v>
      </c>
      <c r="BZ19">
        <v>299.125</v>
      </c>
      <c r="CA19">
        <v>6.0490000000000004</v>
      </c>
      <c r="CB19">
        <v>793</v>
      </c>
      <c r="CC19">
        <v>82.875</v>
      </c>
      <c r="CD19">
        <v>4.3049999999999997</v>
      </c>
      <c r="CE19">
        <v>5</v>
      </c>
      <c r="CF19">
        <v>3165</v>
      </c>
      <c r="CG19">
        <v>15</v>
      </c>
      <c r="CH19">
        <v>216.25</v>
      </c>
      <c r="CI19">
        <v>9.5050000000000008</v>
      </c>
      <c r="CJ19">
        <v>5.2729999999999997</v>
      </c>
      <c r="CK19">
        <v>3.3570000000000002</v>
      </c>
      <c r="CL19">
        <v>0</v>
      </c>
      <c r="CM19">
        <v>11</v>
      </c>
      <c r="CN19">
        <v>0</v>
      </c>
      <c r="CO19">
        <v>100</v>
      </c>
      <c r="CP19">
        <v>84.614999999999995</v>
      </c>
      <c r="CQ19">
        <v>11</v>
      </c>
      <c r="CR19">
        <v>52</v>
      </c>
      <c r="CS19">
        <v>11.523999999999999</v>
      </c>
      <c r="CT19">
        <v>37</v>
      </c>
      <c r="CU19">
        <v>11</v>
      </c>
      <c r="CV19">
        <v>0</v>
      </c>
      <c r="CW19">
        <v>15</v>
      </c>
      <c r="CX19">
        <v>174</v>
      </c>
      <c r="CY19">
        <v>18.5</v>
      </c>
      <c r="CZ19">
        <v>80</v>
      </c>
      <c r="DA19">
        <v>39.393999999999998</v>
      </c>
      <c r="DB19">
        <v>79.87</v>
      </c>
      <c r="DC19">
        <v>-2</v>
      </c>
      <c r="DD19">
        <v>2100</v>
      </c>
      <c r="DE19">
        <v>58.686999999999998</v>
      </c>
      <c r="DF19">
        <v>215.14285000000001</v>
      </c>
      <c r="DG19">
        <v>21</v>
      </c>
      <c r="DH19">
        <v>351.14285000000001</v>
      </c>
      <c r="DI19">
        <v>6.2549999999999999</v>
      </c>
      <c r="DJ19">
        <v>1033</v>
      </c>
      <c r="DK19">
        <v>119.714</v>
      </c>
      <c r="DL19">
        <v>4.6820000000000004</v>
      </c>
      <c r="DM19">
        <v>6</v>
      </c>
      <c r="DN19">
        <v>2695</v>
      </c>
      <c r="DO19">
        <v>9</v>
      </c>
      <c r="DP19">
        <v>231.429</v>
      </c>
      <c r="DQ19">
        <v>10.657999999999999</v>
      </c>
      <c r="DR19">
        <v>7.375</v>
      </c>
      <c r="DS19">
        <v>3.1880000000000002</v>
      </c>
      <c r="DT19">
        <v>2</v>
      </c>
      <c r="DU19">
        <v>8</v>
      </c>
      <c r="DV19">
        <v>0</v>
      </c>
      <c r="DW19">
        <v>93.332999999999998</v>
      </c>
      <c r="DX19">
        <v>71.429000000000002</v>
      </c>
      <c r="DY19">
        <v>10</v>
      </c>
      <c r="DZ19">
        <v>44</v>
      </c>
      <c r="EA19">
        <v>4.4290000000000003</v>
      </c>
      <c r="EB19">
        <v>10</v>
      </c>
      <c r="EC19">
        <v>30</v>
      </c>
      <c r="ED19">
        <v>12</v>
      </c>
      <c r="EE19">
        <v>9</v>
      </c>
      <c r="EF19">
        <v>146</v>
      </c>
      <c r="EG19">
        <v>19.143000000000001</v>
      </c>
      <c r="EH19">
        <v>53.332999999999998</v>
      </c>
      <c r="EI19">
        <v>32.978999999999999</v>
      </c>
      <c r="EJ19">
        <v>59.74</v>
      </c>
      <c r="EK19">
        <v>8</v>
      </c>
    </row>
    <row r="20" spans="1:141" x14ac:dyDescent="0.25">
      <c r="A20">
        <v>77</v>
      </c>
      <c r="B20">
        <v>3</v>
      </c>
      <c r="C20">
        <v>1</v>
      </c>
      <c r="D20">
        <v>2025</v>
      </c>
      <c r="E20">
        <v>2</v>
      </c>
      <c r="F20" t="str">
        <f>VLOOKUP(G20, Map!$A$1:$B$33, 2, FALSE)</f>
        <v>DAL</v>
      </c>
      <c r="G20" t="s">
        <v>150</v>
      </c>
      <c r="H20" t="str">
        <f>VLOOKUP(I20, Map!$A$1:$B$33, 2, FALSE)</f>
        <v>NYG</v>
      </c>
      <c r="I20" t="s">
        <v>149</v>
      </c>
      <c r="J20">
        <v>0</v>
      </c>
      <c r="K20">
        <v>0</v>
      </c>
      <c r="L20">
        <v>0</v>
      </c>
      <c r="M20">
        <v>1</v>
      </c>
      <c r="N20">
        <v>3</v>
      </c>
      <c r="O20">
        <v>4</v>
      </c>
      <c r="P20">
        <v>31.25</v>
      </c>
      <c r="Q20">
        <v>30.75</v>
      </c>
      <c r="R20">
        <v>-4</v>
      </c>
      <c r="S20">
        <v>-1</v>
      </c>
      <c r="T20">
        <v>0.4375</v>
      </c>
      <c r="U20">
        <v>2</v>
      </c>
      <c r="V20">
        <v>1</v>
      </c>
      <c r="W20">
        <v>2</v>
      </c>
      <c r="X20">
        <v>0</v>
      </c>
      <c r="Y20">
        <v>1</v>
      </c>
      <c r="Z20">
        <v>4</v>
      </c>
      <c r="AA20">
        <v>2</v>
      </c>
      <c r="AB20">
        <v>3</v>
      </c>
      <c r="AC20">
        <v>13</v>
      </c>
      <c r="AD20">
        <v>5</v>
      </c>
      <c r="AE20">
        <v>11</v>
      </c>
      <c r="AF20">
        <v>7</v>
      </c>
      <c r="AG20">
        <v>68</v>
      </c>
      <c r="AH20">
        <v>0</v>
      </c>
      <c r="AI20">
        <v>2</v>
      </c>
      <c r="AJ20">
        <v>6</v>
      </c>
      <c r="AK20">
        <v>26.875</v>
      </c>
      <c r="AL20">
        <v>21.625</v>
      </c>
      <c r="AM20">
        <v>-42</v>
      </c>
      <c r="AN20">
        <v>-2</v>
      </c>
      <c r="AO20">
        <v>0.25</v>
      </c>
      <c r="AP20">
        <v>1</v>
      </c>
      <c r="AQ20">
        <v>3</v>
      </c>
      <c r="AR20">
        <v>2</v>
      </c>
      <c r="AS20">
        <v>1</v>
      </c>
      <c r="AT20">
        <v>0</v>
      </c>
      <c r="AU20">
        <v>5</v>
      </c>
      <c r="AV20">
        <v>1</v>
      </c>
      <c r="AW20">
        <v>4</v>
      </c>
      <c r="AX20">
        <v>10</v>
      </c>
      <c r="AY20">
        <v>7</v>
      </c>
      <c r="AZ20">
        <v>14</v>
      </c>
      <c r="BA20">
        <v>4</v>
      </c>
      <c r="BB20">
        <v>67</v>
      </c>
      <c r="BC20">
        <v>61</v>
      </c>
      <c r="BD20">
        <v>-3.5</v>
      </c>
      <c r="BE20">
        <v>0</v>
      </c>
      <c r="BF20">
        <v>0</v>
      </c>
      <c r="BG20">
        <v>65.864000000000004</v>
      </c>
      <c r="BH20">
        <v>38.067</v>
      </c>
      <c r="BI20">
        <v>33.863999999999997</v>
      </c>
      <c r="BJ20">
        <v>23.257000000000001</v>
      </c>
      <c r="BK20">
        <v>74.275999999999996</v>
      </c>
      <c r="BL20">
        <v>54.725999999999999</v>
      </c>
      <c r="BM20">
        <v>6.5529999999999999</v>
      </c>
      <c r="BN20">
        <v>33.863999999999997</v>
      </c>
      <c r="BO20">
        <v>38.067</v>
      </c>
      <c r="BP20">
        <v>0</v>
      </c>
      <c r="BQ20">
        <v>65.864000000000004</v>
      </c>
      <c r="BR20">
        <v>-6.5529999999999999</v>
      </c>
      <c r="BS20">
        <v>25.724</v>
      </c>
      <c r="BT20">
        <v>76.742999999999995</v>
      </c>
      <c r="BU20">
        <v>45.274000000000001</v>
      </c>
      <c r="BV20">
        <v>3160</v>
      </c>
      <c r="BW20">
        <v>70.233999999999995</v>
      </c>
      <c r="BX20">
        <v>263.75</v>
      </c>
      <c r="BY20">
        <v>25</v>
      </c>
      <c r="BZ20">
        <v>391.375</v>
      </c>
      <c r="CA20">
        <v>7.1909999999999998</v>
      </c>
      <c r="CB20">
        <v>1283</v>
      </c>
      <c r="CC20">
        <v>120.375</v>
      </c>
      <c r="CD20">
        <v>4.6749999999999998</v>
      </c>
      <c r="CE20">
        <v>10</v>
      </c>
      <c r="CF20">
        <v>3813</v>
      </c>
      <c r="CG20">
        <v>17</v>
      </c>
      <c r="CH20">
        <v>271</v>
      </c>
      <c r="CI20">
        <v>10.238</v>
      </c>
      <c r="CJ20">
        <v>7.7329999999999997</v>
      </c>
      <c r="CK20">
        <v>4.8099999999999996</v>
      </c>
      <c r="CL20">
        <v>1</v>
      </c>
      <c r="CM20">
        <v>15</v>
      </c>
      <c r="CN20">
        <v>0</v>
      </c>
      <c r="CO20">
        <v>96.296000000000006</v>
      </c>
      <c r="CP20">
        <v>100</v>
      </c>
      <c r="CQ20">
        <v>16</v>
      </c>
      <c r="CR20">
        <v>74</v>
      </c>
      <c r="CS20">
        <v>10</v>
      </c>
      <c r="CT20">
        <v>28</v>
      </c>
      <c r="CU20">
        <v>11</v>
      </c>
      <c r="CV20">
        <v>6</v>
      </c>
      <c r="CW20">
        <v>17</v>
      </c>
      <c r="CX20">
        <v>246</v>
      </c>
      <c r="CY20">
        <v>23.125</v>
      </c>
      <c r="CZ20">
        <v>77.778000000000006</v>
      </c>
      <c r="DA20">
        <v>43.158000000000001</v>
      </c>
      <c r="DB20">
        <v>74.19</v>
      </c>
      <c r="DC20">
        <v>-1</v>
      </c>
      <c r="DD20">
        <v>2348</v>
      </c>
      <c r="DE20">
        <v>59.448999999999998</v>
      </c>
      <c r="DF20">
        <v>207.25</v>
      </c>
      <c r="DG20">
        <v>23</v>
      </c>
      <c r="DH20">
        <v>339.25</v>
      </c>
      <c r="DI20">
        <v>6.9210000000000003</v>
      </c>
      <c r="DJ20">
        <v>1249</v>
      </c>
      <c r="DK20">
        <v>118</v>
      </c>
      <c r="DL20">
        <v>4.0339999999999998</v>
      </c>
      <c r="DM20">
        <v>10</v>
      </c>
      <c r="DN20">
        <v>2910</v>
      </c>
      <c r="DO20">
        <v>11</v>
      </c>
      <c r="DP20">
        <v>221.25</v>
      </c>
      <c r="DQ20">
        <v>11.641999999999999</v>
      </c>
      <c r="DR20">
        <v>7.2629999999999999</v>
      </c>
      <c r="DS20">
        <v>5.1740000000000004</v>
      </c>
      <c r="DT20">
        <v>0</v>
      </c>
      <c r="DU20">
        <v>19</v>
      </c>
      <c r="DV20">
        <v>0</v>
      </c>
      <c r="DW20">
        <v>78.947000000000003</v>
      </c>
      <c r="DX20">
        <v>100</v>
      </c>
      <c r="DY20">
        <v>10</v>
      </c>
      <c r="DZ20">
        <v>45</v>
      </c>
      <c r="EA20">
        <v>7.1539999999999999</v>
      </c>
      <c r="EB20">
        <v>12</v>
      </c>
      <c r="EC20">
        <v>32</v>
      </c>
      <c r="ED20">
        <v>0</v>
      </c>
      <c r="EE20">
        <v>11</v>
      </c>
      <c r="EF20">
        <v>173</v>
      </c>
      <c r="EG20">
        <v>20.625</v>
      </c>
      <c r="EH20">
        <v>52.941000000000003</v>
      </c>
      <c r="EI20">
        <v>39.814999999999998</v>
      </c>
      <c r="EJ20">
        <v>59.26</v>
      </c>
      <c r="EK20">
        <v>-4</v>
      </c>
    </row>
    <row r="21" spans="1:141" x14ac:dyDescent="0.25">
      <c r="A21">
        <v>73</v>
      </c>
      <c r="B21">
        <v>31</v>
      </c>
      <c r="C21">
        <v>1</v>
      </c>
      <c r="D21">
        <v>2025</v>
      </c>
      <c r="E21">
        <v>2</v>
      </c>
      <c r="F21" t="str">
        <f>VLOOKUP(G21, Map!$A$1:$B$33, 2, FALSE)</f>
        <v>DET</v>
      </c>
      <c r="G21" t="s">
        <v>164</v>
      </c>
      <c r="H21" t="str">
        <f>VLOOKUP(I21, Map!$A$1:$B$33, 2, FALSE)</f>
        <v>CHI</v>
      </c>
      <c r="I21" t="s">
        <v>163</v>
      </c>
      <c r="J21">
        <v>0</v>
      </c>
      <c r="K21">
        <v>0</v>
      </c>
      <c r="L21">
        <v>0</v>
      </c>
      <c r="M21">
        <v>1</v>
      </c>
      <c r="N21">
        <v>5</v>
      </c>
      <c r="O21">
        <v>2</v>
      </c>
      <c r="P21">
        <v>21.571428000000001</v>
      </c>
      <c r="Q21">
        <v>30.714285</v>
      </c>
      <c r="R21">
        <v>64</v>
      </c>
      <c r="S21">
        <v>1</v>
      </c>
      <c r="T21">
        <v>0.71428572999999995</v>
      </c>
      <c r="U21">
        <v>1</v>
      </c>
      <c r="V21">
        <v>1</v>
      </c>
      <c r="W21">
        <v>3</v>
      </c>
      <c r="X21">
        <v>0</v>
      </c>
      <c r="Y21">
        <v>2</v>
      </c>
      <c r="Z21">
        <v>2</v>
      </c>
      <c r="AA21">
        <v>2</v>
      </c>
      <c r="AB21">
        <v>1</v>
      </c>
      <c r="AC21">
        <v>8</v>
      </c>
      <c r="AD21">
        <v>8</v>
      </c>
      <c r="AE21">
        <v>11</v>
      </c>
      <c r="AF21">
        <v>5</v>
      </c>
      <c r="AG21">
        <v>73</v>
      </c>
      <c r="AH21">
        <v>0</v>
      </c>
      <c r="AI21">
        <v>4</v>
      </c>
      <c r="AJ21">
        <v>3</v>
      </c>
      <c r="AK21">
        <v>26.428571999999999</v>
      </c>
      <c r="AL21">
        <v>24</v>
      </c>
      <c r="AM21">
        <v>-17</v>
      </c>
      <c r="AN21">
        <v>-1</v>
      </c>
      <c r="AO21">
        <v>0.57142859999999995</v>
      </c>
      <c r="AP21">
        <v>0</v>
      </c>
      <c r="AQ21">
        <v>2</v>
      </c>
      <c r="AR21">
        <v>2</v>
      </c>
      <c r="AS21">
        <v>1</v>
      </c>
      <c r="AT21">
        <v>2</v>
      </c>
      <c r="AU21">
        <v>2</v>
      </c>
      <c r="AV21">
        <v>3</v>
      </c>
      <c r="AW21">
        <v>2</v>
      </c>
      <c r="AX21">
        <v>3</v>
      </c>
      <c r="AY21">
        <v>14</v>
      </c>
      <c r="AZ21">
        <v>5</v>
      </c>
      <c r="BA21">
        <v>11</v>
      </c>
      <c r="BB21">
        <v>61</v>
      </c>
      <c r="BC21">
        <v>61</v>
      </c>
      <c r="BD21">
        <v>-19</v>
      </c>
      <c r="BE21">
        <v>0</v>
      </c>
      <c r="BF21">
        <v>0</v>
      </c>
      <c r="BG21">
        <v>61.847999999999999</v>
      </c>
      <c r="BH21">
        <v>60.466999999999999</v>
      </c>
      <c r="BI21">
        <v>37.847999999999999</v>
      </c>
      <c r="BJ21">
        <v>82.114000000000004</v>
      </c>
      <c r="BK21">
        <v>97.308999999999997</v>
      </c>
      <c r="BL21">
        <v>94.900999999999996</v>
      </c>
      <c r="BM21">
        <v>4.609</v>
      </c>
      <c r="BN21">
        <v>37.847999999999999</v>
      </c>
      <c r="BO21">
        <v>60.466999999999999</v>
      </c>
      <c r="BP21">
        <v>0</v>
      </c>
      <c r="BQ21">
        <v>61.847999999999999</v>
      </c>
      <c r="BR21">
        <v>-4.609</v>
      </c>
      <c r="BS21">
        <v>2.6909999999999998</v>
      </c>
      <c r="BT21">
        <v>17.885999999999999</v>
      </c>
      <c r="BU21">
        <v>5.0990000000000002</v>
      </c>
      <c r="BV21">
        <v>2664</v>
      </c>
      <c r="BW21">
        <v>75</v>
      </c>
      <c r="BX21">
        <v>223.57142999999999</v>
      </c>
      <c r="BY21">
        <v>23</v>
      </c>
      <c r="BZ21">
        <v>367.14285000000001</v>
      </c>
      <c r="CA21">
        <v>8.01</v>
      </c>
      <c r="CB21">
        <v>1256</v>
      </c>
      <c r="CC21">
        <v>133.714</v>
      </c>
      <c r="CD21">
        <v>4.5220000000000002</v>
      </c>
      <c r="CE21">
        <v>10</v>
      </c>
      <c r="CF21">
        <v>2959</v>
      </c>
      <c r="CG21">
        <v>16</v>
      </c>
      <c r="CH21">
        <v>233.429</v>
      </c>
      <c r="CI21">
        <v>10.68</v>
      </c>
      <c r="CJ21">
        <v>6.2610000000000001</v>
      </c>
      <c r="CK21">
        <v>24.2</v>
      </c>
      <c r="CL21">
        <v>1</v>
      </c>
      <c r="CM21">
        <v>23</v>
      </c>
      <c r="CN21">
        <v>0</v>
      </c>
      <c r="CO21">
        <v>100</v>
      </c>
      <c r="CP21">
        <v>72.727000000000004</v>
      </c>
      <c r="CQ21">
        <v>8</v>
      </c>
      <c r="CR21">
        <v>51</v>
      </c>
      <c r="CS21">
        <v>10</v>
      </c>
      <c r="CT21">
        <v>27</v>
      </c>
      <c r="CU21">
        <v>14</v>
      </c>
      <c r="CV21">
        <v>8</v>
      </c>
      <c r="CW21">
        <v>16</v>
      </c>
      <c r="CX21">
        <v>215</v>
      </c>
      <c r="CY21">
        <v>19.856999999999999</v>
      </c>
      <c r="CZ21">
        <v>61.537999999999997</v>
      </c>
      <c r="DA21">
        <v>37.646999999999998</v>
      </c>
      <c r="DB21">
        <v>74.88</v>
      </c>
      <c r="DC21">
        <v>6</v>
      </c>
      <c r="DD21">
        <v>2157</v>
      </c>
      <c r="DE21">
        <v>61.947000000000003</v>
      </c>
      <c r="DF21">
        <v>225.57142999999999</v>
      </c>
      <c r="DG21">
        <v>26</v>
      </c>
      <c r="DH21">
        <v>362.14285000000001</v>
      </c>
      <c r="DI21">
        <v>7.2880000000000003</v>
      </c>
      <c r="DJ21">
        <v>1087</v>
      </c>
      <c r="DK21">
        <v>124.571</v>
      </c>
      <c r="DL21">
        <v>4.4039999999999999</v>
      </c>
      <c r="DM21">
        <v>7</v>
      </c>
      <c r="DN21">
        <v>2678</v>
      </c>
      <c r="DO21">
        <v>9</v>
      </c>
      <c r="DP21">
        <v>237.571</v>
      </c>
      <c r="DQ21">
        <v>11.763999999999999</v>
      </c>
      <c r="DR21">
        <v>4.5709999999999997</v>
      </c>
      <c r="DS21">
        <v>2.9409999999999998</v>
      </c>
      <c r="DT21">
        <v>1</v>
      </c>
      <c r="DU21">
        <v>14</v>
      </c>
      <c r="DV21">
        <v>0</v>
      </c>
      <c r="DW21">
        <v>100</v>
      </c>
      <c r="DX21">
        <v>85</v>
      </c>
      <c r="DY21">
        <v>17</v>
      </c>
      <c r="DZ21">
        <v>66</v>
      </c>
      <c r="EA21">
        <v>11.909000000000001</v>
      </c>
      <c r="EB21">
        <v>7</v>
      </c>
      <c r="EC21">
        <v>24</v>
      </c>
      <c r="ED21">
        <v>6</v>
      </c>
      <c r="EE21">
        <v>9</v>
      </c>
      <c r="EF21">
        <v>168</v>
      </c>
      <c r="EG21">
        <v>19.286000000000001</v>
      </c>
      <c r="EH21">
        <v>37.5</v>
      </c>
      <c r="EI21">
        <v>41.110999999999997</v>
      </c>
      <c r="EJ21">
        <v>57.14</v>
      </c>
      <c r="EK21">
        <v>10</v>
      </c>
    </row>
    <row r="22" spans="1:141" x14ac:dyDescent="0.25">
      <c r="A22">
        <v>52</v>
      </c>
      <c r="B22">
        <v>-14</v>
      </c>
      <c r="C22">
        <v>0</v>
      </c>
      <c r="D22">
        <v>2025</v>
      </c>
      <c r="E22">
        <v>2</v>
      </c>
      <c r="F22" t="str">
        <f>VLOOKUP(G22, Map!$A$1:$B$33, 2, FALSE)</f>
        <v>TEN</v>
      </c>
      <c r="G22" t="s">
        <v>140</v>
      </c>
      <c r="H22" t="str">
        <f>VLOOKUP(I22, Map!$A$1:$B$33, 2, FALSE)</f>
        <v>LA</v>
      </c>
      <c r="I22" t="s">
        <v>155</v>
      </c>
      <c r="J22">
        <v>0</v>
      </c>
      <c r="K22">
        <v>0</v>
      </c>
      <c r="L22">
        <v>0</v>
      </c>
      <c r="M22">
        <v>0</v>
      </c>
      <c r="N22">
        <v>1</v>
      </c>
      <c r="O22">
        <v>7</v>
      </c>
      <c r="P22">
        <v>28.75</v>
      </c>
      <c r="Q22">
        <v>13.75</v>
      </c>
      <c r="R22">
        <v>-120</v>
      </c>
      <c r="S22">
        <v>-3</v>
      </c>
      <c r="T22">
        <v>0.125</v>
      </c>
      <c r="U22">
        <v>0</v>
      </c>
      <c r="V22">
        <v>3</v>
      </c>
      <c r="W22">
        <v>0</v>
      </c>
      <c r="X22">
        <v>3</v>
      </c>
      <c r="Y22">
        <v>1</v>
      </c>
      <c r="Z22">
        <v>4</v>
      </c>
      <c r="AA22">
        <v>0</v>
      </c>
      <c r="AB22">
        <v>6</v>
      </c>
      <c r="AC22">
        <v>7</v>
      </c>
      <c r="AD22">
        <v>9</v>
      </c>
      <c r="AE22">
        <v>8</v>
      </c>
      <c r="AF22">
        <v>7</v>
      </c>
      <c r="AG22">
        <v>59</v>
      </c>
      <c r="AH22">
        <v>1</v>
      </c>
      <c r="AI22">
        <v>5</v>
      </c>
      <c r="AJ22">
        <v>2</v>
      </c>
      <c r="AK22">
        <v>16.714285</v>
      </c>
      <c r="AL22">
        <v>25</v>
      </c>
      <c r="AM22">
        <v>58</v>
      </c>
      <c r="AN22">
        <v>2</v>
      </c>
      <c r="AO22">
        <v>0.71428572999999995</v>
      </c>
      <c r="AP22">
        <v>0</v>
      </c>
      <c r="AQ22">
        <v>1</v>
      </c>
      <c r="AR22">
        <v>2</v>
      </c>
      <c r="AS22">
        <v>1</v>
      </c>
      <c r="AT22">
        <v>3</v>
      </c>
      <c r="AU22">
        <v>1</v>
      </c>
      <c r="AV22">
        <v>0</v>
      </c>
      <c r="AW22">
        <v>2</v>
      </c>
      <c r="AX22">
        <v>5</v>
      </c>
      <c r="AY22">
        <v>11</v>
      </c>
      <c r="AZ22">
        <v>5</v>
      </c>
      <c r="BA22">
        <v>9</v>
      </c>
      <c r="BB22">
        <v>57</v>
      </c>
      <c r="BC22">
        <v>46.5</v>
      </c>
      <c r="BD22">
        <v>10</v>
      </c>
      <c r="BE22">
        <v>0</v>
      </c>
      <c r="BF22">
        <v>0</v>
      </c>
      <c r="BG22">
        <v>32.933999999999997</v>
      </c>
      <c r="BH22">
        <v>36.469000000000001</v>
      </c>
      <c r="BI22">
        <v>66.801000000000002</v>
      </c>
      <c r="BJ22">
        <v>14.063000000000001</v>
      </c>
      <c r="BK22">
        <v>29.27</v>
      </c>
      <c r="BL22">
        <v>23.74</v>
      </c>
      <c r="BM22">
        <v>-6.726</v>
      </c>
      <c r="BN22">
        <v>66.801000000000002</v>
      </c>
      <c r="BO22">
        <v>36.469000000000001</v>
      </c>
      <c r="BP22">
        <v>0</v>
      </c>
      <c r="BQ22">
        <v>32.933999999999997</v>
      </c>
      <c r="BR22">
        <v>6.726</v>
      </c>
      <c r="BS22">
        <v>70.73</v>
      </c>
      <c r="BT22">
        <v>85.936999999999998</v>
      </c>
      <c r="BU22">
        <v>76.260000000000005</v>
      </c>
      <c r="BV22">
        <v>1785</v>
      </c>
      <c r="BW22">
        <v>57.664000000000001</v>
      </c>
      <c r="BX22">
        <v>168.375</v>
      </c>
      <c r="BY22">
        <v>21</v>
      </c>
      <c r="BZ22">
        <v>282.25</v>
      </c>
      <c r="CA22">
        <v>5.8940000000000001</v>
      </c>
      <c r="CB22">
        <v>643</v>
      </c>
      <c r="CC22">
        <v>80.375</v>
      </c>
      <c r="CD22">
        <v>3.9209999999999998</v>
      </c>
      <c r="CE22">
        <v>3</v>
      </c>
      <c r="CF22">
        <v>2580</v>
      </c>
      <c r="CG22">
        <v>5</v>
      </c>
      <c r="CH22">
        <v>201.875</v>
      </c>
      <c r="CI22">
        <v>10.222</v>
      </c>
      <c r="CJ22">
        <v>6.8129999999999997</v>
      </c>
      <c r="CK22">
        <v>4.8949999999999996</v>
      </c>
      <c r="CL22">
        <v>0</v>
      </c>
      <c r="CM22">
        <v>16</v>
      </c>
      <c r="CN22">
        <v>0</v>
      </c>
      <c r="CO22">
        <v>88.888999999999996</v>
      </c>
      <c r="CP22">
        <v>76.19</v>
      </c>
      <c r="CQ22">
        <v>16</v>
      </c>
      <c r="CR22">
        <v>56</v>
      </c>
      <c r="CS22">
        <v>10.75</v>
      </c>
      <c r="CT22">
        <v>37</v>
      </c>
      <c r="CU22">
        <v>12</v>
      </c>
      <c r="CV22">
        <v>6</v>
      </c>
      <c r="CW22">
        <v>5</v>
      </c>
      <c r="CX22">
        <v>110</v>
      </c>
      <c r="CY22">
        <v>15.875</v>
      </c>
      <c r="CZ22">
        <v>38.462000000000003</v>
      </c>
      <c r="DA22">
        <v>29.907</v>
      </c>
      <c r="DB22">
        <v>65.31</v>
      </c>
      <c r="DC22">
        <v>-4</v>
      </c>
      <c r="DD22">
        <v>2996</v>
      </c>
      <c r="DE22">
        <v>65.843999999999994</v>
      </c>
      <c r="DF22">
        <v>256.71429999999998</v>
      </c>
      <c r="DG22">
        <v>30</v>
      </c>
      <c r="DH22">
        <v>370</v>
      </c>
      <c r="DI22">
        <v>7.6790000000000003</v>
      </c>
      <c r="DJ22">
        <v>789</v>
      </c>
      <c r="DK22">
        <v>103.429</v>
      </c>
      <c r="DL22">
        <v>4.1369999999999996</v>
      </c>
      <c r="DM22">
        <v>4</v>
      </c>
      <c r="DN22">
        <v>3261</v>
      </c>
      <c r="DO22">
        <v>17</v>
      </c>
      <c r="DP22">
        <v>266.57100000000003</v>
      </c>
      <c r="DQ22">
        <v>11.663</v>
      </c>
      <c r="DR22">
        <v>6.577</v>
      </c>
      <c r="DS22">
        <v>16.111000000000001</v>
      </c>
      <c r="DT22">
        <v>0</v>
      </c>
      <c r="DU22">
        <v>26</v>
      </c>
      <c r="DV22">
        <v>0</v>
      </c>
      <c r="DW22">
        <v>90.475999999999999</v>
      </c>
      <c r="DX22">
        <v>71.429000000000002</v>
      </c>
      <c r="DY22">
        <v>10</v>
      </c>
      <c r="DZ22">
        <v>49</v>
      </c>
      <c r="EA22">
        <v>14.2</v>
      </c>
      <c r="EB22">
        <v>11</v>
      </c>
      <c r="EC22">
        <v>22</v>
      </c>
      <c r="ED22">
        <v>0</v>
      </c>
      <c r="EE22">
        <v>17</v>
      </c>
      <c r="EF22">
        <v>175</v>
      </c>
      <c r="EG22">
        <v>22</v>
      </c>
      <c r="EH22">
        <v>66.667000000000002</v>
      </c>
      <c r="EI22">
        <v>37.661999999999999</v>
      </c>
      <c r="EJ22">
        <v>65.239999999999995</v>
      </c>
      <c r="EK22">
        <v>3</v>
      </c>
    </row>
    <row r="23" spans="1:141" x14ac:dyDescent="0.25">
      <c r="A23">
        <v>60</v>
      </c>
      <c r="B23">
        <v>-6</v>
      </c>
      <c r="C23">
        <v>0</v>
      </c>
      <c r="D23">
        <v>2025</v>
      </c>
      <c r="E23">
        <v>2</v>
      </c>
      <c r="F23" t="str">
        <f>VLOOKUP(G23, Map!$A$1:$B$33, 2, FALSE)</f>
        <v>MIA</v>
      </c>
      <c r="G23" t="s">
        <v>152</v>
      </c>
      <c r="H23" t="str">
        <f>VLOOKUP(I23, Map!$A$1:$B$33, 2, FALSE)</f>
        <v>NE</v>
      </c>
      <c r="I23" t="s">
        <v>151</v>
      </c>
      <c r="J23">
        <v>0</v>
      </c>
      <c r="K23">
        <v>0</v>
      </c>
      <c r="L23">
        <v>0</v>
      </c>
      <c r="M23">
        <v>0</v>
      </c>
      <c r="N23">
        <v>2</v>
      </c>
      <c r="O23">
        <v>6</v>
      </c>
      <c r="P23">
        <v>26.875</v>
      </c>
      <c r="Q23">
        <v>21.75</v>
      </c>
      <c r="R23">
        <v>-41</v>
      </c>
      <c r="S23">
        <v>1</v>
      </c>
      <c r="T23">
        <v>0.25</v>
      </c>
      <c r="U23">
        <v>1</v>
      </c>
      <c r="V23">
        <v>2</v>
      </c>
      <c r="W23">
        <v>1</v>
      </c>
      <c r="X23">
        <v>2</v>
      </c>
      <c r="Y23">
        <v>1</v>
      </c>
      <c r="Z23">
        <v>4</v>
      </c>
      <c r="AA23">
        <v>1</v>
      </c>
      <c r="AB23">
        <v>5</v>
      </c>
      <c r="AC23">
        <v>9</v>
      </c>
      <c r="AD23">
        <v>9</v>
      </c>
      <c r="AE23">
        <v>10</v>
      </c>
      <c r="AF23">
        <v>8</v>
      </c>
      <c r="AG23">
        <v>68</v>
      </c>
      <c r="AH23">
        <v>1</v>
      </c>
      <c r="AI23">
        <v>6</v>
      </c>
      <c r="AJ23">
        <v>2</v>
      </c>
      <c r="AK23">
        <v>18.25</v>
      </c>
      <c r="AL23">
        <v>26.625</v>
      </c>
      <c r="AM23">
        <v>67</v>
      </c>
      <c r="AN23">
        <v>5</v>
      </c>
      <c r="AO23">
        <v>0.75</v>
      </c>
      <c r="AP23">
        <v>2</v>
      </c>
      <c r="AQ23">
        <v>0</v>
      </c>
      <c r="AR23">
        <v>2</v>
      </c>
      <c r="AS23">
        <v>2</v>
      </c>
      <c r="AT23">
        <v>4</v>
      </c>
      <c r="AU23">
        <v>0</v>
      </c>
      <c r="AV23">
        <v>4</v>
      </c>
      <c r="AW23">
        <v>2</v>
      </c>
      <c r="AX23">
        <v>8</v>
      </c>
      <c r="AY23">
        <v>9</v>
      </c>
      <c r="AZ23">
        <v>7</v>
      </c>
      <c r="BA23">
        <v>9</v>
      </c>
      <c r="BB23">
        <v>61</v>
      </c>
      <c r="BC23">
        <v>53</v>
      </c>
      <c r="BD23">
        <v>0</v>
      </c>
      <c r="BE23">
        <v>0</v>
      </c>
      <c r="BF23">
        <v>0</v>
      </c>
      <c r="BG23">
        <v>51.942</v>
      </c>
      <c r="BH23">
        <v>26.388000000000002</v>
      </c>
      <c r="BI23">
        <v>47.674999999999997</v>
      </c>
      <c r="BJ23">
        <v>22.681999999999999</v>
      </c>
      <c r="BK23">
        <v>60.365000000000002</v>
      </c>
      <c r="BL23">
        <v>35.000999999999998</v>
      </c>
      <c r="BM23">
        <v>0.77700000000000002</v>
      </c>
      <c r="BN23">
        <v>47.674999999999997</v>
      </c>
      <c r="BO23">
        <v>26.388000000000002</v>
      </c>
      <c r="BP23">
        <v>0</v>
      </c>
      <c r="BQ23">
        <v>51.942</v>
      </c>
      <c r="BR23">
        <v>-0.77700000000000002</v>
      </c>
      <c r="BS23">
        <v>39.634999999999998</v>
      </c>
      <c r="BT23">
        <v>77.317999999999998</v>
      </c>
      <c r="BU23">
        <v>64.998999999999995</v>
      </c>
      <c r="BV23">
        <v>2361</v>
      </c>
      <c r="BW23">
        <v>68.674999999999997</v>
      </c>
      <c r="BX23">
        <v>187.875</v>
      </c>
      <c r="BY23">
        <v>17</v>
      </c>
      <c r="BZ23">
        <v>299.875</v>
      </c>
      <c r="CA23">
        <v>6.47</v>
      </c>
      <c r="CB23">
        <v>898</v>
      </c>
      <c r="CC23">
        <v>98.5</v>
      </c>
      <c r="CD23">
        <v>4.452</v>
      </c>
      <c r="CE23">
        <v>4</v>
      </c>
      <c r="CF23">
        <v>2991</v>
      </c>
      <c r="CG23">
        <v>15</v>
      </c>
      <c r="CH23">
        <v>201.375</v>
      </c>
      <c r="CI23">
        <v>9.4209999999999994</v>
      </c>
      <c r="CJ23">
        <v>6.4669999999999996</v>
      </c>
      <c r="CK23">
        <v>4.8239999999999998</v>
      </c>
      <c r="CL23">
        <v>1</v>
      </c>
      <c r="CM23">
        <v>15</v>
      </c>
      <c r="CN23">
        <v>0</v>
      </c>
      <c r="CO23">
        <v>100</v>
      </c>
      <c r="CP23">
        <v>91.667000000000002</v>
      </c>
      <c r="CQ23">
        <v>11</v>
      </c>
      <c r="CR23">
        <v>52</v>
      </c>
      <c r="CS23">
        <v>7</v>
      </c>
      <c r="CT23">
        <v>26</v>
      </c>
      <c r="CU23">
        <v>11</v>
      </c>
      <c r="CV23">
        <v>6</v>
      </c>
      <c r="CW23">
        <v>15</v>
      </c>
      <c r="CX23">
        <v>174</v>
      </c>
      <c r="CY23">
        <v>17</v>
      </c>
      <c r="CZ23">
        <v>53.845999999999997</v>
      </c>
      <c r="DA23">
        <v>41.237000000000002</v>
      </c>
      <c r="DB23">
        <v>72.05</v>
      </c>
      <c r="DC23">
        <v>-5</v>
      </c>
      <c r="DD23">
        <v>2965</v>
      </c>
      <c r="DE23">
        <v>75</v>
      </c>
      <c r="DF23">
        <v>240.5</v>
      </c>
      <c r="DG23">
        <v>29</v>
      </c>
      <c r="DH23">
        <v>367.375</v>
      </c>
      <c r="DI23">
        <v>8.7940000000000005</v>
      </c>
      <c r="DJ23">
        <v>1056</v>
      </c>
      <c r="DK23">
        <v>112.625</v>
      </c>
      <c r="DL23">
        <v>3.9340000000000002</v>
      </c>
      <c r="DM23">
        <v>7</v>
      </c>
      <c r="DN23">
        <v>3418</v>
      </c>
      <c r="DO23">
        <v>15</v>
      </c>
      <c r="DP23">
        <v>254.75</v>
      </c>
      <c r="DQ23">
        <v>11.725</v>
      </c>
      <c r="DR23">
        <v>6.3159999999999998</v>
      </c>
      <c r="DS23">
        <v>3.7410000000000001</v>
      </c>
      <c r="DT23">
        <v>4</v>
      </c>
      <c r="DU23">
        <v>19</v>
      </c>
      <c r="DV23">
        <v>0</v>
      </c>
      <c r="DW23">
        <v>91.304000000000002</v>
      </c>
      <c r="DX23">
        <v>92.308000000000007</v>
      </c>
      <c r="DY23">
        <v>12</v>
      </c>
      <c r="DZ23">
        <v>57</v>
      </c>
      <c r="EA23">
        <v>16.8</v>
      </c>
      <c r="EB23">
        <v>10</v>
      </c>
      <c r="EC23">
        <v>27</v>
      </c>
      <c r="ED23">
        <v>14</v>
      </c>
      <c r="EE23">
        <v>15</v>
      </c>
      <c r="EF23">
        <v>213</v>
      </c>
      <c r="EG23">
        <v>20.375</v>
      </c>
      <c r="EH23">
        <v>83.332999999999998</v>
      </c>
      <c r="EI23">
        <v>39.784999999999997</v>
      </c>
      <c r="EJ23">
        <v>67</v>
      </c>
      <c r="EK23">
        <v>2</v>
      </c>
    </row>
    <row r="24" spans="1:141" x14ac:dyDescent="0.25">
      <c r="A24">
        <v>47</v>
      </c>
      <c r="B24">
        <v>-5</v>
      </c>
      <c r="C24">
        <v>0</v>
      </c>
      <c r="D24">
        <v>2025</v>
      </c>
      <c r="E24">
        <v>2</v>
      </c>
      <c r="F24" t="str">
        <f>VLOOKUP(G24, Map!$A$1:$B$33, 2, FALSE)</f>
        <v>NO</v>
      </c>
      <c r="G24" t="s">
        <v>168</v>
      </c>
      <c r="H24" t="str">
        <f>VLOOKUP(I24, Map!$A$1:$B$33, 2, FALSE)</f>
        <v>SF</v>
      </c>
      <c r="I24" t="s">
        <v>143</v>
      </c>
      <c r="J24">
        <v>0</v>
      </c>
      <c r="K24">
        <v>0</v>
      </c>
      <c r="L24">
        <v>0</v>
      </c>
      <c r="M24">
        <v>0</v>
      </c>
      <c r="N24">
        <v>1</v>
      </c>
      <c r="O24">
        <v>7</v>
      </c>
      <c r="P24">
        <v>26.125</v>
      </c>
      <c r="Q24">
        <v>16</v>
      </c>
      <c r="R24">
        <v>-81</v>
      </c>
      <c r="S24">
        <v>-3</v>
      </c>
      <c r="T24">
        <v>0.125</v>
      </c>
      <c r="U24">
        <v>0</v>
      </c>
      <c r="V24">
        <v>1</v>
      </c>
      <c r="W24">
        <v>1</v>
      </c>
      <c r="X24">
        <v>4</v>
      </c>
      <c r="Y24">
        <v>0</v>
      </c>
      <c r="Z24">
        <v>3</v>
      </c>
      <c r="AA24">
        <v>1</v>
      </c>
      <c r="AB24">
        <v>5</v>
      </c>
      <c r="AC24">
        <v>7</v>
      </c>
      <c r="AD24">
        <v>10</v>
      </c>
      <c r="AE24">
        <v>7</v>
      </c>
      <c r="AF24">
        <v>10</v>
      </c>
      <c r="AG24">
        <v>64</v>
      </c>
      <c r="AH24">
        <v>1</v>
      </c>
      <c r="AI24">
        <v>5</v>
      </c>
      <c r="AJ24">
        <v>3</v>
      </c>
      <c r="AK24">
        <v>20.5</v>
      </c>
      <c r="AL24">
        <v>20</v>
      </c>
      <c r="AM24">
        <v>-4</v>
      </c>
      <c r="AN24">
        <v>-1</v>
      </c>
      <c r="AO24">
        <v>0.625</v>
      </c>
      <c r="AP24">
        <v>3</v>
      </c>
      <c r="AQ24">
        <v>0</v>
      </c>
      <c r="AR24">
        <v>2</v>
      </c>
      <c r="AS24">
        <v>1</v>
      </c>
      <c r="AT24">
        <v>3</v>
      </c>
      <c r="AU24">
        <v>2</v>
      </c>
      <c r="AV24">
        <v>5</v>
      </c>
      <c r="AW24">
        <v>1</v>
      </c>
      <c r="AX24">
        <v>15</v>
      </c>
      <c r="AY24">
        <v>5</v>
      </c>
      <c r="AZ24">
        <v>13</v>
      </c>
      <c r="BA24">
        <v>7</v>
      </c>
      <c r="BB24">
        <v>68</v>
      </c>
      <c r="BC24">
        <v>45</v>
      </c>
      <c r="BD24">
        <v>3.5</v>
      </c>
      <c r="BE24">
        <v>0</v>
      </c>
      <c r="BF24">
        <v>0</v>
      </c>
      <c r="BG24">
        <v>47.808</v>
      </c>
      <c r="BH24">
        <v>45.685000000000002</v>
      </c>
      <c r="BI24">
        <v>51.808</v>
      </c>
      <c r="BJ24">
        <v>32.4</v>
      </c>
      <c r="BK24">
        <v>48.216999999999999</v>
      </c>
      <c r="BL24">
        <v>33.771999999999998</v>
      </c>
      <c r="BM24">
        <v>-0.89</v>
      </c>
      <c r="BN24">
        <v>51.808</v>
      </c>
      <c r="BO24">
        <v>45.685000000000002</v>
      </c>
      <c r="BP24">
        <v>0</v>
      </c>
      <c r="BQ24">
        <v>47.808</v>
      </c>
      <c r="BR24">
        <v>0.89</v>
      </c>
      <c r="BS24">
        <v>51.783000000000001</v>
      </c>
      <c r="BT24">
        <v>67.599999999999994</v>
      </c>
      <c r="BU24">
        <v>66.227999999999994</v>
      </c>
      <c r="BV24">
        <v>2083</v>
      </c>
      <c r="BW24">
        <v>66.206999999999994</v>
      </c>
      <c r="BX24">
        <v>201.375</v>
      </c>
      <c r="BY24">
        <v>13</v>
      </c>
      <c r="BZ24">
        <v>310.25</v>
      </c>
      <c r="CA24">
        <v>5.976</v>
      </c>
      <c r="CB24">
        <v>779</v>
      </c>
      <c r="CC24">
        <v>93.625</v>
      </c>
      <c r="CD24">
        <v>3.7829999999999999</v>
      </c>
      <c r="CE24">
        <v>3</v>
      </c>
      <c r="CF24">
        <v>2973</v>
      </c>
      <c r="CG24">
        <v>8</v>
      </c>
      <c r="CH24">
        <v>216.625</v>
      </c>
      <c r="CI24">
        <v>9.0259999999999998</v>
      </c>
      <c r="CJ24">
        <v>6.0590000000000002</v>
      </c>
      <c r="CK24">
        <v>4.7779999999999996</v>
      </c>
      <c r="CL24">
        <v>1</v>
      </c>
      <c r="CM24">
        <v>17</v>
      </c>
      <c r="CN24">
        <v>0</v>
      </c>
      <c r="CO24">
        <v>100</v>
      </c>
      <c r="CP24">
        <v>71.429000000000002</v>
      </c>
      <c r="CQ24">
        <v>15</v>
      </c>
      <c r="CR24">
        <v>56</v>
      </c>
      <c r="CS24">
        <v>15.25</v>
      </c>
      <c r="CT24">
        <v>27</v>
      </c>
      <c r="CU24">
        <v>7</v>
      </c>
      <c r="CV24">
        <v>6</v>
      </c>
      <c r="CW24">
        <v>8</v>
      </c>
      <c r="CX24">
        <v>128</v>
      </c>
      <c r="CY24">
        <v>19.125</v>
      </c>
      <c r="CZ24">
        <v>33.332999999999998</v>
      </c>
      <c r="DA24">
        <v>38.835000000000001</v>
      </c>
      <c r="DB24">
        <v>61.22</v>
      </c>
      <c r="DC24">
        <v>-2</v>
      </c>
      <c r="DD24">
        <v>2753</v>
      </c>
      <c r="DE24">
        <v>65.885999999999996</v>
      </c>
      <c r="DF24">
        <v>259.25</v>
      </c>
      <c r="DG24">
        <v>23</v>
      </c>
      <c r="DH24">
        <v>362.25</v>
      </c>
      <c r="DI24">
        <v>7.3010000000000002</v>
      </c>
      <c r="DJ24">
        <v>775</v>
      </c>
      <c r="DK24">
        <v>89.375</v>
      </c>
      <c r="DL24">
        <v>3.4049999999999998</v>
      </c>
      <c r="DM24">
        <v>3</v>
      </c>
      <c r="DN24">
        <v>3588</v>
      </c>
      <c r="DO24">
        <v>12</v>
      </c>
      <c r="DP24">
        <v>272.875</v>
      </c>
      <c r="DQ24">
        <v>11.081</v>
      </c>
      <c r="DR24">
        <v>6.6669999999999998</v>
      </c>
      <c r="DS24">
        <v>1.889</v>
      </c>
      <c r="DT24">
        <v>0</v>
      </c>
      <c r="DU24">
        <v>9</v>
      </c>
      <c r="DV24">
        <v>0</v>
      </c>
      <c r="DW24">
        <v>92.308000000000007</v>
      </c>
      <c r="DX24">
        <v>90</v>
      </c>
      <c r="DY24">
        <v>18</v>
      </c>
      <c r="DZ24">
        <v>66</v>
      </c>
      <c r="EA24">
        <v>14.308</v>
      </c>
      <c r="EB24">
        <v>12</v>
      </c>
      <c r="EC24">
        <v>25</v>
      </c>
      <c r="ED24">
        <v>0</v>
      </c>
      <c r="EE24">
        <v>12</v>
      </c>
      <c r="EF24">
        <v>160</v>
      </c>
      <c r="EG24">
        <v>20.875</v>
      </c>
      <c r="EH24">
        <v>54.545000000000002</v>
      </c>
      <c r="EI24">
        <v>46.363999999999997</v>
      </c>
      <c r="EJ24">
        <v>65.709999999999994</v>
      </c>
      <c r="EK24">
        <v>-5</v>
      </c>
    </row>
    <row r="25" spans="1:141" x14ac:dyDescent="0.25">
      <c r="A25">
        <v>40</v>
      </c>
      <c r="B25">
        <v>-20</v>
      </c>
      <c r="C25">
        <v>0</v>
      </c>
      <c r="D25">
        <v>2025</v>
      </c>
      <c r="E25">
        <v>2</v>
      </c>
      <c r="F25" t="str">
        <f>VLOOKUP(G25, Map!$A$1:$B$33, 2, FALSE)</f>
        <v>NYJ</v>
      </c>
      <c r="G25" t="s">
        <v>166</v>
      </c>
      <c r="H25" t="str">
        <f>VLOOKUP(I25, Map!$A$1:$B$33, 2, FALSE)</f>
        <v>BUF</v>
      </c>
      <c r="I25" t="s">
        <v>165</v>
      </c>
      <c r="J25">
        <v>0</v>
      </c>
      <c r="K25">
        <v>0</v>
      </c>
      <c r="L25">
        <v>0</v>
      </c>
      <c r="M25">
        <v>0</v>
      </c>
      <c r="N25">
        <v>1</v>
      </c>
      <c r="O25">
        <v>7</v>
      </c>
      <c r="P25">
        <v>27.625</v>
      </c>
      <c r="Q25">
        <v>21</v>
      </c>
      <c r="R25">
        <v>-53</v>
      </c>
      <c r="S25">
        <v>1</v>
      </c>
      <c r="T25">
        <v>0.125</v>
      </c>
      <c r="U25">
        <v>0</v>
      </c>
      <c r="V25">
        <v>2</v>
      </c>
      <c r="W25">
        <v>0</v>
      </c>
      <c r="X25">
        <v>5</v>
      </c>
      <c r="Y25">
        <v>1</v>
      </c>
      <c r="Z25">
        <v>2</v>
      </c>
      <c r="AA25">
        <v>1</v>
      </c>
      <c r="AB25">
        <v>4</v>
      </c>
      <c r="AC25">
        <v>7</v>
      </c>
      <c r="AD25">
        <v>10</v>
      </c>
      <c r="AE25">
        <v>8</v>
      </c>
      <c r="AF25">
        <v>9</v>
      </c>
      <c r="AG25">
        <v>60</v>
      </c>
      <c r="AH25">
        <v>1</v>
      </c>
      <c r="AI25">
        <v>5</v>
      </c>
      <c r="AJ25">
        <v>2</v>
      </c>
      <c r="AK25">
        <v>20.857143000000001</v>
      </c>
      <c r="AL25">
        <v>29.571428000000001</v>
      </c>
      <c r="AM25">
        <v>61</v>
      </c>
      <c r="AN25">
        <v>1</v>
      </c>
      <c r="AO25">
        <v>0.71428572999999995</v>
      </c>
      <c r="AP25">
        <v>2</v>
      </c>
      <c r="AQ25">
        <v>1</v>
      </c>
      <c r="AR25">
        <v>3</v>
      </c>
      <c r="AS25">
        <v>1</v>
      </c>
      <c r="AT25">
        <v>2</v>
      </c>
      <c r="AU25">
        <v>1</v>
      </c>
      <c r="AV25">
        <v>3</v>
      </c>
      <c r="AW25">
        <v>1</v>
      </c>
      <c r="AX25">
        <v>14</v>
      </c>
      <c r="AY25">
        <v>4</v>
      </c>
      <c r="AZ25">
        <v>8</v>
      </c>
      <c r="BA25">
        <v>9</v>
      </c>
      <c r="BB25">
        <v>68</v>
      </c>
      <c r="BC25">
        <v>43.5</v>
      </c>
      <c r="BD25">
        <v>11.5</v>
      </c>
      <c r="BE25">
        <v>0</v>
      </c>
      <c r="BF25">
        <v>0</v>
      </c>
      <c r="BG25">
        <v>35.192</v>
      </c>
      <c r="BH25">
        <v>55.203000000000003</v>
      </c>
      <c r="BI25">
        <v>64.525000000000006</v>
      </c>
      <c r="BJ25">
        <v>19.702999999999999</v>
      </c>
      <c r="BK25">
        <v>2.2189999999999999</v>
      </c>
      <c r="BL25">
        <v>4.0720000000000001</v>
      </c>
      <c r="BM25">
        <v>-6.0910000000000002</v>
      </c>
      <c r="BN25">
        <v>64.525000000000006</v>
      </c>
      <c r="BO25">
        <v>55.203000000000003</v>
      </c>
      <c r="BP25">
        <v>0</v>
      </c>
      <c r="BQ25">
        <v>35.192</v>
      </c>
      <c r="BR25">
        <v>6.0910000000000002</v>
      </c>
      <c r="BS25">
        <v>97.781000000000006</v>
      </c>
      <c r="BT25">
        <v>80.296999999999997</v>
      </c>
      <c r="BU25">
        <v>95.927999999999997</v>
      </c>
      <c r="BV25">
        <v>2012</v>
      </c>
      <c r="BW25">
        <v>63.713000000000001</v>
      </c>
      <c r="BX25">
        <v>156.5</v>
      </c>
      <c r="BY25">
        <v>15</v>
      </c>
      <c r="BZ25">
        <v>327.625</v>
      </c>
      <c r="CA25">
        <v>6.2110000000000003</v>
      </c>
      <c r="CB25">
        <v>1254</v>
      </c>
      <c r="CC25">
        <v>143.625</v>
      </c>
      <c r="CD25">
        <v>5.1989999999999998</v>
      </c>
      <c r="CE25">
        <v>6</v>
      </c>
      <c r="CF25">
        <v>2542</v>
      </c>
      <c r="CG25">
        <v>9</v>
      </c>
      <c r="CH25">
        <v>184</v>
      </c>
      <c r="CI25">
        <v>9.7479999999999993</v>
      </c>
      <c r="CJ25">
        <v>6.2729999999999997</v>
      </c>
      <c r="CK25">
        <v>2.4169999999999998</v>
      </c>
      <c r="CL25">
        <v>1</v>
      </c>
      <c r="CM25">
        <v>11</v>
      </c>
      <c r="CN25">
        <v>0</v>
      </c>
      <c r="CO25">
        <v>100</v>
      </c>
      <c r="CP25">
        <v>100</v>
      </c>
      <c r="CQ25">
        <v>17</v>
      </c>
      <c r="CR25">
        <v>60</v>
      </c>
      <c r="CS25">
        <v>6.25</v>
      </c>
      <c r="CT25">
        <v>31</v>
      </c>
      <c r="CU25">
        <v>11</v>
      </c>
      <c r="CV25">
        <v>2</v>
      </c>
      <c r="CW25">
        <v>9</v>
      </c>
      <c r="CX25">
        <v>168</v>
      </c>
      <c r="CY25">
        <v>18.5</v>
      </c>
      <c r="CZ25">
        <v>52.631999999999998</v>
      </c>
      <c r="DA25">
        <v>34.905999999999999</v>
      </c>
      <c r="DB25">
        <v>69.17</v>
      </c>
      <c r="DC25">
        <v>-9</v>
      </c>
      <c r="DD25">
        <v>2334</v>
      </c>
      <c r="DE25">
        <v>67.488</v>
      </c>
      <c r="DF25">
        <v>218.42857000000001</v>
      </c>
      <c r="DG25">
        <v>22</v>
      </c>
      <c r="DH25">
        <v>395</v>
      </c>
      <c r="DI25">
        <v>7.9509999999999996</v>
      </c>
      <c r="DJ25">
        <v>1576</v>
      </c>
      <c r="DK25">
        <v>164.429</v>
      </c>
      <c r="DL25">
        <v>5.2080000000000002</v>
      </c>
      <c r="DM25">
        <v>13</v>
      </c>
      <c r="DN25">
        <v>2719</v>
      </c>
      <c r="DO25">
        <v>12</v>
      </c>
      <c r="DP25">
        <v>230.571</v>
      </c>
      <c r="DQ25">
        <v>11.781000000000001</v>
      </c>
      <c r="DR25">
        <v>5.8639999999999999</v>
      </c>
      <c r="DS25">
        <v>5.35</v>
      </c>
      <c r="DT25">
        <v>0</v>
      </c>
      <c r="DU25">
        <v>22</v>
      </c>
      <c r="DV25">
        <v>0</v>
      </c>
      <c r="DW25">
        <v>95.454999999999998</v>
      </c>
      <c r="DX25">
        <v>92.308000000000007</v>
      </c>
      <c r="DY25">
        <v>12</v>
      </c>
      <c r="DZ25">
        <v>57</v>
      </c>
      <c r="EA25">
        <v>8</v>
      </c>
      <c r="EB25">
        <v>10</v>
      </c>
      <c r="EC25">
        <v>22</v>
      </c>
      <c r="ED25">
        <v>0</v>
      </c>
      <c r="EE25">
        <v>12</v>
      </c>
      <c r="EF25">
        <v>207</v>
      </c>
      <c r="EG25">
        <v>23.143000000000001</v>
      </c>
      <c r="EH25">
        <v>60</v>
      </c>
      <c r="EI25">
        <v>43.75</v>
      </c>
      <c r="EJ25">
        <v>73.47</v>
      </c>
      <c r="EK25">
        <v>2</v>
      </c>
    </row>
    <row r="26" spans="1:141" x14ac:dyDescent="0.25">
      <c r="A26">
        <v>48</v>
      </c>
      <c r="B26">
        <v>-14</v>
      </c>
      <c r="C26">
        <v>0</v>
      </c>
      <c r="D26">
        <v>2025</v>
      </c>
      <c r="E26">
        <v>2</v>
      </c>
      <c r="F26" t="str">
        <f>VLOOKUP(G26, Map!$A$1:$B$33, 2, FALSE)</f>
        <v>PIT</v>
      </c>
      <c r="G26" t="s">
        <v>145</v>
      </c>
      <c r="H26" t="str">
        <f>VLOOKUP(I26, Map!$A$1:$B$33, 2, FALSE)</f>
        <v>SEA</v>
      </c>
      <c r="I26" t="s">
        <v>144</v>
      </c>
      <c r="J26">
        <v>0</v>
      </c>
      <c r="K26">
        <v>0</v>
      </c>
      <c r="L26">
        <v>0</v>
      </c>
      <c r="M26">
        <v>0</v>
      </c>
      <c r="N26">
        <v>4</v>
      </c>
      <c r="O26">
        <v>3</v>
      </c>
      <c r="P26">
        <v>25</v>
      </c>
      <c r="Q26">
        <v>25</v>
      </c>
      <c r="R26">
        <v>0</v>
      </c>
      <c r="S26">
        <v>-2</v>
      </c>
      <c r="T26">
        <v>0.57142859999999995</v>
      </c>
      <c r="U26">
        <v>1</v>
      </c>
      <c r="V26">
        <v>1</v>
      </c>
      <c r="W26">
        <v>2</v>
      </c>
      <c r="X26">
        <v>2</v>
      </c>
      <c r="Y26">
        <v>2</v>
      </c>
      <c r="Z26">
        <v>1</v>
      </c>
      <c r="AA26">
        <v>3</v>
      </c>
      <c r="AB26">
        <v>1</v>
      </c>
      <c r="AC26">
        <v>9</v>
      </c>
      <c r="AD26">
        <v>8</v>
      </c>
      <c r="AE26">
        <v>10</v>
      </c>
      <c r="AF26">
        <v>6</v>
      </c>
      <c r="AG26">
        <v>66</v>
      </c>
      <c r="AH26">
        <v>1</v>
      </c>
      <c r="AI26">
        <v>5</v>
      </c>
      <c r="AJ26">
        <v>2</v>
      </c>
      <c r="AK26">
        <v>19.428571999999999</v>
      </c>
      <c r="AL26">
        <v>27.571428000000001</v>
      </c>
      <c r="AM26">
        <v>57</v>
      </c>
      <c r="AN26">
        <v>2</v>
      </c>
      <c r="AO26">
        <v>0.71428572999999995</v>
      </c>
      <c r="AP26">
        <v>1</v>
      </c>
      <c r="AQ26">
        <v>1</v>
      </c>
      <c r="AR26">
        <v>2</v>
      </c>
      <c r="AS26">
        <v>2</v>
      </c>
      <c r="AT26">
        <v>3</v>
      </c>
      <c r="AU26">
        <v>0</v>
      </c>
      <c r="AV26">
        <v>2</v>
      </c>
      <c r="AW26">
        <v>2</v>
      </c>
      <c r="AX26">
        <v>9</v>
      </c>
      <c r="AY26">
        <v>8</v>
      </c>
      <c r="AZ26">
        <v>7</v>
      </c>
      <c r="BA26">
        <v>10</v>
      </c>
      <c r="BB26">
        <v>61</v>
      </c>
      <c r="BC26">
        <v>44.5</v>
      </c>
      <c r="BD26">
        <v>6.5</v>
      </c>
      <c r="BE26">
        <v>0</v>
      </c>
      <c r="BF26">
        <v>0</v>
      </c>
      <c r="BG26">
        <v>61.045000000000002</v>
      </c>
      <c r="BH26">
        <v>45.808999999999997</v>
      </c>
      <c r="BI26">
        <v>38.645000000000003</v>
      </c>
      <c r="BJ26">
        <v>51.085999999999999</v>
      </c>
      <c r="BK26">
        <v>26.18</v>
      </c>
      <c r="BL26">
        <v>22.966000000000001</v>
      </c>
      <c r="BM26">
        <v>4.5960000000000001</v>
      </c>
      <c r="BN26">
        <v>38.645000000000003</v>
      </c>
      <c r="BO26">
        <v>45.808999999999997</v>
      </c>
      <c r="BP26">
        <v>0</v>
      </c>
      <c r="BQ26">
        <v>61.045000000000002</v>
      </c>
      <c r="BR26">
        <v>-4.5960000000000001</v>
      </c>
      <c r="BS26">
        <v>73.819999999999993</v>
      </c>
      <c r="BT26">
        <v>48.914000000000001</v>
      </c>
      <c r="BU26">
        <v>77.034000000000006</v>
      </c>
      <c r="BV26">
        <v>2471</v>
      </c>
      <c r="BW26">
        <v>68.570999999999998</v>
      </c>
      <c r="BX26">
        <v>202.85714999999999</v>
      </c>
      <c r="BY26">
        <v>20</v>
      </c>
      <c r="BZ26">
        <v>308.71429999999998</v>
      </c>
      <c r="CA26">
        <v>7.1479999999999997</v>
      </c>
      <c r="CB26">
        <v>750</v>
      </c>
      <c r="CC26">
        <v>94.286000000000001</v>
      </c>
      <c r="CD26">
        <v>4.0739999999999998</v>
      </c>
      <c r="CE26">
        <v>3</v>
      </c>
      <c r="CF26">
        <v>2781</v>
      </c>
      <c r="CG26">
        <v>16</v>
      </c>
      <c r="CH26">
        <v>214.429</v>
      </c>
      <c r="CI26">
        <v>10.423999999999999</v>
      </c>
      <c r="CJ26">
        <v>6.4089999999999998</v>
      </c>
      <c r="CK26">
        <v>7.4379999999999997</v>
      </c>
      <c r="CL26">
        <v>0</v>
      </c>
      <c r="CM26">
        <v>22</v>
      </c>
      <c r="CN26">
        <v>0</v>
      </c>
      <c r="CO26">
        <v>100</v>
      </c>
      <c r="CP26">
        <v>87.5</v>
      </c>
      <c r="CQ26">
        <v>14</v>
      </c>
      <c r="CR26">
        <v>59</v>
      </c>
      <c r="CS26">
        <v>8.25</v>
      </c>
      <c r="CT26">
        <v>23</v>
      </c>
      <c r="CU26">
        <v>8</v>
      </c>
      <c r="CV26">
        <v>0</v>
      </c>
      <c r="CW26">
        <v>16</v>
      </c>
      <c r="CX26">
        <v>175</v>
      </c>
      <c r="CY26">
        <v>17.428999999999998</v>
      </c>
      <c r="CZ26">
        <v>50</v>
      </c>
      <c r="DA26">
        <v>38.960999999999999</v>
      </c>
      <c r="DB26">
        <v>75.94</v>
      </c>
      <c r="DC26">
        <v>4</v>
      </c>
      <c r="DD26">
        <v>2459</v>
      </c>
      <c r="DE26">
        <v>67.856999999999999</v>
      </c>
      <c r="DF26">
        <v>244.42857000000001</v>
      </c>
      <c r="DG26">
        <v>27</v>
      </c>
      <c r="DH26">
        <v>358.85714999999999</v>
      </c>
      <c r="DI26">
        <v>9.0259999999999998</v>
      </c>
      <c r="DJ26">
        <v>918</v>
      </c>
      <c r="DK26">
        <v>106.143</v>
      </c>
      <c r="DL26">
        <v>3.6779999999999999</v>
      </c>
      <c r="DM26">
        <v>8</v>
      </c>
      <c r="DN26">
        <v>2854</v>
      </c>
      <c r="DO26">
        <v>12</v>
      </c>
      <c r="DP26">
        <v>252.714</v>
      </c>
      <c r="DQ26">
        <v>13.301</v>
      </c>
      <c r="DR26">
        <v>7.1740000000000004</v>
      </c>
      <c r="DS26">
        <v>7.8890000000000002</v>
      </c>
      <c r="DT26">
        <v>2</v>
      </c>
      <c r="DU26">
        <v>23</v>
      </c>
      <c r="DV26">
        <v>0</v>
      </c>
      <c r="DW26">
        <v>100</v>
      </c>
      <c r="DX26">
        <v>76.471000000000004</v>
      </c>
      <c r="DY26">
        <v>13</v>
      </c>
      <c r="DZ26">
        <v>61</v>
      </c>
      <c r="EA26">
        <v>11</v>
      </c>
      <c r="EB26">
        <v>10</v>
      </c>
      <c r="EC26">
        <v>26</v>
      </c>
      <c r="ED26">
        <v>6</v>
      </c>
      <c r="EE26">
        <v>12</v>
      </c>
      <c r="EF26">
        <v>193</v>
      </c>
      <c r="EG26">
        <v>19.428999999999998</v>
      </c>
      <c r="EH26">
        <v>66.667000000000002</v>
      </c>
      <c r="EI26">
        <v>33.332999999999998</v>
      </c>
      <c r="EJ26">
        <v>76.569999999999993</v>
      </c>
      <c r="EK26">
        <v>-4</v>
      </c>
    </row>
    <row r="27" spans="1:141" x14ac:dyDescent="0.25">
      <c r="A27">
        <v>58</v>
      </c>
      <c r="B27">
        <v>24</v>
      </c>
      <c r="C27">
        <v>1</v>
      </c>
      <c r="D27">
        <v>2025</v>
      </c>
      <c r="E27">
        <v>2</v>
      </c>
      <c r="F27" t="str">
        <f>VLOOKUP(G27, Map!$A$1:$B$33, 2, FALSE)</f>
        <v>BAL</v>
      </c>
      <c r="G27" t="s">
        <v>146</v>
      </c>
      <c r="H27" t="str">
        <f>VLOOKUP(I27, Map!$A$1:$B$33, 2, FALSE)</f>
        <v>CLE</v>
      </c>
      <c r="I27" t="s">
        <v>162</v>
      </c>
      <c r="J27">
        <v>0</v>
      </c>
      <c r="K27">
        <v>0</v>
      </c>
      <c r="L27">
        <v>0</v>
      </c>
      <c r="M27">
        <v>1</v>
      </c>
      <c r="N27">
        <v>2</v>
      </c>
      <c r="O27">
        <v>5</v>
      </c>
      <c r="P27">
        <v>30</v>
      </c>
      <c r="Q27">
        <v>24.857143000000001</v>
      </c>
      <c r="R27">
        <v>-36</v>
      </c>
      <c r="S27">
        <v>1</v>
      </c>
      <c r="T27">
        <v>0.28571429999999998</v>
      </c>
      <c r="U27">
        <v>1</v>
      </c>
      <c r="V27">
        <v>0</v>
      </c>
      <c r="W27">
        <v>2</v>
      </c>
      <c r="X27">
        <v>3</v>
      </c>
      <c r="Y27">
        <v>0</v>
      </c>
      <c r="Z27">
        <v>2</v>
      </c>
      <c r="AA27">
        <v>1</v>
      </c>
      <c r="AB27">
        <v>3</v>
      </c>
      <c r="AC27">
        <v>10</v>
      </c>
      <c r="AD27">
        <v>7</v>
      </c>
      <c r="AE27">
        <v>7</v>
      </c>
      <c r="AF27">
        <v>9</v>
      </c>
      <c r="AG27">
        <v>61</v>
      </c>
      <c r="AH27">
        <v>0</v>
      </c>
      <c r="AI27">
        <v>2</v>
      </c>
      <c r="AJ27">
        <v>6</v>
      </c>
      <c r="AK27">
        <v>23</v>
      </c>
      <c r="AL27">
        <v>15.75</v>
      </c>
      <c r="AM27">
        <v>-58</v>
      </c>
      <c r="AN27">
        <v>-1</v>
      </c>
      <c r="AO27">
        <v>0.25</v>
      </c>
      <c r="AP27">
        <v>0</v>
      </c>
      <c r="AQ27">
        <v>3</v>
      </c>
      <c r="AR27">
        <v>2</v>
      </c>
      <c r="AS27">
        <v>2</v>
      </c>
      <c r="AT27">
        <v>0</v>
      </c>
      <c r="AU27">
        <v>4</v>
      </c>
      <c r="AV27">
        <v>1</v>
      </c>
      <c r="AW27">
        <v>4</v>
      </c>
      <c r="AX27">
        <v>7</v>
      </c>
      <c r="AY27">
        <v>10</v>
      </c>
      <c r="AZ27">
        <v>8</v>
      </c>
      <c r="BA27">
        <v>9</v>
      </c>
      <c r="BB27">
        <v>61</v>
      </c>
      <c r="BC27">
        <v>48.5</v>
      </c>
      <c r="BD27">
        <v>-20</v>
      </c>
      <c r="BE27">
        <v>0</v>
      </c>
      <c r="BF27">
        <v>0</v>
      </c>
      <c r="BG27">
        <v>79.652000000000001</v>
      </c>
      <c r="BH27">
        <v>57.872</v>
      </c>
      <c r="BI27">
        <v>20.186</v>
      </c>
      <c r="BJ27">
        <v>93.933000000000007</v>
      </c>
      <c r="BK27">
        <v>54.353999999999999</v>
      </c>
      <c r="BL27">
        <v>91.287999999999997</v>
      </c>
      <c r="BM27">
        <v>12.907999999999999</v>
      </c>
      <c r="BN27">
        <v>20.186</v>
      </c>
      <c r="BO27">
        <v>57.872</v>
      </c>
      <c r="BP27">
        <v>0</v>
      </c>
      <c r="BQ27">
        <v>79.652000000000001</v>
      </c>
      <c r="BR27">
        <v>-12.907999999999999</v>
      </c>
      <c r="BS27">
        <v>45.646000000000001</v>
      </c>
      <c r="BT27">
        <v>6.0670000000000002</v>
      </c>
      <c r="BU27">
        <v>8.7119999999999997</v>
      </c>
      <c r="BV27">
        <v>2046</v>
      </c>
      <c r="BW27">
        <v>69.73</v>
      </c>
      <c r="BX27">
        <v>182.28572</v>
      </c>
      <c r="BY27">
        <v>19</v>
      </c>
      <c r="BZ27">
        <v>337.14285000000001</v>
      </c>
      <c r="CA27">
        <v>7.7080000000000002</v>
      </c>
      <c r="CB27">
        <v>1139</v>
      </c>
      <c r="CC27">
        <v>133.429</v>
      </c>
      <c r="CD27">
        <v>5.2770000000000001</v>
      </c>
      <c r="CE27">
        <v>8</v>
      </c>
      <c r="CF27">
        <v>2456</v>
      </c>
      <c r="CG27">
        <v>11</v>
      </c>
      <c r="CH27">
        <v>203.714</v>
      </c>
      <c r="CI27">
        <v>11.054</v>
      </c>
      <c r="CJ27">
        <v>6.8890000000000002</v>
      </c>
      <c r="CK27">
        <v>2.4089999999999998</v>
      </c>
      <c r="CL27">
        <v>1</v>
      </c>
      <c r="CM27">
        <v>9</v>
      </c>
      <c r="CN27">
        <v>0</v>
      </c>
      <c r="CO27">
        <v>94.736999999999995</v>
      </c>
      <c r="CP27">
        <v>92.308000000000007</v>
      </c>
      <c r="CQ27">
        <v>12</v>
      </c>
      <c r="CR27">
        <v>54</v>
      </c>
      <c r="CS27">
        <v>5.8330000000000002</v>
      </c>
      <c r="CT27">
        <v>19</v>
      </c>
      <c r="CU27">
        <v>8</v>
      </c>
      <c r="CV27">
        <v>6</v>
      </c>
      <c r="CW27">
        <v>11</v>
      </c>
      <c r="CX27">
        <v>174</v>
      </c>
      <c r="CY27">
        <v>18.143000000000001</v>
      </c>
      <c r="CZ27">
        <v>38.462000000000003</v>
      </c>
      <c r="DA27">
        <v>40.506</v>
      </c>
      <c r="DB27">
        <v>52.38</v>
      </c>
      <c r="DC27">
        <v>-6</v>
      </c>
      <c r="DD27">
        <v>1756</v>
      </c>
      <c r="DE27">
        <v>58.94</v>
      </c>
      <c r="DF27">
        <v>174.125</v>
      </c>
      <c r="DG27">
        <v>14</v>
      </c>
      <c r="DH27">
        <v>279.125</v>
      </c>
      <c r="DI27">
        <v>4.9870000000000001</v>
      </c>
      <c r="DJ27">
        <v>896</v>
      </c>
      <c r="DK27">
        <v>89.5</v>
      </c>
      <c r="DL27">
        <v>3.7679999999999998</v>
      </c>
      <c r="DM27">
        <v>6</v>
      </c>
      <c r="DN27">
        <v>2652</v>
      </c>
      <c r="DO27">
        <v>7</v>
      </c>
      <c r="DP27">
        <v>189.625</v>
      </c>
      <c r="DQ27">
        <v>8.4610000000000003</v>
      </c>
      <c r="DR27">
        <v>6.9169999999999998</v>
      </c>
      <c r="DS27">
        <v>4.3029999999999999</v>
      </c>
      <c r="DT27">
        <v>1</v>
      </c>
      <c r="DU27">
        <v>24</v>
      </c>
      <c r="DV27">
        <v>0</v>
      </c>
      <c r="DW27">
        <v>92.308000000000007</v>
      </c>
      <c r="DX27">
        <v>76.923000000000002</v>
      </c>
      <c r="DY27">
        <v>10</v>
      </c>
      <c r="DZ27">
        <v>42</v>
      </c>
      <c r="EA27">
        <v>11.412000000000001</v>
      </c>
      <c r="EB27">
        <v>16</v>
      </c>
      <c r="EC27">
        <v>42</v>
      </c>
      <c r="ED27">
        <v>6</v>
      </c>
      <c r="EE27">
        <v>7</v>
      </c>
      <c r="EF27">
        <v>126</v>
      </c>
      <c r="EG27">
        <v>16.75</v>
      </c>
      <c r="EH27">
        <v>57.895000000000003</v>
      </c>
      <c r="EI27">
        <v>33.042999999999999</v>
      </c>
      <c r="EJ27">
        <v>69.39</v>
      </c>
      <c r="EK27">
        <v>0</v>
      </c>
    </row>
    <row r="28" spans="1:141" x14ac:dyDescent="0.25">
      <c r="A28">
        <v>57</v>
      </c>
      <c r="B28">
        <v>1</v>
      </c>
      <c r="C28">
        <v>1</v>
      </c>
      <c r="D28">
        <v>2025</v>
      </c>
      <c r="E28">
        <v>2</v>
      </c>
      <c r="F28" t="str">
        <f>VLOOKUP(G28, Map!$A$1:$B$33, 2, FALSE)</f>
        <v>IND</v>
      </c>
      <c r="G28" t="s">
        <v>138</v>
      </c>
      <c r="H28" t="str">
        <f>VLOOKUP(I28, Map!$A$1:$B$33, 2, FALSE)</f>
        <v>DEN</v>
      </c>
      <c r="I28" t="s">
        <v>159</v>
      </c>
      <c r="J28">
        <v>0</v>
      </c>
      <c r="K28">
        <v>0</v>
      </c>
      <c r="L28">
        <v>0</v>
      </c>
      <c r="M28">
        <v>1</v>
      </c>
      <c r="N28">
        <v>7</v>
      </c>
      <c r="O28">
        <v>1</v>
      </c>
      <c r="P28">
        <v>19.25</v>
      </c>
      <c r="Q28">
        <v>33.75</v>
      </c>
      <c r="R28">
        <v>116</v>
      </c>
      <c r="S28">
        <v>4</v>
      </c>
      <c r="T28">
        <v>0.875</v>
      </c>
      <c r="U28">
        <v>2</v>
      </c>
      <c r="V28">
        <v>0</v>
      </c>
      <c r="W28">
        <v>5</v>
      </c>
      <c r="X28">
        <v>0</v>
      </c>
      <c r="Y28">
        <v>2</v>
      </c>
      <c r="Z28">
        <v>1</v>
      </c>
      <c r="AA28">
        <v>6</v>
      </c>
      <c r="AB28">
        <v>0</v>
      </c>
      <c r="AC28">
        <v>4</v>
      </c>
      <c r="AD28">
        <v>12</v>
      </c>
      <c r="AE28">
        <v>6</v>
      </c>
      <c r="AF28">
        <v>11</v>
      </c>
      <c r="AG28">
        <v>68</v>
      </c>
      <c r="AH28">
        <v>0</v>
      </c>
      <c r="AI28">
        <v>6</v>
      </c>
      <c r="AJ28">
        <v>2</v>
      </c>
      <c r="AK28">
        <v>18.875</v>
      </c>
      <c r="AL28">
        <v>25.875</v>
      </c>
      <c r="AM28">
        <v>56</v>
      </c>
      <c r="AN28">
        <v>5</v>
      </c>
      <c r="AO28">
        <v>0.75</v>
      </c>
      <c r="AP28">
        <v>0</v>
      </c>
      <c r="AQ28">
        <v>1</v>
      </c>
      <c r="AR28">
        <v>4</v>
      </c>
      <c r="AS28">
        <v>0</v>
      </c>
      <c r="AT28">
        <v>2</v>
      </c>
      <c r="AU28">
        <v>2</v>
      </c>
      <c r="AV28">
        <v>3</v>
      </c>
      <c r="AW28">
        <v>2</v>
      </c>
      <c r="AX28">
        <v>4</v>
      </c>
      <c r="AY28">
        <v>12</v>
      </c>
      <c r="AZ28">
        <v>7</v>
      </c>
      <c r="BA28">
        <v>9</v>
      </c>
      <c r="BB28">
        <v>63</v>
      </c>
      <c r="BC28">
        <v>50.5</v>
      </c>
      <c r="BD28">
        <v>1.5</v>
      </c>
      <c r="BE28">
        <v>0</v>
      </c>
      <c r="BF28">
        <v>0</v>
      </c>
      <c r="BG28">
        <v>51.206000000000003</v>
      </c>
      <c r="BH28">
        <v>54.673000000000002</v>
      </c>
      <c r="BI28">
        <v>48.405999999999999</v>
      </c>
      <c r="BJ28">
        <v>21.218</v>
      </c>
      <c r="BK28">
        <v>68.474999999999994</v>
      </c>
      <c r="BL28">
        <v>52.463999999999999</v>
      </c>
      <c r="BM28">
        <v>0.65300000000000002</v>
      </c>
      <c r="BN28">
        <v>48.405999999999999</v>
      </c>
      <c r="BO28">
        <v>54.673000000000002</v>
      </c>
      <c r="BP28">
        <v>0</v>
      </c>
      <c r="BQ28">
        <v>51.206000000000003</v>
      </c>
      <c r="BR28">
        <v>-0.65300000000000002</v>
      </c>
      <c r="BS28">
        <v>31.524999999999999</v>
      </c>
      <c r="BT28">
        <v>78.781999999999996</v>
      </c>
      <c r="BU28">
        <v>47.536000000000001</v>
      </c>
      <c r="BV28">
        <v>2891</v>
      </c>
      <c r="BW28">
        <v>70.161000000000001</v>
      </c>
      <c r="BX28">
        <v>250.875</v>
      </c>
      <c r="BY28">
        <v>23</v>
      </c>
      <c r="BZ28">
        <v>393.25</v>
      </c>
      <c r="CA28">
        <v>8.3510000000000009</v>
      </c>
      <c r="CB28">
        <v>1690</v>
      </c>
      <c r="CC28">
        <v>134.375</v>
      </c>
      <c r="CD28">
        <v>5.0229999999999997</v>
      </c>
      <c r="CE28">
        <v>18</v>
      </c>
      <c r="CF28">
        <v>3396</v>
      </c>
      <c r="CG28">
        <v>13</v>
      </c>
      <c r="CH28">
        <v>258.875</v>
      </c>
      <c r="CI28">
        <v>11.901999999999999</v>
      </c>
      <c r="CJ28">
        <v>6.8259999999999996</v>
      </c>
      <c r="CK28">
        <v>6.0910000000000002</v>
      </c>
      <c r="CL28">
        <v>1</v>
      </c>
      <c r="CM28">
        <v>23</v>
      </c>
      <c r="CN28">
        <v>0</v>
      </c>
      <c r="CO28">
        <v>96.296000000000006</v>
      </c>
      <c r="CP28">
        <v>94.117999999999995</v>
      </c>
      <c r="CQ28">
        <v>16</v>
      </c>
      <c r="CR28">
        <v>74</v>
      </c>
      <c r="CS28">
        <v>4.25</v>
      </c>
      <c r="CT28">
        <v>16</v>
      </c>
      <c r="CU28">
        <v>8</v>
      </c>
      <c r="CV28">
        <v>6</v>
      </c>
      <c r="CW28">
        <v>13</v>
      </c>
      <c r="CX28">
        <v>270</v>
      </c>
      <c r="CY28">
        <v>23.25</v>
      </c>
      <c r="CZ28">
        <v>83.332999999999998</v>
      </c>
      <c r="DA28">
        <v>45.348999999999997</v>
      </c>
      <c r="DB28">
        <v>77.069999999999993</v>
      </c>
      <c r="DC28">
        <v>8</v>
      </c>
      <c r="DD28">
        <v>2703</v>
      </c>
      <c r="DE28">
        <v>62.807000000000002</v>
      </c>
      <c r="DF28">
        <v>219.125</v>
      </c>
      <c r="DG28">
        <v>22</v>
      </c>
      <c r="DH28">
        <v>363.125</v>
      </c>
      <c r="DI28">
        <v>6.3259999999999996</v>
      </c>
      <c r="DJ28">
        <v>1407</v>
      </c>
      <c r="DK28">
        <v>137.75</v>
      </c>
      <c r="DL28">
        <v>5.0090000000000003</v>
      </c>
      <c r="DM28">
        <v>10</v>
      </c>
      <c r="DN28">
        <v>3223</v>
      </c>
      <c r="DO28">
        <v>15</v>
      </c>
      <c r="DP28">
        <v>225.375</v>
      </c>
      <c r="DQ28">
        <v>10.073</v>
      </c>
      <c r="DR28">
        <v>6.0279999999999996</v>
      </c>
      <c r="DS28">
        <v>90.5</v>
      </c>
      <c r="DT28">
        <v>0</v>
      </c>
      <c r="DU28">
        <v>36</v>
      </c>
      <c r="DV28">
        <v>0</v>
      </c>
      <c r="DW28">
        <v>100</v>
      </c>
      <c r="DX28">
        <v>90.909000000000006</v>
      </c>
      <c r="DY28">
        <v>10</v>
      </c>
      <c r="DZ28">
        <v>51</v>
      </c>
      <c r="EA28">
        <v>10.467000000000001</v>
      </c>
      <c r="EB28">
        <v>18</v>
      </c>
      <c r="EC28">
        <v>38</v>
      </c>
      <c r="ED28">
        <v>0</v>
      </c>
      <c r="EE28">
        <v>15</v>
      </c>
      <c r="EF28">
        <v>207</v>
      </c>
      <c r="EG28">
        <v>20.75</v>
      </c>
      <c r="EH28">
        <v>50</v>
      </c>
      <c r="EI28">
        <v>37.863999999999997</v>
      </c>
      <c r="EJ28">
        <v>73.02</v>
      </c>
      <c r="EK28">
        <v>-1</v>
      </c>
    </row>
    <row r="29" spans="1:141" x14ac:dyDescent="0.25">
      <c r="A29">
        <v>49</v>
      </c>
      <c r="B29">
        <v>5</v>
      </c>
      <c r="C29">
        <v>1</v>
      </c>
      <c r="D29">
        <v>2025</v>
      </c>
      <c r="E29">
        <v>2</v>
      </c>
      <c r="F29" t="str">
        <f>VLOOKUP(G29, Map!$A$1:$B$33, 2, FALSE)</f>
        <v>ARI</v>
      </c>
      <c r="G29" t="s">
        <v>156</v>
      </c>
      <c r="H29" t="str">
        <f>VLOOKUP(I29, Map!$A$1:$B$33, 2, FALSE)</f>
        <v>CAR</v>
      </c>
      <c r="I29" t="s">
        <v>142</v>
      </c>
      <c r="J29">
        <v>0</v>
      </c>
      <c r="K29">
        <v>0</v>
      </c>
      <c r="L29">
        <v>0</v>
      </c>
      <c r="M29">
        <v>1</v>
      </c>
      <c r="N29">
        <v>2</v>
      </c>
      <c r="O29">
        <v>5</v>
      </c>
      <c r="P29">
        <v>22</v>
      </c>
      <c r="Q29">
        <v>21.857143000000001</v>
      </c>
      <c r="R29">
        <v>-1</v>
      </c>
      <c r="S29">
        <v>-5</v>
      </c>
      <c r="T29">
        <v>0.28571429999999998</v>
      </c>
      <c r="U29">
        <v>0</v>
      </c>
      <c r="V29">
        <v>2</v>
      </c>
      <c r="W29">
        <v>1</v>
      </c>
      <c r="X29">
        <v>3</v>
      </c>
      <c r="Y29">
        <v>1</v>
      </c>
      <c r="Z29">
        <v>2</v>
      </c>
      <c r="AA29">
        <v>2</v>
      </c>
      <c r="AB29">
        <v>3</v>
      </c>
      <c r="AC29">
        <v>4</v>
      </c>
      <c r="AD29">
        <v>12</v>
      </c>
      <c r="AE29">
        <v>8</v>
      </c>
      <c r="AF29">
        <v>8</v>
      </c>
      <c r="AG29">
        <v>69</v>
      </c>
      <c r="AH29">
        <v>0</v>
      </c>
      <c r="AI29">
        <v>4</v>
      </c>
      <c r="AJ29">
        <v>4</v>
      </c>
      <c r="AK29">
        <v>24</v>
      </c>
      <c r="AL29">
        <v>19.25</v>
      </c>
      <c r="AM29">
        <v>-38</v>
      </c>
      <c r="AN29">
        <v>-1</v>
      </c>
      <c r="AO29">
        <v>0.5</v>
      </c>
      <c r="AP29">
        <v>1</v>
      </c>
      <c r="AQ29">
        <v>0</v>
      </c>
      <c r="AR29">
        <v>3</v>
      </c>
      <c r="AS29">
        <v>1</v>
      </c>
      <c r="AT29">
        <v>1</v>
      </c>
      <c r="AU29">
        <v>3</v>
      </c>
      <c r="AV29">
        <v>2</v>
      </c>
      <c r="AW29">
        <v>1</v>
      </c>
      <c r="AX29">
        <v>7</v>
      </c>
      <c r="AY29">
        <v>10</v>
      </c>
      <c r="AZ29">
        <v>9</v>
      </c>
      <c r="BA29">
        <v>8</v>
      </c>
      <c r="BB29">
        <v>58</v>
      </c>
      <c r="BC29">
        <v>45.5</v>
      </c>
      <c r="BD29">
        <v>-6</v>
      </c>
      <c r="BE29">
        <v>0</v>
      </c>
      <c r="BF29">
        <v>0</v>
      </c>
      <c r="BG29">
        <v>65.662999999999997</v>
      </c>
      <c r="BH29">
        <v>29.456</v>
      </c>
      <c r="BI29">
        <v>34.063000000000002</v>
      </c>
      <c r="BJ29">
        <v>79.683999999999997</v>
      </c>
      <c r="BK29">
        <v>73.534999999999997</v>
      </c>
      <c r="BL29">
        <v>84.474000000000004</v>
      </c>
      <c r="BM29">
        <v>6.2389999999999999</v>
      </c>
      <c r="BN29">
        <v>34.063000000000002</v>
      </c>
      <c r="BO29">
        <v>29.456</v>
      </c>
      <c r="BP29">
        <v>0</v>
      </c>
      <c r="BQ29">
        <v>65.662999999999997</v>
      </c>
      <c r="BR29">
        <v>-6.2389999999999999</v>
      </c>
      <c r="BS29">
        <v>26.465</v>
      </c>
      <c r="BT29">
        <v>20.315999999999999</v>
      </c>
      <c r="BU29">
        <v>15.526</v>
      </c>
      <c r="BV29">
        <v>2113</v>
      </c>
      <c r="BW29">
        <v>66.941999999999993</v>
      </c>
      <c r="BX29">
        <v>199.85714999999999</v>
      </c>
      <c r="BY29">
        <v>18</v>
      </c>
      <c r="BZ29">
        <v>333.42856</v>
      </c>
      <c r="CA29">
        <v>6.335</v>
      </c>
      <c r="CB29">
        <v>888</v>
      </c>
      <c r="CC29">
        <v>110.429</v>
      </c>
      <c r="CD29">
        <v>4.4169999999999998</v>
      </c>
      <c r="CE29">
        <v>5</v>
      </c>
      <c r="CF29">
        <v>2721</v>
      </c>
      <c r="CG29">
        <v>10</v>
      </c>
      <c r="CH29">
        <v>223</v>
      </c>
      <c r="CI29">
        <v>9.4629999999999992</v>
      </c>
      <c r="CJ29">
        <v>6.6669999999999998</v>
      </c>
      <c r="CK29">
        <v>3.238</v>
      </c>
      <c r="CL29">
        <v>1</v>
      </c>
      <c r="CM29">
        <v>12</v>
      </c>
      <c r="CN29">
        <v>0</v>
      </c>
      <c r="CO29">
        <v>100</v>
      </c>
      <c r="CP29">
        <v>86.667000000000002</v>
      </c>
      <c r="CQ29">
        <v>13</v>
      </c>
      <c r="CR29">
        <v>55</v>
      </c>
      <c r="CS29">
        <v>8.25</v>
      </c>
      <c r="CT29">
        <v>25</v>
      </c>
      <c r="CU29">
        <v>9</v>
      </c>
      <c r="CV29">
        <v>8</v>
      </c>
      <c r="CW29">
        <v>10</v>
      </c>
      <c r="CX29">
        <v>153</v>
      </c>
      <c r="CY29">
        <v>19</v>
      </c>
      <c r="CZ29">
        <v>57.143000000000001</v>
      </c>
      <c r="DA29">
        <v>44.792000000000002</v>
      </c>
      <c r="DB29">
        <v>63.49</v>
      </c>
      <c r="DC29">
        <v>-1</v>
      </c>
      <c r="DD29">
        <v>2241</v>
      </c>
      <c r="DE29">
        <v>62.451999999999998</v>
      </c>
      <c r="DF29">
        <v>179.5</v>
      </c>
      <c r="DG29">
        <v>19</v>
      </c>
      <c r="DH29">
        <v>334.5</v>
      </c>
      <c r="DI29">
        <v>6.0570000000000004</v>
      </c>
      <c r="DJ29">
        <v>1145</v>
      </c>
      <c r="DK29">
        <v>136.875</v>
      </c>
      <c r="DL29">
        <v>4.6399999999999997</v>
      </c>
      <c r="DM29">
        <v>4</v>
      </c>
      <c r="DN29">
        <v>2816</v>
      </c>
      <c r="DO29">
        <v>12</v>
      </c>
      <c r="DP29">
        <v>197.625</v>
      </c>
      <c r="DQ29">
        <v>9.6989999999999998</v>
      </c>
      <c r="DR29">
        <v>6.8460000000000001</v>
      </c>
      <c r="DS29">
        <v>4.75</v>
      </c>
      <c r="DT29">
        <v>1</v>
      </c>
      <c r="DU29">
        <v>13</v>
      </c>
      <c r="DV29">
        <v>0</v>
      </c>
      <c r="DW29">
        <v>86.667000000000002</v>
      </c>
      <c r="DX29">
        <v>86.667000000000002</v>
      </c>
      <c r="DY29">
        <v>13</v>
      </c>
      <c r="DZ29">
        <v>52</v>
      </c>
      <c r="EA29">
        <v>16.411999999999999</v>
      </c>
      <c r="EB29">
        <v>11</v>
      </c>
      <c r="EC29">
        <v>27</v>
      </c>
      <c r="ED29">
        <v>6</v>
      </c>
      <c r="EE29">
        <v>12</v>
      </c>
      <c r="EF29">
        <v>154</v>
      </c>
      <c r="EG29">
        <v>20.75</v>
      </c>
      <c r="EH29">
        <v>68.421000000000006</v>
      </c>
      <c r="EI29">
        <v>37.255000000000003</v>
      </c>
      <c r="EJ29">
        <v>70.83</v>
      </c>
      <c r="EK29">
        <v>-5</v>
      </c>
    </row>
    <row r="30" spans="1:141" x14ac:dyDescent="0.25">
      <c r="A30">
        <v>37</v>
      </c>
      <c r="B30">
        <v>-3</v>
      </c>
      <c r="C30">
        <v>0</v>
      </c>
      <c r="D30">
        <v>2025</v>
      </c>
      <c r="E30">
        <v>2</v>
      </c>
      <c r="F30" t="str">
        <f>VLOOKUP(G30, Map!$A$1:$B$33, 2, FALSE)</f>
        <v>KC</v>
      </c>
      <c r="G30" t="s">
        <v>158</v>
      </c>
      <c r="H30" t="str">
        <f>VLOOKUP(I30, Map!$A$1:$B$33, 2, FALSE)</f>
        <v>PHI</v>
      </c>
      <c r="I30" t="s">
        <v>147</v>
      </c>
      <c r="J30">
        <v>0</v>
      </c>
      <c r="K30">
        <v>0</v>
      </c>
      <c r="L30">
        <v>0</v>
      </c>
      <c r="M30">
        <v>0</v>
      </c>
      <c r="N30">
        <v>5</v>
      </c>
      <c r="O30">
        <v>3</v>
      </c>
      <c r="P30">
        <v>16.375</v>
      </c>
      <c r="Q30">
        <v>26.75</v>
      </c>
      <c r="R30">
        <v>83</v>
      </c>
      <c r="S30">
        <v>3</v>
      </c>
      <c r="T30">
        <v>0.625</v>
      </c>
      <c r="U30">
        <v>1</v>
      </c>
      <c r="V30">
        <v>1</v>
      </c>
      <c r="W30">
        <v>4</v>
      </c>
      <c r="X30">
        <v>1</v>
      </c>
      <c r="Y30">
        <v>1</v>
      </c>
      <c r="Z30">
        <v>2</v>
      </c>
      <c r="AA30">
        <v>2</v>
      </c>
      <c r="AB30">
        <v>2</v>
      </c>
      <c r="AC30">
        <v>16</v>
      </c>
      <c r="AD30">
        <v>3</v>
      </c>
      <c r="AE30">
        <v>7</v>
      </c>
      <c r="AF30">
        <v>11</v>
      </c>
      <c r="AG30">
        <v>65</v>
      </c>
      <c r="AH30">
        <v>1</v>
      </c>
      <c r="AI30">
        <v>6</v>
      </c>
      <c r="AJ30">
        <v>2</v>
      </c>
      <c r="AK30">
        <v>23.125</v>
      </c>
      <c r="AL30">
        <v>26</v>
      </c>
      <c r="AM30">
        <v>23</v>
      </c>
      <c r="AN30">
        <v>2</v>
      </c>
      <c r="AO30">
        <v>0.75</v>
      </c>
      <c r="AP30">
        <v>2</v>
      </c>
      <c r="AQ30">
        <v>1</v>
      </c>
      <c r="AR30">
        <v>3</v>
      </c>
      <c r="AS30">
        <v>1</v>
      </c>
      <c r="AT30">
        <v>3</v>
      </c>
      <c r="AU30">
        <v>1</v>
      </c>
      <c r="AV30">
        <v>5</v>
      </c>
      <c r="AW30">
        <v>1</v>
      </c>
      <c r="AX30">
        <v>16</v>
      </c>
      <c r="AY30">
        <v>3</v>
      </c>
      <c r="AZ30">
        <v>10</v>
      </c>
      <c r="BA30">
        <v>9</v>
      </c>
      <c r="BB30">
        <v>63</v>
      </c>
      <c r="BC30">
        <v>40</v>
      </c>
      <c r="BD30">
        <v>2.5</v>
      </c>
      <c r="BE30">
        <v>0</v>
      </c>
      <c r="BF30">
        <v>0</v>
      </c>
      <c r="BG30">
        <v>52.277000000000001</v>
      </c>
      <c r="BH30">
        <v>83.087000000000003</v>
      </c>
      <c r="BI30">
        <v>47.343000000000004</v>
      </c>
      <c r="BJ30">
        <v>54.600999999999999</v>
      </c>
      <c r="BK30">
        <v>22.887</v>
      </c>
      <c r="BL30">
        <v>29.146000000000001</v>
      </c>
      <c r="BM30">
        <v>1.014</v>
      </c>
      <c r="BN30">
        <v>47.343000000000004</v>
      </c>
      <c r="BO30">
        <v>83.087000000000003</v>
      </c>
      <c r="BP30">
        <v>0</v>
      </c>
      <c r="BQ30">
        <v>52.277000000000001</v>
      </c>
      <c r="BR30">
        <v>-1.014</v>
      </c>
      <c r="BS30">
        <v>77.113</v>
      </c>
      <c r="BT30">
        <v>45.399000000000001</v>
      </c>
      <c r="BU30">
        <v>70.853999999999999</v>
      </c>
      <c r="BV30">
        <v>3149</v>
      </c>
      <c r="BW30">
        <v>67.021000000000001</v>
      </c>
      <c r="BX30">
        <v>251.75</v>
      </c>
      <c r="BY30">
        <v>25</v>
      </c>
      <c r="BZ30">
        <v>388.875</v>
      </c>
      <c r="CA30">
        <v>7.3719999999999999</v>
      </c>
      <c r="CB30">
        <v>1327</v>
      </c>
      <c r="CC30">
        <v>126.5</v>
      </c>
      <c r="CD30">
        <v>4.4980000000000002</v>
      </c>
      <c r="CE30">
        <v>9</v>
      </c>
      <c r="CF30">
        <v>3639</v>
      </c>
      <c r="CG30">
        <v>17</v>
      </c>
      <c r="CH30">
        <v>262.375</v>
      </c>
      <c r="CI30">
        <v>11</v>
      </c>
      <c r="CJ30">
        <v>4</v>
      </c>
      <c r="CK30">
        <v>3.4</v>
      </c>
      <c r="CL30">
        <v>0</v>
      </c>
      <c r="CM30">
        <v>17</v>
      </c>
      <c r="CN30">
        <v>0</v>
      </c>
      <c r="CO30">
        <v>88</v>
      </c>
      <c r="CP30">
        <v>80</v>
      </c>
      <c r="CQ30">
        <v>12</v>
      </c>
      <c r="CR30">
        <v>58</v>
      </c>
      <c r="CS30">
        <v>8.3330000000000002</v>
      </c>
      <c r="CT30">
        <v>19</v>
      </c>
      <c r="CU30">
        <v>11</v>
      </c>
      <c r="CV30">
        <v>0</v>
      </c>
      <c r="CW30">
        <v>17</v>
      </c>
      <c r="CX30">
        <v>214</v>
      </c>
      <c r="CY30">
        <v>23.625</v>
      </c>
      <c r="CZ30">
        <v>82.352999999999994</v>
      </c>
      <c r="DA30">
        <v>44</v>
      </c>
      <c r="DB30">
        <v>78.150000000000006</v>
      </c>
      <c r="DC30">
        <v>5</v>
      </c>
      <c r="DD30">
        <v>2679</v>
      </c>
      <c r="DE30">
        <v>70.233000000000004</v>
      </c>
      <c r="DF30">
        <v>192.75</v>
      </c>
      <c r="DG30">
        <v>23</v>
      </c>
      <c r="DH30">
        <v>321.25</v>
      </c>
      <c r="DI30">
        <v>7.7160000000000002</v>
      </c>
      <c r="DJ30">
        <v>1178</v>
      </c>
      <c r="DK30">
        <v>111.625</v>
      </c>
      <c r="DL30">
        <v>4.0960000000000001</v>
      </c>
      <c r="DM30">
        <v>9</v>
      </c>
      <c r="DN30">
        <v>2957</v>
      </c>
      <c r="DO30">
        <v>15</v>
      </c>
      <c r="DP30">
        <v>209.625</v>
      </c>
      <c r="DQ30">
        <v>10.987</v>
      </c>
      <c r="DR30">
        <v>4.75</v>
      </c>
      <c r="DS30">
        <v>3.75</v>
      </c>
      <c r="DT30">
        <v>3</v>
      </c>
      <c r="DU30">
        <v>16</v>
      </c>
      <c r="DV30">
        <v>0</v>
      </c>
      <c r="DW30">
        <v>100</v>
      </c>
      <c r="DX30">
        <v>77.778000000000006</v>
      </c>
      <c r="DY30">
        <v>7</v>
      </c>
      <c r="DZ30">
        <v>46</v>
      </c>
      <c r="EA30">
        <v>13.55</v>
      </c>
      <c r="EB30">
        <v>7</v>
      </c>
      <c r="EC30">
        <v>34</v>
      </c>
      <c r="ED30">
        <v>6</v>
      </c>
      <c r="EE30">
        <v>15</v>
      </c>
      <c r="EF30">
        <v>208</v>
      </c>
      <c r="EG30">
        <v>17.875</v>
      </c>
      <c r="EH30">
        <v>78.570999999999998</v>
      </c>
      <c r="EI30">
        <v>33.332999999999998</v>
      </c>
      <c r="EJ30">
        <v>87.14</v>
      </c>
      <c r="EK30">
        <v>4</v>
      </c>
    </row>
    <row r="31" spans="1:141" x14ac:dyDescent="0.25">
      <c r="A31">
        <v>28</v>
      </c>
      <c r="B31">
        <v>-16</v>
      </c>
      <c r="C31">
        <v>0</v>
      </c>
      <c r="D31">
        <v>2025</v>
      </c>
      <c r="E31">
        <v>2</v>
      </c>
      <c r="F31" t="str">
        <f>VLOOKUP(G31, Map!$A$1:$B$33, 2, FALSE)</f>
        <v>MIN</v>
      </c>
      <c r="G31" t="s">
        <v>153</v>
      </c>
      <c r="H31" t="str">
        <f>VLOOKUP(I31, Map!$A$1:$B$33, 2, FALSE)</f>
        <v>ATL</v>
      </c>
      <c r="I31" t="s">
        <v>167</v>
      </c>
      <c r="J31">
        <v>0</v>
      </c>
      <c r="K31">
        <v>0</v>
      </c>
      <c r="L31">
        <v>0</v>
      </c>
      <c r="M31">
        <v>0</v>
      </c>
      <c r="N31">
        <v>3</v>
      </c>
      <c r="O31">
        <v>4</v>
      </c>
      <c r="P31">
        <v>23.142856999999999</v>
      </c>
      <c r="Q31">
        <v>22.142856999999999</v>
      </c>
      <c r="R31">
        <v>-7</v>
      </c>
      <c r="S31">
        <v>-2</v>
      </c>
      <c r="T31">
        <v>0.42857142999999998</v>
      </c>
      <c r="U31">
        <v>1</v>
      </c>
      <c r="V31">
        <v>0</v>
      </c>
      <c r="W31">
        <v>1</v>
      </c>
      <c r="X31">
        <v>2</v>
      </c>
      <c r="Y31">
        <v>2</v>
      </c>
      <c r="Z31">
        <v>2</v>
      </c>
      <c r="AA31">
        <v>1</v>
      </c>
      <c r="AB31">
        <v>2</v>
      </c>
      <c r="AC31">
        <v>13</v>
      </c>
      <c r="AD31">
        <v>4</v>
      </c>
      <c r="AE31">
        <v>7</v>
      </c>
      <c r="AF31">
        <v>9</v>
      </c>
      <c r="AG31">
        <v>61</v>
      </c>
      <c r="AH31">
        <v>1</v>
      </c>
      <c r="AI31">
        <v>3</v>
      </c>
      <c r="AJ31">
        <v>4</v>
      </c>
      <c r="AK31">
        <v>22</v>
      </c>
      <c r="AL31">
        <v>17.142856999999999</v>
      </c>
      <c r="AM31">
        <v>-34</v>
      </c>
      <c r="AN31">
        <v>-2</v>
      </c>
      <c r="AO31">
        <v>0.42857142999999998</v>
      </c>
      <c r="AP31">
        <v>0</v>
      </c>
      <c r="AQ31">
        <v>2</v>
      </c>
      <c r="AR31">
        <v>2</v>
      </c>
      <c r="AS31">
        <v>2</v>
      </c>
      <c r="AT31">
        <v>1</v>
      </c>
      <c r="AU31">
        <v>2</v>
      </c>
      <c r="AV31">
        <v>2</v>
      </c>
      <c r="AW31">
        <v>3</v>
      </c>
      <c r="AX31">
        <v>7</v>
      </c>
      <c r="AY31">
        <v>10</v>
      </c>
      <c r="AZ31">
        <v>9</v>
      </c>
      <c r="BA31">
        <v>8</v>
      </c>
      <c r="BB31">
        <v>64</v>
      </c>
      <c r="BC31">
        <v>36</v>
      </c>
      <c r="BD31">
        <v>3</v>
      </c>
      <c r="BE31">
        <v>0</v>
      </c>
      <c r="BF31">
        <v>0</v>
      </c>
      <c r="BG31">
        <v>63.856000000000002</v>
      </c>
      <c r="BH31">
        <v>46.994</v>
      </c>
      <c r="BI31">
        <v>35.856000000000002</v>
      </c>
      <c r="BJ31">
        <v>66.938000000000002</v>
      </c>
      <c r="BK31">
        <v>3.07</v>
      </c>
      <c r="BL31">
        <v>20.318999999999999</v>
      </c>
      <c r="BM31">
        <v>5.43</v>
      </c>
      <c r="BN31">
        <v>35.856000000000002</v>
      </c>
      <c r="BO31">
        <v>46.994</v>
      </c>
      <c r="BP31">
        <v>0</v>
      </c>
      <c r="BQ31">
        <v>63.856000000000002</v>
      </c>
      <c r="BR31">
        <v>-5.43</v>
      </c>
      <c r="BS31">
        <v>96.93</v>
      </c>
      <c r="BT31">
        <v>33.061999999999998</v>
      </c>
      <c r="BU31">
        <v>79.680999999999997</v>
      </c>
      <c r="BV31">
        <v>1981</v>
      </c>
      <c r="BW31">
        <v>63.927</v>
      </c>
      <c r="BX31">
        <v>202.71428</v>
      </c>
      <c r="BY31">
        <v>21</v>
      </c>
      <c r="BZ31">
        <v>321.14285000000001</v>
      </c>
      <c r="CA31">
        <v>7.2649999999999997</v>
      </c>
      <c r="CB31">
        <v>772</v>
      </c>
      <c r="CC31">
        <v>93.856999999999999</v>
      </c>
      <c r="CD31">
        <v>4.2939999999999996</v>
      </c>
      <c r="CE31">
        <v>5</v>
      </c>
      <c r="CF31">
        <v>2606</v>
      </c>
      <c r="CG31">
        <v>9</v>
      </c>
      <c r="CH31">
        <v>227.286</v>
      </c>
      <c r="CI31">
        <v>11.364000000000001</v>
      </c>
      <c r="CJ31">
        <v>6.2220000000000004</v>
      </c>
      <c r="CK31">
        <v>3.3570000000000002</v>
      </c>
      <c r="CL31">
        <v>2</v>
      </c>
      <c r="CM31">
        <v>18</v>
      </c>
      <c r="CN31">
        <v>0</v>
      </c>
      <c r="CO31">
        <v>100</v>
      </c>
      <c r="CP31">
        <v>87.5</v>
      </c>
      <c r="CQ31">
        <v>14</v>
      </c>
      <c r="CR31">
        <v>55</v>
      </c>
      <c r="CS31">
        <v>7.8179999999999996</v>
      </c>
      <c r="CT31">
        <v>29</v>
      </c>
      <c r="CU31">
        <v>10</v>
      </c>
      <c r="CV31">
        <v>12</v>
      </c>
      <c r="CW31">
        <v>9</v>
      </c>
      <c r="CX31">
        <v>155</v>
      </c>
      <c r="CY31">
        <v>17.428999999999998</v>
      </c>
      <c r="CZ31">
        <v>62.5</v>
      </c>
      <c r="DA31">
        <v>33.332999999999998</v>
      </c>
      <c r="DB31">
        <v>70.13</v>
      </c>
      <c r="DC31">
        <v>-4</v>
      </c>
      <c r="DD31">
        <v>1871</v>
      </c>
      <c r="DE31">
        <v>62.231999999999999</v>
      </c>
      <c r="DF31">
        <v>219.42857000000001</v>
      </c>
      <c r="DG31">
        <v>19</v>
      </c>
      <c r="DH31">
        <v>353.42856</v>
      </c>
      <c r="DI31">
        <v>6.9139999999999997</v>
      </c>
      <c r="DJ31">
        <v>1048</v>
      </c>
      <c r="DK31">
        <v>123.286</v>
      </c>
      <c r="DL31">
        <v>4.4029999999999996</v>
      </c>
      <c r="DM31">
        <v>7</v>
      </c>
      <c r="DN31">
        <v>2511</v>
      </c>
      <c r="DO31">
        <v>5</v>
      </c>
      <c r="DP31">
        <v>230.143</v>
      </c>
      <c r="DQ31">
        <v>11.11</v>
      </c>
      <c r="DR31">
        <v>5.9379999999999997</v>
      </c>
      <c r="DS31">
        <v>5.6429999999999998</v>
      </c>
      <c r="DT31">
        <v>0</v>
      </c>
      <c r="DU31">
        <v>16</v>
      </c>
      <c r="DV31">
        <v>0</v>
      </c>
      <c r="DW31">
        <v>100</v>
      </c>
      <c r="DX31">
        <v>75</v>
      </c>
      <c r="DY31">
        <v>12</v>
      </c>
      <c r="DZ31">
        <v>48</v>
      </c>
      <c r="EA31">
        <v>7.5380000000000003</v>
      </c>
      <c r="EB31">
        <v>9</v>
      </c>
      <c r="EC31">
        <v>22</v>
      </c>
      <c r="ED31">
        <v>0</v>
      </c>
      <c r="EE31">
        <v>5</v>
      </c>
      <c r="EF31">
        <v>120</v>
      </c>
      <c r="EG31">
        <v>19.286000000000001</v>
      </c>
      <c r="EH31">
        <v>40</v>
      </c>
      <c r="EI31">
        <v>39.326000000000001</v>
      </c>
      <c r="EJ31">
        <v>57.86</v>
      </c>
      <c r="EK31">
        <v>2</v>
      </c>
    </row>
    <row r="32" spans="1:141" x14ac:dyDescent="0.25">
      <c r="A32">
        <v>39</v>
      </c>
      <c r="B32">
        <v>-1</v>
      </c>
      <c r="C32">
        <v>0</v>
      </c>
      <c r="D32">
        <v>2025</v>
      </c>
      <c r="E32">
        <v>2</v>
      </c>
      <c r="F32" t="str">
        <f>VLOOKUP(G32, Map!$A$1:$B$33, 2, FALSE)</f>
        <v>HOU</v>
      </c>
      <c r="G32" t="s">
        <v>137</v>
      </c>
      <c r="H32" t="str">
        <f>VLOOKUP(I32, Map!$A$1:$B$33, 2, FALSE)</f>
        <v>TB</v>
      </c>
      <c r="I32" t="s">
        <v>141</v>
      </c>
      <c r="J32">
        <v>0</v>
      </c>
      <c r="K32">
        <v>0</v>
      </c>
      <c r="L32">
        <v>0</v>
      </c>
      <c r="M32">
        <v>0</v>
      </c>
      <c r="N32">
        <v>3</v>
      </c>
      <c r="O32">
        <v>4</v>
      </c>
      <c r="P32">
        <v>14.714286</v>
      </c>
      <c r="Q32">
        <v>21.857143000000001</v>
      </c>
      <c r="R32">
        <v>50</v>
      </c>
      <c r="S32">
        <v>1</v>
      </c>
      <c r="T32">
        <v>0.42857142999999998</v>
      </c>
      <c r="U32">
        <v>1</v>
      </c>
      <c r="V32">
        <v>1</v>
      </c>
      <c r="W32">
        <v>2</v>
      </c>
      <c r="X32">
        <v>1</v>
      </c>
      <c r="Y32">
        <v>1</v>
      </c>
      <c r="Z32">
        <v>3</v>
      </c>
      <c r="AA32">
        <v>2</v>
      </c>
      <c r="AB32">
        <v>1</v>
      </c>
      <c r="AC32">
        <v>3</v>
      </c>
      <c r="AD32">
        <v>13</v>
      </c>
      <c r="AE32">
        <v>8</v>
      </c>
      <c r="AF32">
        <v>8</v>
      </c>
      <c r="AG32">
        <v>69</v>
      </c>
      <c r="AH32">
        <v>1</v>
      </c>
      <c r="AI32">
        <v>6</v>
      </c>
      <c r="AJ32">
        <v>2</v>
      </c>
      <c r="AK32">
        <v>22.25</v>
      </c>
      <c r="AL32">
        <v>24.625</v>
      </c>
      <c r="AM32">
        <v>19</v>
      </c>
      <c r="AN32">
        <v>1</v>
      </c>
      <c r="AO32">
        <v>0.75</v>
      </c>
      <c r="AP32">
        <v>2</v>
      </c>
      <c r="AQ32">
        <v>0</v>
      </c>
      <c r="AR32">
        <v>2</v>
      </c>
      <c r="AS32">
        <v>1</v>
      </c>
      <c r="AT32">
        <v>4</v>
      </c>
      <c r="AU32">
        <v>1</v>
      </c>
      <c r="AV32">
        <v>4</v>
      </c>
      <c r="AW32">
        <v>2</v>
      </c>
      <c r="AX32">
        <v>8</v>
      </c>
      <c r="AY32">
        <v>9</v>
      </c>
      <c r="AZ32">
        <v>4</v>
      </c>
      <c r="BA32">
        <v>12</v>
      </c>
      <c r="BB32">
        <v>59</v>
      </c>
      <c r="BC32">
        <v>37.5</v>
      </c>
      <c r="BD32">
        <v>-2.5</v>
      </c>
      <c r="BE32">
        <v>0</v>
      </c>
      <c r="BF32">
        <v>0</v>
      </c>
      <c r="BG32">
        <v>48.738</v>
      </c>
      <c r="BH32">
        <v>55.554000000000002</v>
      </c>
      <c r="BI32">
        <v>50.871000000000002</v>
      </c>
      <c r="BJ32">
        <v>30.384</v>
      </c>
      <c r="BK32">
        <v>35.545999999999999</v>
      </c>
      <c r="BL32">
        <v>47.462000000000003</v>
      </c>
      <c r="BM32">
        <v>-0.28699999999999998</v>
      </c>
      <c r="BN32">
        <v>50.871000000000002</v>
      </c>
      <c r="BO32">
        <v>55.554000000000002</v>
      </c>
      <c r="BP32">
        <v>0</v>
      </c>
      <c r="BQ32">
        <v>48.738</v>
      </c>
      <c r="BR32">
        <v>0.28699999999999998</v>
      </c>
      <c r="BS32">
        <v>64.453999999999994</v>
      </c>
      <c r="BT32">
        <v>69.616</v>
      </c>
      <c r="BU32">
        <v>52.537999999999997</v>
      </c>
      <c r="BV32">
        <v>2266</v>
      </c>
      <c r="BW32">
        <v>66.525000000000006</v>
      </c>
      <c r="BX32">
        <v>215.28572</v>
      </c>
      <c r="BY32">
        <v>22</v>
      </c>
      <c r="BZ32">
        <v>348.57144</v>
      </c>
      <c r="CA32">
        <v>6.9749999999999996</v>
      </c>
      <c r="CB32">
        <v>869</v>
      </c>
      <c r="CC32">
        <v>113.429</v>
      </c>
      <c r="CD32">
        <v>4.2690000000000001</v>
      </c>
      <c r="CE32">
        <v>3</v>
      </c>
      <c r="CF32">
        <v>2816</v>
      </c>
      <c r="CG32">
        <v>11</v>
      </c>
      <c r="CH32">
        <v>235.143</v>
      </c>
      <c r="CI32">
        <v>10.484</v>
      </c>
      <c r="CJ32">
        <v>7.875</v>
      </c>
      <c r="CK32">
        <v>6.1109999999999998</v>
      </c>
      <c r="CL32">
        <v>1</v>
      </c>
      <c r="CM32">
        <v>16</v>
      </c>
      <c r="CN32">
        <v>0</v>
      </c>
      <c r="CO32">
        <v>100</v>
      </c>
      <c r="CP32">
        <v>89.474000000000004</v>
      </c>
      <c r="CQ32">
        <v>17</v>
      </c>
      <c r="CR32">
        <v>63</v>
      </c>
      <c r="CS32">
        <v>11.545</v>
      </c>
      <c r="CT32">
        <v>27</v>
      </c>
      <c r="CU32">
        <v>9</v>
      </c>
      <c r="CV32">
        <v>6</v>
      </c>
      <c r="CW32">
        <v>11</v>
      </c>
      <c r="CX32">
        <v>153</v>
      </c>
      <c r="CY32">
        <v>18.713999999999999</v>
      </c>
      <c r="CZ32">
        <v>66.667000000000002</v>
      </c>
      <c r="DA32">
        <v>35.164999999999999</v>
      </c>
      <c r="DB32">
        <v>60.15</v>
      </c>
      <c r="DC32">
        <v>4</v>
      </c>
      <c r="DD32">
        <v>2769</v>
      </c>
      <c r="DE32">
        <v>63.941000000000003</v>
      </c>
      <c r="DF32">
        <v>224.875</v>
      </c>
      <c r="DG32">
        <v>29</v>
      </c>
      <c r="DH32">
        <v>338</v>
      </c>
      <c r="DI32">
        <v>7.1340000000000003</v>
      </c>
      <c r="DJ32">
        <v>950</v>
      </c>
      <c r="DK32">
        <v>98.125</v>
      </c>
      <c r="DL32">
        <v>3.8479999999999999</v>
      </c>
      <c r="DM32">
        <v>6</v>
      </c>
      <c r="DN32">
        <v>3234</v>
      </c>
      <c r="DO32">
        <v>13</v>
      </c>
      <c r="DP32">
        <v>239.875</v>
      </c>
      <c r="DQ32">
        <v>11.157</v>
      </c>
      <c r="DR32">
        <v>7.8</v>
      </c>
      <c r="DS32">
        <v>6.8</v>
      </c>
      <c r="DT32">
        <v>2</v>
      </c>
      <c r="DU32">
        <v>25</v>
      </c>
      <c r="DV32">
        <v>0</v>
      </c>
      <c r="DW32">
        <v>94.117999999999995</v>
      </c>
      <c r="DX32">
        <v>80.951999999999998</v>
      </c>
      <c r="DY32">
        <v>17</v>
      </c>
      <c r="DZ32">
        <v>67</v>
      </c>
      <c r="EA32">
        <v>14.667</v>
      </c>
      <c r="EB32">
        <v>12</v>
      </c>
      <c r="EC32">
        <v>32</v>
      </c>
      <c r="ED32">
        <v>14</v>
      </c>
      <c r="EE32">
        <v>13</v>
      </c>
      <c r="EF32">
        <v>197</v>
      </c>
      <c r="EG32">
        <v>18.875</v>
      </c>
      <c r="EH32">
        <v>50</v>
      </c>
      <c r="EI32">
        <v>36.274999999999999</v>
      </c>
      <c r="EJ32">
        <v>55.19</v>
      </c>
      <c r="EK32">
        <v>7</v>
      </c>
    </row>
    <row r="33" spans="1:141" x14ac:dyDescent="0.25">
      <c r="A33">
        <v>29</v>
      </c>
      <c r="B33">
        <v>-11</v>
      </c>
      <c r="C33">
        <v>0</v>
      </c>
      <c r="D33">
        <v>2025</v>
      </c>
      <c r="E33">
        <v>2</v>
      </c>
      <c r="F33" t="str">
        <f>VLOOKUP(G33, Map!$A$1:$B$33, 2, FALSE)</f>
        <v>LV</v>
      </c>
      <c r="G33" t="s">
        <v>157</v>
      </c>
      <c r="H33" t="str">
        <f>VLOOKUP(I33, Map!$A$1:$B$33, 2, FALSE)</f>
        <v>LAC</v>
      </c>
      <c r="I33" t="s">
        <v>160</v>
      </c>
      <c r="J33">
        <v>0</v>
      </c>
      <c r="K33">
        <v>0</v>
      </c>
      <c r="L33">
        <v>0</v>
      </c>
      <c r="M33">
        <v>0</v>
      </c>
      <c r="N33">
        <v>2</v>
      </c>
      <c r="O33">
        <v>5</v>
      </c>
      <c r="P33">
        <v>25.714285</v>
      </c>
      <c r="Q33">
        <v>14.714286</v>
      </c>
      <c r="R33">
        <v>-77</v>
      </c>
      <c r="S33">
        <v>-1</v>
      </c>
      <c r="T33">
        <v>0.28571429999999998</v>
      </c>
      <c r="U33">
        <v>0</v>
      </c>
      <c r="V33">
        <v>2</v>
      </c>
      <c r="W33">
        <v>1</v>
      </c>
      <c r="X33">
        <v>2</v>
      </c>
      <c r="Y33">
        <v>1</v>
      </c>
      <c r="Z33">
        <v>3</v>
      </c>
      <c r="AA33">
        <v>2</v>
      </c>
      <c r="AB33">
        <v>3</v>
      </c>
      <c r="AC33">
        <v>6</v>
      </c>
      <c r="AD33">
        <v>10</v>
      </c>
      <c r="AE33">
        <v>8</v>
      </c>
      <c r="AF33">
        <v>8</v>
      </c>
      <c r="AG33">
        <v>56</v>
      </c>
      <c r="AH33">
        <v>1</v>
      </c>
      <c r="AI33">
        <v>5</v>
      </c>
      <c r="AJ33">
        <v>3</v>
      </c>
      <c r="AK33">
        <v>21.625</v>
      </c>
      <c r="AL33">
        <v>23.5</v>
      </c>
      <c r="AM33">
        <v>15</v>
      </c>
      <c r="AN33">
        <v>1</v>
      </c>
      <c r="AO33">
        <v>0.625</v>
      </c>
      <c r="AP33">
        <v>3</v>
      </c>
      <c r="AQ33">
        <v>0</v>
      </c>
      <c r="AR33">
        <v>3</v>
      </c>
      <c r="AS33">
        <v>2</v>
      </c>
      <c r="AT33">
        <v>2</v>
      </c>
      <c r="AU33">
        <v>1</v>
      </c>
      <c r="AV33">
        <v>4</v>
      </c>
      <c r="AW33">
        <v>1</v>
      </c>
      <c r="AX33">
        <v>10</v>
      </c>
      <c r="AY33">
        <v>7</v>
      </c>
      <c r="AZ33">
        <v>11</v>
      </c>
      <c r="BA33">
        <v>5</v>
      </c>
      <c r="BB33">
        <v>65</v>
      </c>
      <c r="BC33">
        <v>38</v>
      </c>
      <c r="BD33">
        <v>8.5</v>
      </c>
      <c r="BE33">
        <v>0</v>
      </c>
      <c r="BF33">
        <v>0</v>
      </c>
      <c r="BG33">
        <v>40.57</v>
      </c>
      <c r="BH33">
        <v>57.213000000000001</v>
      </c>
      <c r="BI33">
        <v>59.103999999999999</v>
      </c>
      <c r="BJ33">
        <v>36.475000000000001</v>
      </c>
      <c r="BK33">
        <v>10.891999999999999</v>
      </c>
      <c r="BL33">
        <v>16.797000000000001</v>
      </c>
      <c r="BM33">
        <v>-4.08</v>
      </c>
      <c r="BN33">
        <v>59.103999999999999</v>
      </c>
      <c r="BO33">
        <v>57.213000000000001</v>
      </c>
      <c r="BP33">
        <v>0</v>
      </c>
      <c r="BQ33">
        <v>40.57</v>
      </c>
      <c r="BR33">
        <v>4.08</v>
      </c>
      <c r="BS33">
        <v>89.108000000000004</v>
      </c>
      <c r="BT33">
        <v>63.524999999999999</v>
      </c>
      <c r="BU33">
        <v>83.203000000000003</v>
      </c>
      <c r="BV33">
        <v>1570</v>
      </c>
      <c r="BW33">
        <v>66.176000000000002</v>
      </c>
      <c r="BX33">
        <v>182.71428</v>
      </c>
      <c r="BY33">
        <v>19</v>
      </c>
      <c r="BZ33">
        <v>297.28570000000002</v>
      </c>
      <c r="CA33">
        <v>6.7649999999999997</v>
      </c>
      <c r="CB33">
        <v>731</v>
      </c>
      <c r="CC33">
        <v>93.713999999999999</v>
      </c>
      <c r="CD33">
        <v>3.859</v>
      </c>
      <c r="CE33">
        <v>3</v>
      </c>
      <c r="CF33">
        <v>2345</v>
      </c>
      <c r="CG33">
        <v>7</v>
      </c>
      <c r="CH33">
        <v>203.571</v>
      </c>
      <c r="CI33">
        <v>10.222</v>
      </c>
      <c r="CJ33">
        <v>6.7329999999999997</v>
      </c>
      <c r="CK33">
        <v>3.0710000000000002</v>
      </c>
      <c r="CL33">
        <v>0</v>
      </c>
      <c r="CM33">
        <v>15</v>
      </c>
      <c r="CN33">
        <v>0</v>
      </c>
      <c r="CO33">
        <v>100</v>
      </c>
      <c r="CP33">
        <v>78.570999999999998</v>
      </c>
      <c r="CQ33">
        <v>11</v>
      </c>
      <c r="CR33">
        <v>41</v>
      </c>
      <c r="CS33">
        <v>15.333</v>
      </c>
      <c r="CT33">
        <v>26</v>
      </c>
      <c r="CU33">
        <v>8</v>
      </c>
      <c r="CV33">
        <v>0</v>
      </c>
      <c r="CW33">
        <v>7</v>
      </c>
      <c r="CX33">
        <v>103</v>
      </c>
      <c r="CY33">
        <v>15.856999999999999</v>
      </c>
      <c r="CZ33">
        <v>45.454999999999998</v>
      </c>
      <c r="DA33">
        <v>37.930999999999997</v>
      </c>
      <c r="DB33">
        <v>53.17</v>
      </c>
      <c r="DC33">
        <v>-5</v>
      </c>
      <c r="DD33">
        <v>3094</v>
      </c>
      <c r="DE33">
        <v>68</v>
      </c>
      <c r="DF33">
        <v>255.375</v>
      </c>
      <c r="DG33">
        <v>26</v>
      </c>
      <c r="DH33">
        <v>396.125</v>
      </c>
      <c r="DI33">
        <v>7.28</v>
      </c>
      <c r="DJ33">
        <v>1030</v>
      </c>
      <c r="DK33">
        <v>123.125</v>
      </c>
      <c r="DL33">
        <v>4.8520000000000003</v>
      </c>
      <c r="DM33">
        <v>3</v>
      </c>
      <c r="DN33">
        <v>3764</v>
      </c>
      <c r="DO33">
        <v>16</v>
      </c>
      <c r="DP33">
        <v>273</v>
      </c>
      <c r="DQ33">
        <v>10.706</v>
      </c>
      <c r="DR33">
        <v>5.5910000000000002</v>
      </c>
      <c r="DS33">
        <v>5.05</v>
      </c>
      <c r="DT33">
        <v>0</v>
      </c>
      <c r="DU33">
        <v>22</v>
      </c>
      <c r="DV33">
        <v>0</v>
      </c>
      <c r="DW33">
        <v>100</v>
      </c>
      <c r="DX33">
        <v>94.736999999999995</v>
      </c>
      <c r="DY33">
        <v>18</v>
      </c>
      <c r="DZ33">
        <v>72</v>
      </c>
      <c r="EA33">
        <v>12.5</v>
      </c>
      <c r="EB33">
        <v>8</v>
      </c>
      <c r="EC33">
        <v>20</v>
      </c>
      <c r="ED33">
        <v>0</v>
      </c>
      <c r="EE33">
        <v>16</v>
      </c>
      <c r="EF33">
        <v>188</v>
      </c>
      <c r="EG33">
        <v>21.875</v>
      </c>
      <c r="EH33">
        <v>70</v>
      </c>
      <c r="EI33">
        <v>48.673000000000002</v>
      </c>
      <c r="EJ33">
        <v>61.73</v>
      </c>
      <c r="EK33">
        <v>-3</v>
      </c>
    </row>
    <row r="34" spans="1:141" x14ac:dyDescent="0.25">
      <c r="A34">
        <v>52</v>
      </c>
      <c r="B34">
        <v>10</v>
      </c>
      <c r="C34">
        <v>1</v>
      </c>
      <c r="D34">
        <v>2025</v>
      </c>
      <c r="E34">
        <v>3</v>
      </c>
      <c r="F34" t="str">
        <f>VLOOKUP(G34, Map!$A$1:$B$33, 2, FALSE)</f>
        <v>BUF</v>
      </c>
      <c r="G34" t="s">
        <v>165</v>
      </c>
      <c r="H34" t="str">
        <f>VLOOKUP(I34, Map!$A$1:$B$33, 2, FALSE)</f>
        <v>MIA</v>
      </c>
      <c r="I34" t="s">
        <v>152</v>
      </c>
      <c r="J34">
        <v>0</v>
      </c>
      <c r="K34">
        <v>0</v>
      </c>
      <c r="L34">
        <v>0</v>
      </c>
      <c r="M34">
        <v>1</v>
      </c>
      <c r="N34">
        <v>5</v>
      </c>
      <c r="O34">
        <v>2</v>
      </c>
      <c r="P34">
        <v>20.857143000000001</v>
      </c>
      <c r="Q34">
        <v>29.571428000000001</v>
      </c>
      <c r="R34">
        <v>61</v>
      </c>
      <c r="S34">
        <v>1</v>
      </c>
      <c r="T34">
        <v>0.71428572999999995</v>
      </c>
      <c r="U34">
        <v>2</v>
      </c>
      <c r="V34">
        <v>1</v>
      </c>
      <c r="W34">
        <v>3</v>
      </c>
      <c r="X34">
        <v>1</v>
      </c>
      <c r="Y34">
        <v>2</v>
      </c>
      <c r="Z34">
        <v>1</v>
      </c>
      <c r="AA34">
        <v>3</v>
      </c>
      <c r="AB34">
        <v>1</v>
      </c>
      <c r="AC34">
        <v>14</v>
      </c>
      <c r="AD34">
        <v>4</v>
      </c>
      <c r="AE34">
        <v>8</v>
      </c>
      <c r="AF34">
        <v>9</v>
      </c>
      <c r="AG34">
        <v>68</v>
      </c>
      <c r="AH34">
        <v>0</v>
      </c>
      <c r="AI34">
        <v>2</v>
      </c>
      <c r="AJ34">
        <v>6</v>
      </c>
      <c r="AK34">
        <v>26.875</v>
      </c>
      <c r="AL34">
        <v>21.75</v>
      </c>
      <c r="AM34">
        <v>-41</v>
      </c>
      <c r="AN34">
        <v>1</v>
      </c>
      <c r="AO34">
        <v>0.25</v>
      </c>
      <c r="AP34">
        <v>1</v>
      </c>
      <c r="AQ34">
        <v>2</v>
      </c>
      <c r="AR34">
        <v>1</v>
      </c>
      <c r="AS34">
        <v>2</v>
      </c>
      <c r="AT34">
        <v>1</v>
      </c>
      <c r="AU34">
        <v>4</v>
      </c>
      <c r="AV34">
        <v>1</v>
      </c>
      <c r="AW34">
        <v>5</v>
      </c>
      <c r="AX34">
        <v>9</v>
      </c>
      <c r="AY34">
        <v>9</v>
      </c>
      <c r="AZ34">
        <v>10</v>
      </c>
      <c r="BA34">
        <v>8</v>
      </c>
      <c r="BB34">
        <v>68</v>
      </c>
      <c r="BC34">
        <v>50</v>
      </c>
      <c r="BD34">
        <v>-9.5</v>
      </c>
      <c r="BE34">
        <v>0</v>
      </c>
      <c r="BF34">
        <v>0</v>
      </c>
      <c r="BG34">
        <v>77.176000000000002</v>
      </c>
      <c r="BH34">
        <v>54.093000000000004</v>
      </c>
      <c r="BI34">
        <v>22.641999999999999</v>
      </c>
      <c r="BJ34">
        <v>44.381</v>
      </c>
      <c r="BK34">
        <v>87.231999999999999</v>
      </c>
      <c r="BL34">
        <v>72.257999999999996</v>
      </c>
      <c r="BM34">
        <v>10.967000000000001</v>
      </c>
      <c r="BN34">
        <v>22.641999999999999</v>
      </c>
      <c r="BO34">
        <v>54.093000000000004</v>
      </c>
      <c r="BP34">
        <v>0</v>
      </c>
      <c r="BQ34">
        <v>77.176000000000002</v>
      </c>
      <c r="BR34">
        <v>-10.967000000000001</v>
      </c>
      <c r="BS34">
        <v>12.768000000000001</v>
      </c>
      <c r="BT34">
        <v>55.619</v>
      </c>
      <c r="BU34">
        <v>27.742000000000001</v>
      </c>
      <c r="BV34">
        <v>2334</v>
      </c>
      <c r="BW34">
        <v>67.488</v>
      </c>
      <c r="BX34">
        <v>218.42857000000001</v>
      </c>
      <c r="BY34">
        <v>22</v>
      </c>
      <c r="BZ34">
        <v>395</v>
      </c>
      <c r="CA34">
        <v>7.9509999999999996</v>
      </c>
      <c r="CB34">
        <v>1576</v>
      </c>
      <c r="CC34">
        <v>164.429</v>
      </c>
      <c r="CD34">
        <v>5.2080000000000002</v>
      </c>
      <c r="CE34">
        <v>13</v>
      </c>
      <c r="CF34">
        <v>2719</v>
      </c>
      <c r="CG34">
        <v>12</v>
      </c>
      <c r="CH34">
        <v>230.571</v>
      </c>
      <c r="CI34">
        <v>11.781000000000001</v>
      </c>
      <c r="CJ34">
        <v>5.8639999999999999</v>
      </c>
      <c r="CK34">
        <v>5.35</v>
      </c>
      <c r="CL34">
        <v>0</v>
      </c>
      <c r="CM34">
        <v>22</v>
      </c>
      <c r="CN34">
        <v>0</v>
      </c>
      <c r="CO34">
        <v>95.454999999999998</v>
      </c>
      <c r="CP34">
        <v>92.308000000000007</v>
      </c>
      <c r="CQ34">
        <v>12</v>
      </c>
      <c r="CR34">
        <v>57</v>
      </c>
      <c r="CS34">
        <v>8</v>
      </c>
      <c r="CT34">
        <v>22</v>
      </c>
      <c r="CU34">
        <v>10</v>
      </c>
      <c r="CV34">
        <v>0</v>
      </c>
      <c r="CW34">
        <v>12</v>
      </c>
      <c r="CX34">
        <v>207</v>
      </c>
      <c r="CY34">
        <v>23.143000000000001</v>
      </c>
      <c r="CZ34">
        <v>60</v>
      </c>
      <c r="DA34">
        <v>43.75</v>
      </c>
      <c r="DB34">
        <v>73.47</v>
      </c>
      <c r="DC34">
        <v>2</v>
      </c>
      <c r="DD34">
        <v>2361</v>
      </c>
      <c r="DE34">
        <v>68.674999999999997</v>
      </c>
      <c r="DF34">
        <v>187.875</v>
      </c>
      <c r="DG34">
        <v>17</v>
      </c>
      <c r="DH34">
        <v>299.875</v>
      </c>
      <c r="DI34">
        <v>6.47</v>
      </c>
      <c r="DJ34">
        <v>898</v>
      </c>
      <c r="DK34">
        <v>98.5</v>
      </c>
      <c r="DL34">
        <v>4.452</v>
      </c>
      <c r="DM34">
        <v>4</v>
      </c>
      <c r="DN34">
        <v>2991</v>
      </c>
      <c r="DO34">
        <v>15</v>
      </c>
      <c r="DP34">
        <v>201.375</v>
      </c>
      <c r="DQ34">
        <v>9.4209999999999994</v>
      </c>
      <c r="DR34">
        <v>6.4669999999999996</v>
      </c>
      <c r="DS34">
        <v>4.8239999999999998</v>
      </c>
      <c r="DT34">
        <v>1</v>
      </c>
      <c r="DU34">
        <v>15</v>
      </c>
      <c r="DV34">
        <v>0</v>
      </c>
      <c r="DW34">
        <v>100</v>
      </c>
      <c r="DX34">
        <v>91.667000000000002</v>
      </c>
      <c r="DY34">
        <v>11</v>
      </c>
      <c r="DZ34">
        <v>52</v>
      </c>
      <c r="EA34">
        <v>7</v>
      </c>
      <c r="EB34">
        <v>11</v>
      </c>
      <c r="EC34">
        <v>26</v>
      </c>
      <c r="ED34">
        <v>6</v>
      </c>
      <c r="EE34">
        <v>15</v>
      </c>
      <c r="EF34">
        <v>174</v>
      </c>
      <c r="EG34">
        <v>17</v>
      </c>
      <c r="EH34">
        <v>53.845999999999997</v>
      </c>
      <c r="EI34">
        <v>41.237000000000002</v>
      </c>
      <c r="EJ34">
        <v>72.05</v>
      </c>
      <c r="EK34">
        <v>-5</v>
      </c>
    </row>
    <row r="35" spans="1:141" x14ac:dyDescent="0.25">
      <c r="A35">
        <v>23</v>
      </c>
      <c r="B35">
        <v>3</v>
      </c>
      <c r="C35">
        <v>1</v>
      </c>
      <c r="D35">
        <v>2025</v>
      </c>
      <c r="E35">
        <v>3</v>
      </c>
      <c r="F35" t="str">
        <f>VLOOKUP(G35, Map!$A$1:$B$33, 2, FALSE)</f>
        <v>CLE</v>
      </c>
      <c r="G35" t="s">
        <v>162</v>
      </c>
      <c r="H35" t="str">
        <f>VLOOKUP(I35, Map!$A$1:$B$33, 2, FALSE)</f>
        <v>GB</v>
      </c>
      <c r="I35" t="s">
        <v>154</v>
      </c>
      <c r="J35">
        <v>0</v>
      </c>
      <c r="K35">
        <v>0</v>
      </c>
      <c r="L35">
        <v>0</v>
      </c>
      <c r="M35">
        <v>1</v>
      </c>
      <c r="N35">
        <v>2</v>
      </c>
      <c r="O35">
        <v>6</v>
      </c>
      <c r="P35">
        <v>23</v>
      </c>
      <c r="Q35">
        <v>15.75</v>
      </c>
      <c r="R35">
        <v>-58</v>
      </c>
      <c r="S35">
        <v>-1</v>
      </c>
      <c r="T35">
        <v>0.25</v>
      </c>
      <c r="U35">
        <v>0</v>
      </c>
      <c r="V35">
        <v>3</v>
      </c>
      <c r="W35">
        <v>2</v>
      </c>
      <c r="X35">
        <v>2</v>
      </c>
      <c r="Y35">
        <v>0</v>
      </c>
      <c r="Z35">
        <v>4</v>
      </c>
      <c r="AA35">
        <v>1</v>
      </c>
      <c r="AB35">
        <v>4</v>
      </c>
      <c r="AC35">
        <v>7</v>
      </c>
      <c r="AD35">
        <v>10</v>
      </c>
      <c r="AE35">
        <v>8</v>
      </c>
      <c r="AF35">
        <v>9</v>
      </c>
      <c r="AG35">
        <v>61</v>
      </c>
      <c r="AH35">
        <v>0</v>
      </c>
      <c r="AI35">
        <v>5</v>
      </c>
      <c r="AJ35">
        <v>1</v>
      </c>
      <c r="AK35">
        <v>21.428571999999999</v>
      </c>
      <c r="AL35">
        <v>27.571428000000001</v>
      </c>
      <c r="AM35">
        <v>43</v>
      </c>
      <c r="AN35">
        <v>3</v>
      </c>
      <c r="AO35">
        <v>0.78571427000000005</v>
      </c>
      <c r="AP35">
        <v>1</v>
      </c>
      <c r="AQ35">
        <v>0</v>
      </c>
      <c r="AR35">
        <v>3</v>
      </c>
      <c r="AS35">
        <v>0</v>
      </c>
      <c r="AT35">
        <v>2</v>
      </c>
      <c r="AU35">
        <v>1</v>
      </c>
      <c r="AV35">
        <v>3</v>
      </c>
      <c r="AW35">
        <v>0</v>
      </c>
      <c r="AX35">
        <v>8</v>
      </c>
      <c r="AY35">
        <v>8</v>
      </c>
      <c r="AZ35">
        <v>8</v>
      </c>
      <c r="BA35">
        <v>8</v>
      </c>
      <c r="BB35">
        <v>61</v>
      </c>
      <c r="BC35">
        <v>27</v>
      </c>
      <c r="BD35">
        <v>7.5</v>
      </c>
      <c r="BE35">
        <v>0</v>
      </c>
      <c r="BF35">
        <v>0</v>
      </c>
      <c r="BG35">
        <v>29.282</v>
      </c>
      <c r="BH35">
        <v>53.838000000000001</v>
      </c>
      <c r="BI35">
        <v>70.481999999999999</v>
      </c>
      <c r="BJ35">
        <v>65.825999999999993</v>
      </c>
      <c r="BK35">
        <v>27.234999999999999</v>
      </c>
      <c r="BL35">
        <v>50.16</v>
      </c>
      <c r="BM35">
        <v>-8.5329999999999995</v>
      </c>
      <c r="BN35">
        <v>70.481999999999999</v>
      </c>
      <c r="BO35">
        <v>53.838000000000001</v>
      </c>
      <c r="BP35">
        <v>0</v>
      </c>
      <c r="BQ35">
        <v>29.282</v>
      </c>
      <c r="BR35">
        <v>8.5329999999999995</v>
      </c>
      <c r="BS35">
        <v>72.765000000000001</v>
      </c>
      <c r="BT35">
        <v>34.173999999999999</v>
      </c>
      <c r="BU35">
        <v>49.84</v>
      </c>
      <c r="BV35">
        <v>1756</v>
      </c>
      <c r="BW35">
        <v>58.94</v>
      </c>
      <c r="BX35">
        <v>174.125</v>
      </c>
      <c r="BY35">
        <v>14</v>
      </c>
      <c r="BZ35">
        <v>279.125</v>
      </c>
      <c r="CA35">
        <v>4.9870000000000001</v>
      </c>
      <c r="CB35">
        <v>896</v>
      </c>
      <c r="CC35">
        <v>89.5</v>
      </c>
      <c r="CD35">
        <v>3.7679999999999998</v>
      </c>
      <c r="CE35">
        <v>6</v>
      </c>
      <c r="CF35">
        <v>2652</v>
      </c>
      <c r="CG35">
        <v>7</v>
      </c>
      <c r="CH35">
        <v>189.625</v>
      </c>
      <c r="CI35">
        <v>8.4610000000000003</v>
      </c>
      <c r="CJ35">
        <v>6.9169999999999998</v>
      </c>
      <c r="CK35">
        <v>4.3029999999999999</v>
      </c>
      <c r="CL35">
        <v>1</v>
      </c>
      <c r="CM35">
        <v>24</v>
      </c>
      <c r="CN35">
        <v>0</v>
      </c>
      <c r="CO35">
        <v>92.308000000000007</v>
      </c>
      <c r="CP35">
        <v>76.923000000000002</v>
      </c>
      <c r="CQ35">
        <v>10</v>
      </c>
      <c r="CR35">
        <v>42</v>
      </c>
      <c r="CS35">
        <v>11.412000000000001</v>
      </c>
      <c r="CT35">
        <v>42</v>
      </c>
      <c r="CU35">
        <v>16</v>
      </c>
      <c r="CV35">
        <v>6</v>
      </c>
      <c r="CW35">
        <v>7</v>
      </c>
      <c r="CX35">
        <v>126</v>
      </c>
      <c r="CY35">
        <v>16.75</v>
      </c>
      <c r="CZ35">
        <v>57.895000000000003</v>
      </c>
      <c r="DA35">
        <v>33.042999999999999</v>
      </c>
      <c r="DB35">
        <v>69.39</v>
      </c>
      <c r="DC35">
        <v>0</v>
      </c>
      <c r="DD35">
        <v>2648</v>
      </c>
      <c r="DE35">
        <v>70.891999999999996</v>
      </c>
      <c r="DF35">
        <v>245</v>
      </c>
      <c r="DG35">
        <v>26</v>
      </c>
      <c r="DH35">
        <v>371</v>
      </c>
      <c r="DI35">
        <v>8.4410000000000007</v>
      </c>
      <c r="DJ35">
        <v>1099</v>
      </c>
      <c r="DK35">
        <v>114.143</v>
      </c>
      <c r="DL35">
        <v>3.9359999999999999</v>
      </c>
      <c r="DM35">
        <v>9</v>
      </c>
      <c r="DN35">
        <v>3008</v>
      </c>
      <c r="DO35">
        <v>13</v>
      </c>
      <c r="DP35">
        <v>256.85700000000003</v>
      </c>
      <c r="DQ35">
        <v>11.907</v>
      </c>
      <c r="DR35">
        <v>6.1429999999999998</v>
      </c>
      <c r="DS35">
        <v>6.75</v>
      </c>
      <c r="DT35">
        <v>0</v>
      </c>
      <c r="DU35">
        <v>21</v>
      </c>
      <c r="DV35">
        <v>0</v>
      </c>
      <c r="DW35">
        <v>95.238</v>
      </c>
      <c r="DX35">
        <v>76.471000000000004</v>
      </c>
      <c r="DY35">
        <v>13</v>
      </c>
      <c r="DZ35">
        <v>59</v>
      </c>
      <c r="EA35">
        <v>11.909000000000001</v>
      </c>
      <c r="EB35">
        <v>6</v>
      </c>
      <c r="EC35">
        <v>22</v>
      </c>
      <c r="ED35">
        <v>0</v>
      </c>
      <c r="EE35">
        <v>13</v>
      </c>
      <c r="EF35">
        <v>193</v>
      </c>
      <c r="EG35">
        <v>21</v>
      </c>
      <c r="EH35">
        <v>75</v>
      </c>
      <c r="EI35">
        <v>48.276000000000003</v>
      </c>
      <c r="EJ35">
        <v>78.569999999999993</v>
      </c>
      <c r="EK35">
        <v>1</v>
      </c>
    </row>
    <row r="36" spans="1:141" x14ac:dyDescent="0.25">
      <c r="A36">
        <v>61</v>
      </c>
      <c r="B36">
        <v>-21</v>
      </c>
      <c r="C36">
        <v>0</v>
      </c>
      <c r="D36">
        <v>2025</v>
      </c>
      <c r="E36">
        <v>3</v>
      </c>
      <c r="F36" t="str">
        <f>VLOOKUP(G36, Map!$A$1:$B$33, 2, FALSE)</f>
        <v>TEN</v>
      </c>
      <c r="G36" t="s">
        <v>140</v>
      </c>
      <c r="H36" t="str">
        <f>VLOOKUP(I36, Map!$A$1:$B$33, 2, FALSE)</f>
        <v>IND</v>
      </c>
      <c r="I36" t="s">
        <v>138</v>
      </c>
      <c r="J36">
        <v>0</v>
      </c>
      <c r="K36">
        <v>0</v>
      </c>
      <c r="L36">
        <v>0</v>
      </c>
      <c r="M36">
        <v>0</v>
      </c>
      <c r="N36">
        <v>1</v>
      </c>
      <c r="O36">
        <v>7</v>
      </c>
      <c r="P36">
        <v>28.75</v>
      </c>
      <c r="Q36">
        <v>13.75</v>
      </c>
      <c r="R36">
        <v>-120</v>
      </c>
      <c r="S36">
        <v>-3</v>
      </c>
      <c r="T36">
        <v>0.125</v>
      </c>
      <c r="U36">
        <v>0</v>
      </c>
      <c r="V36">
        <v>3</v>
      </c>
      <c r="W36">
        <v>0</v>
      </c>
      <c r="X36">
        <v>3</v>
      </c>
      <c r="Y36">
        <v>1</v>
      </c>
      <c r="Z36">
        <v>4</v>
      </c>
      <c r="AA36">
        <v>0</v>
      </c>
      <c r="AB36">
        <v>6</v>
      </c>
      <c r="AC36">
        <v>7</v>
      </c>
      <c r="AD36">
        <v>9</v>
      </c>
      <c r="AE36">
        <v>8</v>
      </c>
      <c r="AF36">
        <v>7</v>
      </c>
      <c r="AG36">
        <v>59</v>
      </c>
      <c r="AH36">
        <v>1</v>
      </c>
      <c r="AI36">
        <v>7</v>
      </c>
      <c r="AJ36">
        <v>1</v>
      </c>
      <c r="AK36">
        <v>19.25</v>
      </c>
      <c r="AL36">
        <v>33.75</v>
      </c>
      <c r="AM36">
        <v>116</v>
      </c>
      <c r="AN36">
        <v>4</v>
      </c>
      <c r="AO36">
        <v>0.875</v>
      </c>
      <c r="AP36">
        <v>2</v>
      </c>
      <c r="AQ36">
        <v>0</v>
      </c>
      <c r="AR36">
        <v>5</v>
      </c>
      <c r="AS36">
        <v>0</v>
      </c>
      <c r="AT36">
        <v>2</v>
      </c>
      <c r="AU36">
        <v>1</v>
      </c>
      <c r="AV36">
        <v>6</v>
      </c>
      <c r="AW36">
        <v>0</v>
      </c>
      <c r="AX36">
        <v>4</v>
      </c>
      <c r="AY36">
        <v>12</v>
      </c>
      <c r="AZ36">
        <v>6</v>
      </c>
      <c r="BA36">
        <v>11</v>
      </c>
      <c r="BB36">
        <v>68</v>
      </c>
      <c r="BC36">
        <v>52</v>
      </c>
      <c r="BD36">
        <v>14.5</v>
      </c>
      <c r="BE36">
        <v>0</v>
      </c>
      <c r="BF36">
        <v>0</v>
      </c>
      <c r="BG36">
        <v>34.262</v>
      </c>
      <c r="BH36">
        <v>30.712</v>
      </c>
      <c r="BI36">
        <v>65.462000000000003</v>
      </c>
      <c r="BJ36">
        <v>7.6740000000000004</v>
      </c>
      <c r="BK36">
        <v>13.022</v>
      </c>
      <c r="BL36">
        <v>6.194</v>
      </c>
      <c r="BM36">
        <v>-6.1550000000000002</v>
      </c>
      <c r="BN36">
        <v>65.462000000000003</v>
      </c>
      <c r="BO36">
        <v>30.712</v>
      </c>
      <c r="BP36">
        <v>0</v>
      </c>
      <c r="BQ36">
        <v>34.262</v>
      </c>
      <c r="BR36">
        <v>6.1550000000000002</v>
      </c>
      <c r="BS36">
        <v>86.977999999999994</v>
      </c>
      <c r="BT36">
        <v>92.325999999999993</v>
      </c>
      <c r="BU36">
        <v>93.805999999999997</v>
      </c>
      <c r="BV36">
        <v>1785</v>
      </c>
      <c r="BW36">
        <v>57.664000000000001</v>
      </c>
      <c r="BX36">
        <v>168.375</v>
      </c>
      <c r="BY36">
        <v>21</v>
      </c>
      <c r="BZ36">
        <v>282.25</v>
      </c>
      <c r="CA36">
        <v>5.8940000000000001</v>
      </c>
      <c r="CB36">
        <v>643</v>
      </c>
      <c r="CC36">
        <v>80.375</v>
      </c>
      <c r="CD36">
        <v>3.9209999999999998</v>
      </c>
      <c r="CE36">
        <v>3</v>
      </c>
      <c r="CF36">
        <v>2580</v>
      </c>
      <c r="CG36">
        <v>5</v>
      </c>
      <c r="CH36">
        <v>201.875</v>
      </c>
      <c r="CI36">
        <v>10.222</v>
      </c>
      <c r="CJ36">
        <v>6.8129999999999997</v>
      </c>
      <c r="CK36">
        <v>4.8949999999999996</v>
      </c>
      <c r="CL36">
        <v>0</v>
      </c>
      <c r="CM36">
        <v>16</v>
      </c>
      <c r="CN36">
        <v>0</v>
      </c>
      <c r="CO36">
        <v>88.888999999999996</v>
      </c>
      <c r="CP36">
        <v>76.19</v>
      </c>
      <c r="CQ36">
        <v>16</v>
      </c>
      <c r="CR36">
        <v>56</v>
      </c>
      <c r="CS36">
        <v>10.75</v>
      </c>
      <c r="CT36">
        <v>37</v>
      </c>
      <c r="CU36">
        <v>12</v>
      </c>
      <c r="CV36">
        <v>6</v>
      </c>
      <c r="CW36">
        <v>5</v>
      </c>
      <c r="CX36">
        <v>110</v>
      </c>
      <c r="CY36">
        <v>15.875</v>
      </c>
      <c r="CZ36">
        <v>38.462000000000003</v>
      </c>
      <c r="DA36">
        <v>29.907</v>
      </c>
      <c r="DB36">
        <v>65.31</v>
      </c>
      <c r="DC36">
        <v>-4</v>
      </c>
      <c r="DD36">
        <v>2891</v>
      </c>
      <c r="DE36">
        <v>70.161000000000001</v>
      </c>
      <c r="DF36">
        <v>250.875</v>
      </c>
      <c r="DG36">
        <v>23</v>
      </c>
      <c r="DH36">
        <v>393.25</v>
      </c>
      <c r="DI36">
        <v>8.3510000000000009</v>
      </c>
      <c r="DJ36">
        <v>1690</v>
      </c>
      <c r="DK36">
        <v>134.375</v>
      </c>
      <c r="DL36">
        <v>5.0229999999999997</v>
      </c>
      <c r="DM36">
        <v>18</v>
      </c>
      <c r="DN36">
        <v>3396</v>
      </c>
      <c r="DO36">
        <v>13</v>
      </c>
      <c r="DP36">
        <v>258.875</v>
      </c>
      <c r="DQ36">
        <v>11.901999999999999</v>
      </c>
      <c r="DR36">
        <v>6.8259999999999996</v>
      </c>
      <c r="DS36">
        <v>6.0910000000000002</v>
      </c>
      <c r="DT36">
        <v>1</v>
      </c>
      <c r="DU36">
        <v>23</v>
      </c>
      <c r="DV36">
        <v>0</v>
      </c>
      <c r="DW36">
        <v>96.296000000000006</v>
      </c>
      <c r="DX36">
        <v>94.117999999999995</v>
      </c>
      <c r="DY36">
        <v>16</v>
      </c>
      <c r="DZ36">
        <v>74</v>
      </c>
      <c r="EA36">
        <v>4.25</v>
      </c>
      <c r="EB36">
        <v>8</v>
      </c>
      <c r="EC36">
        <v>16</v>
      </c>
      <c r="ED36">
        <v>6</v>
      </c>
      <c r="EE36">
        <v>13</v>
      </c>
      <c r="EF36">
        <v>270</v>
      </c>
      <c r="EG36">
        <v>23.25</v>
      </c>
      <c r="EH36">
        <v>83.332999999999998</v>
      </c>
      <c r="EI36">
        <v>45.348999999999997</v>
      </c>
      <c r="EJ36">
        <v>77.069999999999993</v>
      </c>
      <c r="EK36">
        <v>8</v>
      </c>
    </row>
    <row r="37" spans="1:141" x14ac:dyDescent="0.25">
      <c r="A37">
        <v>58</v>
      </c>
      <c r="B37">
        <v>38</v>
      </c>
      <c r="C37">
        <v>1</v>
      </c>
      <c r="D37">
        <v>2025</v>
      </c>
      <c r="E37">
        <v>3</v>
      </c>
      <c r="F37" t="str">
        <f>VLOOKUP(G37, Map!$A$1:$B$33, 2, FALSE)</f>
        <v>MIN</v>
      </c>
      <c r="G37" t="s">
        <v>153</v>
      </c>
      <c r="H37" t="str">
        <f>VLOOKUP(I37, Map!$A$1:$B$33, 2, FALSE)</f>
        <v>CIN</v>
      </c>
      <c r="I37" t="s">
        <v>161</v>
      </c>
      <c r="J37">
        <v>0</v>
      </c>
      <c r="K37">
        <v>0</v>
      </c>
      <c r="L37">
        <v>0</v>
      </c>
      <c r="M37">
        <v>1</v>
      </c>
      <c r="N37">
        <v>3</v>
      </c>
      <c r="O37">
        <v>4</v>
      </c>
      <c r="P37">
        <v>23.142856999999999</v>
      </c>
      <c r="Q37">
        <v>22.142856999999999</v>
      </c>
      <c r="R37">
        <v>-7</v>
      </c>
      <c r="S37">
        <v>-2</v>
      </c>
      <c r="T37">
        <v>0.42857142999999998</v>
      </c>
      <c r="U37">
        <v>1</v>
      </c>
      <c r="V37">
        <v>0</v>
      </c>
      <c r="W37">
        <v>1</v>
      </c>
      <c r="X37">
        <v>2</v>
      </c>
      <c r="Y37">
        <v>2</v>
      </c>
      <c r="Z37">
        <v>2</v>
      </c>
      <c r="AA37">
        <v>1</v>
      </c>
      <c r="AB37">
        <v>2</v>
      </c>
      <c r="AC37">
        <v>13</v>
      </c>
      <c r="AD37">
        <v>4</v>
      </c>
      <c r="AE37">
        <v>7</v>
      </c>
      <c r="AF37">
        <v>9</v>
      </c>
      <c r="AG37">
        <v>61</v>
      </c>
      <c r="AH37">
        <v>0</v>
      </c>
      <c r="AI37">
        <v>3</v>
      </c>
      <c r="AJ37">
        <v>5</v>
      </c>
      <c r="AK37">
        <v>31.625</v>
      </c>
      <c r="AL37">
        <v>21.75</v>
      </c>
      <c r="AM37">
        <v>-79</v>
      </c>
      <c r="AN37">
        <v>-1</v>
      </c>
      <c r="AO37">
        <v>0.375</v>
      </c>
      <c r="AP37">
        <v>2</v>
      </c>
      <c r="AQ37">
        <v>0</v>
      </c>
      <c r="AR37">
        <v>2</v>
      </c>
      <c r="AS37">
        <v>2</v>
      </c>
      <c r="AT37">
        <v>1</v>
      </c>
      <c r="AU37">
        <v>3</v>
      </c>
      <c r="AV37">
        <v>3</v>
      </c>
      <c r="AW37">
        <v>2</v>
      </c>
      <c r="AX37">
        <v>14</v>
      </c>
      <c r="AY37">
        <v>4</v>
      </c>
      <c r="AZ37">
        <v>13</v>
      </c>
      <c r="BA37">
        <v>5</v>
      </c>
      <c r="BB37">
        <v>59</v>
      </c>
      <c r="BC37">
        <v>52</v>
      </c>
      <c r="BD37">
        <v>-21</v>
      </c>
      <c r="BE37">
        <v>0</v>
      </c>
      <c r="BF37">
        <v>0</v>
      </c>
      <c r="BG37">
        <v>55.555999999999997</v>
      </c>
      <c r="BH37">
        <v>52.875</v>
      </c>
      <c r="BI37">
        <v>44.09</v>
      </c>
      <c r="BJ37">
        <v>99.995000000000005</v>
      </c>
      <c r="BK37">
        <v>64.224000000000004</v>
      </c>
      <c r="BL37">
        <v>99.652000000000001</v>
      </c>
      <c r="BM37">
        <v>2.2370000000000001</v>
      </c>
      <c r="BN37">
        <v>44.09</v>
      </c>
      <c r="BO37">
        <v>52.875</v>
      </c>
      <c r="BP37">
        <v>0</v>
      </c>
      <c r="BQ37">
        <v>55.555999999999997</v>
      </c>
      <c r="BR37">
        <v>-2.2370000000000001</v>
      </c>
      <c r="BS37">
        <v>35.776000000000003</v>
      </c>
      <c r="BT37">
        <v>5.0000000000000001E-3</v>
      </c>
      <c r="BU37">
        <v>0.34799999999999998</v>
      </c>
      <c r="BV37">
        <v>1981</v>
      </c>
      <c r="BW37">
        <v>63.927</v>
      </c>
      <c r="BX37">
        <v>202.71428</v>
      </c>
      <c r="BY37">
        <v>21</v>
      </c>
      <c r="BZ37">
        <v>321.14285000000001</v>
      </c>
      <c r="CA37">
        <v>7.2649999999999997</v>
      </c>
      <c r="CB37">
        <v>772</v>
      </c>
      <c r="CC37">
        <v>93.856999999999999</v>
      </c>
      <c r="CD37">
        <v>4.2939999999999996</v>
      </c>
      <c r="CE37">
        <v>5</v>
      </c>
      <c r="CF37">
        <v>2606</v>
      </c>
      <c r="CG37">
        <v>9</v>
      </c>
      <c r="CH37">
        <v>227.286</v>
      </c>
      <c r="CI37">
        <v>11.364000000000001</v>
      </c>
      <c r="CJ37">
        <v>6.2220000000000004</v>
      </c>
      <c r="CK37">
        <v>3.3570000000000002</v>
      </c>
      <c r="CL37">
        <v>2</v>
      </c>
      <c r="CM37">
        <v>18</v>
      </c>
      <c r="CN37">
        <v>0</v>
      </c>
      <c r="CO37">
        <v>100</v>
      </c>
      <c r="CP37">
        <v>87.5</v>
      </c>
      <c r="CQ37">
        <v>14</v>
      </c>
      <c r="CR37">
        <v>55</v>
      </c>
      <c r="CS37">
        <v>7.8179999999999996</v>
      </c>
      <c r="CT37">
        <v>29</v>
      </c>
      <c r="CU37">
        <v>10</v>
      </c>
      <c r="CV37">
        <v>12</v>
      </c>
      <c r="CW37">
        <v>9</v>
      </c>
      <c r="CX37">
        <v>155</v>
      </c>
      <c r="CY37">
        <v>17.428999999999998</v>
      </c>
      <c r="CZ37">
        <v>62.5</v>
      </c>
      <c r="DA37">
        <v>33.332999999999998</v>
      </c>
      <c r="DB37">
        <v>70.13</v>
      </c>
      <c r="DC37">
        <v>-4</v>
      </c>
      <c r="DD37">
        <v>2540</v>
      </c>
      <c r="DE37">
        <v>63.636000000000003</v>
      </c>
      <c r="DF37">
        <v>202</v>
      </c>
      <c r="DG37">
        <v>15</v>
      </c>
      <c r="DH37">
        <v>299.125</v>
      </c>
      <c r="DI37">
        <v>6.0490000000000004</v>
      </c>
      <c r="DJ37">
        <v>793</v>
      </c>
      <c r="DK37">
        <v>82.875</v>
      </c>
      <c r="DL37">
        <v>4.3049999999999997</v>
      </c>
      <c r="DM37">
        <v>5</v>
      </c>
      <c r="DN37">
        <v>3165</v>
      </c>
      <c r="DO37">
        <v>15</v>
      </c>
      <c r="DP37">
        <v>216.25</v>
      </c>
      <c r="DQ37">
        <v>9.5050000000000008</v>
      </c>
      <c r="DR37">
        <v>5.2729999999999997</v>
      </c>
      <c r="DS37">
        <v>3.3570000000000002</v>
      </c>
      <c r="DT37">
        <v>0</v>
      </c>
      <c r="DU37">
        <v>11</v>
      </c>
      <c r="DV37">
        <v>0</v>
      </c>
      <c r="DW37">
        <v>100</v>
      </c>
      <c r="DX37">
        <v>84.614999999999995</v>
      </c>
      <c r="DY37">
        <v>11</v>
      </c>
      <c r="DZ37">
        <v>52</v>
      </c>
      <c r="EA37">
        <v>11.523999999999999</v>
      </c>
      <c r="EB37">
        <v>11</v>
      </c>
      <c r="EC37">
        <v>37</v>
      </c>
      <c r="ED37">
        <v>0</v>
      </c>
      <c r="EE37">
        <v>15</v>
      </c>
      <c r="EF37">
        <v>174</v>
      </c>
      <c r="EG37">
        <v>18.5</v>
      </c>
      <c r="EH37">
        <v>80</v>
      </c>
      <c r="EI37">
        <v>39.393999999999998</v>
      </c>
      <c r="EJ37">
        <v>79.87</v>
      </c>
      <c r="EK37">
        <v>-2</v>
      </c>
    </row>
    <row r="38" spans="1:141" x14ac:dyDescent="0.25">
      <c r="A38">
        <v>35</v>
      </c>
      <c r="B38">
        <v>-7</v>
      </c>
      <c r="C38">
        <v>0</v>
      </c>
      <c r="D38">
        <v>2025</v>
      </c>
      <c r="E38">
        <v>3</v>
      </c>
      <c r="F38" t="str">
        <f>VLOOKUP(G38, Map!$A$1:$B$33, 2, FALSE)</f>
        <v>NE</v>
      </c>
      <c r="G38" t="s">
        <v>151</v>
      </c>
      <c r="H38" t="str">
        <f>VLOOKUP(I38, Map!$A$1:$B$33, 2, FALSE)</f>
        <v>PIT</v>
      </c>
      <c r="I38" t="s">
        <v>145</v>
      </c>
      <c r="J38">
        <v>0</v>
      </c>
      <c r="K38">
        <v>0</v>
      </c>
      <c r="L38">
        <v>0</v>
      </c>
      <c r="M38">
        <v>0</v>
      </c>
      <c r="N38">
        <v>6</v>
      </c>
      <c r="O38">
        <v>2</v>
      </c>
      <c r="P38">
        <v>18.25</v>
      </c>
      <c r="Q38">
        <v>26.625</v>
      </c>
      <c r="R38">
        <v>67</v>
      </c>
      <c r="S38">
        <v>5</v>
      </c>
      <c r="T38">
        <v>0.75</v>
      </c>
      <c r="U38">
        <v>2</v>
      </c>
      <c r="V38">
        <v>0</v>
      </c>
      <c r="W38">
        <v>2</v>
      </c>
      <c r="X38">
        <v>2</v>
      </c>
      <c r="Y38">
        <v>4</v>
      </c>
      <c r="Z38">
        <v>0</v>
      </c>
      <c r="AA38">
        <v>4</v>
      </c>
      <c r="AB38">
        <v>2</v>
      </c>
      <c r="AC38">
        <v>8</v>
      </c>
      <c r="AD38">
        <v>9</v>
      </c>
      <c r="AE38">
        <v>7</v>
      </c>
      <c r="AF38">
        <v>9</v>
      </c>
      <c r="AG38">
        <v>61</v>
      </c>
      <c r="AH38">
        <v>1</v>
      </c>
      <c r="AI38">
        <v>4</v>
      </c>
      <c r="AJ38">
        <v>3</v>
      </c>
      <c r="AK38">
        <v>25</v>
      </c>
      <c r="AL38">
        <v>25</v>
      </c>
      <c r="AM38">
        <v>0</v>
      </c>
      <c r="AN38">
        <v>-2</v>
      </c>
      <c r="AO38">
        <v>0.57142859999999995</v>
      </c>
      <c r="AP38">
        <v>1</v>
      </c>
      <c r="AQ38">
        <v>1</v>
      </c>
      <c r="AR38">
        <v>2</v>
      </c>
      <c r="AS38">
        <v>2</v>
      </c>
      <c r="AT38">
        <v>2</v>
      </c>
      <c r="AU38">
        <v>1</v>
      </c>
      <c r="AV38">
        <v>3</v>
      </c>
      <c r="AW38">
        <v>1</v>
      </c>
      <c r="AX38">
        <v>9</v>
      </c>
      <c r="AY38">
        <v>8</v>
      </c>
      <c r="AZ38">
        <v>10</v>
      </c>
      <c r="BA38">
        <v>6</v>
      </c>
      <c r="BB38">
        <v>66</v>
      </c>
      <c r="BC38">
        <v>40</v>
      </c>
      <c r="BD38">
        <v>1.5</v>
      </c>
      <c r="BE38">
        <v>0</v>
      </c>
      <c r="BF38">
        <v>0</v>
      </c>
      <c r="BG38">
        <v>49.667000000000002</v>
      </c>
      <c r="BH38">
        <v>42.375</v>
      </c>
      <c r="BI38">
        <v>49.933999999999997</v>
      </c>
      <c r="BJ38">
        <v>58.526000000000003</v>
      </c>
      <c r="BK38">
        <v>23.667999999999999</v>
      </c>
      <c r="BL38">
        <v>36.506</v>
      </c>
      <c r="BM38">
        <v>7.0000000000000001E-3</v>
      </c>
      <c r="BN38">
        <v>49.933999999999997</v>
      </c>
      <c r="BO38">
        <v>42.375</v>
      </c>
      <c r="BP38">
        <v>0</v>
      </c>
      <c r="BQ38">
        <v>49.667000000000002</v>
      </c>
      <c r="BR38">
        <v>-7.0000000000000001E-3</v>
      </c>
      <c r="BS38">
        <v>76.331999999999994</v>
      </c>
      <c r="BT38">
        <v>41.473999999999997</v>
      </c>
      <c r="BU38">
        <v>63.494</v>
      </c>
      <c r="BV38">
        <v>2965</v>
      </c>
      <c r="BW38">
        <v>75</v>
      </c>
      <c r="BX38">
        <v>240.5</v>
      </c>
      <c r="BY38">
        <v>29</v>
      </c>
      <c r="BZ38">
        <v>367.375</v>
      </c>
      <c r="CA38">
        <v>8.7940000000000005</v>
      </c>
      <c r="CB38">
        <v>1056</v>
      </c>
      <c r="CC38">
        <v>112.625</v>
      </c>
      <c r="CD38">
        <v>3.9340000000000002</v>
      </c>
      <c r="CE38">
        <v>7</v>
      </c>
      <c r="CF38">
        <v>3418</v>
      </c>
      <c r="CG38">
        <v>15</v>
      </c>
      <c r="CH38">
        <v>254.75</v>
      </c>
      <c r="CI38">
        <v>11.725</v>
      </c>
      <c r="CJ38">
        <v>6.3159999999999998</v>
      </c>
      <c r="CK38">
        <v>3.7410000000000001</v>
      </c>
      <c r="CL38">
        <v>4</v>
      </c>
      <c r="CM38">
        <v>19</v>
      </c>
      <c r="CN38">
        <v>0</v>
      </c>
      <c r="CO38">
        <v>91.304000000000002</v>
      </c>
      <c r="CP38">
        <v>92.308000000000007</v>
      </c>
      <c r="CQ38">
        <v>12</v>
      </c>
      <c r="CR38">
        <v>57</v>
      </c>
      <c r="CS38">
        <v>16.8</v>
      </c>
      <c r="CT38">
        <v>27</v>
      </c>
      <c r="CU38">
        <v>10</v>
      </c>
      <c r="CV38">
        <v>14</v>
      </c>
      <c r="CW38">
        <v>15</v>
      </c>
      <c r="CX38">
        <v>213</v>
      </c>
      <c r="CY38">
        <v>20.375</v>
      </c>
      <c r="CZ38">
        <v>83.332999999999998</v>
      </c>
      <c r="DA38">
        <v>39.784999999999997</v>
      </c>
      <c r="DB38">
        <v>67</v>
      </c>
      <c r="DC38">
        <v>2</v>
      </c>
      <c r="DD38">
        <v>2471</v>
      </c>
      <c r="DE38">
        <v>68.570999999999998</v>
      </c>
      <c r="DF38">
        <v>202.85714999999999</v>
      </c>
      <c r="DG38">
        <v>20</v>
      </c>
      <c r="DH38">
        <v>308.71429999999998</v>
      </c>
      <c r="DI38">
        <v>7.1479999999999997</v>
      </c>
      <c r="DJ38">
        <v>750</v>
      </c>
      <c r="DK38">
        <v>94.286000000000001</v>
      </c>
      <c r="DL38">
        <v>4.0739999999999998</v>
      </c>
      <c r="DM38">
        <v>3</v>
      </c>
      <c r="DN38">
        <v>2781</v>
      </c>
      <c r="DO38">
        <v>16</v>
      </c>
      <c r="DP38">
        <v>214.429</v>
      </c>
      <c r="DQ38">
        <v>10.423999999999999</v>
      </c>
      <c r="DR38">
        <v>6.4089999999999998</v>
      </c>
      <c r="DS38">
        <v>7.4379999999999997</v>
      </c>
      <c r="DT38">
        <v>0</v>
      </c>
      <c r="DU38">
        <v>22</v>
      </c>
      <c r="DV38">
        <v>0</v>
      </c>
      <c r="DW38">
        <v>100</v>
      </c>
      <c r="DX38">
        <v>87.5</v>
      </c>
      <c r="DY38">
        <v>14</v>
      </c>
      <c r="DZ38">
        <v>59</v>
      </c>
      <c r="EA38">
        <v>8.25</v>
      </c>
      <c r="EB38">
        <v>8</v>
      </c>
      <c r="EC38">
        <v>23</v>
      </c>
      <c r="ED38">
        <v>0</v>
      </c>
      <c r="EE38">
        <v>16</v>
      </c>
      <c r="EF38">
        <v>175</v>
      </c>
      <c r="EG38">
        <v>17.428999999999998</v>
      </c>
      <c r="EH38">
        <v>50</v>
      </c>
      <c r="EI38">
        <v>38.960999999999999</v>
      </c>
      <c r="EJ38">
        <v>75.94</v>
      </c>
      <c r="EK38">
        <v>4</v>
      </c>
    </row>
    <row r="39" spans="1:141" x14ac:dyDescent="0.25">
      <c r="A39">
        <v>59</v>
      </c>
      <c r="B39">
        <v>7</v>
      </c>
      <c r="C39">
        <v>1</v>
      </c>
      <c r="D39">
        <v>2025</v>
      </c>
      <c r="E39">
        <v>3</v>
      </c>
      <c r="F39" t="str">
        <f>VLOOKUP(G39, Map!$A$1:$B$33, 2, FALSE)</f>
        <v>PHI</v>
      </c>
      <c r="G39" t="s">
        <v>147</v>
      </c>
      <c r="H39" t="str">
        <f>VLOOKUP(I39, Map!$A$1:$B$33, 2, FALSE)</f>
        <v>LA</v>
      </c>
      <c r="I39" t="s">
        <v>155</v>
      </c>
      <c r="J39">
        <v>0</v>
      </c>
      <c r="K39">
        <v>0</v>
      </c>
      <c r="L39">
        <v>0</v>
      </c>
      <c r="M39">
        <v>1</v>
      </c>
      <c r="N39">
        <v>6</v>
      </c>
      <c r="O39">
        <v>2</v>
      </c>
      <c r="P39">
        <v>23.125</v>
      </c>
      <c r="Q39">
        <v>26</v>
      </c>
      <c r="R39">
        <v>23</v>
      </c>
      <c r="S39">
        <v>2</v>
      </c>
      <c r="T39">
        <v>0.75</v>
      </c>
      <c r="U39">
        <v>2</v>
      </c>
      <c r="V39">
        <v>1</v>
      </c>
      <c r="W39">
        <v>3</v>
      </c>
      <c r="X39">
        <v>1</v>
      </c>
      <c r="Y39">
        <v>3</v>
      </c>
      <c r="Z39">
        <v>1</v>
      </c>
      <c r="AA39">
        <v>5</v>
      </c>
      <c r="AB39">
        <v>1</v>
      </c>
      <c r="AC39">
        <v>16</v>
      </c>
      <c r="AD39">
        <v>3</v>
      </c>
      <c r="AE39">
        <v>10</v>
      </c>
      <c r="AF39">
        <v>9</v>
      </c>
      <c r="AG39">
        <v>63</v>
      </c>
      <c r="AH39">
        <v>0</v>
      </c>
      <c r="AI39">
        <v>5</v>
      </c>
      <c r="AJ39">
        <v>2</v>
      </c>
      <c r="AK39">
        <v>16.714285</v>
      </c>
      <c r="AL39">
        <v>25</v>
      </c>
      <c r="AM39">
        <v>58</v>
      </c>
      <c r="AN39">
        <v>2</v>
      </c>
      <c r="AO39">
        <v>0.71428572999999995</v>
      </c>
      <c r="AP39">
        <v>0</v>
      </c>
      <c r="AQ39">
        <v>1</v>
      </c>
      <c r="AR39">
        <v>2</v>
      </c>
      <c r="AS39">
        <v>1</v>
      </c>
      <c r="AT39">
        <v>3</v>
      </c>
      <c r="AU39">
        <v>1</v>
      </c>
      <c r="AV39">
        <v>0</v>
      </c>
      <c r="AW39">
        <v>2</v>
      </c>
      <c r="AX39">
        <v>5</v>
      </c>
      <c r="AY39">
        <v>11</v>
      </c>
      <c r="AZ39">
        <v>5</v>
      </c>
      <c r="BA39">
        <v>9</v>
      </c>
      <c r="BB39">
        <v>57</v>
      </c>
      <c r="BC39">
        <v>50.5</v>
      </c>
      <c r="BD39">
        <v>-1</v>
      </c>
      <c r="BE39">
        <v>0</v>
      </c>
      <c r="BF39">
        <v>0</v>
      </c>
      <c r="BG39">
        <v>57.43</v>
      </c>
      <c r="BH39">
        <v>77.260999999999996</v>
      </c>
      <c r="BI39">
        <v>42.23</v>
      </c>
      <c r="BJ39">
        <v>62.198</v>
      </c>
      <c r="BK39">
        <v>45.113</v>
      </c>
      <c r="BL39">
        <v>60.866999999999997</v>
      </c>
      <c r="BM39">
        <v>3.089</v>
      </c>
      <c r="BN39">
        <v>42.23</v>
      </c>
      <c r="BO39">
        <v>77.260999999999996</v>
      </c>
      <c r="BP39">
        <v>0</v>
      </c>
      <c r="BQ39">
        <v>57.43</v>
      </c>
      <c r="BR39">
        <v>-3.089</v>
      </c>
      <c r="BS39">
        <v>54.887</v>
      </c>
      <c r="BT39">
        <v>37.802</v>
      </c>
      <c r="BU39">
        <v>39.133000000000003</v>
      </c>
      <c r="BV39">
        <v>2679</v>
      </c>
      <c r="BW39">
        <v>70.233000000000004</v>
      </c>
      <c r="BX39">
        <v>192.75</v>
      </c>
      <c r="BY39">
        <v>23</v>
      </c>
      <c r="BZ39">
        <v>321.25</v>
      </c>
      <c r="CA39">
        <v>7.7160000000000002</v>
      </c>
      <c r="CB39">
        <v>1178</v>
      </c>
      <c r="CC39">
        <v>111.625</v>
      </c>
      <c r="CD39">
        <v>4.0960000000000001</v>
      </c>
      <c r="CE39">
        <v>9</v>
      </c>
      <c r="CF39">
        <v>2957</v>
      </c>
      <c r="CG39">
        <v>15</v>
      </c>
      <c r="CH39">
        <v>209.625</v>
      </c>
      <c r="CI39">
        <v>10.987</v>
      </c>
      <c r="CJ39">
        <v>4.75</v>
      </c>
      <c r="CK39">
        <v>3.75</v>
      </c>
      <c r="CL39">
        <v>3</v>
      </c>
      <c r="CM39">
        <v>16</v>
      </c>
      <c r="CN39">
        <v>0</v>
      </c>
      <c r="CO39">
        <v>100</v>
      </c>
      <c r="CP39">
        <v>77.778000000000006</v>
      </c>
      <c r="CQ39">
        <v>7</v>
      </c>
      <c r="CR39">
        <v>46</v>
      </c>
      <c r="CS39">
        <v>13.55</v>
      </c>
      <c r="CT39">
        <v>34</v>
      </c>
      <c r="CU39">
        <v>7</v>
      </c>
      <c r="CV39">
        <v>6</v>
      </c>
      <c r="CW39">
        <v>15</v>
      </c>
      <c r="CX39">
        <v>208</v>
      </c>
      <c r="CY39">
        <v>17.875</v>
      </c>
      <c r="CZ39">
        <v>78.570999999999998</v>
      </c>
      <c r="DA39">
        <v>33.332999999999998</v>
      </c>
      <c r="DB39">
        <v>87.14</v>
      </c>
      <c r="DC39">
        <v>4</v>
      </c>
      <c r="DD39">
        <v>2996</v>
      </c>
      <c r="DE39">
        <v>65.843999999999994</v>
      </c>
      <c r="DF39">
        <v>256.71429999999998</v>
      </c>
      <c r="DG39">
        <v>30</v>
      </c>
      <c r="DH39">
        <v>370</v>
      </c>
      <c r="DI39">
        <v>7.6790000000000003</v>
      </c>
      <c r="DJ39">
        <v>789</v>
      </c>
      <c r="DK39">
        <v>103.429</v>
      </c>
      <c r="DL39">
        <v>4.1369999999999996</v>
      </c>
      <c r="DM39">
        <v>4</v>
      </c>
      <c r="DN39">
        <v>3261</v>
      </c>
      <c r="DO39">
        <v>17</v>
      </c>
      <c r="DP39">
        <v>266.57100000000003</v>
      </c>
      <c r="DQ39">
        <v>11.663</v>
      </c>
      <c r="DR39">
        <v>6.577</v>
      </c>
      <c r="DS39">
        <v>16.111000000000001</v>
      </c>
      <c r="DT39">
        <v>0</v>
      </c>
      <c r="DU39">
        <v>26</v>
      </c>
      <c r="DV39">
        <v>0</v>
      </c>
      <c r="DW39">
        <v>90.475999999999999</v>
      </c>
      <c r="DX39">
        <v>71.429000000000002</v>
      </c>
      <c r="DY39">
        <v>10</v>
      </c>
      <c r="DZ39">
        <v>49</v>
      </c>
      <c r="EA39">
        <v>14.2</v>
      </c>
      <c r="EB39">
        <v>11</v>
      </c>
      <c r="EC39">
        <v>22</v>
      </c>
      <c r="ED39">
        <v>0</v>
      </c>
      <c r="EE39">
        <v>17</v>
      </c>
      <c r="EF39">
        <v>175</v>
      </c>
      <c r="EG39">
        <v>22</v>
      </c>
      <c r="EH39">
        <v>66.667000000000002</v>
      </c>
      <c r="EI39">
        <v>37.661999999999999</v>
      </c>
      <c r="EJ39">
        <v>65.239999999999995</v>
      </c>
      <c r="EK39">
        <v>3</v>
      </c>
    </row>
    <row r="40" spans="1:141" x14ac:dyDescent="0.25">
      <c r="A40">
        <v>56</v>
      </c>
      <c r="B40">
        <v>2</v>
      </c>
      <c r="C40">
        <v>1</v>
      </c>
      <c r="D40">
        <v>2025</v>
      </c>
      <c r="E40">
        <v>3</v>
      </c>
      <c r="F40" t="str">
        <f>VLOOKUP(G40, Map!$A$1:$B$33, 2, FALSE)</f>
        <v>TB</v>
      </c>
      <c r="G40" t="s">
        <v>141</v>
      </c>
      <c r="H40" t="str">
        <f>VLOOKUP(I40, Map!$A$1:$B$33, 2, FALSE)</f>
        <v>NYJ</v>
      </c>
      <c r="I40" t="s">
        <v>166</v>
      </c>
      <c r="J40">
        <v>0</v>
      </c>
      <c r="K40">
        <v>0</v>
      </c>
      <c r="L40">
        <v>0</v>
      </c>
      <c r="M40">
        <v>1</v>
      </c>
      <c r="N40">
        <v>6</v>
      </c>
      <c r="O40">
        <v>2</v>
      </c>
      <c r="P40">
        <v>22.25</v>
      </c>
      <c r="Q40">
        <v>24.625</v>
      </c>
      <c r="R40">
        <v>19</v>
      </c>
      <c r="S40">
        <v>1</v>
      </c>
      <c r="T40">
        <v>0.75</v>
      </c>
      <c r="U40">
        <v>2</v>
      </c>
      <c r="V40">
        <v>0</v>
      </c>
      <c r="W40">
        <v>2</v>
      </c>
      <c r="X40">
        <v>1</v>
      </c>
      <c r="Y40">
        <v>4</v>
      </c>
      <c r="Z40">
        <v>1</v>
      </c>
      <c r="AA40">
        <v>4</v>
      </c>
      <c r="AB40">
        <v>2</v>
      </c>
      <c r="AC40">
        <v>8</v>
      </c>
      <c r="AD40">
        <v>9</v>
      </c>
      <c r="AE40">
        <v>4</v>
      </c>
      <c r="AF40">
        <v>12</v>
      </c>
      <c r="AG40">
        <v>59</v>
      </c>
      <c r="AH40">
        <v>0</v>
      </c>
      <c r="AI40">
        <v>1</v>
      </c>
      <c r="AJ40">
        <v>7</v>
      </c>
      <c r="AK40">
        <v>27.625</v>
      </c>
      <c r="AL40">
        <v>21</v>
      </c>
      <c r="AM40">
        <v>-53</v>
      </c>
      <c r="AN40">
        <v>1</v>
      </c>
      <c r="AO40">
        <v>0.125</v>
      </c>
      <c r="AP40">
        <v>0</v>
      </c>
      <c r="AQ40">
        <v>2</v>
      </c>
      <c r="AR40">
        <v>0</v>
      </c>
      <c r="AS40">
        <v>5</v>
      </c>
      <c r="AT40">
        <v>1</v>
      </c>
      <c r="AU40">
        <v>2</v>
      </c>
      <c r="AV40">
        <v>1</v>
      </c>
      <c r="AW40">
        <v>4</v>
      </c>
      <c r="AX40">
        <v>7</v>
      </c>
      <c r="AY40">
        <v>10</v>
      </c>
      <c r="AZ40">
        <v>8</v>
      </c>
      <c r="BA40">
        <v>9</v>
      </c>
      <c r="BB40">
        <v>60</v>
      </c>
      <c r="BC40">
        <v>42</v>
      </c>
      <c r="BD40">
        <v>-7</v>
      </c>
      <c r="BE40">
        <v>0</v>
      </c>
      <c r="BF40">
        <v>0</v>
      </c>
      <c r="BG40">
        <v>70.683000000000007</v>
      </c>
      <c r="BH40">
        <v>44.825000000000003</v>
      </c>
      <c r="BI40">
        <v>29.082999999999998</v>
      </c>
      <c r="BJ40">
        <v>95.832999999999998</v>
      </c>
      <c r="BK40">
        <v>49.85</v>
      </c>
      <c r="BL40">
        <v>80.941999999999993</v>
      </c>
      <c r="BM40">
        <v>8.4469999999999992</v>
      </c>
      <c r="BN40">
        <v>29.082999999999998</v>
      </c>
      <c r="BO40">
        <v>44.825000000000003</v>
      </c>
      <c r="BP40">
        <v>0</v>
      </c>
      <c r="BQ40">
        <v>70.683000000000007</v>
      </c>
      <c r="BR40">
        <v>-8.4469999999999992</v>
      </c>
      <c r="BS40">
        <v>50.15</v>
      </c>
      <c r="BT40">
        <v>4.1669999999999998</v>
      </c>
      <c r="BU40">
        <v>19.058</v>
      </c>
      <c r="BV40">
        <v>2769</v>
      </c>
      <c r="BW40">
        <v>63.941000000000003</v>
      </c>
      <c r="BX40">
        <v>224.875</v>
      </c>
      <c r="BY40">
        <v>29</v>
      </c>
      <c r="BZ40">
        <v>338</v>
      </c>
      <c r="CA40">
        <v>7.1340000000000003</v>
      </c>
      <c r="CB40">
        <v>950</v>
      </c>
      <c r="CC40">
        <v>98.125</v>
      </c>
      <c r="CD40">
        <v>3.8479999999999999</v>
      </c>
      <c r="CE40">
        <v>6</v>
      </c>
      <c r="CF40">
        <v>3234</v>
      </c>
      <c r="CG40">
        <v>13</v>
      </c>
      <c r="CH40">
        <v>239.875</v>
      </c>
      <c r="CI40">
        <v>11.157</v>
      </c>
      <c r="CJ40">
        <v>7.8</v>
      </c>
      <c r="CK40">
        <v>6.8</v>
      </c>
      <c r="CL40">
        <v>2</v>
      </c>
      <c r="CM40">
        <v>25</v>
      </c>
      <c r="CN40">
        <v>0</v>
      </c>
      <c r="CO40">
        <v>94.117999999999995</v>
      </c>
      <c r="CP40">
        <v>80.951999999999998</v>
      </c>
      <c r="CQ40">
        <v>17</v>
      </c>
      <c r="CR40">
        <v>67</v>
      </c>
      <c r="CS40">
        <v>14.667</v>
      </c>
      <c r="CT40">
        <v>32</v>
      </c>
      <c r="CU40">
        <v>12</v>
      </c>
      <c r="CV40">
        <v>14</v>
      </c>
      <c r="CW40">
        <v>13</v>
      </c>
      <c r="CX40">
        <v>197</v>
      </c>
      <c r="CY40">
        <v>18.875</v>
      </c>
      <c r="CZ40">
        <v>50</v>
      </c>
      <c r="DA40">
        <v>36.274999999999999</v>
      </c>
      <c r="DB40">
        <v>55.19</v>
      </c>
      <c r="DC40">
        <v>7</v>
      </c>
      <c r="DD40">
        <v>2012</v>
      </c>
      <c r="DE40">
        <v>63.713000000000001</v>
      </c>
      <c r="DF40">
        <v>156.5</v>
      </c>
      <c r="DG40">
        <v>15</v>
      </c>
      <c r="DH40">
        <v>327.625</v>
      </c>
      <c r="DI40">
        <v>6.2110000000000003</v>
      </c>
      <c r="DJ40">
        <v>1254</v>
      </c>
      <c r="DK40">
        <v>143.625</v>
      </c>
      <c r="DL40">
        <v>5.1989999999999998</v>
      </c>
      <c r="DM40">
        <v>6</v>
      </c>
      <c r="DN40">
        <v>2542</v>
      </c>
      <c r="DO40">
        <v>9</v>
      </c>
      <c r="DP40">
        <v>184</v>
      </c>
      <c r="DQ40">
        <v>9.7479999999999993</v>
      </c>
      <c r="DR40">
        <v>6.2729999999999997</v>
      </c>
      <c r="DS40">
        <v>2.4169999999999998</v>
      </c>
      <c r="DT40">
        <v>1</v>
      </c>
      <c r="DU40">
        <v>11</v>
      </c>
      <c r="DV40">
        <v>0</v>
      </c>
      <c r="DW40">
        <v>100</v>
      </c>
      <c r="DX40">
        <v>100</v>
      </c>
      <c r="DY40">
        <v>17</v>
      </c>
      <c r="DZ40">
        <v>60</v>
      </c>
      <c r="EA40">
        <v>6.25</v>
      </c>
      <c r="EB40">
        <v>11</v>
      </c>
      <c r="EC40">
        <v>31</v>
      </c>
      <c r="ED40">
        <v>2</v>
      </c>
      <c r="EE40">
        <v>9</v>
      </c>
      <c r="EF40">
        <v>168</v>
      </c>
      <c r="EG40">
        <v>18.5</v>
      </c>
      <c r="EH40">
        <v>52.631999999999998</v>
      </c>
      <c r="EI40">
        <v>34.905999999999999</v>
      </c>
      <c r="EJ40">
        <v>69.17</v>
      </c>
      <c r="EK40">
        <v>-9</v>
      </c>
    </row>
    <row r="41" spans="1:141" x14ac:dyDescent="0.25">
      <c r="A41">
        <v>65</v>
      </c>
      <c r="B41">
        <v>17</v>
      </c>
      <c r="C41">
        <v>1</v>
      </c>
      <c r="D41">
        <v>2025</v>
      </c>
      <c r="E41">
        <v>3</v>
      </c>
      <c r="F41" t="str">
        <f>VLOOKUP(G41, Map!$A$1:$B$33, 2, FALSE)</f>
        <v>WAS</v>
      </c>
      <c r="G41" t="s">
        <v>148</v>
      </c>
      <c r="H41" t="str">
        <f>VLOOKUP(I41, Map!$A$1:$B$33, 2, FALSE)</f>
        <v>LV</v>
      </c>
      <c r="I41" t="s">
        <v>157</v>
      </c>
      <c r="J41">
        <v>0</v>
      </c>
      <c r="K41">
        <v>0</v>
      </c>
      <c r="L41">
        <v>0</v>
      </c>
      <c r="M41">
        <v>1</v>
      </c>
      <c r="N41">
        <v>3</v>
      </c>
      <c r="O41">
        <v>5</v>
      </c>
      <c r="P41">
        <v>24.75</v>
      </c>
      <c r="Q41">
        <v>23.375</v>
      </c>
      <c r="R41">
        <v>-11</v>
      </c>
      <c r="S41">
        <v>-3</v>
      </c>
      <c r="T41">
        <v>0.375</v>
      </c>
      <c r="U41">
        <v>1</v>
      </c>
      <c r="V41">
        <v>1</v>
      </c>
      <c r="W41">
        <v>2</v>
      </c>
      <c r="X41">
        <v>1</v>
      </c>
      <c r="Y41">
        <v>1</v>
      </c>
      <c r="Z41">
        <v>4</v>
      </c>
      <c r="AA41">
        <v>1</v>
      </c>
      <c r="AB41">
        <v>4</v>
      </c>
      <c r="AC41">
        <v>7</v>
      </c>
      <c r="AD41">
        <v>8</v>
      </c>
      <c r="AE41">
        <v>7</v>
      </c>
      <c r="AF41">
        <v>8</v>
      </c>
      <c r="AG41">
        <v>65</v>
      </c>
      <c r="AH41">
        <v>0</v>
      </c>
      <c r="AI41">
        <v>2</v>
      </c>
      <c r="AJ41">
        <v>5</v>
      </c>
      <c r="AK41">
        <v>25.714285</v>
      </c>
      <c r="AL41">
        <v>14.714286</v>
      </c>
      <c r="AM41">
        <v>-77</v>
      </c>
      <c r="AN41">
        <v>-1</v>
      </c>
      <c r="AO41">
        <v>0.28571429999999998</v>
      </c>
      <c r="AP41">
        <v>0</v>
      </c>
      <c r="AQ41">
        <v>2</v>
      </c>
      <c r="AR41">
        <v>1</v>
      </c>
      <c r="AS41">
        <v>2</v>
      </c>
      <c r="AT41">
        <v>1</v>
      </c>
      <c r="AU41">
        <v>3</v>
      </c>
      <c r="AV41">
        <v>2</v>
      </c>
      <c r="AW41">
        <v>3</v>
      </c>
      <c r="AX41">
        <v>6</v>
      </c>
      <c r="AY41">
        <v>10</v>
      </c>
      <c r="AZ41">
        <v>8</v>
      </c>
      <c r="BA41">
        <v>8</v>
      </c>
      <c r="BB41">
        <v>56</v>
      </c>
      <c r="BC41">
        <v>47.5</v>
      </c>
      <c r="BD41">
        <v>-10.5</v>
      </c>
      <c r="BE41">
        <v>0</v>
      </c>
      <c r="BF41">
        <v>0</v>
      </c>
      <c r="BG41">
        <v>58.433999999999997</v>
      </c>
      <c r="BH41">
        <v>48.704000000000001</v>
      </c>
      <c r="BI41">
        <v>41.234000000000002</v>
      </c>
      <c r="BJ41">
        <v>67.484999999999999</v>
      </c>
      <c r="BK41">
        <v>78.108000000000004</v>
      </c>
      <c r="BL41">
        <v>90.372</v>
      </c>
      <c r="BM41">
        <v>3.375</v>
      </c>
      <c r="BN41">
        <v>41.234000000000002</v>
      </c>
      <c r="BO41">
        <v>48.704000000000001</v>
      </c>
      <c r="BP41">
        <v>0</v>
      </c>
      <c r="BQ41">
        <v>58.433999999999997</v>
      </c>
      <c r="BR41">
        <v>-3.375</v>
      </c>
      <c r="BS41">
        <v>21.891999999999999</v>
      </c>
      <c r="BT41">
        <v>32.515000000000001</v>
      </c>
      <c r="BU41">
        <v>9.6280000000000001</v>
      </c>
      <c r="BV41">
        <v>2360</v>
      </c>
      <c r="BW41">
        <v>61.966000000000001</v>
      </c>
      <c r="BX41">
        <v>196.625</v>
      </c>
      <c r="BY41">
        <v>20</v>
      </c>
      <c r="BZ41">
        <v>346.5</v>
      </c>
      <c r="CA41">
        <v>7.1369999999999996</v>
      </c>
      <c r="CB41">
        <v>1342</v>
      </c>
      <c r="CC41">
        <v>137.75</v>
      </c>
      <c r="CD41">
        <v>5.1980000000000004</v>
      </c>
      <c r="CE41">
        <v>9</v>
      </c>
      <c r="CF41">
        <v>2815</v>
      </c>
      <c r="CG41">
        <v>12</v>
      </c>
      <c r="CH41">
        <v>208.75</v>
      </c>
      <c r="CI41">
        <v>11.516999999999999</v>
      </c>
      <c r="CJ41">
        <v>6.1360000000000001</v>
      </c>
      <c r="CK41">
        <v>5.9470000000000001</v>
      </c>
      <c r="CL41">
        <v>1</v>
      </c>
      <c r="CM41">
        <v>22</v>
      </c>
      <c r="CN41">
        <v>0</v>
      </c>
      <c r="CO41">
        <v>100</v>
      </c>
      <c r="CP41">
        <v>71.429000000000002</v>
      </c>
      <c r="CQ41">
        <v>10</v>
      </c>
      <c r="CR41">
        <v>49</v>
      </c>
      <c r="CS41">
        <v>4</v>
      </c>
      <c r="CT41">
        <v>25</v>
      </c>
      <c r="CU41">
        <v>11</v>
      </c>
      <c r="CV41">
        <v>8</v>
      </c>
      <c r="CW41">
        <v>12</v>
      </c>
      <c r="CX41">
        <v>187</v>
      </c>
      <c r="CY41">
        <v>18.75</v>
      </c>
      <c r="CZ41">
        <v>45.454999999999998</v>
      </c>
      <c r="DA41">
        <v>38.636000000000003</v>
      </c>
      <c r="DB41">
        <v>79.290000000000006</v>
      </c>
      <c r="DC41">
        <v>-5</v>
      </c>
      <c r="DD41">
        <v>1570</v>
      </c>
      <c r="DE41">
        <v>66.176000000000002</v>
      </c>
      <c r="DF41">
        <v>182.71428</v>
      </c>
      <c r="DG41">
        <v>19</v>
      </c>
      <c r="DH41">
        <v>297.28570000000002</v>
      </c>
      <c r="DI41">
        <v>6.7649999999999997</v>
      </c>
      <c r="DJ41">
        <v>731</v>
      </c>
      <c r="DK41">
        <v>93.713999999999999</v>
      </c>
      <c r="DL41">
        <v>3.859</v>
      </c>
      <c r="DM41">
        <v>3</v>
      </c>
      <c r="DN41">
        <v>2345</v>
      </c>
      <c r="DO41">
        <v>7</v>
      </c>
      <c r="DP41">
        <v>203.571</v>
      </c>
      <c r="DQ41">
        <v>10.222</v>
      </c>
      <c r="DR41">
        <v>6.7329999999999997</v>
      </c>
      <c r="DS41">
        <v>3.0710000000000002</v>
      </c>
      <c r="DT41">
        <v>0</v>
      </c>
      <c r="DU41">
        <v>15</v>
      </c>
      <c r="DV41">
        <v>0</v>
      </c>
      <c r="DW41">
        <v>100</v>
      </c>
      <c r="DX41">
        <v>78.570999999999998</v>
      </c>
      <c r="DY41">
        <v>11</v>
      </c>
      <c r="DZ41">
        <v>41</v>
      </c>
      <c r="EA41">
        <v>15.333</v>
      </c>
      <c r="EB41">
        <v>8</v>
      </c>
      <c r="EC41">
        <v>26</v>
      </c>
      <c r="ED41">
        <v>0</v>
      </c>
      <c r="EE41">
        <v>7</v>
      </c>
      <c r="EF41">
        <v>103</v>
      </c>
      <c r="EG41">
        <v>15.856999999999999</v>
      </c>
      <c r="EH41">
        <v>45.454999999999998</v>
      </c>
      <c r="EI41">
        <v>37.930999999999997</v>
      </c>
      <c r="EJ41">
        <v>53.17</v>
      </c>
      <c r="EK41">
        <v>-5</v>
      </c>
    </row>
    <row r="42" spans="1:141" x14ac:dyDescent="0.25">
      <c r="A42">
        <v>30</v>
      </c>
      <c r="B42">
        <v>30</v>
      </c>
      <c r="C42">
        <v>1</v>
      </c>
      <c r="D42">
        <v>2025</v>
      </c>
      <c r="E42">
        <v>3</v>
      </c>
      <c r="F42" t="str">
        <f>VLOOKUP(G42, Map!$A$1:$B$33, 2, FALSE)</f>
        <v>CAR</v>
      </c>
      <c r="G42" t="s">
        <v>142</v>
      </c>
      <c r="H42" t="str">
        <f>VLOOKUP(I42, Map!$A$1:$B$33, 2, FALSE)</f>
        <v>ATL</v>
      </c>
      <c r="I42" t="s">
        <v>167</v>
      </c>
      <c r="J42">
        <v>0</v>
      </c>
      <c r="K42">
        <v>0</v>
      </c>
      <c r="L42">
        <v>0</v>
      </c>
      <c r="M42">
        <v>1</v>
      </c>
      <c r="N42">
        <v>4</v>
      </c>
      <c r="O42">
        <v>4</v>
      </c>
      <c r="P42">
        <v>24</v>
      </c>
      <c r="Q42">
        <v>19.25</v>
      </c>
      <c r="R42">
        <v>-38</v>
      </c>
      <c r="S42">
        <v>-1</v>
      </c>
      <c r="T42">
        <v>0.5</v>
      </c>
      <c r="U42">
        <v>1</v>
      </c>
      <c r="V42">
        <v>0</v>
      </c>
      <c r="W42">
        <v>3</v>
      </c>
      <c r="X42">
        <v>1</v>
      </c>
      <c r="Y42">
        <v>1</v>
      </c>
      <c r="Z42">
        <v>3</v>
      </c>
      <c r="AA42">
        <v>2</v>
      </c>
      <c r="AB42">
        <v>1</v>
      </c>
      <c r="AC42">
        <v>7</v>
      </c>
      <c r="AD42">
        <v>10</v>
      </c>
      <c r="AE42">
        <v>9</v>
      </c>
      <c r="AF42">
        <v>8</v>
      </c>
      <c r="AG42">
        <v>58</v>
      </c>
      <c r="AH42">
        <v>0</v>
      </c>
      <c r="AI42">
        <v>3</v>
      </c>
      <c r="AJ42">
        <v>4</v>
      </c>
      <c r="AK42">
        <v>22</v>
      </c>
      <c r="AL42">
        <v>17.142856999999999</v>
      </c>
      <c r="AM42">
        <v>-34</v>
      </c>
      <c r="AN42">
        <v>-2</v>
      </c>
      <c r="AO42">
        <v>0.42857142999999998</v>
      </c>
      <c r="AP42">
        <v>0</v>
      </c>
      <c r="AQ42">
        <v>2</v>
      </c>
      <c r="AR42">
        <v>2</v>
      </c>
      <c r="AS42">
        <v>2</v>
      </c>
      <c r="AT42">
        <v>1</v>
      </c>
      <c r="AU42">
        <v>2</v>
      </c>
      <c r="AV42">
        <v>2</v>
      </c>
      <c r="AW42">
        <v>3</v>
      </c>
      <c r="AX42">
        <v>7</v>
      </c>
      <c r="AY42">
        <v>10</v>
      </c>
      <c r="AZ42">
        <v>9</v>
      </c>
      <c r="BA42">
        <v>8</v>
      </c>
      <c r="BB42">
        <v>64</v>
      </c>
      <c r="BC42">
        <v>38</v>
      </c>
      <c r="BD42">
        <v>-12.5</v>
      </c>
      <c r="BE42">
        <v>0</v>
      </c>
      <c r="BF42">
        <v>0</v>
      </c>
      <c r="BG42">
        <v>42.43</v>
      </c>
      <c r="BH42">
        <v>32.811999999999998</v>
      </c>
      <c r="BI42">
        <v>57.23</v>
      </c>
      <c r="BJ42">
        <v>96.766999999999996</v>
      </c>
      <c r="BK42">
        <v>49.424999999999997</v>
      </c>
      <c r="BL42">
        <v>95.89</v>
      </c>
      <c r="BM42">
        <v>-2.714</v>
      </c>
      <c r="BN42">
        <v>57.23</v>
      </c>
      <c r="BO42">
        <v>32.811999999999998</v>
      </c>
      <c r="BP42">
        <v>0</v>
      </c>
      <c r="BQ42">
        <v>42.43</v>
      </c>
      <c r="BR42">
        <v>2.714</v>
      </c>
      <c r="BS42">
        <v>50.575000000000003</v>
      </c>
      <c r="BT42">
        <v>3.2330000000000001</v>
      </c>
      <c r="BU42">
        <v>4.1100000000000003</v>
      </c>
      <c r="BV42">
        <v>2241</v>
      </c>
      <c r="BW42">
        <v>62.451999999999998</v>
      </c>
      <c r="BX42">
        <v>179.5</v>
      </c>
      <c r="BY42">
        <v>19</v>
      </c>
      <c r="BZ42">
        <v>334.5</v>
      </c>
      <c r="CA42">
        <v>6.0570000000000004</v>
      </c>
      <c r="CB42">
        <v>1145</v>
      </c>
      <c r="CC42">
        <v>136.875</v>
      </c>
      <c r="CD42">
        <v>4.6399999999999997</v>
      </c>
      <c r="CE42">
        <v>4</v>
      </c>
      <c r="CF42">
        <v>2816</v>
      </c>
      <c r="CG42">
        <v>12</v>
      </c>
      <c r="CH42">
        <v>197.625</v>
      </c>
      <c r="CI42">
        <v>9.6989999999999998</v>
      </c>
      <c r="CJ42">
        <v>6.8460000000000001</v>
      </c>
      <c r="CK42">
        <v>4.75</v>
      </c>
      <c r="CL42">
        <v>1</v>
      </c>
      <c r="CM42">
        <v>13</v>
      </c>
      <c r="CN42">
        <v>0</v>
      </c>
      <c r="CO42">
        <v>86.667000000000002</v>
      </c>
      <c r="CP42">
        <v>86.667000000000002</v>
      </c>
      <c r="CQ42">
        <v>13</v>
      </c>
      <c r="CR42">
        <v>52</v>
      </c>
      <c r="CS42">
        <v>16.411999999999999</v>
      </c>
      <c r="CT42">
        <v>27</v>
      </c>
      <c r="CU42">
        <v>11</v>
      </c>
      <c r="CV42">
        <v>6</v>
      </c>
      <c r="CW42">
        <v>12</v>
      </c>
      <c r="CX42">
        <v>154</v>
      </c>
      <c r="CY42">
        <v>20.75</v>
      </c>
      <c r="CZ42">
        <v>68.421000000000006</v>
      </c>
      <c r="DA42">
        <v>37.255000000000003</v>
      </c>
      <c r="DB42">
        <v>70.83</v>
      </c>
      <c r="DC42">
        <v>-5</v>
      </c>
      <c r="DD42">
        <v>1871</v>
      </c>
      <c r="DE42">
        <v>62.231999999999999</v>
      </c>
      <c r="DF42">
        <v>219.42857000000001</v>
      </c>
      <c r="DG42">
        <v>19</v>
      </c>
      <c r="DH42">
        <v>353.42856</v>
      </c>
      <c r="DI42">
        <v>6.9139999999999997</v>
      </c>
      <c r="DJ42">
        <v>1048</v>
      </c>
      <c r="DK42">
        <v>123.286</v>
      </c>
      <c r="DL42">
        <v>4.4029999999999996</v>
      </c>
      <c r="DM42">
        <v>7</v>
      </c>
      <c r="DN42">
        <v>2511</v>
      </c>
      <c r="DO42">
        <v>5</v>
      </c>
      <c r="DP42">
        <v>230.143</v>
      </c>
      <c r="DQ42">
        <v>11.11</v>
      </c>
      <c r="DR42">
        <v>5.9379999999999997</v>
      </c>
      <c r="DS42">
        <v>5.6429999999999998</v>
      </c>
      <c r="DT42">
        <v>0</v>
      </c>
      <c r="DU42">
        <v>16</v>
      </c>
      <c r="DV42">
        <v>0</v>
      </c>
      <c r="DW42">
        <v>100</v>
      </c>
      <c r="DX42">
        <v>75</v>
      </c>
      <c r="DY42">
        <v>12</v>
      </c>
      <c r="DZ42">
        <v>48</v>
      </c>
      <c r="EA42">
        <v>7.5380000000000003</v>
      </c>
      <c r="EB42">
        <v>9</v>
      </c>
      <c r="EC42">
        <v>22</v>
      </c>
      <c r="ED42">
        <v>0</v>
      </c>
      <c r="EE42">
        <v>5</v>
      </c>
      <c r="EF42">
        <v>120</v>
      </c>
      <c r="EG42">
        <v>19.286000000000001</v>
      </c>
      <c r="EH42">
        <v>40</v>
      </c>
      <c r="EI42">
        <v>39.326000000000001</v>
      </c>
      <c r="EJ42">
        <v>57.86</v>
      </c>
      <c r="EK42">
        <v>2</v>
      </c>
    </row>
    <row r="43" spans="1:141" x14ac:dyDescent="0.25">
      <c r="A43">
        <v>27</v>
      </c>
      <c r="B43">
        <v>7</v>
      </c>
      <c r="C43">
        <v>1</v>
      </c>
      <c r="D43">
        <v>2025</v>
      </c>
      <c r="E43">
        <v>3</v>
      </c>
      <c r="F43" t="str">
        <f>VLOOKUP(G43, Map!$A$1:$B$33, 2, FALSE)</f>
        <v>JAX</v>
      </c>
      <c r="G43" t="s">
        <v>139</v>
      </c>
      <c r="H43" t="str">
        <f>VLOOKUP(I43, Map!$A$1:$B$33, 2, FALSE)</f>
        <v>HOU</v>
      </c>
      <c r="I43" t="s">
        <v>137</v>
      </c>
      <c r="J43">
        <v>0</v>
      </c>
      <c r="K43">
        <v>0</v>
      </c>
      <c r="L43">
        <v>0</v>
      </c>
      <c r="M43">
        <v>1</v>
      </c>
      <c r="N43">
        <v>4</v>
      </c>
      <c r="O43">
        <v>3</v>
      </c>
      <c r="P43">
        <v>22.142856999999999</v>
      </c>
      <c r="Q43">
        <v>20.857143000000001</v>
      </c>
      <c r="R43">
        <v>-9</v>
      </c>
      <c r="S43">
        <v>-2</v>
      </c>
      <c r="T43">
        <v>0.57142859999999995</v>
      </c>
      <c r="U43">
        <v>1</v>
      </c>
      <c r="V43">
        <v>0</v>
      </c>
      <c r="W43">
        <v>3</v>
      </c>
      <c r="X43">
        <v>2</v>
      </c>
      <c r="Y43">
        <v>1</v>
      </c>
      <c r="Z43">
        <v>1</v>
      </c>
      <c r="AA43">
        <v>2</v>
      </c>
      <c r="AB43">
        <v>1</v>
      </c>
      <c r="AC43">
        <v>10</v>
      </c>
      <c r="AD43">
        <v>8</v>
      </c>
      <c r="AE43">
        <v>9</v>
      </c>
      <c r="AF43">
        <v>9</v>
      </c>
      <c r="AG43">
        <v>58</v>
      </c>
      <c r="AH43">
        <v>0</v>
      </c>
      <c r="AI43">
        <v>3</v>
      </c>
      <c r="AJ43">
        <v>4</v>
      </c>
      <c r="AK43">
        <v>14.714286</v>
      </c>
      <c r="AL43">
        <v>21.857143000000001</v>
      </c>
      <c r="AM43">
        <v>50</v>
      </c>
      <c r="AN43">
        <v>1</v>
      </c>
      <c r="AO43">
        <v>0.42857142999999998</v>
      </c>
      <c r="AP43">
        <v>1</v>
      </c>
      <c r="AQ43">
        <v>1</v>
      </c>
      <c r="AR43">
        <v>2</v>
      </c>
      <c r="AS43">
        <v>1</v>
      </c>
      <c r="AT43">
        <v>1</v>
      </c>
      <c r="AU43">
        <v>3</v>
      </c>
      <c r="AV43">
        <v>2</v>
      </c>
      <c r="AW43">
        <v>1</v>
      </c>
      <c r="AX43">
        <v>3</v>
      </c>
      <c r="AY43">
        <v>13</v>
      </c>
      <c r="AZ43">
        <v>8</v>
      </c>
      <c r="BA43">
        <v>8</v>
      </c>
      <c r="BB43">
        <v>69</v>
      </c>
      <c r="BC43">
        <v>33</v>
      </c>
      <c r="BD43">
        <v>0.5</v>
      </c>
      <c r="BE43">
        <v>0</v>
      </c>
      <c r="BF43">
        <v>0</v>
      </c>
      <c r="BG43">
        <v>53.414000000000001</v>
      </c>
      <c r="BH43">
        <v>47.152999999999999</v>
      </c>
      <c r="BI43">
        <v>46.213999999999999</v>
      </c>
      <c r="BJ43">
        <v>87.100999999999999</v>
      </c>
      <c r="BK43">
        <v>25.69</v>
      </c>
      <c r="BL43">
        <v>65.072000000000003</v>
      </c>
      <c r="BM43">
        <v>1.1970000000000001</v>
      </c>
      <c r="BN43">
        <v>46.213999999999999</v>
      </c>
      <c r="BO43">
        <v>47.152999999999999</v>
      </c>
      <c r="BP43">
        <v>0</v>
      </c>
      <c r="BQ43">
        <v>53.414000000000001</v>
      </c>
      <c r="BR43">
        <v>-1.1970000000000001</v>
      </c>
      <c r="BS43">
        <v>74.31</v>
      </c>
      <c r="BT43">
        <v>12.898999999999999</v>
      </c>
      <c r="BU43">
        <v>34.927999999999997</v>
      </c>
      <c r="BV43">
        <v>2100</v>
      </c>
      <c r="BW43">
        <v>58.686999999999998</v>
      </c>
      <c r="BX43">
        <v>215.14285000000001</v>
      </c>
      <c r="BY43">
        <v>21</v>
      </c>
      <c r="BZ43">
        <v>351.14285000000001</v>
      </c>
      <c r="CA43">
        <v>6.2549999999999999</v>
      </c>
      <c r="CB43">
        <v>1033</v>
      </c>
      <c r="CC43">
        <v>119.714</v>
      </c>
      <c r="CD43">
        <v>4.6820000000000004</v>
      </c>
      <c r="CE43">
        <v>6</v>
      </c>
      <c r="CF43">
        <v>2695</v>
      </c>
      <c r="CG43">
        <v>9</v>
      </c>
      <c r="CH43">
        <v>231.429</v>
      </c>
      <c r="CI43">
        <v>10.657999999999999</v>
      </c>
      <c r="CJ43">
        <v>7.375</v>
      </c>
      <c r="CK43">
        <v>3.1880000000000002</v>
      </c>
      <c r="CL43">
        <v>2</v>
      </c>
      <c r="CM43">
        <v>8</v>
      </c>
      <c r="CN43">
        <v>0</v>
      </c>
      <c r="CO43">
        <v>93.332999999999998</v>
      </c>
      <c r="CP43">
        <v>71.429000000000002</v>
      </c>
      <c r="CQ43">
        <v>10</v>
      </c>
      <c r="CR43">
        <v>44</v>
      </c>
      <c r="CS43">
        <v>4.4290000000000003</v>
      </c>
      <c r="CT43">
        <v>30</v>
      </c>
      <c r="CU43">
        <v>10</v>
      </c>
      <c r="CV43">
        <v>12</v>
      </c>
      <c r="CW43">
        <v>9</v>
      </c>
      <c r="CX43">
        <v>146</v>
      </c>
      <c r="CY43">
        <v>19.143000000000001</v>
      </c>
      <c r="CZ43">
        <v>53.332999999999998</v>
      </c>
      <c r="DA43">
        <v>32.978999999999999</v>
      </c>
      <c r="DB43">
        <v>59.74</v>
      </c>
      <c r="DC43">
        <v>8</v>
      </c>
      <c r="DD43">
        <v>2266</v>
      </c>
      <c r="DE43">
        <v>66.525000000000006</v>
      </c>
      <c r="DF43">
        <v>215.28572</v>
      </c>
      <c r="DG43">
        <v>22</v>
      </c>
      <c r="DH43">
        <v>348.57144</v>
      </c>
      <c r="DI43">
        <v>6.9749999999999996</v>
      </c>
      <c r="DJ43">
        <v>869</v>
      </c>
      <c r="DK43">
        <v>113.429</v>
      </c>
      <c r="DL43">
        <v>4.2690000000000001</v>
      </c>
      <c r="DM43">
        <v>3</v>
      </c>
      <c r="DN43">
        <v>2816</v>
      </c>
      <c r="DO43">
        <v>11</v>
      </c>
      <c r="DP43">
        <v>235.143</v>
      </c>
      <c r="DQ43">
        <v>10.484</v>
      </c>
      <c r="DR43">
        <v>7.875</v>
      </c>
      <c r="DS43">
        <v>6.1109999999999998</v>
      </c>
      <c r="DT43">
        <v>1</v>
      </c>
      <c r="DU43">
        <v>16</v>
      </c>
      <c r="DV43">
        <v>0</v>
      </c>
      <c r="DW43">
        <v>100</v>
      </c>
      <c r="DX43">
        <v>89.474000000000004</v>
      </c>
      <c r="DY43">
        <v>17</v>
      </c>
      <c r="DZ43">
        <v>63</v>
      </c>
      <c r="EA43">
        <v>11.545</v>
      </c>
      <c r="EB43">
        <v>9</v>
      </c>
      <c r="EC43">
        <v>27</v>
      </c>
      <c r="ED43">
        <v>6</v>
      </c>
      <c r="EE43">
        <v>11</v>
      </c>
      <c r="EF43">
        <v>153</v>
      </c>
      <c r="EG43">
        <v>18.713999999999999</v>
      </c>
      <c r="EH43">
        <v>66.667000000000002</v>
      </c>
      <c r="EI43">
        <v>35.164999999999999</v>
      </c>
      <c r="EJ43">
        <v>60.15</v>
      </c>
      <c r="EK43">
        <v>4</v>
      </c>
    </row>
    <row r="44" spans="1:141" x14ac:dyDescent="0.25">
      <c r="A44">
        <v>43</v>
      </c>
      <c r="B44">
        <v>3</v>
      </c>
      <c r="C44">
        <v>1</v>
      </c>
      <c r="D44">
        <v>2025</v>
      </c>
      <c r="E44">
        <v>3</v>
      </c>
      <c r="F44" t="str">
        <f>VLOOKUP(G44, Map!$A$1:$B$33, 2, FALSE)</f>
        <v>LAC</v>
      </c>
      <c r="G44" t="s">
        <v>160</v>
      </c>
      <c r="H44" t="str">
        <f>VLOOKUP(I44, Map!$A$1:$B$33, 2, FALSE)</f>
        <v>DEN</v>
      </c>
      <c r="I44" t="s">
        <v>159</v>
      </c>
      <c r="J44">
        <v>0</v>
      </c>
      <c r="K44">
        <v>0</v>
      </c>
      <c r="L44">
        <v>0</v>
      </c>
      <c r="M44">
        <v>1</v>
      </c>
      <c r="N44">
        <v>5</v>
      </c>
      <c r="O44">
        <v>3</v>
      </c>
      <c r="P44">
        <v>21.625</v>
      </c>
      <c r="Q44">
        <v>23.5</v>
      </c>
      <c r="R44">
        <v>15</v>
      </c>
      <c r="S44">
        <v>1</v>
      </c>
      <c r="T44">
        <v>0.625</v>
      </c>
      <c r="U44">
        <v>3</v>
      </c>
      <c r="V44">
        <v>0</v>
      </c>
      <c r="W44">
        <v>3</v>
      </c>
      <c r="X44">
        <v>2</v>
      </c>
      <c r="Y44">
        <v>2</v>
      </c>
      <c r="Z44">
        <v>1</v>
      </c>
      <c r="AA44">
        <v>4</v>
      </c>
      <c r="AB44">
        <v>1</v>
      </c>
      <c r="AC44">
        <v>10</v>
      </c>
      <c r="AD44">
        <v>7</v>
      </c>
      <c r="AE44">
        <v>11</v>
      </c>
      <c r="AF44">
        <v>5</v>
      </c>
      <c r="AG44">
        <v>65</v>
      </c>
      <c r="AH44">
        <v>0</v>
      </c>
      <c r="AI44">
        <v>6</v>
      </c>
      <c r="AJ44">
        <v>2</v>
      </c>
      <c r="AK44">
        <v>18.875</v>
      </c>
      <c r="AL44">
        <v>25.875</v>
      </c>
      <c r="AM44">
        <v>56</v>
      </c>
      <c r="AN44">
        <v>5</v>
      </c>
      <c r="AO44">
        <v>0.75</v>
      </c>
      <c r="AP44">
        <v>0</v>
      </c>
      <c r="AQ44">
        <v>1</v>
      </c>
      <c r="AR44">
        <v>4</v>
      </c>
      <c r="AS44">
        <v>0</v>
      </c>
      <c r="AT44">
        <v>2</v>
      </c>
      <c r="AU44">
        <v>2</v>
      </c>
      <c r="AV44">
        <v>3</v>
      </c>
      <c r="AW44">
        <v>2</v>
      </c>
      <c r="AX44">
        <v>4</v>
      </c>
      <c r="AY44">
        <v>12</v>
      </c>
      <c r="AZ44">
        <v>7</v>
      </c>
      <c r="BA44">
        <v>9</v>
      </c>
      <c r="BB44">
        <v>63</v>
      </c>
      <c r="BC44">
        <v>43</v>
      </c>
      <c r="BD44">
        <v>0.5</v>
      </c>
      <c r="BE44">
        <v>0</v>
      </c>
      <c r="BF44">
        <v>0</v>
      </c>
      <c r="BG44">
        <v>56.56</v>
      </c>
      <c r="BH44">
        <v>73.096999999999994</v>
      </c>
      <c r="BI44">
        <v>43.094000000000001</v>
      </c>
      <c r="BJ44">
        <v>59.18</v>
      </c>
      <c r="BK44">
        <v>55.156999999999996</v>
      </c>
      <c r="BL44">
        <v>55.661000000000001</v>
      </c>
      <c r="BM44">
        <v>2.4020000000000001</v>
      </c>
      <c r="BN44">
        <v>43.094000000000001</v>
      </c>
      <c r="BO44">
        <v>73.096999999999994</v>
      </c>
      <c r="BP44">
        <v>0</v>
      </c>
      <c r="BQ44">
        <v>56.56</v>
      </c>
      <c r="BR44">
        <v>-2.4020000000000001</v>
      </c>
      <c r="BS44">
        <v>44.843000000000004</v>
      </c>
      <c r="BT44">
        <v>40.82</v>
      </c>
      <c r="BU44">
        <v>44.338999999999999</v>
      </c>
      <c r="BV44">
        <v>3094</v>
      </c>
      <c r="BW44">
        <v>68</v>
      </c>
      <c r="BX44">
        <v>255.375</v>
      </c>
      <c r="BY44">
        <v>26</v>
      </c>
      <c r="BZ44">
        <v>396.125</v>
      </c>
      <c r="CA44">
        <v>7.28</v>
      </c>
      <c r="CB44">
        <v>1030</v>
      </c>
      <c r="CC44">
        <v>123.125</v>
      </c>
      <c r="CD44">
        <v>4.8520000000000003</v>
      </c>
      <c r="CE44">
        <v>3</v>
      </c>
      <c r="CF44">
        <v>3764</v>
      </c>
      <c r="CG44">
        <v>16</v>
      </c>
      <c r="CH44">
        <v>273</v>
      </c>
      <c r="CI44">
        <v>10.706</v>
      </c>
      <c r="CJ44">
        <v>5.5910000000000002</v>
      </c>
      <c r="CK44">
        <v>5.05</v>
      </c>
      <c r="CL44">
        <v>0</v>
      </c>
      <c r="CM44">
        <v>22</v>
      </c>
      <c r="CN44">
        <v>0</v>
      </c>
      <c r="CO44">
        <v>100</v>
      </c>
      <c r="CP44">
        <v>94.736999999999995</v>
      </c>
      <c r="CQ44">
        <v>18</v>
      </c>
      <c r="CR44">
        <v>72</v>
      </c>
      <c r="CS44">
        <v>12.5</v>
      </c>
      <c r="CT44">
        <v>20</v>
      </c>
      <c r="CU44">
        <v>8</v>
      </c>
      <c r="CV44">
        <v>0</v>
      </c>
      <c r="CW44">
        <v>16</v>
      </c>
      <c r="CX44">
        <v>188</v>
      </c>
      <c r="CY44">
        <v>21.875</v>
      </c>
      <c r="CZ44">
        <v>70</v>
      </c>
      <c r="DA44">
        <v>48.673000000000002</v>
      </c>
      <c r="DB44">
        <v>61.73</v>
      </c>
      <c r="DC44">
        <v>-3</v>
      </c>
      <c r="DD44">
        <v>2703</v>
      </c>
      <c r="DE44">
        <v>62.807000000000002</v>
      </c>
      <c r="DF44">
        <v>219.125</v>
      </c>
      <c r="DG44">
        <v>22</v>
      </c>
      <c r="DH44">
        <v>363.125</v>
      </c>
      <c r="DI44">
        <v>6.3259999999999996</v>
      </c>
      <c r="DJ44">
        <v>1407</v>
      </c>
      <c r="DK44">
        <v>137.75</v>
      </c>
      <c r="DL44">
        <v>5.0090000000000003</v>
      </c>
      <c r="DM44">
        <v>10</v>
      </c>
      <c r="DN44">
        <v>3223</v>
      </c>
      <c r="DO44">
        <v>15</v>
      </c>
      <c r="DP44">
        <v>225.375</v>
      </c>
      <c r="DQ44">
        <v>10.073</v>
      </c>
      <c r="DR44">
        <v>6.0279999999999996</v>
      </c>
      <c r="DS44">
        <v>90.5</v>
      </c>
      <c r="DT44">
        <v>0</v>
      </c>
      <c r="DU44">
        <v>36</v>
      </c>
      <c r="DV44">
        <v>0</v>
      </c>
      <c r="DW44">
        <v>100</v>
      </c>
      <c r="DX44">
        <v>90.909000000000006</v>
      </c>
      <c r="DY44">
        <v>10</v>
      </c>
      <c r="DZ44">
        <v>51</v>
      </c>
      <c r="EA44">
        <v>10.467000000000001</v>
      </c>
      <c r="EB44">
        <v>18</v>
      </c>
      <c r="EC44">
        <v>38</v>
      </c>
      <c r="ED44">
        <v>0</v>
      </c>
      <c r="EE44">
        <v>15</v>
      </c>
      <c r="EF44">
        <v>207</v>
      </c>
      <c r="EG44">
        <v>20.75</v>
      </c>
      <c r="EH44">
        <v>50</v>
      </c>
      <c r="EI44">
        <v>37.863999999999997</v>
      </c>
      <c r="EJ44">
        <v>73.02</v>
      </c>
      <c r="EK44">
        <v>-1</v>
      </c>
    </row>
    <row r="45" spans="1:141" x14ac:dyDescent="0.25">
      <c r="A45">
        <v>57</v>
      </c>
      <c r="B45">
        <v>31</v>
      </c>
      <c r="C45">
        <v>1</v>
      </c>
      <c r="D45">
        <v>2025</v>
      </c>
      <c r="E45">
        <v>3</v>
      </c>
      <c r="F45" t="str">
        <f>VLOOKUP(G45, Map!$A$1:$B$33, 2, FALSE)</f>
        <v>SEA</v>
      </c>
      <c r="G45" t="s">
        <v>144</v>
      </c>
      <c r="H45" t="str">
        <f>VLOOKUP(I45, Map!$A$1:$B$33, 2, FALSE)</f>
        <v>NO</v>
      </c>
      <c r="I45" t="s">
        <v>168</v>
      </c>
      <c r="J45">
        <v>0</v>
      </c>
      <c r="K45">
        <v>0</v>
      </c>
      <c r="L45">
        <v>0</v>
      </c>
      <c r="M45">
        <v>1</v>
      </c>
      <c r="N45">
        <v>5</v>
      </c>
      <c r="O45">
        <v>2</v>
      </c>
      <c r="P45">
        <v>19.428571999999999</v>
      </c>
      <c r="Q45">
        <v>27.571428000000001</v>
      </c>
      <c r="R45">
        <v>57</v>
      </c>
      <c r="S45">
        <v>2</v>
      </c>
      <c r="T45">
        <v>0.71428572999999995</v>
      </c>
      <c r="U45">
        <v>1</v>
      </c>
      <c r="V45">
        <v>1</v>
      </c>
      <c r="W45">
        <v>2</v>
      </c>
      <c r="X45">
        <v>2</v>
      </c>
      <c r="Y45">
        <v>3</v>
      </c>
      <c r="Z45">
        <v>0</v>
      </c>
      <c r="AA45">
        <v>2</v>
      </c>
      <c r="AB45">
        <v>2</v>
      </c>
      <c r="AC45">
        <v>9</v>
      </c>
      <c r="AD45">
        <v>8</v>
      </c>
      <c r="AE45">
        <v>7</v>
      </c>
      <c r="AF45">
        <v>10</v>
      </c>
      <c r="AG45">
        <v>61</v>
      </c>
      <c r="AH45">
        <v>0</v>
      </c>
      <c r="AI45">
        <v>1</v>
      </c>
      <c r="AJ45">
        <v>7</v>
      </c>
      <c r="AK45">
        <v>26.125</v>
      </c>
      <c r="AL45">
        <v>16</v>
      </c>
      <c r="AM45">
        <v>-81</v>
      </c>
      <c r="AN45">
        <v>-3</v>
      </c>
      <c r="AO45">
        <v>0.125</v>
      </c>
      <c r="AP45">
        <v>0</v>
      </c>
      <c r="AQ45">
        <v>1</v>
      </c>
      <c r="AR45">
        <v>1</v>
      </c>
      <c r="AS45">
        <v>4</v>
      </c>
      <c r="AT45">
        <v>0</v>
      </c>
      <c r="AU45">
        <v>3</v>
      </c>
      <c r="AV45">
        <v>1</v>
      </c>
      <c r="AW45">
        <v>5</v>
      </c>
      <c r="AX45">
        <v>7</v>
      </c>
      <c r="AY45">
        <v>10</v>
      </c>
      <c r="AZ45">
        <v>7</v>
      </c>
      <c r="BA45">
        <v>10</v>
      </c>
      <c r="BB45">
        <v>64</v>
      </c>
      <c r="BC45">
        <v>49.5</v>
      </c>
      <c r="BD45">
        <v>-18.5</v>
      </c>
      <c r="BE45">
        <v>0</v>
      </c>
      <c r="BF45">
        <v>0</v>
      </c>
      <c r="BG45">
        <v>63.588000000000001</v>
      </c>
      <c r="BH45">
        <v>32.366</v>
      </c>
      <c r="BI45">
        <v>36.122</v>
      </c>
      <c r="BJ45">
        <v>85.094999999999999</v>
      </c>
      <c r="BK45">
        <v>87.385999999999996</v>
      </c>
      <c r="BL45">
        <v>99.28</v>
      </c>
      <c r="BM45">
        <v>5.7220000000000004</v>
      </c>
      <c r="BN45">
        <v>36.122</v>
      </c>
      <c r="BO45">
        <v>32.366</v>
      </c>
      <c r="BP45">
        <v>0</v>
      </c>
      <c r="BQ45">
        <v>63.588000000000001</v>
      </c>
      <c r="BR45">
        <v>-5.7220000000000004</v>
      </c>
      <c r="BS45">
        <v>12.614000000000001</v>
      </c>
      <c r="BT45">
        <v>14.904999999999999</v>
      </c>
      <c r="BU45">
        <v>0.72</v>
      </c>
      <c r="BV45">
        <v>2459</v>
      </c>
      <c r="BW45">
        <v>67.856999999999999</v>
      </c>
      <c r="BX45">
        <v>244.42857000000001</v>
      </c>
      <c r="BY45">
        <v>27</v>
      </c>
      <c r="BZ45">
        <v>358.85714999999999</v>
      </c>
      <c r="CA45">
        <v>9.0259999999999998</v>
      </c>
      <c r="CB45">
        <v>918</v>
      </c>
      <c r="CC45">
        <v>106.143</v>
      </c>
      <c r="CD45">
        <v>3.6779999999999999</v>
      </c>
      <c r="CE45">
        <v>8</v>
      </c>
      <c r="CF45">
        <v>2854</v>
      </c>
      <c r="CG45">
        <v>12</v>
      </c>
      <c r="CH45">
        <v>252.714</v>
      </c>
      <c r="CI45">
        <v>13.301</v>
      </c>
      <c r="CJ45">
        <v>7.1740000000000004</v>
      </c>
      <c r="CK45">
        <v>7.8890000000000002</v>
      </c>
      <c r="CL45">
        <v>2</v>
      </c>
      <c r="CM45">
        <v>23</v>
      </c>
      <c r="CN45">
        <v>0</v>
      </c>
      <c r="CO45">
        <v>100</v>
      </c>
      <c r="CP45">
        <v>76.471000000000004</v>
      </c>
      <c r="CQ45">
        <v>13</v>
      </c>
      <c r="CR45">
        <v>61</v>
      </c>
      <c r="CS45">
        <v>11</v>
      </c>
      <c r="CT45">
        <v>26</v>
      </c>
      <c r="CU45">
        <v>10</v>
      </c>
      <c r="CV45">
        <v>6</v>
      </c>
      <c r="CW45">
        <v>12</v>
      </c>
      <c r="CX45">
        <v>193</v>
      </c>
      <c r="CY45">
        <v>19.428999999999998</v>
      </c>
      <c r="CZ45">
        <v>66.667000000000002</v>
      </c>
      <c r="DA45">
        <v>33.332999999999998</v>
      </c>
      <c r="DB45">
        <v>76.569999999999993</v>
      </c>
      <c r="DC45">
        <v>-4</v>
      </c>
      <c r="DD45">
        <v>2083</v>
      </c>
      <c r="DE45">
        <v>66.206999999999994</v>
      </c>
      <c r="DF45">
        <v>201.375</v>
      </c>
      <c r="DG45">
        <v>13</v>
      </c>
      <c r="DH45">
        <v>310.25</v>
      </c>
      <c r="DI45">
        <v>5.976</v>
      </c>
      <c r="DJ45">
        <v>779</v>
      </c>
      <c r="DK45">
        <v>93.625</v>
      </c>
      <c r="DL45">
        <v>3.7829999999999999</v>
      </c>
      <c r="DM45">
        <v>3</v>
      </c>
      <c r="DN45">
        <v>2973</v>
      </c>
      <c r="DO45">
        <v>8</v>
      </c>
      <c r="DP45">
        <v>216.625</v>
      </c>
      <c r="DQ45">
        <v>9.0259999999999998</v>
      </c>
      <c r="DR45">
        <v>6.0590000000000002</v>
      </c>
      <c r="DS45">
        <v>4.7779999999999996</v>
      </c>
      <c r="DT45">
        <v>1</v>
      </c>
      <c r="DU45">
        <v>17</v>
      </c>
      <c r="DV45">
        <v>0</v>
      </c>
      <c r="DW45">
        <v>100</v>
      </c>
      <c r="DX45">
        <v>71.429000000000002</v>
      </c>
      <c r="DY45">
        <v>15</v>
      </c>
      <c r="DZ45">
        <v>56</v>
      </c>
      <c r="EA45">
        <v>15.25</v>
      </c>
      <c r="EB45">
        <v>7</v>
      </c>
      <c r="EC45">
        <v>27</v>
      </c>
      <c r="ED45">
        <v>6</v>
      </c>
      <c r="EE45">
        <v>8</v>
      </c>
      <c r="EF45">
        <v>128</v>
      </c>
      <c r="EG45">
        <v>19.125</v>
      </c>
      <c r="EH45">
        <v>33.332999999999998</v>
      </c>
      <c r="EI45">
        <v>38.835000000000001</v>
      </c>
      <c r="EJ45">
        <v>61.22</v>
      </c>
      <c r="EK45">
        <v>-2</v>
      </c>
    </row>
    <row r="46" spans="1:141" x14ac:dyDescent="0.25">
      <c r="A46">
        <v>45</v>
      </c>
      <c r="B46">
        <v>17</v>
      </c>
      <c r="C46">
        <v>1</v>
      </c>
      <c r="D46">
        <v>2025</v>
      </c>
      <c r="E46">
        <v>3</v>
      </c>
      <c r="F46" t="str">
        <f>VLOOKUP(G46, Map!$A$1:$B$33, 2, FALSE)</f>
        <v>CHI</v>
      </c>
      <c r="G46" t="s">
        <v>163</v>
      </c>
      <c r="H46" t="str">
        <f>VLOOKUP(I46, Map!$A$1:$B$33, 2, FALSE)</f>
        <v>DAL</v>
      </c>
      <c r="I46" t="s">
        <v>150</v>
      </c>
      <c r="J46">
        <v>0</v>
      </c>
      <c r="K46">
        <v>0</v>
      </c>
      <c r="L46">
        <v>0</v>
      </c>
      <c r="M46">
        <v>1</v>
      </c>
      <c r="N46">
        <v>4</v>
      </c>
      <c r="O46">
        <v>3</v>
      </c>
      <c r="P46">
        <v>26.428571999999999</v>
      </c>
      <c r="Q46">
        <v>24</v>
      </c>
      <c r="R46">
        <v>-17</v>
      </c>
      <c r="S46">
        <v>-1</v>
      </c>
      <c r="T46">
        <v>0.57142859999999995</v>
      </c>
      <c r="U46">
        <v>0</v>
      </c>
      <c r="V46">
        <v>2</v>
      </c>
      <c r="W46">
        <v>2</v>
      </c>
      <c r="X46">
        <v>1</v>
      </c>
      <c r="Y46">
        <v>2</v>
      </c>
      <c r="Z46">
        <v>2</v>
      </c>
      <c r="AA46">
        <v>3</v>
      </c>
      <c r="AB46">
        <v>2</v>
      </c>
      <c r="AC46">
        <v>3</v>
      </c>
      <c r="AD46">
        <v>14</v>
      </c>
      <c r="AE46">
        <v>5</v>
      </c>
      <c r="AF46">
        <v>11</v>
      </c>
      <c r="AG46">
        <v>61</v>
      </c>
      <c r="AH46">
        <v>0</v>
      </c>
      <c r="AI46">
        <v>3</v>
      </c>
      <c r="AJ46">
        <v>4</v>
      </c>
      <c r="AK46">
        <v>31.25</v>
      </c>
      <c r="AL46">
        <v>30.75</v>
      </c>
      <c r="AM46">
        <v>-4</v>
      </c>
      <c r="AN46">
        <v>-1</v>
      </c>
      <c r="AO46">
        <v>0.4375</v>
      </c>
      <c r="AP46">
        <v>2</v>
      </c>
      <c r="AQ46">
        <v>1</v>
      </c>
      <c r="AR46">
        <v>2</v>
      </c>
      <c r="AS46">
        <v>0</v>
      </c>
      <c r="AT46">
        <v>1</v>
      </c>
      <c r="AU46">
        <v>4</v>
      </c>
      <c r="AV46">
        <v>2</v>
      </c>
      <c r="AW46">
        <v>3</v>
      </c>
      <c r="AX46">
        <v>13</v>
      </c>
      <c r="AY46">
        <v>5</v>
      </c>
      <c r="AZ46">
        <v>11</v>
      </c>
      <c r="BA46">
        <v>7</v>
      </c>
      <c r="BB46">
        <v>68</v>
      </c>
      <c r="BC46">
        <v>51</v>
      </c>
      <c r="BD46">
        <v>-7.5</v>
      </c>
      <c r="BE46">
        <v>0</v>
      </c>
      <c r="BF46">
        <v>0</v>
      </c>
      <c r="BG46">
        <v>43.691000000000003</v>
      </c>
      <c r="BH46">
        <v>45.094000000000001</v>
      </c>
      <c r="BI46">
        <v>55.957999999999998</v>
      </c>
      <c r="BJ46">
        <v>63.429000000000002</v>
      </c>
      <c r="BK46">
        <v>94.736000000000004</v>
      </c>
      <c r="BL46">
        <v>88.415999999999997</v>
      </c>
      <c r="BM46">
        <v>-1.647</v>
      </c>
      <c r="BN46">
        <v>55.957999999999998</v>
      </c>
      <c r="BO46">
        <v>45.094000000000001</v>
      </c>
      <c r="BP46">
        <v>0</v>
      </c>
      <c r="BQ46">
        <v>43.691000000000003</v>
      </c>
      <c r="BR46">
        <v>1.647</v>
      </c>
      <c r="BS46">
        <v>5.2640000000000002</v>
      </c>
      <c r="BT46">
        <v>36.570999999999998</v>
      </c>
      <c r="BU46">
        <v>11.584</v>
      </c>
      <c r="BV46">
        <v>2157</v>
      </c>
      <c r="BW46">
        <v>61.947000000000003</v>
      </c>
      <c r="BX46">
        <v>225.57142999999999</v>
      </c>
      <c r="BY46">
        <v>26</v>
      </c>
      <c r="BZ46">
        <v>362.14285000000001</v>
      </c>
      <c r="CA46">
        <v>7.2880000000000003</v>
      </c>
      <c r="CB46">
        <v>1087</v>
      </c>
      <c r="CC46">
        <v>124.571</v>
      </c>
      <c r="CD46">
        <v>4.4039999999999999</v>
      </c>
      <c r="CE46">
        <v>7</v>
      </c>
      <c r="CF46">
        <v>2678</v>
      </c>
      <c r="CG46">
        <v>9</v>
      </c>
      <c r="CH46">
        <v>237.571</v>
      </c>
      <c r="CI46">
        <v>11.763999999999999</v>
      </c>
      <c r="CJ46">
        <v>4.5709999999999997</v>
      </c>
      <c r="CK46">
        <v>2.9409999999999998</v>
      </c>
      <c r="CL46">
        <v>1</v>
      </c>
      <c r="CM46">
        <v>14</v>
      </c>
      <c r="CN46">
        <v>0</v>
      </c>
      <c r="CO46">
        <v>100</v>
      </c>
      <c r="CP46">
        <v>85</v>
      </c>
      <c r="CQ46">
        <v>17</v>
      </c>
      <c r="CR46">
        <v>66</v>
      </c>
      <c r="CS46">
        <v>11.909000000000001</v>
      </c>
      <c r="CT46">
        <v>24</v>
      </c>
      <c r="CU46">
        <v>7</v>
      </c>
      <c r="CV46">
        <v>6</v>
      </c>
      <c r="CW46">
        <v>9</v>
      </c>
      <c r="CX46">
        <v>168</v>
      </c>
      <c r="CY46">
        <v>19.286000000000001</v>
      </c>
      <c r="CZ46">
        <v>37.5</v>
      </c>
      <c r="DA46">
        <v>41.110999999999997</v>
      </c>
      <c r="DB46">
        <v>57.14</v>
      </c>
      <c r="DC46">
        <v>10</v>
      </c>
      <c r="DD46">
        <v>3160</v>
      </c>
      <c r="DE46">
        <v>70.233999999999995</v>
      </c>
      <c r="DF46">
        <v>263.75</v>
      </c>
      <c r="DG46">
        <v>25</v>
      </c>
      <c r="DH46">
        <v>391.375</v>
      </c>
      <c r="DI46">
        <v>7.1909999999999998</v>
      </c>
      <c r="DJ46">
        <v>1283</v>
      </c>
      <c r="DK46">
        <v>120.375</v>
      </c>
      <c r="DL46">
        <v>4.6749999999999998</v>
      </c>
      <c r="DM46">
        <v>10</v>
      </c>
      <c r="DN46">
        <v>3813</v>
      </c>
      <c r="DO46">
        <v>17</v>
      </c>
      <c r="DP46">
        <v>271</v>
      </c>
      <c r="DQ46">
        <v>10.238</v>
      </c>
      <c r="DR46">
        <v>7.7329999999999997</v>
      </c>
      <c r="DS46">
        <v>4.8099999999999996</v>
      </c>
      <c r="DT46">
        <v>1</v>
      </c>
      <c r="DU46">
        <v>15</v>
      </c>
      <c r="DV46">
        <v>0</v>
      </c>
      <c r="DW46">
        <v>96.296000000000006</v>
      </c>
      <c r="DX46">
        <v>100</v>
      </c>
      <c r="DY46">
        <v>16</v>
      </c>
      <c r="DZ46">
        <v>74</v>
      </c>
      <c r="EA46">
        <v>10</v>
      </c>
      <c r="EB46">
        <v>11</v>
      </c>
      <c r="EC46">
        <v>28</v>
      </c>
      <c r="ED46">
        <v>6</v>
      </c>
      <c r="EE46">
        <v>17</v>
      </c>
      <c r="EF46">
        <v>246</v>
      </c>
      <c r="EG46">
        <v>23.125</v>
      </c>
      <c r="EH46">
        <v>77.778000000000006</v>
      </c>
      <c r="EI46">
        <v>43.158000000000001</v>
      </c>
      <c r="EJ46">
        <v>74.19</v>
      </c>
      <c r="EK46">
        <v>-1</v>
      </c>
    </row>
    <row r="47" spans="1:141" x14ac:dyDescent="0.25">
      <c r="A47">
        <v>31</v>
      </c>
      <c r="B47">
        <v>1</v>
      </c>
      <c r="C47">
        <v>1</v>
      </c>
      <c r="D47">
        <v>2025</v>
      </c>
      <c r="E47">
        <v>3</v>
      </c>
      <c r="F47" t="str">
        <f>VLOOKUP(G47, Map!$A$1:$B$33, 2, FALSE)</f>
        <v>SF</v>
      </c>
      <c r="G47" t="s">
        <v>143</v>
      </c>
      <c r="H47" t="str">
        <f>VLOOKUP(I47, Map!$A$1:$B$33, 2, FALSE)</f>
        <v>ARI</v>
      </c>
      <c r="I47" t="s">
        <v>156</v>
      </c>
      <c r="J47">
        <v>0</v>
      </c>
      <c r="K47">
        <v>0</v>
      </c>
      <c r="L47">
        <v>0</v>
      </c>
      <c r="M47">
        <v>1</v>
      </c>
      <c r="N47">
        <v>5</v>
      </c>
      <c r="O47">
        <v>3</v>
      </c>
      <c r="P47">
        <v>20.5</v>
      </c>
      <c r="Q47">
        <v>20</v>
      </c>
      <c r="R47">
        <v>-4</v>
      </c>
      <c r="S47">
        <v>-1</v>
      </c>
      <c r="T47">
        <v>0.625</v>
      </c>
      <c r="U47">
        <v>3</v>
      </c>
      <c r="V47">
        <v>0</v>
      </c>
      <c r="W47">
        <v>2</v>
      </c>
      <c r="X47">
        <v>1</v>
      </c>
      <c r="Y47">
        <v>3</v>
      </c>
      <c r="Z47">
        <v>2</v>
      </c>
      <c r="AA47">
        <v>5</v>
      </c>
      <c r="AB47">
        <v>1</v>
      </c>
      <c r="AC47">
        <v>15</v>
      </c>
      <c r="AD47">
        <v>5</v>
      </c>
      <c r="AE47">
        <v>13</v>
      </c>
      <c r="AF47">
        <v>7</v>
      </c>
      <c r="AG47">
        <v>68</v>
      </c>
      <c r="AH47">
        <v>0</v>
      </c>
      <c r="AI47">
        <v>2</v>
      </c>
      <c r="AJ47">
        <v>5</v>
      </c>
      <c r="AK47">
        <v>22</v>
      </c>
      <c r="AL47">
        <v>21.857143000000001</v>
      </c>
      <c r="AM47">
        <v>-1</v>
      </c>
      <c r="AN47">
        <v>-5</v>
      </c>
      <c r="AO47">
        <v>0.28571429999999998</v>
      </c>
      <c r="AP47">
        <v>0</v>
      </c>
      <c r="AQ47">
        <v>2</v>
      </c>
      <c r="AR47">
        <v>1</v>
      </c>
      <c r="AS47">
        <v>3</v>
      </c>
      <c r="AT47">
        <v>1</v>
      </c>
      <c r="AU47">
        <v>2</v>
      </c>
      <c r="AV47">
        <v>2</v>
      </c>
      <c r="AW47">
        <v>3</v>
      </c>
      <c r="AX47">
        <v>4</v>
      </c>
      <c r="AY47">
        <v>12</v>
      </c>
      <c r="AZ47">
        <v>8</v>
      </c>
      <c r="BA47">
        <v>8</v>
      </c>
      <c r="BB47">
        <v>69</v>
      </c>
      <c r="BC47">
        <v>38.5</v>
      </c>
      <c r="BD47">
        <v>0.5</v>
      </c>
      <c r="BE47">
        <v>0</v>
      </c>
      <c r="BF47">
        <v>0</v>
      </c>
      <c r="BG47">
        <v>47.143999999999998</v>
      </c>
      <c r="BH47">
        <v>59.911000000000001</v>
      </c>
      <c r="BI47">
        <v>52.476999999999997</v>
      </c>
      <c r="BJ47">
        <v>59.874000000000002</v>
      </c>
      <c r="BK47">
        <v>26.327000000000002</v>
      </c>
      <c r="BL47">
        <v>51.787999999999997</v>
      </c>
      <c r="BM47">
        <v>-0.92600000000000005</v>
      </c>
      <c r="BN47">
        <v>52.476999999999997</v>
      </c>
      <c r="BO47">
        <v>59.911000000000001</v>
      </c>
      <c r="BP47">
        <v>0</v>
      </c>
      <c r="BQ47">
        <v>47.143999999999998</v>
      </c>
      <c r="BR47">
        <v>0.92600000000000005</v>
      </c>
      <c r="BS47">
        <v>73.673000000000002</v>
      </c>
      <c r="BT47">
        <v>40.125999999999998</v>
      </c>
      <c r="BU47">
        <v>48.212000000000003</v>
      </c>
      <c r="BV47">
        <v>2753</v>
      </c>
      <c r="BW47">
        <v>65.885999999999996</v>
      </c>
      <c r="BX47">
        <v>259.25</v>
      </c>
      <c r="BY47">
        <v>23</v>
      </c>
      <c r="BZ47">
        <v>362.25</v>
      </c>
      <c r="CA47">
        <v>7.3010000000000002</v>
      </c>
      <c r="CB47">
        <v>775</v>
      </c>
      <c r="CC47">
        <v>89.375</v>
      </c>
      <c r="CD47">
        <v>3.4049999999999998</v>
      </c>
      <c r="CE47">
        <v>3</v>
      </c>
      <c r="CF47">
        <v>3588</v>
      </c>
      <c r="CG47">
        <v>12</v>
      </c>
      <c r="CH47">
        <v>272.875</v>
      </c>
      <c r="CI47">
        <v>11.081</v>
      </c>
      <c r="CJ47">
        <v>6.6669999999999998</v>
      </c>
      <c r="CK47">
        <v>1.889</v>
      </c>
      <c r="CL47">
        <v>0</v>
      </c>
      <c r="CM47">
        <v>9</v>
      </c>
      <c r="CN47">
        <v>0</v>
      </c>
      <c r="CO47">
        <v>92.308000000000007</v>
      </c>
      <c r="CP47">
        <v>90</v>
      </c>
      <c r="CQ47">
        <v>18</v>
      </c>
      <c r="CR47">
        <v>66</v>
      </c>
      <c r="CS47">
        <v>14.308</v>
      </c>
      <c r="CT47">
        <v>25</v>
      </c>
      <c r="CU47">
        <v>12</v>
      </c>
      <c r="CV47">
        <v>0</v>
      </c>
      <c r="CW47">
        <v>12</v>
      </c>
      <c r="CX47">
        <v>160</v>
      </c>
      <c r="CY47">
        <v>20.875</v>
      </c>
      <c r="CZ47">
        <v>54.545000000000002</v>
      </c>
      <c r="DA47">
        <v>46.363999999999997</v>
      </c>
      <c r="DB47">
        <v>65.709999999999994</v>
      </c>
      <c r="DC47">
        <v>-5</v>
      </c>
      <c r="DD47">
        <v>2113</v>
      </c>
      <c r="DE47">
        <v>66.941999999999993</v>
      </c>
      <c r="DF47">
        <v>199.85714999999999</v>
      </c>
      <c r="DG47">
        <v>18</v>
      </c>
      <c r="DH47">
        <v>333.42856</v>
      </c>
      <c r="DI47">
        <v>6.335</v>
      </c>
      <c r="DJ47">
        <v>888</v>
      </c>
      <c r="DK47">
        <v>110.429</v>
      </c>
      <c r="DL47">
        <v>4.4169999999999998</v>
      </c>
      <c r="DM47">
        <v>5</v>
      </c>
      <c r="DN47">
        <v>2721</v>
      </c>
      <c r="DO47">
        <v>10</v>
      </c>
      <c r="DP47">
        <v>223</v>
      </c>
      <c r="DQ47">
        <v>9.4629999999999992</v>
      </c>
      <c r="DR47">
        <v>6.6669999999999998</v>
      </c>
      <c r="DS47">
        <v>3.238</v>
      </c>
      <c r="DT47">
        <v>1</v>
      </c>
      <c r="DU47">
        <v>12</v>
      </c>
      <c r="DV47">
        <v>0</v>
      </c>
      <c r="DW47">
        <v>100</v>
      </c>
      <c r="DX47">
        <v>86.667000000000002</v>
      </c>
      <c r="DY47">
        <v>13</v>
      </c>
      <c r="DZ47">
        <v>55</v>
      </c>
      <c r="EA47">
        <v>8.25</v>
      </c>
      <c r="EB47">
        <v>9</v>
      </c>
      <c r="EC47">
        <v>25</v>
      </c>
      <c r="ED47">
        <v>8</v>
      </c>
      <c r="EE47">
        <v>10</v>
      </c>
      <c r="EF47">
        <v>153</v>
      </c>
      <c r="EG47">
        <v>19</v>
      </c>
      <c r="EH47">
        <v>57.143000000000001</v>
      </c>
      <c r="EI47">
        <v>44.792000000000002</v>
      </c>
      <c r="EJ47">
        <v>63.49</v>
      </c>
      <c r="EK47">
        <v>-1</v>
      </c>
    </row>
    <row r="48" spans="1:141" x14ac:dyDescent="0.25">
      <c r="A48">
        <v>31</v>
      </c>
      <c r="B48">
        <v>-13</v>
      </c>
      <c r="C48">
        <v>0</v>
      </c>
      <c r="D48">
        <v>2025</v>
      </c>
      <c r="E48">
        <v>3</v>
      </c>
      <c r="F48" t="str">
        <f>VLOOKUP(G48, Map!$A$1:$B$33, 2, FALSE)</f>
        <v>NYG</v>
      </c>
      <c r="G48" t="s">
        <v>149</v>
      </c>
      <c r="H48" t="str">
        <f>VLOOKUP(I48, Map!$A$1:$B$33, 2, FALSE)</f>
        <v>KC</v>
      </c>
      <c r="I48" t="s">
        <v>158</v>
      </c>
      <c r="J48">
        <v>0</v>
      </c>
      <c r="K48">
        <v>0</v>
      </c>
      <c r="L48">
        <v>0</v>
      </c>
      <c r="M48">
        <v>0</v>
      </c>
      <c r="N48">
        <v>2</v>
      </c>
      <c r="O48">
        <v>6</v>
      </c>
      <c r="P48">
        <v>26.875</v>
      </c>
      <c r="Q48">
        <v>21.625</v>
      </c>
      <c r="R48">
        <v>-42</v>
      </c>
      <c r="S48">
        <v>-2</v>
      </c>
      <c r="T48">
        <v>0.25</v>
      </c>
      <c r="U48">
        <v>1</v>
      </c>
      <c r="V48">
        <v>3</v>
      </c>
      <c r="W48">
        <v>2</v>
      </c>
      <c r="X48">
        <v>1</v>
      </c>
      <c r="Y48">
        <v>0</v>
      </c>
      <c r="Z48">
        <v>5</v>
      </c>
      <c r="AA48">
        <v>1</v>
      </c>
      <c r="AB48">
        <v>4</v>
      </c>
      <c r="AC48">
        <v>10</v>
      </c>
      <c r="AD48">
        <v>7</v>
      </c>
      <c r="AE48">
        <v>14</v>
      </c>
      <c r="AF48">
        <v>4</v>
      </c>
      <c r="AG48">
        <v>67</v>
      </c>
      <c r="AH48">
        <v>1</v>
      </c>
      <c r="AI48">
        <v>5</v>
      </c>
      <c r="AJ48">
        <v>3</v>
      </c>
      <c r="AK48">
        <v>16.375</v>
      </c>
      <c r="AL48">
        <v>26.75</v>
      </c>
      <c r="AM48">
        <v>83</v>
      </c>
      <c r="AN48">
        <v>3</v>
      </c>
      <c r="AO48">
        <v>0.625</v>
      </c>
      <c r="AP48">
        <v>1</v>
      </c>
      <c r="AQ48">
        <v>1</v>
      </c>
      <c r="AR48">
        <v>4</v>
      </c>
      <c r="AS48">
        <v>1</v>
      </c>
      <c r="AT48">
        <v>1</v>
      </c>
      <c r="AU48">
        <v>2</v>
      </c>
      <c r="AV48">
        <v>2</v>
      </c>
      <c r="AW48">
        <v>2</v>
      </c>
      <c r="AX48">
        <v>16</v>
      </c>
      <c r="AY48">
        <v>3</v>
      </c>
      <c r="AZ48">
        <v>7</v>
      </c>
      <c r="BA48">
        <v>11</v>
      </c>
      <c r="BB48">
        <v>65</v>
      </c>
      <c r="BC48">
        <v>39.5</v>
      </c>
      <c r="BD48">
        <v>8</v>
      </c>
      <c r="BE48">
        <v>0</v>
      </c>
      <c r="BF48">
        <v>0</v>
      </c>
      <c r="BG48">
        <v>34.329000000000001</v>
      </c>
      <c r="BH48">
        <v>54.470999999999997</v>
      </c>
      <c r="BI48">
        <v>65.394999999999996</v>
      </c>
      <c r="BJ48">
        <v>27.507000000000001</v>
      </c>
      <c r="BK48">
        <v>23.013999999999999</v>
      </c>
      <c r="BL48">
        <v>20.196999999999999</v>
      </c>
      <c r="BM48">
        <v>-6.5640000000000001</v>
      </c>
      <c r="BN48">
        <v>65.394999999999996</v>
      </c>
      <c r="BO48">
        <v>54.470999999999997</v>
      </c>
      <c r="BP48">
        <v>0</v>
      </c>
      <c r="BQ48">
        <v>34.329000000000001</v>
      </c>
      <c r="BR48">
        <v>6.5640000000000001</v>
      </c>
      <c r="BS48">
        <v>76.986000000000004</v>
      </c>
      <c r="BT48">
        <v>72.492999999999995</v>
      </c>
      <c r="BU48">
        <v>79.802999999999997</v>
      </c>
      <c r="BV48">
        <v>2348</v>
      </c>
      <c r="BW48">
        <v>59.448999999999998</v>
      </c>
      <c r="BX48">
        <v>207.25</v>
      </c>
      <c r="BY48">
        <v>23</v>
      </c>
      <c r="BZ48">
        <v>339.25</v>
      </c>
      <c r="CA48">
        <v>6.9210000000000003</v>
      </c>
      <c r="CB48">
        <v>1249</v>
      </c>
      <c r="CC48">
        <v>118</v>
      </c>
      <c r="CD48">
        <v>4.0339999999999998</v>
      </c>
      <c r="CE48">
        <v>10</v>
      </c>
      <c r="CF48">
        <v>2910</v>
      </c>
      <c r="CG48">
        <v>11</v>
      </c>
      <c r="CH48">
        <v>221.25</v>
      </c>
      <c r="CI48">
        <v>11.641999999999999</v>
      </c>
      <c r="CJ48">
        <v>7.2629999999999999</v>
      </c>
      <c r="CK48">
        <v>5.1740000000000004</v>
      </c>
      <c r="CL48">
        <v>0</v>
      </c>
      <c r="CM48">
        <v>19</v>
      </c>
      <c r="CN48">
        <v>0</v>
      </c>
      <c r="CO48">
        <v>78.947000000000003</v>
      </c>
      <c r="CP48">
        <v>100</v>
      </c>
      <c r="CQ48">
        <v>10</v>
      </c>
      <c r="CR48">
        <v>45</v>
      </c>
      <c r="CS48">
        <v>7.1539999999999999</v>
      </c>
      <c r="CT48">
        <v>32</v>
      </c>
      <c r="CU48">
        <v>12</v>
      </c>
      <c r="CV48">
        <v>0</v>
      </c>
      <c r="CW48">
        <v>11</v>
      </c>
      <c r="CX48">
        <v>173</v>
      </c>
      <c r="CY48">
        <v>20.625</v>
      </c>
      <c r="CZ48">
        <v>52.941000000000003</v>
      </c>
      <c r="DA48">
        <v>39.814999999999998</v>
      </c>
      <c r="DB48">
        <v>59.26</v>
      </c>
      <c r="DC48">
        <v>-4</v>
      </c>
      <c r="DD48">
        <v>3149</v>
      </c>
      <c r="DE48">
        <v>67.021000000000001</v>
      </c>
      <c r="DF48">
        <v>251.75</v>
      </c>
      <c r="DG48">
        <v>25</v>
      </c>
      <c r="DH48">
        <v>388.875</v>
      </c>
      <c r="DI48">
        <v>7.3719999999999999</v>
      </c>
      <c r="DJ48">
        <v>1327</v>
      </c>
      <c r="DK48">
        <v>126.5</v>
      </c>
      <c r="DL48">
        <v>4.4980000000000002</v>
      </c>
      <c r="DM48">
        <v>9</v>
      </c>
      <c r="DN48">
        <v>3639</v>
      </c>
      <c r="DO48">
        <v>17</v>
      </c>
      <c r="DP48">
        <v>262.375</v>
      </c>
      <c r="DQ48">
        <v>11</v>
      </c>
      <c r="DR48">
        <v>4</v>
      </c>
      <c r="DS48">
        <v>3.4</v>
      </c>
      <c r="DT48">
        <v>0</v>
      </c>
      <c r="DU48">
        <v>17</v>
      </c>
      <c r="DV48">
        <v>0</v>
      </c>
      <c r="DW48">
        <v>88</v>
      </c>
      <c r="DX48">
        <v>80</v>
      </c>
      <c r="DY48">
        <v>12</v>
      </c>
      <c r="DZ48">
        <v>58</v>
      </c>
      <c r="EA48">
        <v>8.3330000000000002</v>
      </c>
      <c r="EB48">
        <v>11</v>
      </c>
      <c r="EC48">
        <v>19</v>
      </c>
      <c r="ED48">
        <v>0</v>
      </c>
      <c r="EE48">
        <v>17</v>
      </c>
      <c r="EF48">
        <v>214</v>
      </c>
      <c r="EG48">
        <v>23.625</v>
      </c>
      <c r="EH48">
        <v>82.352999999999994</v>
      </c>
      <c r="EI48">
        <v>44</v>
      </c>
      <c r="EJ48">
        <v>78.150000000000006</v>
      </c>
      <c r="EK48">
        <v>5</v>
      </c>
    </row>
    <row r="49" spans="1:141" x14ac:dyDescent="0.25">
      <c r="A49">
        <v>68</v>
      </c>
      <c r="B49">
        <v>-8</v>
      </c>
      <c r="C49">
        <v>0</v>
      </c>
      <c r="D49">
        <v>2025</v>
      </c>
      <c r="E49">
        <v>3</v>
      </c>
      <c r="F49" t="str">
        <f>VLOOKUP(G49, Map!$A$1:$B$33, 2, FALSE)</f>
        <v>BAL</v>
      </c>
      <c r="G49" t="s">
        <v>146</v>
      </c>
      <c r="H49" t="str">
        <f>VLOOKUP(I49, Map!$A$1:$B$33, 2, FALSE)</f>
        <v>DET</v>
      </c>
      <c r="I49" t="s">
        <v>164</v>
      </c>
      <c r="J49">
        <v>0</v>
      </c>
      <c r="K49">
        <v>0</v>
      </c>
      <c r="L49">
        <v>0</v>
      </c>
      <c r="M49">
        <v>0</v>
      </c>
      <c r="N49">
        <v>2</v>
      </c>
      <c r="O49">
        <v>5</v>
      </c>
      <c r="P49">
        <v>30</v>
      </c>
      <c r="Q49">
        <v>24.857143000000001</v>
      </c>
      <c r="R49">
        <v>-36</v>
      </c>
      <c r="S49">
        <v>1</v>
      </c>
      <c r="T49">
        <v>0.28571429999999998</v>
      </c>
      <c r="U49">
        <v>1</v>
      </c>
      <c r="V49">
        <v>0</v>
      </c>
      <c r="W49">
        <v>2</v>
      </c>
      <c r="X49">
        <v>3</v>
      </c>
      <c r="Y49">
        <v>0</v>
      </c>
      <c r="Z49">
        <v>2</v>
      </c>
      <c r="AA49">
        <v>1</v>
      </c>
      <c r="AB49">
        <v>3</v>
      </c>
      <c r="AC49">
        <v>10</v>
      </c>
      <c r="AD49">
        <v>7</v>
      </c>
      <c r="AE49">
        <v>7</v>
      </c>
      <c r="AF49">
        <v>9</v>
      </c>
      <c r="AG49">
        <v>61</v>
      </c>
      <c r="AH49">
        <v>1</v>
      </c>
      <c r="AI49">
        <v>5</v>
      </c>
      <c r="AJ49">
        <v>2</v>
      </c>
      <c r="AK49">
        <v>21.571428000000001</v>
      </c>
      <c r="AL49">
        <v>30.714285</v>
      </c>
      <c r="AM49">
        <v>64</v>
      </c>
      <c r="AN49">
        <v>1</v>
      </c>
      <c r="AO49">
        <v>0.71428572999999995</v>
      </c>
      <c r="AP49">
        <v>1</v>
      </c>
      <c r="AQ49">
        <v>1</v>
      </c>
      <c r="AR49">
        <v>3</v>
      </c>
      <c r="AS49">
        <v>0</v>
      </c>
      <c r="AT49">
        <v>2</v>
      </c>
      <c r="AU49">
        <v>2</v>
      </c>
      <c r="AV49">
        <v>2</v>
      </c>
      <c r="AW49">
        <v>1</v>
      </c>
      <c r="AX49">
        <v>8</v>
      </c>
      <c r="AY49">
        <v>8</v>
      </c>
      <c r="AZ49">
        <v>11</v>
      </c>
      <c r="BA49">
        <v>5</v>
      </c>
      <c r="BB49">
        <v>73</v>
      </c>
      <c r="BC49">
        <v>54.5</v>
      </c>
      <c r="BD49">
        <v>1</v>
      </c>
      <c r="BE49">
        <v>0</v>
      </c>
      <c r="BF49">
        <v>0</v>
      </c>
      <c r="BG49">
        <v>57.095999999999997</v>
      </c>
      <c r="BH49">
        <v>91.247</v>
      </c>
      <c r="BI49">
        <v>42.561999999999998</v>
      </c>
      <c r="BJ49">
        <v>14.05</v>
      </c>
      <c r="BK49">
        <v>61.401000000000003</v>
      </c>
      <c r="BL49">
        <v>29.628</v>
      </c>
      <c r="BM49">
        <v>2.7109999999999999</v>
      </c>
      <c r="BN49">
        <v>42.561999999999998</v>
      </c>
      <c r="BO49">
        <v>91.247</v>
      </c>
      <c r="BP49">
        <v>0</v>
      </c>
      <c r="BQ49">
        <v>57.095999999999997</v>
      </c>
      <c r="BR49">
        <v>-2.7109999999999999</v>
      </c>
      <c r="BS49">
        <v>38.598999999999997</v>
      </c>
      <c r="BT49">
        <v>85.95</v>
      </c>
      <c r="BU49">
        <v>70.372</v>
      </c>
      <c r="BV49">
        <v>2046</v>
      </c>
      <c r="BW49">
        <v>69.73</v>
      </c>
      <c r="BX49">
        <v>182.28572</v>
      </c>
      <c r="BY49">
        <v>19</v>
      </c>
      <c r="BZ49">
        <v>337.14285000000001</v>
      </c>
      <c r="CA49">
        <v>7.7080000000000002</v>
      </c>
      <c r="CB49">
        <v>1139</v>
      </c>
      <c r="CC49">
        <v>133.429</v>
      </c>
      <c r="CD49">
        <v>5.2770000000000001</v>
      </c>
      <c r="CE49">
        <v>8</v>
      </c>
      <c r="CF49">
        <v>2456</v>
      </c>
      <c r="CG49">
        <v>11</v>
      </c>
      <c r="CH49">
        <v>203.714</v>
      </c>
      <c r="CI49">
        <v>11.054</v>
      </c>
      <c r="CJ49">
        <v>6.8890000000000002</v>
      </c>
      <c r="CK49">
        <v>2.4089999999999998</v>
      </c>
      <c r="CL49">
        <v>1</v>
      </c>
      <c r="CM49">
        <v>9</v>
      </c>
      <c r="CN49">
        <v>0</v>
      </c>
      <c r="CO49">
        <v>94.736999999999995</v>
      </c>
      <c r="CP49">
        <v>92.308000000000007</v>
      </c>
      <c r="CQ49">
        <v>12</v>
      </c>
      <c r="CR49">
        <v>54</v>
      </c>
      <c r="CS49">
        <v>5.8330000000000002</v>
      </c>
      <c r="CT49">
        <v>19</v>
      </c>
      <c r="CU49">
        <v>8</v>
      </c>
      <c r="CV49">
        <v>6</v>
      </c>
      <c r="CW49">
        <v>11</v>
      </c>
      <c r="CX49">
        <v>174</v>
      </c>
      <c r="CY49">
        <v>18.143000000000001</v>
      </c>
      <c r="CZ49">
        <v>38.462000000000003</v>
      </c>
      <c r="DA49">
        <v>40.506</v>
      </c>
      <c r="DB49">
        <v>52.38</v>
      </c>
      <c r="DC49">
        <v>-6</v>
      </c>
      <c r="DD49">
        <v>2664</v>
      </c>
      <c r="DE49">
        <v>75</v>
      </c>
      <c r="DF49">
        <v>223.57142999999999</v>
      </c>
      <c r="DG49">
        <v>23</v>
      </c>
      <c r="DH49">
        <v>367.14285000000001</v>
      </c>
      <c r="DI49">
        <v>8.01</v>
      </c>
      <c r="DJ49">
        <v>1256</v>
      </c>
      <c r="DK49">
        <v>133.714</v>
      </c>
      <c r="DL49">
        <v>4.5220000000000002</v>
      </c>
      <c r="DM49">
        <v>10</v>
      </c>
      <c r="DN49">
        <v>2959</v>
      </c>
      <c r="DO49">
        <v>16</v>
      </c>
      <c r="DP49">
        <v>233.429</v>
      </c>
      <c r="DQ49">
        <v>10.68</v>
      </c>
      <c r="DR49">
        <v>6.2610000000000001</v>
      </c>
      <c r="DS49">
        <v>24.2</v>
      </c>
      <c r="DT49">
        <v>1</v>
      </c>
      <c r="DU49">
        <v>23</v>
      </c>
      <c r="DV49">
        <v>0</v>
      </c>
      <c r="DW49">
        <v>100</v>
      </c>
      <c r="DX49">
        <v>72.727000000000004</v>
      </c>
      <c r="DY49">
        <v>8</v>
      </c>
      <c r="DZ49">
        <v>51</v>
      </c>
      <c r="EA49">
        <v>10</v>
      </c>
      <c r="EB49">
        <v>14</v>
      </c>
      <c r="EC49">
        <v>27</v>
      </c>
      <c r="ED49">
        <v>8</v>
      </c>
      <c r="EE49">
        <v>16</v>
      </c>
      <c r="EF49">
        <v>215</v>
      </c>
      <c r="EG49">
        <v>19.856999999999999</v>
      </c>
      <c r="EH49">
        <v>61.537999999999997</v>
      </c>
      <c r="EI49">
        <v>37.646999999999998</v>
      </c>
      <c r="EJ49">
        <v>74.88</v>
      </c>
      <c r="EK49">
        <v>6</v>
      </c>
    </row>
    <row r="50" spans="1:141" x14ac:dyDescent="0.25">
      <c r="A50">
        <v>43</v>
      </c>
      <c r="B50">
        <v>-3</v>
      </c>
      <c r="C50">
        <v>0</v>
      </c>
      <c r="D50">
        <v>2025</v>
      </c>
      <c r="E50">
        <v>4</v>
      </c>
      <c r="F50" t="str">
        <f>VLOOKUP(G50, Map!$A$1:$B$33, 2, FALSE)</f>
        <v>ARI</v>
      </c>
      <c r="G50" t="s">
        <v>156</v>
      </c>
      <c r="H50" t="str">
        <f>VLOOKUP(I50, Map!$A$1:$B$33, 2, FALSE)</f>
        <v>SEA</v>
      </c>
      <c r="I50" t="s">
        <v>144</v>
      </c>
      <c r="J50">
        <v>0</v>
      </c>
      <c r="K50">
        <v>0</v>
      </c>
      <c r="L50">
        <v>0</v>
      </c>
      <c r="M50">
        <v>0</v>
      </c>
      <c r="N50">
        <v>2</v>
      </c>
      <c r="O50">
        <v>5</v>
      </c>
      <c r="P50">
        <v>22</v>
      </c>
      <c r="Q50">
        <v>21.857143000000001</v>
      </c>
      <c r="R50">
        <v>-1</v>
      </c>
      <c r="S50">
        <v>-5</v>
      </c>
      <c r="T50">
        <v>0.28571429999999998</v>
      </c>
      <c r="U50">
        <v>0</v>
      </c>
      <c r="V50">
        <v>2</v>
      </c>
      <c r="W50">
        <v>1</v>
      </c>
      <c r="X50">
        <v>3</v>
      </c>
      <c r="Y50">
        <v>1</v>
      </c>
      <c r="Z50">
        <v>2</v>
      </c>
      <c r="AA50">
        <v>2</v>
      </c>
      <c r="AB50">
        <v>3</v>
      </c>
      <c r="AC50">
        <v>4</v>
      </c>
      <c r="AD50">
        <v>12</v>
      </c>
      <c r="AE50">
        <v>8</v>
      </c>
      <c r="AF50">
        <v>8</v>
      </c>
      <c r="AG50">
        <v>69</v>
      </c>
      <c r="AH50">
        <v>1</v>
      </c>
      <c r="AI50">
        <v>5</v>
      </c>
      <c r="AJ50">
        <v>2</v>
      </c>
      <c r="AK50">
        <v>19.428571999999999</v>
      </c>
      <c r="AL50">
        <v>27.571428000000001</v>
      </c>
      <c r="AM50">
        <v>57</v>
      </c>
      <c r="AN50">
        <v>2</v>
      </c>
      <c r="AO50">
        <v>0.71428572999999995</v>
      </c>
      <c r="AP50">
        <v>1</v>
      </c>
      <c r="AQ50">
        <v>1</v>
      </c>
      <c r="AR50">
        <v>2</v>
      </c>
      <c r="AS50">
        <v>2</v>
      </c>
      <c r="AT50">
        <v>3</v>
      </c>
      <c r="AU50">
        <v>0</v>
      </c>
      <c r="AV50">
        <v>2</v>
      </c>
      <c r="AW50">
        <v>2</v>
      </c>
      <c r="AX50">
        <v>9</v>
      </c>
      <c r="AY50">
        <v>8</v>
      </c>
      <c r="AZ50">
        <v>7</v>
      </c>
      <c r="BA50">
        <v>10</v>
      </c>
      <c r="BB50">
        <v>61</v>
      </c>
      <c r="BC50">
        <v>39.5</v>
      </c>
      <c r="BD50">
        <v>4</v>
      </c>
      <c r="BE50">
        <v>0</v>
      </c>
      <c r="BF50">
        <v>0</v>
      </c>
      <c r="BG50">
        <v>51.875</v>
      </c>
      <c r="BH50">
        <v>50.276000000000003</v>
      </c>
      <c r="BI50">
        <v>47.741999999999997</v>
      </c>
      <c r="BJ50">
        <v>29.141999999999999</v>
      </c>
      <c r="BK50">
        <v>34.374000000000002</v>
      </c>
      <c r="BL50">
        <v>31.03</v>
      </c>
      <c r="BM50">
        <v>0.68700000000000006</v>
      </c>
      <c r="BN50">
        <v>47.741999999999997</v>
      </c>
      <c r="BO50">
        <v>50.276000000000003</v>
      </c>
      <c r="BP50">
        <v>0</v>
      </c>
      <c r="BQ50">
        <v>51.875</v>
      </c>
      <c r="BR50">
        <v>-0.68700000000000006</v>
      </c>
      <c r="BS50">
        <v>65.626000000000005</v>
      </c>
      <c r="BT50">
        <v>70.858000000000004</v>
      </c>
      <c r="BU50">
        <v>68.97</v>
      </c>
      <c r="BV50">
        <v>2113</v>
      </c>
      <c r="BW50">
        <v>66.941999999999993</v>
      </c>
      <c r="BX50">
        <v>199.85714999999999</v>
      </c>
      <c r="BY50">
        <v>18</v>
      </c>
      <c r="BZ50">
        <v>333.42856</v>
      </c>
      <c r="CA50">
        <v>6.335</v>
      </c>
      <c r="CB50">
        <v>888</v>
      </c>
      <c r="CC50">
        <v>110.429</v>
      </c>
      <c r="CD50">
        <v>4.4169999999999998</v>
      </c>
      <c r="CE50">
        <v>5</v>
      </c>
      <c r="CF50">
        <v>2721</v>
      </c>
      <c r="CG50">
        <v>10</v>
      </c>
      <c r="CH50">
        <v>223</v>
      </c>
      <c r="CI50">
        <v>9.4629999999999992</v>
      </c>
      <c r="CJ50">
        <v>6.6669999999999998</v>
      </c>
      <c r="CK50">
        <v>3.238</v>
      </c>
      <c r="CL50">
        <v>1</v>
      </c>
      <c r="CM50">
        <v>12</v>
      </c>
      <c r="CN50">
        <v>0</v>
      </c>
      <c r="CO50">
        <v>100</v>
      </c>
      <c r="CP50">
        <v>86.667000000000002</v>
      </c>
      <c r="CQ50">
        <v>13</v>
      </c>
      <c r="CR50">
        <v>55</v>
      </c>
      <c r="CS50">
        <v>8.25</v>
      </c>
      <c r="CT50">
        <v>25</v>
      </c>
      <c r="CU50">
        <v>9</v>
      </c>
      <c r="CV50">
        <v>8</v>
      </c>
      <c r="CW50">
        <v>10</v>
      </c>
      <c r="CX50">
        <v>153</v>
      </c>
      <c r="CY50">
        <v>19</v>
      </c>
      <c r="CZ50">
        <v>57.143000000000001</v>
      </c>
      <c r="DA50">
        <v>44.792000000000002</v>
      </c>
      <c r="DB50">
        <v>63.49</v>
      </c>
      <c r="DC50">
        <v>-1</v>
      </c>
      <c r="DD50">
        <v>2459</v>
      </c>
      <c r="DE50">
        <v>67.856999999999999</v>
      </c>
      <c r="DF50">
        <v>244.42857000000001</v>
      </c>
      <c r="DG50">
        <v>27</v>
      </c>
      <c r="DH50">
        <v>358.85714999999999</v>
      </c>
      <c r="DI50">
        <v>9.0259999999999998</v>
      </c>
      <c r="DJ50">
        <v>918</v>
      </c>
      <c r="DK50">
        <v>106.143</v>
      </c>
      <c r="DL50">
        <v>3.6779999999999999</v>
      </c>
      <c r="DM50">
        <v>8</v>
      </c>
      <c r="DN50">
        <v>2854</v>
      </c>
      <c r="DO50">
        <v>12</v>
      </c>
      <c r="DP50">
        <v>252.714</v>
      </c>
      <c r="DQ50">
        <v>13.301</v>
      </c>
      <c r="DR50">
        <v>7.1740000000000004</v>
      </c>
      <c r="DS50">
        <v>7.8890000000000002</v>
      </c>
      <c r="DT50">
        <v>2</v>
      </c>
      <c r="DU50">
        <v>23</v>
      </c>
      <c r="DV50">
        <v>0</v>
      </c>
      <c r="DW50">
        <v>100</v>
      </c>
      <c r="DX50">
        <v>76.471000000000004</v>
      </c>
      <c r="DY50">
        <v>13</v>
      </c>
      <c r="DZ50">
        <v>61</v>
      </c>
      <c r="EA50">
        <v>11</v>
      </c>
      <c r="EB50">
        <v>10</v>
      </c>
      <c r="EC50">
        <v>26</v>
      </c>
      <c r="ED50">
        <v>6</v>
      </c>
      <c r="EE50">
        <v>12</v>
      </c>
      <c r="EF50">
        <v>193</v>
      </c>
      <c r="EG50">
        <v>19.428999999999998</v>
      </c>
      <c r="EH50">
        <v>66.667000000000002</v>
      </c>
      <c r="EI50">
        <v>33.332999999999998</v>
      </c>
      <c r="EJ50">
        <v>76.569999999999993</v>
      </c>
      <c r="EK50">
        <v>-4</v>
      </c>
    </row>
    <row r="51" spans="1:141" x14ac:dyDescent="0.25">
      <c r="A51">
        <v>45</v>
      </c>
      <c r="B51">
        <v>3</v>
      </c>
      <c r="C51">
        <v>1</v>
      </c>
      <c r="D51">
        <v>2025</v>
      </c>
      <c r="E51">
        <v>4</v>
      </c>
      <c r="F51" t="str">
        <f>VLOOKUP(G51, Map!$A$1:$B$33, 2, FALSE)</f>
        <v>PIT</v>
      </c>
      <c r="G51" t="s">
        <v>145</v>
      </c>
      <c r="H51" t="str">
        <f>VLOOKUP(I51, Map!$A$1:$B$33, 2, FALSE)</f>
        <v>MIN</v>
      </c>
      <c r="I51" t="s">
        <v>153</v>
      </c>
      <c r="J51">
        <v>0</v>
      </c>
      <c r="K51">
        <v>0</v>
      </c>
      <c r="L51">
        <v>0</v>
      </c>
      <c r="M51">
        <v>1</v>
      </c>
      <c r="N51">
        <v>4</v>
      </c>
      <c r="O51">
        <v>3</v>
      </c>
      <c r="P51">
        <v>25</v>
      </c>
      <c r="Q51">
        <v>25</v>
      </c>
      <c r="R51">
        <v>0</v>
      </c>
      <c r="S51">
        <v>-2</v>
      </c>
      <c r="T51">
        <v>0.57142859999999995</v>
      </c>
      <c r="U51">
        <v>1</v>
      </c>
      <c r="V51">
        <v>1</v>
      </c>
      <c r="W51">
        <v>2</v>
      </c>
      <c r="X51">
        <v>2</v>
      </c>
      <c r="Y51">
        <v>2</v>
      </c>
      <c r="Z51">
        <v>1</v>
      </c>
      <c r="AA51">
        <v>3</v>
      </c>
      <c r="AB51">
        <v>1</v>
      </c>
      <c r="AC51">
        <v>9</v>
      </c>
      <c r="AD51">
        <v>8</v>
      </c>
      <c r="AE51">
        <v>10</v>
      </c>
      <c r="AF51">
        <v>6</v>
      </c>
      <c r="AG51">
        <v>66</v>
      </c>
      <c r="AH51">
        <v>0</v>
      </c>
      <c r="AI51">
        <v>3</v>
      </c>
      <c r="AJ51">
        <v>4</v>
      </c>
      <c r="AK51">
        <v>23.142856999999999</v>
      </c>
      <c r="AL51">
        <v>22.142856999999999</v>
      </c>
      <c r="AM51">
        <v>-7</v>
      </c>
      <c r="AN51">
        <v>-2</v>
      </c>
      <c r="AO51">
        <v>0.42857142999999998</v>
      </c>
      <c r="AP51">
        <v>1</v>
      </c>
      <c r="AQ51">
        <v>0</v>
      </c>
      <c r="AR51">
        <v>1</v>
      </c>
      <c r="AS51">
        <v>2</v>
      </c>
      <c r="AT51">
        <v>2</v>
      </c>
      <c r="AU51">
        <v>2</v>
      </c>
      <c r="AV51">
        <v>1</v>
      </c>
      <c r="AW51">
        <v>2</v>
      </c>
      <c r="AX51">
        <v>13</v>
      </c>
      <c r="AY51">
        <v>4</v>
      </c>
      <c r="AZ51">
        <v>7</v>
      </c>
      <c r="BA51">
        <v>9</v>
      </c>
      <c r="BB51">
        <v>61</v>
      </c>
      <c r="BC51">
        <v>40</v>
      </c>
      <c r="BD51">
        <v>-3.5</v>
      </c>
      <c r="BE51">
        <v>0</v>
      </c>
      <c r="BF51">
        <v>0</v>
      </c>
      <c r="BG51">
        <v>39.640999999999998</v>
      </c>
      <c r="BH51">
        <v>49.908000000000001</v>
      </c>
      <c r="BI51">
        <v>60.040999999999997</v>
      </c>
      <c r="BJ51">
        <v>68.712000000000003</v>
      </c>
      <c r="BK51">
        <v>82.945999999999998</v>
      </c>
      <c r="BL51">
        <v>78.100999999999999</v>
      </c>
      <c r="BM51">
        <v>-3.9180000000000001</v>
      </c>
      <c r="BN51">
        <v>60.040999999999997</v>
      </c>
      <c r="BO51">
        <v>49.908000000000001</v>
      </c>
      <c r="BP51">
        <v>0</v>
      </c>
      <c r="BQ51">
        <v>39.640999999999998</v>
      </c>
      <c r="BR51">
        <v>3.9180000000000001</v>
      </c>
      <c r="BS51">
        <v>17.053999999999998</v>
      </c>
      <c r="BT51">
        <v>31.288</v>
      </c>
      <c r="BU51">
        <v>21.899000000000001</v>
      </c>
      <c r="BV51">
        <v>2471</v>
      </c>
      <c r="BW51">
        <v>68.570999999999998</v>
      </c>
      <c r="BX51">
        <v>202.85714999999999</v>
      </c>
      <c r="BY51">
        <v>20</v>
      </c>
      <c r="BZ51">
        <v>308.71429999999998</v>
      </c>
      <c r="CA51">
        <v>7.1479999999999997</v>
      </c>
      <c r="CB51">
        <v>750</v>
      </c>
      <c r="CC51">
        <v>94.286000000000001</v>
      </c>
      <c r="CD51">
        <v>4.0739999999999998</v>
      </c>
      <c r="CE51">
        <v>3</v>
      </c>
      <c r="CF51">
        <v>2781</v>
      </c>
      <c r="CG51">
        <v>16</v>
      </c>
      <c r="CH51">
        <v>214.429</v>
      </c>
      <c r="CI51">
        <v>10.423999999999999</v>
      </c>
      <c r="CJ51">
        <v>6.4089999999999998</v>
      </c>
      <c r="CK51">
        <v>7.4379999999999997</v>
      </c>
      <c r="CL51">
        <v>0</v>
      </c>
      <c r="CM51">
        <v>22</v>
      </c>
      <c r="CN51">
        <v>0</v>
      </c>
      <c r="CO51">
        <v>100</v>
      </c>
      <c r="CP51">
        <v>87.5</v>
      </c>
      <c r="CQ51">
        <v>14</v>
      </c>
      <c r="CR51">
        <v>59</v>
      </c>
      <c r="CS51">
        <v>8.25</v>
      </c>
      <c r="CT51">
        <v>23</v>
      </c>
      <c r="CU51">
        <v>8</v>
      </c>
      <c r="CV51">
        <v>0</v>
      </c>
      <c r="CW51">
        <v>16</v>
      </c>
      <c r="CX51">
        <v>175</v>
      </c>
      <c r="CY51">
        <v>17.428999999999998</v>
      </c>
      <c r="CZ51">
        <v>50</v>
      </c>
      <c r="DA51">
        <v>38.960999999999999</v>
      </c>
      <c r="DB51">
        <v>75.94</v>
      </c>
      <c r="DC51">
        <v>4</v>
      </c>
      <c r="DD51">
        <v>1981</v>
      </c>
      <c r="DE51">
        <v>63.927</v>
      </c>
      <c r="DF51">
        <v>202.71428</v>
      </c>
      <c r="DG51">
        <v>21</v>
      </c>
      <c r="DH51">
        <v>321.14285000000001</v>
      </c>
      <c r="DI51">
        <v>7.2649999999999997</v>
      </c>
      <c r="DJ51">
        <v>772</v>
      </c>
      <c r="DK51">
        <v>93.856999999999999</v>
      </c>
      <c r="DL51">
        <v>4.2939999999999996</v>
      </c>
      <c r="DM51">
        <v>5</v>
      </c>
      <c r="DN51">
        <v>2606</v>
      </c>
      <c r="DO51">
        <v>9</v>
      </c>
      <c r="DP51">
        <v>227.286</v>
      </c>
      <c r="DQ51">
        <v>11.364000000000001</v>
      </c>
      <c r="DR51">
        <v>6.2220000000000004</v>
      </c>
      <c r="DS51">
        <v>3.3570000000000002</v>
      </c>
      <c r="DT51">
        <v>2</v>
      </c>
      <c r="DU51">
        <v>18</v>
      </c>
      <c r="DV51">
        <v>0</v>
      </c>
      <c r="DW51">
        <v>100</v>
      </c>
      <c r="DX51">
        <v>87.5</v>
      </c>
      <c r="DY51">
        <v>14</v>
      </c>
      <c r="DZ51">
        <v>55</v>
      </c>
      <c r="EA51">
        <v>7.8179999999999996</v>
      </c>
      <c r="EB51">
        <v>10</v>
      </c>
      <c r="EC51">
        <v>29</v>
      </c>
      <c r="ED51">
        <v>12</v>
      </c>
      <c r="EE51">
        <v>9</v>
      </c>
      <c r="EF51">
        <v>155</v>
      </c>
      <c r="EG51">
        <v>17.428999999999998</v>
      </c>
      <c r="EH51">
        <v>62.5</v>
      </c>
      <c r="EI51">
        <v>33.332999999999998</v>
      </c>
      <c r="EJ51">
        <v>70.13</v>
      </c>
      <c r="EK51">
        <v>-4</v>
      </c>
    </row>
    <row r="52" spans="1:141" x14ac:dyDescent="0.25">
      <c r="A52">
        <v>61</v>
      </c>
      <c r="B52">
        <v>7</v>
      </c>
      <c r="C52">
        <v>1</v>
      </c>
      <c r="D52">
        <v>2025</v>
      </c>
      <c r="E52">
        <v>4</v>
      </c>
      <c r="F52" t="str">
        <f>VLOOKUP(G52, Map!$A$1:$B$33, 2, FALSE)</f>
        <v>ATL</v>
      </c>
      <c r="G52" t="s">
        <v>167</v>
      </c>
      <c r="H52" t="str">
        <f>VLOOKUP(I52, Map!$A$1:$B$33, 2, FALSE)</f>
        <v>WAS</v>
      </c>
      <c r="I52" t="s">
        <v>148</v>
      </c>
      <c r="J52">
        <v>0</v>
      </c>
      <c r="K52">
        <v>0</v>
      </c>
      <c r="L52">
        <v>0</v>
      </c>
      <c r="M52">
        <v>1</v>
      </c>
      <c r="N52">
        <v>3</v>
      </c>
      <c r="O52">
        <v>4</v>
      </c>
      <c r="P52">
        <v>22</v>
      </c>
      <c r="Q52">
        <v>17.142856999999999</v>
      </c>
      <c r="R52">
        <v>-34</v>
      </c>
      <c r="S52">
        <v>-2</v>
      </c>
      <c r="T52">
        <v>0.42857142999999998</v>
      </c>
      <c r="U52">
        <v>0</v>
      </c>
      <c r="V52">
        <v>2</v>
      </c>
      <c r="W52">
        <v>2</v>
      </c>
      <c r="X52">
        <v>2</v>
      </c>
      <c r="Y52">
        <v>1</v>
      </c>
      <c r="Z52">
        <v>2</v>
      </c>
      <c r="AA52">
        <v>2</v>
      </c>
      <c r="AB52">
        <v>3</v>
      </c>
      <c r="AC52">
        <v>7</v>
      </c>
      <c r="AD52">
        <v>10</v>
      </c>
      <c r="AE52">
        <v>9</v>
      </c>
      <c r="AF52">
        <v>8</v>
      </c>
      <c r="AG52">
        <v>64</v>
      </c>
      <c r="AH52">
        <v>0</v>
      </c>
      <c r="AI52">
        <v>3</v>
      </c>
      <c r="AJ52">
        <v>5</v>
      </c>
      <c r="AK52">
        <v>24.75</v>
      </c>
      <c r="AL52">
        <v>23.375</v>
      </c>
      <c r="AM52">
        <v>-11</v>
      </c>
      <c r="AN52">
        <v>-3</v>
      </c>
      <c r="AO52">
        <v>0.375</v>
      </c>
      <c r="AP52">
        <v>1</v>
      </c>
      <c r="AQ52">
        <v>1</v>
      </c>
      <c r="AR52">
        <v>2</v>
      </c>
      <c r="AS52">
        <v>1</v>
      </c>
      <c r="AT52">
        <v>1</v>
      </c>
      <c r="AU52">
        <v>4</v>
      </c>
      <c r="AV52">
        <v>1</v>
      </c>
      <c r="AW52">
        <v>4</v>
      </c>
      <c r="AX52">
        <v>7</v>
      </c>
      <c r="AY52">
        <v>8</v>
      </c>
      <c r="AZ52">
        <v>7</v>
      </c>
      <c r="BA52">
        <v>8</v>
      </c>
      <c r="BB52">
        <v>65</v>
      </c>
      <c r="BC52">
        <v>51.5</v>
      </c>
      <c r="BD52">
        <v>-5</v>
      </c>
      <c r="BE52">
        <v>0</v>
      </c>
      <c r="BF52">
        <v>0</v>
      </c>
      <c r="BG52">
        <v>44.421999999999997</v>
      </c>
      <c r="BH52">
        <v>48.616999999999997</v>
      </c>
      <c r="BI52">
        <v>55.222000000000001</v>
      </c>
      <c r="BJ52">
        <v>55.811</v>
      </c>
      <c r="BK52">
        <v>89.209000000000003</v>
      </c>
      <c r="BL52">
        <v>79.787000000000006</v>
      </c>
      <c r="BM52">
        <v>-2.423</v>
      </c>
      <c r="BN52">
        <v>55.222000000000001</v>
      </c>
      <c r="BO52">
        <v>48.616999999999997</v>
      </c>
      <c r="BP52">
        <v>0</v>
      </c>
      <c r="BQ52">
        <v>44.421999999999997</v>
      </c>
      <c r="BR52">
        <v>2.423</v>
      </c>
      <c r="BS52">
        <v>10.791</v>
      </c>
      <c r="BT52">
        <v>44.189</v>
      </c>
      <c r="BU52">
        <v>20.213000000000001</v>
      </c>
      <c r="BV52">
        <v>1871</v>
      </c>
      <c r="BW52">
        <v>62.231999999999999</v>
      </c>
      <c r="BX52">
        <v>219.42857000000001</v>
      </c>
      <c r="BY52">
        <v>19</v>
      </c>
      <c r="BZ52">
        <v>353.42856</v>
      </c>
      <c r="CA52">
        <v>6.9139999999999997</v>
      </c>
      <c r="CB52">
        <v>1048</v>
      </c>
      <c r="CC52">
        <v>123.286</v>
      </c>
      <c r="CD52">
        <v>4.4029999999999996</v>
      </c>
      <c r="CE52">
        <v>7</v>
      </c>
      <c r="CF52">
        <v>2511</v>
      </c>
      <c r="CG52">
        <v>5</v>
      </c>
      <c r="CH52">
        <v>230.143</v>
      </c>
      <c r="CI52">
        <v>11.11</v>
      </c>
      <c r="CJ52">
        <v>5.9379999999999997</v>
      </c>
      <c r="CK52">
        <v>5.6429999999999998</v>
      </c>
      <c r="CL52">
        <v>0</v>
      </c>
      <c r="CM52">
        <v>16</v>
      </c>
      <c r="CN52">
        <v>0</v>
      </c>
      <c r="CO52">
        <v>100</v>
      </c>
      <c r="CP52">
        <v>75</v>
      </c>
      <c r="CQ52">
        <v>12</v>
      </c>
      <c r="CR52">
        <v>48</v>
      </c>
      <c r="CS52">
        <v>7.5380000000000003</v>
      </c>
      <c r="CT52">
        <v>22</v>
      </c>
      <c r="CU52">
        <v>9</v>
      </c>
      <c r="CV52">
        <v>0</v>
      </c>
      <c r="CW52">
        <v>5</v>
      </c>
      <c r="CX52">
        <v>120</v>
      </c>
      <c r="CY52">
        <v>19.286000000000001</v>
      </c>
      <c r="CZ52">
        <v>40</v>
      </c>
      <c r="DA52">
        <v>39.326000000000001</v>
      </c>
      <c r="DB52">
        <v>57.86</v>
      </c>
      <c r="DC52">
        <v>2</v>
      </c>
      <c r="DD52">
        <v>2360</v>
      </c>
      <c r="DE52">
        <v>61.966000000000001</v>
      </c>
      <c r="DF52">
        <v>196.625</v>
      </c>
      <c r="DG52">
        <v>20</v>
      </c>
      <c r="DH52">
        <v>346.5</v>
      </c>
      <c r="DI52">
        <v>7.1369999999999996</v>
      </c>
      <c r="DJ52">
        <v>1342</v>
      </c>
      <c r="DK52">
        <v>137.75</v>
      </c>
      <c r="DL52">
        <v>5.1980000000000004</v>
      </c>
      <c r="DM52">
        <v>9</v>
      </c>
      <c r="DN52">
        <v>2815</v>
      </c>
      <c r="DO52">
        <v>12</v>
      </c>
      <c r="DP52">
        <v>208.75</v>
      </c>
      <c r="DQ52">
        <v>11.516999999999999</v>
      </c>
      <c r="DR52">
        <v>6.1360000000000001</v>
      </c>
      <c r="DS52">
        <v>5.9470000000000001</v>
      </c>
      <c r="DT52">
        <v>1</v>
      </c>
      <c r="DU52">
        <v>22</v>
      </c>
      <c r="DV52">
        <v>0</v>
      </c>
      <c r="DW52">
        <v>100</v>
      </c>
      <c r="DX52">
        <v>71.429000000000002</v>
      </c>
      <c r="DY52">
        <v>10</v>
      </c>
      <c r="DZ52">
        <v>49</v>
      </c>
      <c r="EA52">
        <v>4</v>
      </c>
      <c r="EB52">
        <v>11</v>
      </c>
      <c r="EC52">
        <v>25</v>
      </c>
      <c r="ED52">
        <v>8</v>
      </c>
      <c r="EE52">
        <v>12</v>
      </c>
      <c r="EF52">
        <v>187</v>
      </c>
      <c r="EG52">
        <v>18.75</v>
      </c>
      <c r="EH52">
        <v>45.454999999999998</v>
      </c>
      <c r="EI52">
        <v>38.636000000000003</v>
      </c>
      <c r="EJ52">
        <v>79.290000000000006</v>
      </c>
      <c r="EK52">
        <v>-5</v>
      </c>
    </row>
    <row r="53" spans="1:141" x14ac:dyDescent="0.25">
      <c r="A53">
        <v>50</v>
      </c>
      <c r="B53">
        <v>12</v>
      </c>
      <c r="C53">
        <v>1</v>
      </c>
      <c r="D53">
        <v>2025</v>
      </c>
      <c r="E53">
        <v>4</v>
      </c>
      <c r="F53" t="str">
        <f>VLOOKUP(G53, Map!$A$1:$B$33, 2, FALSE)</f>
        <v>BUF</v>
      </c>
      <c r="G53" t="s">
        <v>165</v>
      </c>
      <c r="H53" t="str">
        <f>VLOOKUP(I53, Map!$A$1:$B$33, 2, FALSE)</f>
        <v>NO</v>
      </c>
      <c r="I53" t="s">
        <v>168</v>
      </c>
      <c r="J53">
        <v>0</v>
      </c>
      <c r="K53">
        <v>0</v>
      </c>
      <c r="L53">
        <v>0</v>
      </c>
      <c r="M53">
        <v>1</v>
      </c>
      <c r="N53">
        <v>5</v>
      </c>
      <c r="O53">
        <v>2</v>
      </c>
      <c r="P53">
        <v>20.857143000000001</v>
      </c>
      <c r="Q53">
        <v>29.571428000000001</v>
      </c>
      <c r="R53">
        <v>61</v>
      </c>
      <c r="S53">
        <v>1</v>
      </c>
      <c r="T53">
        <v>0.71428572999999995</v>
      </c>
      <c r="U53">
        <v>2</v>
      </c>
      <c r="V53">
        <v>1</v>
      </c>
      <c r="W53">
        <v>3</v>
      </c>
      <c r="X53">
        <v>1</v>
      </c>
      <c r="Y53">
        <v>2</v>
      </c>
      <c r="Z53">
        <v>1</v>
      </c>
      <c r="AA53">
        <v>3</v>
      </c>
      <c r="AB53">
        <v>1</v>
      </c>
      <c r="AC53">
        <v>14</v>
      </c>
      <c r="AD53">
        <v>4</v>
      </c>
      <c r="AE53">
        <v>8</v>
      </c>
      <c r="AF53">
        <v>9</v>
      </c>
      <c r="AG53">
        <v>68</v>
      </c>
      <c r="AH53">
        <v>0</v>
      </c>
      <c r="AI53">
        <v>1</v>
      </c>
      <c r="AJ53">
        <v>7</v>
      </c>
      <c r="AK53">
        <v>26.125</v>
      </c>
      <c r="AL53">
        <v>16</v>
      </c>
      <c r="AM53">
        <v>-81</v>
      </c>
      <c r="AN53">
        <v>-3</v>
      </c>
      <c r="AO53">
        <v>0.125</v>
      </c>
      <c r="AP53">
        <v>0</v>
      </c>
      <c r="AQ53">
        <v>1</v>
      </c>
      <c r="AR53">
        <v>1</v>
      </c>
      <c r="AS53">
        <v>4</v>
      </c>
      <c r="AT53">
        <v>0</v>
      </c>
      <c r="AU53">
        <v>3</v>
      </c>
      <c r="AV53">
        <v>1</v>
      </c>
      <c r="AW53">
        <v>5</v>
      </c>
      <c r="AX53">
        <v>7</v>
      </c>
      <c r="AY53">
        <v>10</v>
      </c>
      <c r="AZ53">
        <v>7</v>
      </c>
      <c r="BA53">
        <v>10</v>
      </c>
      <c r="BB53">
        <v>64</v>
      </c>
      <c r="BC53">
        <v>49.5</v>
      </c>
      <c r="BD53">
        <v>-12</v>
      </c>
      <c r="BE53">
        <v>0</v>
      </c>
      <c r="BF53">
        <v>0</v>
      </c>
      <c r="BG53">
        <v>80.120999999999995</v>
      </c>
      <c r="BH53">
        <v>49.58</v>
      </c>
      <c r="BI53">
        <v>19.721</v>
      </c>
      <c r="BJ53">
        <v>66.061000000000007</v>
      </c>
      <c r="BK53">
        <v>70.825999999999993</v>
      </c>
      <c r="BL53">
        <v>72.759</v>
      </c>
      <c r="BM53">
        <v>12.957000000000001</v>
      </c>
      <c r="BN53">
        <v>19.721</v>
      </c>
      <c r="BO53">
        <v>49.58</v>
      </c>
      <c r="BP53">
        <v>0</v>
      </c>
      <c r="BQ53">
        <v>80.120999999999995</v>
      </c>
      <c r="BR53">
        <v>-12.957000000000001</v>
      </c>
      <c r="BS53">
        <v>29.173999999999999</v>
      </c>
      <c r="BT53">
        <v>33.939</v>
      </c>
      <c r="BU53">
        <v>27.241</v>
      </c>
      <c r="BV53">
        <v>2334</v>
      </c>
      <c r="BW53">
        <v>67.488</v>
      </c>
      <c r="BX53">
        <v>218.42857000000001</v>
      </c>
      <c r="BY53">
        <v>22</v>
      </c>
      <c r="BZ53">
        <v>395</v>
      </c>
      <c r="CA53">
        <v>7.9509999999999996</v>
      </c>
      <c r="CB53">
        <v>1576</v>
      </c>
      <c r="CC53">
        <v>164.429</v>
      </c>
      <c r="CD53">
        <v>5.2080000000000002</v>
      </c>
      <c r="CE53">
        <v>13</v>
      </c>
      <c r="CF53">
        <v>2719</v>
      </c>
      <c r="CG53">
        <v>12</v>
      </c>
      <c r="CH53">
        <v>230.571</v>
      </c>
      <c r="CI53">
        <v>11.781000000000001</v>
      </c>
      <c r="CJ53">
        <v>5.8639999999999999</v>
      </c>
      <c r="CK53">
        <v>5.35</v>
      </c>
      <c r="CL53">
        <v>0</v>
      </c>
      <c r="CM53">
        <v>22</v>
      </c>
      <c r="CN53">
        <v>0</v>
      </c>
      <c r="CO53">
        <v>95.454999999999998</v>
      </c>
      <c r="CP53">
        <v>92.308000000000007</v>
      </c>
      <c r="CQ53">
        <v>12</v>
      </c>
      <c r="CR53">
        <v>57</v>
      </c>
      <c r="CS53">
        <v>8</v>
      </c>
      <c r="CT53">
        <v>22</v>
      </c>
      <c r="CU53">
        <v>10</v>
      </c>
      <c r="CV53">
        <v>0</v>
      </c>
      <c r="CW53">
        <v>12</v>
      </c>
      <c r="CX53">
        <v>207</v>
      </c>
      <c r="CY53">
        <v>23.143000000000001</v>
      </c>
      <c r="CZ53">
        <v>60</v>
      </c>
      <c r="DA53">
        <v>43.75</v>
      </c>
      <c r="DB53">
        <v>73.47</v>
      </c>
      <c r="DC53">
        <v>2</v>
      </c>
      <c r="DD53">
        <v>2083</v>
      </c>
      <c r="DE53">
        <v>66.206999999999994</v>
      </c>
      <c r="DF53">
        <v>201.375</v>
      </c>
      <c r="DG53">
        <v>13</v>
      </c>
      <c r="DH53">
        <v>310.25</v>
      </c>
      <c r="DI53">
        <v>5.976</v>
      </c>
      <c r="DJ53">
        <v>779</v>
      </c>
      <c r="DK53">
        <v>93.625</v>
      </c>
      <c r="DL53">
        <v>3.7829999999999999</v>
      </c>
      <c r="DM53">
        <v>3</v>
      </c>
      <c r="DN53">
        <v>2973</v>
      </c>
      <c r="DO53">
        <v>8</v>
      </c>
      <c r="DP53">
        <v>216.625</v>
      </c>
      <c r="DQ53">
        <v>9.0259999999999998</v>
      </c>
      <c r="DR53">
        <v>6.0590000000000002</v>
      </c>
      <c r="DS53">
        <v>4.7779999999999996</v>
      </c>
      <c r="DT53">
        <v>1</v>
      </c>
      <c r="DU53">
        <v>17</v>
      </c>
      <c r="DV53">
        <v>0</v>
      </c>
      <c r="DW53">
        <v>100</v>
      </c>
      <c r="DX53">
        <v>71.429000000000002</v>
      </c>
      <c r="DY53">
        <v>15</v>
      </c>
      <c r="DZ53">
        <v>56</v>
      </c>
      <c r="EA53">
        <v>15.25</v>
      </c>
      <c r="EB53">
        <v>7</v>
      </c>
      <c r="EC53">
        <v>27</v>
      </c>
      <c r="ED53">
        <v>6</v>
      </c>
      <c r="EE53">
        <v>8</v>
      </c>
      <c r="EF53">
        <v>128</v>
      </c>
      <c r="EG53">
        <v>19.125</v>
      </c>
      <c r="EH53">
        <v>33.332999999999998</v>
      </c>
      <c r="EI53">
        <v>38.835000000000001</v>
      </c>
      <c r="EJ53">
        <v>61.22</v>
      </c>
      <c r="EK53">
        <v>-2</v>
      </c>
    </row>
    <row r="54" spans="1:141" x14ac:dyDescent="0.25">
      <c r="A54">
        <v>44</v>
      </c>
      <c r="B54">
        <v>24</v>
      </c>
      <c r="C54">
        <v>1</v>
      </c>
      <c r="D54">
        <v>2025</v>
      </c>
      <c r="E54">
        <v>4</v>
      </c>
      <c r="F54" t="str">
        <f>VLOOKUP(G54, Map!$A$1:$B$33, 2, FALSE)</f>
        <v>DET</v>
      </c>
      <c r="G54" t="s">
        <v>164</v>
      </c>
      <c r="H54" t="str">
        <f>VLOOKUP(I54, Map!$A$1:$B$33, 2, FALSE)</f>
        <v>CLE</v>
      </c>
      <c r="I54" t="s">
        <v>162</v>
      </c>
      <c r="J54">
        <v>0</v>
      </c>
      <c r="K54">
        <v>0</v>
      </c>
      <c r="L54">
        <v>0</v>
      </c>
      <c r="M54">
        <v>1</v>
      </c>
      <c r="N54">
        <v>5</v>
      </c>
      <c r="O54">
        <v>2</v>
      </c>
      <c r="P54">
        <v>21.571428000000001</v>
      </c>
      <c r="Q54">
        <v>30.714285</v>
      </c>
      <c r="R54">
        <v>64</v>
      </c>
      <c r="S54">
        <v>1</v>
      </c>
      <c r="T54">
        <v>0.71428572999999995</v>
      </c>
      <c r="U54">
        <v>1</v>
      </c>
      <c r="V54">
        <v>1</v>
      </c>
      <c r="W54">
        <v>3</v>
      </c>
      <c r="X54">
        <v>0</v>
      </c>
      <c r="Y54">
        <v>2</v>
      </c>
      <c r="Z54">
        <v>2</v>
      </c>
      <c r="AA54">
        <v>2</v>
      </c>
      <c r="AB54">
        <v>1</v>
      </c>
      <c r="AC54">
        <v>8</v>
      </c>
      <c r="AD54">
        <v>8</v>
      </c>
      <c r="AE54">
        <v>11</v>
      </c>
      <c r="AF54">
        <v>5</v>
      </c>
      <c r="AG54">
        <v>73</v>
      </c>
      <c r="AH54">
        <v>0</v>
      </c>
      <c r="AI54">
        <v>2</v>
      </c>
      <c r="AJ54">
        <v>6</v>
      </c>
      <c r="AK54">
        <v>23</v>
      </c>
      <c r="AL54">
        <v>15.75</v>
      </c>
      <c r="AM54">
        <v>-58</v>
      </c>
      <c r="AN54">
        <v>-1</v>
      </c>
      <c r="AO54">
        <v>0.25</v>
      </c>
      <c r="AP54">
        <v>0</v>
      </c>
      <c r="AQ54">
        <v>3</v>
      </c>
      <c r="AR54">
        <v>2</v>
      </c>
      <c r="AS54">
        <v>2</v>
      </c>
      <c r="AT54">
        <v>0</v>
      </c>
      <c r="AU54">
        <v>4</v>
      </c>
      <c r="AV54">
        <v>1</v>
      </c>
      <c r="AW54">
        <v>4</v>
      </c>
      <c r="AX54">
        <v>7</v>
      </c>
      <c r="AY54">
        <v>10</v>
      </c>
      <c r="AZ54">
        <v>8</v>
      </c>
      <c r="BA54">
        <v>9</v>
      </c>
      <c r="BB54">
        <v>61</v>
      </c>
      <c r="BC54">
        <v>44.5</v>
      </c>
      <c r="BD54">
        <v>-17</v>
      </c>
      <c r="BE54">
        <v>0</v>
      </c>
      <c r="BF54">
        <v>0</v>
      </c>
      <c r="BG54">
        <v>78.313999999999993</v>
      </c>
      <c r="BH54">
        <v>58.07</v>
      </c>
      <c r="BI54">
        <v>21.513999999999999</v>
      </c>
      <c r="BJ54">
        <v>91.638000000000005</v>
      </c>
      <c r="BK54">
        <v>27.582999999999998</v>
      </c>
      <c r="BL54">
        <v>87.584000000000003</v>
      </c>
      <c r="BM54">
        <v>11.981</v>
      </c>
      <c r="BN54">
        <v>21.513999999999999</v>
      </c>
      <c r="BO54">
        <v>58.07</v>
      </c>
      <c r="BP54">
        <v>0</v>
      </c>
      <c r="BQ54">
        <v>78.313999999999993</v>
      </c>
      <c r="BR54">
        <v>-11.981</v>
      </c>
      <c r="BS54">
        <v>72.417000000000002</v>
      </c>
      <c r="BT54">
        <v>8.3620000000000001</v>
      </c>
      <c r="BU54">
        <v>12.416</v>
      </c>
      <c r="BV54">
        <v>2664</v>
      </c>
      <c r="BW54">
        <v>75</v>
      </c>
      <c r="BX54">
        <v>223.57142999999999</v>
      </c>
      <c r="BY54">
        <v>23</v>
      </c>
      <c r="BZ54">
        <v>367.14285000000001</v>
      </c>
      <c r="CA54">
        <v>8.01</v>
      </c>
      <c r="CB54">
        <v>1256</v>
      </c>
      <c r="CC54">
        <v>133.714</v>
      </c>
      <c r="CD54">
        <v>4.5220000000000002</v>
      </c>
      <c r="CE54">
        <v>10</v>
      </c>
      <c r="CF54">
        <v>2959</v>
      </c>
      <c r="CG54">
        <v>16</v>
      </c>
      <c r="CH54">
        <v>233.429</v>
      </c>
      <c r="CI54">
        <v>10.68</v>
      </c>
      <c r="CJ54">
        <v>6.2610000000000001</v>
      </c>
      <c r="CK54">
        <v>24.2</v>
      </c>
      <c r="CL54">
        <v>1</v>
      </c>
      <c r="CM54">
        <v>23</v>
      </c>
      <c r="CN54">
        <v>0</v>
      </c>
      <c r="CO54">
        <v>100</v>
      </c>
      <c r="CP54">
        <v>72.727000000000004</v>
      </c>
      <c r="CQ54">
        <v>8</v>
      </c>
      <c r="CR54">
        <v>51</v>
      </c>
      <c r="CS54">
        <v>10</v>
      </c>
      <c r="CT54">
        <v>27</v>
      </c>
      <c r="CU54">
        <v>14</v>
      </c>
      <c r="CV54">
        <v>8</v>
      </c>
      <c r="CW54">
        <v>16</v>
      </c>
      <c r="CX54">
        <v>215</v>
      </c>
      <c r="CY54">
        <v>19.856999999999999</v>
      </c>
      <c r="CZ54">
        <v>61.537999999999997</v>
      </c>
      <c r="DA54">
        <v>37.646999999999998</v>
      </c>
      <c r="DB54">
        <v>74.88</v>
      </c>
      <c r="DC54">
        <v>6</v>
      </c>
      <c r="DD54">
        <v>1756</v>
      </c>
      <c r="DE54">
        <v>58.94</v>
      </c>
      <c r="DF54">
        <v>174.125</v>
      </c>
      <c r="DG54">
        <v>14</v>
      </c>
      <c r="DH54">
        <v>279.125</v>
      </c>
      <c r="DI54">
        <v>4.9870000000000001</v>
      </c>
      <c r="DJ54">
        <v>896</v>
      </c>
      <c r="DK54">
        <v>89.5</v>
      </c>
      <c r="DL54">
        <v>3.7679999999999998</v>
      </c>
      <c r="DM54">
        <v>6</v>
      </c>
      <c r="DN54">
        <v>2652</v>
      </c>
      <c r="DO54">
        <v>7</v>
      </c>
      <c r="DP54">
        <v>189.625</v>
      </c>
      <c r="DQ54">
        <v>8.4610000000000003</v>
      </c>
      <c r="DR54">
        <v>6.9169999999999998</v>
      </c>
      <c r="DS54">
        <v>4.3029999999999999</v>
      </c>
      <c r="DT54">
        <v>1</v>
      </c>
      <c r="DU54">
        <v>24</v>
      </c>
      <c r="DV54">
        <v>0</v>
      </c>
      <c r="DW54">
        <v>92.308000000000007</v>
      </c>
      <c r="DX54">
        <v>76.923000000000002</v>
      </c>
      <c r="DY54">
        <v>10</v>
      </c>
      <c r="DZ54">
        <v>42</v>
      </c>
      <c r="EA54">
        <v>11.412000000000001</v>
      </c>
      <c r="EB54">
        <v>16</v>
      </c>
      <c r="EC54">
        <v>42</v>
      </c>
      <c r="ED54">
        <v>6</v>
      </c>
      <c r="EE54">
        <v>7</v>
      </c>
      <c r="EF54">
        <v>126</v>
      </c>
      <c r="EG54">
        <v>16.75</v>
      </c>
      <c r="EH54">
        <v>57.895000000000003</v>
      </c>
      <c r="EI54">
        <v>33.042999999999999</v>
      </c>
      <c r="EJ54">
        <v>69.39</v>
      </c>
      <c r="EK54">
        <v>0</v>
      </c>
    </row>
    <row r="55" spans="1:141" x14ac:dyDescent="0.25">
      <c r="A55">
        <v>55</v>
      </c>
      <c r="B55">
        <v>29</v>
      </c>
      <c r="C55">
        <v>1</v>
      </c>
      <c r="D55">
        <v>2025</v>
      </c>
      <c r="E55">
        <v>4</v>
      </c>
      <c r="F55" t="str">
        <f>VLOOKUP(G55, Map!$A$1:$B$33, 2, FALSE)</f>
        <v>NE</v>
      </c>
      <c r="G55" t="s">
        <v>151</v>
      </c>
      <c r="H55" t="str">
        <f>VLOOKUP(I55, Map!$A$1:$B$33, 2, FALSE)</f>
        <v>CAR</v>
      </c>
      <c r="I55" t="s">
        <v>142</v>
      </c>
      <c r="J55">
        <v>0</v>
      </c>
      <c r="K55">
        <v>0</v>
      </c>
      <c r="L55">
        <v>0</v>
      </c>
      <c r="M55">
        <v>1</v>
      </c>
      <c r="N55">
        <v>6</v>
      </c>
      <c r="O55">
        <v>2</v>
      </c>
      <c r="P55">
        <v>18.25</v>
      </c>
      <c r="Q55">
        <v>26.625</v>
      </c>
      <c r="R55">
        <v>67</v>
      </c>
      <c r="S55">
        <v>5</v>
      </c>
      <c r="T55">
        <v>0.75</v>
      </c>
      <c r="U55">
        <v>2</v>
      </c>
      <c r="V55">
        <v>0</v>
      </c>
      <c r="W55">
        <v>2</v>
      </c>
      <c r="X55">
        <v>2</v>
      </c>
      <c r="Y55">
        <v>4</v>
      </c>
      <c r="Z55">
        <v>0</v>
      </c>
      <c r="AA55">
        <v>4</v>
      </c>
      <c r="AB55">
        <v>2</v>
      </c>
      <c r="AC55">
        <v>8</v>
      </c>
      <c r="AD55">
        <v>9</v>
      </c>
      <c r="AE55">
        <v>7</v>
      </c>
      <c r="AF55">
        <v>9</v>
      </c>
      <c r="AG55">
        <v>61</v>
      </c>
      <c r="AH55">
        <v>0</v>
      </c>
      <c r="AI55">
        <v>4</v>
      </c>
      <c r="AJ55">
        <v>4</v>
      </c>
      <c r="AK55">
        <v>24</v>
      </c>
      <c r="AL55">
        <v>19.25</v>
      </c>
      <c r="AM55">
        <v>-38</v>
      </c>
      <c r="AN55">
        <v>-1</v>
      </c>
      <c r="AO55">
        <v>0.5</v>
      </c>
      <c r="AP55">
        <v>1</v>
      </c>
      <c r="AQ55">
        <v>0</v>
      </c>
      <c r="AR55">
        <v>3</v>
      </c>
      <c r="AS55">
        <v>1</v>
      </c>
      <c r="AT55">
        <v>1</v>
      </c>
      <c r="AU55">
        <v>3</v>
      </c>
      <c r="AV55">
        <v>2</v>
      </c>
      <c r="AW55">
        <v>1</v>
      </c>
      <c r="AX55">
        <v>7</v>
      </c>
      <c r="AY55">
        <v>10</v>
      </c>
      <c r="AZ55">
        <v>9</v>
      </c>
      <c r="BA55">
        <v>8</v>
      </c>
      <c r="BB55">
        <v>58</v>
      </c>
      <c r="BC55">
        <v>48.5</v>
      </c>
      <c r="BD55">
        <v>-16.25</v>
      </c>
      <c r="BE55">
        <v>0</v>
      </c>
      <c r="BF55">
        <v>0</v>
      </c>
      <c r="BG55">
        <v>56.895000000000003</v>
      </c>
      <c r="BH55">
        <v>30.91</v>
      </c>
      <c r="BI55">
        <v>42.762</v>
      </c>
      <c r="BJ55">
        <v>57.859000000000002</v>
      </c>
      <c r="BK55">
        <v>96.433999999999997</v>
      </c>
      <c r="BL55">
        <v>97.635000000000005</v>
      </c>
      <c r="BM55">
        <v>2.2869999999999999</v>
      </c>
      <c r="BN55">
        <v>42.762</v>
      </c>
      <c r="BO55">
        <v>30.91</v>
      </c>
      <c r="BP55">
        <v>0</v>
      </c>
      <c r="BQ55">
        <v>56.895000000000003</v>
      </c>
      <c r="BR55">
        <v>-2.2869999999999999</v>
      </c>
      <c r="BS55">
        <v>3.5659999999999998</v>
      </c>
      <c r="BT55">
        <v>42.140999999999998</v>
      </c>
      <c r="BU55">
        <v>2.3650000000000002</v>
      </c>
      <c r="BV55">
        <v>2965</v>
      </c>
      <c r="BW55">
        <v>75</v>
      </c>
      <c r="BX55">
        <v>240.5</v>
      </c>
      <c r="BY55">
        <v>29</v>
      </c>
      <c r="BZ55">
        <v>367.375</v>
      </c>
      <c r="CA55">
        <v>8.7940000000000005</v>
      </c>
      <c r="CB55">
        <v>1056</v>
      </c>
      <c r="CC55">
        <v>112.625</v>
      </c>
      <c r="CD55">
        <v>3.9340000000000002</v>
      </c>
      <c r="CE55">
        <v>7</v>
      </c>
      <c r="CF55">
        <v>3418</v>
      </c>
      <c r="CG55">
        <v>15</v>
      </c>
      <c r="CH55">
        <v>254.75</v>
      </c>
      <c r="CI55">
        <v>11.725</v>
      </c>
      <c r="CJ55">
        <v>6.3159999999999998</v>
      </c>
      <c r="CK55">
        <v>3.7410000000000001</v>
      </c>
      <c r="CL55">
        <v>4</v>
      </c>
      <c r="CM55">
        <v>19</v>
      </c>
      <c r="CN55">
        <v>0</v>
      </c>
      <c r="CO55">
        <v>91.304000000000002</v>
      </c>
      <c r="CP55">
        <v>92.308000000000007</v>
      </c>
      <c r="CQ55">
        <v>12</v>
      </c>
      <c r="CR55">
        <v>57</v>
      </c>
      <c r="CS55">
        <v>16.8</v>
      </c>
      <c r="CT55">
        <v>27</v>
      </c>
      <c r="CU55">
        <v>10</v>
      </c>
      <c r="CV55">
        <v>14</v>
      </c>
      <c r="CW55">
        <v>15</v>
      </c>
      <c r="CX55">
        <v>213</v>
      </c>
      <c r="CY55">
        <v>20.375</v>
      </c>
      <c r="CZ55">
        <v>83.332999999999998</v>
      </c>
      <c r="DA55">
        <v>39.784999999999997</v>
      </c>
      <c r="DB55">
        <v>67</v>
      </c>
      <c r="DC55">
        <v>2</v>
      </c>
      <c r="DD55">
        <v>2241</v>
      </c>
      <c r="DE55">
        <v>62.451999999999998</v>
      </c>
      <c r="DF55">
        <v>179.5</v>
      </c>
      <c r="DG55">
        <v>19</v>
      </c>
      <c r="DH55">
        <v>334.5</v>
      </c>
      <c r="DI55">
        <v>6.0570000000000004</v>
      </c>
      <c r="DJ55">
        <v>1145</v>
      </c>
      <c r="DK55">
        <v>136.875</v>
      </c>
      <c r="DL55">
        <v>4.6399999999999997</v>
      </c>
      <c r="DM55">
        <v>4</v>
      </c>
      <c r="DN55">
        <v>2816</v>
      </c>
      <c r="DO55">
        <v>12</v>
      </c>
      <c r="DP55">
        <v>197.625</v>
      </c>
      <c r="DQ55">
        <v>9.6989999999999998</v>
      </c>
      <c r="DR55">
        <v>6.8460000000000001</v>
      </c>
      <c r="DS55">
        <v>4.75</v>
      </c>
      <c r="DT55">
        <v>1</v>
      </c>
      <c r="DU55">
        <v>13</v>
      </c>
      <c r="DV55">
        <v>0</v>
      </c>
      <c r="DW55">
        <v>86.667000000000002</v>
      </c>
      <c r="DX55">
        <v>86.667000000000002</v>
      </c>
      <c r="DY55">
        <v>13</v>
      </c>
      <c r="DZ55">
        <v>52</v>
      </c>
      <c r="EA55">
        <v>16.411999999999999</v>
      </c>
      <c r="EB55">
        <v>11</v>
      </c>
      <c r="EC55">
        <v>27</v>
      </c>
      <c r="ED55">
        <v>6</v>
      </c>
      <c r="EE55">
        <v>12</v>
      </c>
      <c r="EF55">
        <v>154</v>
      </c>
      <c r="EG55">
        <v>20.75</v>
      </c>
      <c r="EH55">
        <v>68.421000000000006</v>
      </c>
      <c r="EI55">
        <v>37.255000000000003</v>
      </c>
      <c r="EJ55">
        <v>70.83</v>
      </c>
      <c r="EK55">
        <v>-5</v>
      </c>
    </row>
    <row r="56" spans="1:141" x14ac:dyDescent="0.25">
      <c r="A56">
        <v>39</v>
      </c>
      <c r="B56">
        <v>3</v>
      </c>
      <c r="C56">
        <v>1</v>
      </c>
      <c r="D56">
        <v>2025</v>
      </c>
      <c r="E56">
        <v>4</v>
      </c>
      <c r="F56" t="str">
        <f>VLOOKUP(G56, Map!$A$1:$B$33, 2, FALSE)</f>
        <v>NYG</v>
      </c>
      <c r="G56" t="s">
        <v>149</v>
      </c>
      <c r="H56" t="str">
        <f>VLOOKUP(I56, Map!$A$1:$B$33, 2, FALSE)</f>
        <v>LAC</v>
      </c>
      <c r="I56" t="s">
        <v>160</v>
      </c>
      <c r="J56">
        <v>0</v>
      </c>
      <c r="K56">
        <v>0</v>
      </c>
      <c r="L56">
        <v>0</v>
      </c>
      <c r="M56">
        <v>1</v>
      </c>
      <c r="N56">
        <v>2</v>
      </c>
      <c r="O56">
        <v>6</v>
      </c>
      <c r="P56">
        <v>26.875</v>
      </c>
      <c r="Q56">
        <v>21.625</v>
      </c>
      <c r="R56">
        <v>-42</v>
      </c>
      <c r="S56">
        <v>-2</v>
      </c>
      <c r="T56">
        <v>0.25</v>
      </c>
      <c r="U56">
        <v>1</v>
      </c>
      <c r="V56">
        <v>3</v>
      </c>
      <c r="W56">
        <v>2</v>
      </c>
      <c r="X56">
        <v>1</v>
      </c>
      <c r="Y56">
        <v>0</v>
      </c>
      <c r="Z56">
        <v>5</v>
      </c>
      <c r="AA56">
        <v>1</v>
      </c>
      <c r="AB56">
        <v>4</v>
      </c>
      <c r="AC56">
        <v>10</v>
      </c>
      <c r="AD56">
        <v>7</v>
      </c>
      <c r="AE56">
        <v>14</v>
      </c>
      <c r="AF56">
        <v>4</v>
      </c>
      <c r="AG56">
        <v>67</v>
      </c>
      <c r="AH56">
        <v>0</v>
      </c>
      <c r="AI56">
        <v>5</v>
      </c>
      <c r="AJ56">
        <v>3</v>
      </c>
      <c r="AK56">
        <v>21.625</v>
      </c>
      <c r="AL56">
        <v>23.5</v>
      </c>
      <c r="AM56">
        <v>15</v>
      </c>
      <c r="AN56">
        <v>1</v>
      </c>
      <c r="AO56">
        <v>0.625</v>
      </c>
      <c r="AP56">
        <v>3</v>
      </c>
      <c r="AQ56">
        <v>0</v>
      </c>
      <c r="AR56">
        <v>3</v>
      </c>
      <c r="AS56">
        <v>2</v>
      </c>
      <c r="AT56">
        <v>2</v>
      </c>
      <c r="AU56">
        <v>1</v>
      </c>
      <c r="AV56">
        <v>4</v>
      </c>
      <c r="AW56">
        <v>1</v>
      </c>
      <c r="AX56">
        <v>10</v>
      </c>
      <c r="AY56">
        <v>7</v>
      </c>
      <c r="AZ56">
        <v>11</v>
      </c>
      <c r="BA56">
        <v>5</v>
      </c>
      <c r="BB56">
        <v>65</v>
      </c>
      <c r="BC56">
        <v>41.5</v>
      </c>
      <c r="BD56">
        <v>1.5</v>
      </c>
      <c r="BE56">
        <v>0</v>
      </c>
      <c r="BF56">
        <v>0</v>
      </c>
      <c r="BG56">
        <v>25.166</v>
      </c>
      <c r="BH56">
        <v>50.701000000000001</v>
      </c>
      <c r="BI56">
        <v>74.632000000000005</v>
      </c>
      <c r="BJ56">
        <v>77.504999999999995</v>
      </c>
      <c r="BK56">
        <v>35.387</v>
      </c>
      <c r="BL56">
        <v>58.381999999999998</v>
      </c>
      <c r="BM56">
        <v>-10.273</v>
      </c>
      <c r="BN56">
        <v>74.632000000000005</v>
      </c>
      <c r="BO56">
        <v>50.701000000000001</v>
      </c>
      <c r="BP56">
        <v>0</v>
      </c>
      <c r="BQ56">
        <v>25.166</v>
      </c>
      <c r="BR56">
        <v>10.273</v>
      </c>
      <c r="BS56">
        <v>64.613</v>
      </c>
      <c r="BT56">
        <v>22.495000000000001</v>
      </c>
      <c r="BU56">
        <v>41.618000000000002</v>
      </c>
      <c r="BV56">
        <v>2348</v>
      </c>
      <c r="BW56">
        <v>59.448999999999998</v>
      </c>
      <c r="BX56">
        <v>207.25</v>
      </c>
      <c r="BY56">
        <v>23</v>
      </c>
      <c r="BZ56">
        <v>339.25</v>
      </c>
      <c r="CA56">
        <v>6.9210000000000003</v>
      </c>
      <c r="CB56">
        <v>1249</v>
      </c>
      <c r="CC56">
        <v>118</v>
      </c>
      <c r="CD56">
        <v>4.0339999999999998</v>
      </c>
      <c r="CE56">
        <v>10</v>
      </c>
      <c r="CF56">
        <v>2910</v>
      </c>
      <c r="CG56">
        <v>11</v>
      </c>
      <c r="CH56">
        <v>221.25</v>
      </c>
      <c r="CI56">
        <v>11.641999999999999</v>
      </c>
      <c r="CJ56">
        <v>7.2629999999999999</v>
      </c>
      <c r="CK56">
        <v>5.1740000000000004</v>
      </c>
      <c r="CL56">
        <v>0</v>
      </c>
      <c r="CM56">
        <v>19</v>
      </c>
      <c r="CN56">
        <v>0</v>
      </c>
      <c r="CO56">
        <v>78.947000000000003</v>
      </c>
      <c r="CP56">
        <v>100</v>
      </c>
      <c r="CQ56">
        <v>10</v>
      </c>
      <c r="CR56">
        <v>45</v>
      </c>
      <c r="CS56">
        <v>7.1539999999999999</v>
      </c>
      <c r="CT56">
        <v>32</v>
      </c>
      <c r="CU56">
        <v>12</v>
      </c>
      <c r="CV56">
        <v>0</v>
      </c>
      <c r="CW56">
        <v>11</v>
      </c>
      <c r="CX56">
        <v>173</v>
      </c>
      <c r="CY56">
        <v>20.625</v>
      </c>
      <c r="CZ56">
        <v>52.941000000000003</v>
      </c>
      <c r="DA56">
        <v>39.814999999999998</v>
      </c>
      <c r="DB56">
        <v>59.26</v>
      </c>
      <c r="DC56">
        <v>-4</v>
      </c>
      <c r="DD56">
        <v>3094</v>
      </c>
      <c r="DE56">
        <v>68</v>
      </c>
      <c r="DF56">
        <v>255.375</v>
      </c>
      <c r="DG56">
        <v>26</v>
      </c>
      <c r="DH56">
        <v>396.125</v>
      </c>
      <c r="DI56">
        <v>7.28</v>
      </c>
      <c r="DJ56">
        <v>1030</v>
      </c>
      <c r="DK56">
        <v>123.125</v>
      </c>
      <c r="DL56">
        <v>4.8520000000000003</v>
      </c>
      <c r="DM56">
        <v>3</v>
      </c>
      <c r="DN56">
        <v>3764</v>
      </c>
      <c r="DO56">
        <v>16</v>
      </c>
      <c r="DP56">
        <v>273</v>
      </c>
      <c r="DQ56">
        <v>10.706</v>
      </c>
      <c r="DR56">
        <v>5.5910000000000002</v>
      </c>
      <c r="DS56">
        <v>5.05</v>
      </c>
      <c r="DT56">
        <v>0</v>
      </c>
      <c r="DU56">
        <v>22</v>
      </c>
      <c r="DV56">
        <v>0</v>
      </c>
      <c r="DW56">
        <v>100</v>
      </c>
      <c r="DX56">
        <v>94.736999999999995</v>
      </c>
      <c r="DY56">
        <v>18</v>
      </c>
      <c r="DZ56">
        <v>72</v>
      </c>
      <c r="EA56">
        <v>12.5</v>
      </c>
      <c r="EB56">
        <v>8</v>
      </c>
      <c r="EC56">
        <v>20</v>
      </c>
      <c r="ED56">
        <v>0</v>
      </c>
      <c r="EE56">
        <v>16</v>
      </c>
      <c r="EF56">
        <v>188</v>
      </c>
      <c r="EG56">
        <v>21.875</v>
      </c>
      <c r="EH56">
        <v>70</v>
      </c>
      <c r="EI56">
        <v>48.673000000000002</v>
      </c>
      <c r="EJ56">
        <v>61.73</v>
      </c>
      <c r="EK56">
        <v>-3</v>
      </c>
    </row>
    <row r="57" spans="1:141" x14ac:dyDescent="0.25">
      <c r="A57">
        <v>56</v>
      </c>
      <c r="B57">
        <v>-6</v>
      </c>
      <c r="C57">
        <v>0</v>
      </c>
      <c r="D57">
        <v>2025</v>
      </c>
      <c r="E57">
        <v>4</v>
      </c>
      <c r="F57" t="str">
        <f>VLOOKUP(G57, Map!$A$1:$B$33, 2, FALSE)</f>
        <v>TB</v>
      </c>
      <c r="G57" t="s">
        <v>141</v>
      </c>
      <c r="H57" t="str">
        <f>VLOOKUP(I57, Map!$A$1:$B$33, 2, FALSE)</f>
        <v>PHI</v>
      </c>
      <c r="I57" t="s">
        <v>147</v>
      </c>
      <c r="J57">
        <v>0</v>
      </c>
      <c r="K57">
        <v>0</v>
      </c>
      <c r="L57">
        <v>0</v>
      </c>
      <c r="M57">
        <v>0</v>
      </c>
      <c r="N57">
        <v>6</v>
      </c>
      <c r="O57">
        <v>2</v>
      </c>
      <c r="P57">
        <v>22.25</v>
      </c>
      <c r="Q57">
        <v>24.625</v>
      </c>
      <c r="R57">
        <v>19</v>
      </c>
      <c r="S57">
        <v>1</v>
      </c>
      <c r="T57">
        <v>0.75</v>
      </c>
      <c r="U57">
        <v>2</v>
      </c>
      <c r="V57">
        <v>0</v>
      </c>
      <c r="W57">
        <v>2</v>
      </c>
      <c r="X57">
        <v>1</v>
      </c>
      <c r="Y57">
        <v>4</v>
      </c>
      <c r="Z57">
        <v>1</v>
      </c>
      <c r="AA57">
        <v>4</v>
      </c>
      <c r="AB57">
        <v>2</v>
      </c>
      <c r="AC57">
        <v>8</v>
      </c>
      <c r="AD57">
        <v>9</v>
      </c>
      <c r="AE57">
        <v>4</v>
      </c>
      <c r="AF57">
        <v>12</v>
      </c>
      <c r="AG57">
        <v>59</v>
      </c>
      <c r="AH57">
        <v>1</v>
      </c>
      <c r="AI57">
        <v>6</v>
      </c>
      <c r="AJ57">
        <v>2</v>
      </c>
      <c r="AK57">
        <v>23.125</v>
      </c>
      <c r="AL57">
        <v>26</v>
      </c>
      <c r="AM57">
        <v>23</v>
      </c>
      <c r="AN57">
        <v>2</v>
      </c>
      <c r="AO57">
        <v>0.75</v>
      </c>
      <c r="AP57">
        <v>2</v>
      </c>
      <c r="AQ57">
        <v>1</v>
      </c>
      <c r="AR57">
        <v>3</v>
      </c>
      <c r="AS57">
        <v>1</v>
      </c>
      <c r="AT57">
        <v>3</v>
      </c>
      <c r="AU57">
        <v>1</v>
      </c>
      <c r="AV57">
        <v>5</v>
      </c>
      <c r="AW57">
        <v>1</v>
      </c>
      <c r="AX57">
        <v>16</v>
      </c>
      <c r="AY57">
        <v>3</v>
      </c>
      <c r="AZ57">
        <v>10</v>
      </c>
      <c r="BA57">
        <v>9</v>
      </c>
      <c r="BB57">
        <v>63</v>
      </c>
      <c r="BC57">
        <v>51.5</v>
      </c>
      <c r="BD57">
        <v>3.5</v>
      </c>
      <c r="BE57">
        <v>0</v>
      </c>
      <c r="BF57">
        <v>0</v>
      </c>
      <c r="BG57">
        <v>44.222000000000001</v>
      </c>
      <c r="BH57">
        <v>74.694000000000003</v>
      </c>
      <c r="BI57">
        <v>55.421999999999997</v>
      </c>
      <c r="BJ57">
        <v>62.548999999999999</v>
      </c>
      <c r="BK57">
        <v>13.994</v>
      </c>
      <c r="BL57">
        <v>22.488</v>
      </c>
      <c r="BM57">
        <v>-1.921</v>
      </c>
      <c r="BN57">
        <v>55.421999999999997</v>
      </c>
      <c r="BO57">
        <v>74.694000000000003</v>
      </c>
      <c r="BP57">
        <v>0</v>
      </c>
      <c r="BQ57">
        <v>44.222000000000001</v>
      </c>
      <c r="BR57">
        <v>1.921</v>
      </c>
      <c r="BS57">
        <v>86.006</v>
      </c>
      <c r="BT57">
        <v>37.451000000000001</v>
      </c>
      <c r="BU57">
        <v>77.512</v>
      </c>
      <c r="BV57">
        <v>2769</v>
      </c>
      <c r="BW57">
        <v>63.941000000000003</v>
      </c>
      <c r="BX57">
        <v>224.875</v>
      </c>
      <c r="BY57">
        <v>29</v>
      </c>
      <c r="BZ57">
        <v>338</v>
      </c>
      <c r="CA57">
        <v>7.1340000000000003</v>
      </c>
      <c r="CB57">
        <v>950</v>
      </c>
      <c r="CC57">
        <v>98.125</v>
      </c>
      <c r="CD57">
        <v>3.8479999999999999</v>
      </c>
      <c r="CE57">
        <v>6</v>
      </c>
      <c r="CF57">
        <v>3234</v>
      </c>
      <c r="CG57">
        <v>13</v>
      </c>
      <c r="CH57">
        <v>239.875</v>
      </c>
      <c r="CI57">
        <v>11.157</v>
      </c>
      <c r="CJ57">
        <v>7.8</v>
      </c>
      <c r="CK57">
        <v>6.8</v>
      </c>
      <c r="CL57">
        <v>2</v>
      </c>
      <c r="CM57">
        <v>25</v>
      </c>
      <c r="CN57">
        <v>0</v>
      </c>
      <c r="CO57">
        <v>94.117999999999995</v>
      </c>
      <c r="CP57">
        <v>80.951999999999998</v>
      </c>
      <c r="CQ57">
        <v>17</v>
      </c>
      <c r="CR57">
        <v>67</v>
      </c>
      <c r="CS57">
        <v>14.667</v>
      </c>
      <c r="CT57">
        <v>32</v>
      </c>
      <c r="CU57">
        <v>12</v>
      </c>
      <c r="CV57">
        <v>14</v>
      </c>
      <c r="CW57">
        <v>13</v>
      </c>
      <c r="CX57">
        <v>197</v>
      </c>
      <c r="CY57">
        <v>18.875</v>
      </c>
      <c r="CZ57">
        <v>50</v>
      </c>
      <c r="DA57">
        <v>36.274999999999999</v>
      </c>
      <c r="DB57">
        <v>55.19</v>
      </c>
      <c r="DC57">
        <v>7</v>
      </c>
      <c r="DD57">
        <v>2679</v>
      </c>
      <c r="DE57">
        <v>70.233000000000004</v>
      </c>
      <c r="DF57">
        <v>192.75</v>
      </c>
      <c r="DG57">
        <v>23</v>
      </c>
      <c r="DH57">
        <v>321.25</v>
      </c>
      <c r="DI57">
        <v>7.7160000000000002</v>
      </c>
      <c r="DJ57">
        <v>1178</v>
      </c>
      <c r="DK57">
        <v>111.625</v>
      </c>
      <c r="DL57">
        <v>4.0960000000000001</v>
      </c>
      <c r="DM57">
        <v>9</v>
      </c>
      <c r="DN57">
        <v>2957</v>
      </c>
      <c r="DO57">
        <v>15</v>
      </c>
      <c r="DP57">
        <v>209.625</v>
      </c>
      <c r="DQ57">
        <v>10.987</v>
      </c>
      <c r="DR57">
        <v>4.75</v>
      </c>
      <c r="DS57">
        <v>3.75</v>
      </c>
      <c r="DT57">
        <v>3</v>
      </c>
      <c r="DU57">
        <v>16</v>
      </c>
      <c r="DV57">
        <v>0</v>
      </c>
      <c r="DW57">
        <v>100</v>
      </c>
      <c r="DX57">
        <v>77.778000000000006</v>
      </c>
      <c r="DY57">
        <v>7</v>
      </c>
      <c r="DZ57">
        <v>46</v>
      </c>
      <c r="EA57">
        <v>13.55</v>
      </c>
      <c r="EB57">
        <v>7</v>
      </c>
      <c r="EC57">
        <v>34</v>
      </c>
      <c r="ED57">
        <v>6</v>
      </c>
      <c r="EE57">
        <v>15</v>
      </c>
      <c r="EF57">
        <v>208</v>
      </c>
      <c r="EG57">
        <v>17.875</v>
      </c>
      <c r="EH57">
        <v>78.570999999999998</v>
      </c>
      <c r="EI57">
        <v>33.332999999999998</v>
      </c>
      <c r="EJ57">
        <v>87.14</v>
      </c>
      <c r="EK57">
        <v>4</v>
      </c>
    </row>
    <row r="58" spans="1:141" x14ac:dyDescent="0.25">
      <c r="A58">
        <v>26</v>
      </c>
      <c r="B58">
        <v>26</v>
      </c>
      <c r="C58">
        <v>1</v>
      </c>
      <c r="D58">
        <v>2025</v>
      </c>
      <c r="E58">
        <v>4</v>
      </c>
      <c r="F58" t="str">
        <f>VLOOKUP(G58, Map!$A$1:$B$33, 2, FALSE)</f>
        <v>HOU</v>
      </c>
      <c r="G58" t="s">
        <v>137</v>
      </c>
      <c r="H58" t="str">
        <f>VLOOKUP(I58, Map!$A$1:$B$33, 2, FALSE)</f>
        <v>TEN</v>
      </c>
      <c r="I58" t="s">
        <v>140</v>
      </c>
      <c r="J58">
        <v>0</v>
      </c>
      <c r="K58">
        <v>0</v>
      </c>
      <c r="L58">
        <v>0</v>
      </c>
      <c r="M58">
        <v>1</v>
      </c>
      <c r="N58">
        <v>3</v>
      </c>
      <c r="O58">
        <v>4</v>
      </c>
      <c r="P58">
        <v>14.714286</v>
      </c>
      <c r="Q58">
        <v>21.857143000000001</v>
      </c>
      <c r="R58">
        <v>50</v>
      </c>
      <c r="S58">
        <v>1</v>
      </c>
      <c r="T58">
        <v>0.42857142999999998</v>
      </c>
      <c r="U58">
        <v>1</v>
      </c>
      <c r="V58">
        <v>1</v>
      </c>
      <c r="W58">
        <v>2</v>
      </c>
      <c r="X58">
        <v>1</v>
      </c>
      <c r="Y58">
        <v>1</v>
      </c>
      <c r="Z58">
        <v>3</v>
      </c>
      <c r="AA58">
        <v>2</v>
      </c>
      <c r="AB58">
        <v>1</v>
      </c>
      <c r="AC58">
        <v>3</v>
      </c>
      <c r="AD58">
        <v>13</v>
      </c>
      <c r="AE58">
        <v>8</v>
      </c>
      <c r="AF58">
        <v>8</v>
      </c>
      <c r="AG58">
        <v>69</v>
      </c>
      <c r="AH58">
        <v>0</v>
      </c>
      <c r="AI58">
        <v>1</v>
      </c>
      <c r="AJ58">
        <v>7</v>
      </c>
      <c r="AK58">
        <v>28.75</v>
      </c>
      <c r="AL58">
        <v>13.75</v>
      </c>
      <c r="AM58">
        <v>-120</v>
      </c>
      <c r="AN58">
        <v>-3</v>
      </c>
      <c r="AO58">
        <v>0.125</v>
      </c>
      <c r="AP58">
        <v>0</v>
      </c>
      <c r="AQ58">
        <v>3</v>
      </c>
      <c r="AR58">
        <v>0</v>
      </c>
      <c r="AS58">
        <v>3</v>
      </c>
      <c r="AT58">
        <v>1</v>
      </c>
      <c r="AU58">
        <v>4</v>
      </c>
      <c r="AV58">
        <v>0</v>
      </c>
      <c r="AW58">
        <v>6</v>
      </c>
      <c r="AX58">
        <v>7</v>
      </c>
      <c r="AY58">
        <v>9</v>
      </c>
      <c r="AZ58">
        <v>8</v>
      </c>
      <c r="BA58">
        <v>7</v>
      </c>
      <c r="BB58">
        <v>59</v>
      </c>
      <c r="BC58">
        <v>32</v>
      </c>
      <c r="BD58">
        <v>-13.5</v>
      </c>
      <c r="BE58">
        <v>0</v>
      </c>
      <c r="BF58">
        <v>0</v>
      </c>
      <c r="BG58">
        <v>69.411000000000001</v>
      </c>
      <c r="BH58">
        <v>22.495999999999999</v>
      </c>
      <c r="BI58">
        <v>30.344999999999999</v>
      </c>
      <c r="BJ58">
        <v>89.924999999999997</v>
      </c>
      <c r="BK58">
        <v>59.198999999999998</v>
      </c>
      <c r="BL58">
        <v>88.616</v>
      </c>
      <c r="BM58">
        <v>7.7709999999999999</v>
      </c>
      <c r="BN58">
        <v>30.344999999999999</v>
      </c>
      <c r="BO58">
        <v>22.495999999999999</v>
      </c>
      <c r="BP58">
        <v>0</v>
      </c>
      <c r="BQ58">
        <v>69.411000000000001</v>
      </c>
      <c r="BR58">
        <v>-7.7709999999999999</v>
      </c>
      <c r="BS58">
        <v>40.801000000000002</v>
      </c>
      <c r="BT58">
        <v>10.074999999999999</v>
      </c>
      <c r="BU58">
        <v>11.384</v>
      </c>
      <c r="BV58">
        <v>2266</v>
      </c>
      <c r="BW58">
        <v>66.525000000000006</v>
      </c>
      <c r="BX58">
        <v>215.28572</v>
      </c>
      <c r="BY58">
        <v>22</v>
      </c>
      <c r="BZ58">
        <v>348.57144</v>
      </c>
      <c r="CA58">
        <v>6.9749999999999996</v>
      </c>
      <c r="CB58">
        <v>869</v>
      </c>
      <c r="CC58">
        <v>113.429</v>
      </c>
      <c r="CD58">
        <v>4.2690000000000001</v>
      </c>
      <c r="CE58">
        <v>3</v>
      </c>
      <c r="CF58">
        <v>2816</v>
      </c>
      <c r="CG58">
        <v>11</v>
      </c>
      <c r="CH58">
        <v>235.143</v>
      </c>
      <c r="CI58">
        <v>10.484</v>
      </c>
      <c r="CJ58">
        <v>7.875</v>
      </c>
      <c r="CK58">
        <v>6.1109999999999998</v>
      </c>
      <c r="CL58">
        <v>1</v>
      </c>
      <c r="CM58">
        <v>16</v>
      </c>
      <c r="CN58">
        <v>0</v>
      </c>
      <c r="CO58">
        <v>100</v>
      </c>
      <c r="CP58">
        <v>89.474000000000004</v>
      </c>
      <c r="CQ58">
        <v>17</v>
      </c>
      <c r="CR58">
        <v>63</v>
      </c>
      <c r="CS58">
        <v>11.545</v>
      </c>
      <c r="CT58">
        <v>27</v>
      </c>
      <c r="CU58">
        <v>9</v>
      </c>
      <c r="CV58">
        <v>6</v>
      </c>
      <c r="CW58">
        <v>11</v>
      </c>
      <c r="CX58">
        <v>153</v>
      </c>
      <c r="CY58">
        <v>18.713999999999999</v>
      </c>
      <c r="CZ58">
        <v>66.667000000000002</v>
      </c>
      <c r="DA58">
        <v>35.164999999999999</v>
      </c>
      <c r="DB58">
        <v>60.15</v>
      </c>
      <c r="DC58">
        <v>4</v>
      </c>
      <c r="DD58">
        <v>1785</v>
      </c>
      <c r="DE58">
        <v>57.664000000000001</v>
      </c>
      <c r="DF58">
        <v>168.375</v>
      </c>
      <c r="DG58">
        <v>21</v>
      </c>
      <c r="DH58">
        <v>282.25</v>
      </c>
      <c r="DI58">
        <v>5.8940000000000001</v>
      </c>
      <c r="DJ58">
        <v>643</v>
      </c>
      <c r="DK58">
        <v>80.375</v>
      </c>
      <c r="DL58">
        <v>3.9209999999999998</v>
      </c>
      <c r="DM58">
        <v>3</v>
      </c>
      <c r="DN58">
        <v>2580</v>
      </c>
      <c r="DO58">
        <v>5</v>
      </c>
      <c r="DP58">
        <v>201.875</v>
      </c>
      <c r="DQ58">
        <v>10.222</v>
      </c>
      <c r="DR58">
        <v>6.8129999999999997</v>
      </c>
      <c r="DS58">
        <v>4.8949999999999996</v>
      </c>
      <c r="DT58">
        <v>0</v>
      </c>
      <c r="DU58">
        <v>16</v>
      </c>
      <c r="DV58">
        <v>0</v>
      </c>
      <c r="DW58">
        <v>88.888999999999996</v>
      </c>
      <c r="DX58">
        <v>76.19</v>
      </c>
      <c r="DY58">
        <v>16</v>
      </c>
      <c r="DZ58">
        <v>56</v>
      </c>
      <c r="EA58">
        <v>10.75</v>
      </c>
      <c r="EB58">
        <v>12</v>
      </c>
      <c r="EC58">
        <v>37</v>
      </c>
      <c r="ED58">
        <v>6</v>
      </c>
      <c r="EE58">
        <v>5</v>
      </c>
      <c r="EF58">
        <v>110</v>
      </c>
      <c r="EG58">
        <v>15.875</v>
      </c>
      <c r="EH58">
        <v>38.462000000000003</v>
      </c>
      <c r="EI58">
        <v>29.907</v>
      </c>
      <c r="EJ58">
        <v>65.31</v>
      </c>
      <c r="EK58">
        <v>-4</v>
      </c>
    </row>
    <row r="59" spans="1:141" x14ac:dyDescent="0.25">
      <c r="A59">
        <v>47</v>
      </c>
      <c r="B59">
        <v>7</v>
      </c>
      <c r="C59">
        <v>1</v>
      </c>
      <c r="D59">
        <v>2025</v>
      </c>
      <c r="E59">
        <v>4</v>
      </c>
      <c r="F59" t="str">
        <f>VLOOKUP(G59, Map!$A$1:$B$33, 2, FALSE)</f>
        <v>LA</v>
      </c>
      <c r="G59" t="s">
        <v>155</v>
      </c>
      <c r="H59" t="str">
        <f>VLOOKUP(I59, Map!$A$1:$B$33, 2, FALSE)</f>
        <v>IND</v>
      </c>
      <c r="I59" t="s">
        <v>138</v>
      </c>
      <c r="J59">
        <v>0</v>
      </c>
      <c r="K59">
        <v>0</v>
      </c>
      <c r="L59">
        <v>0</v>
      </c>
      <c r="M59">
        <v>1</v>
      </c>
      <c r="N59">
        <v>5</v>
      </c>
      <c r="O59">
        <v>2</v>
      </c>
      <c r="P59">
        <v>16.714285</v>
      </c>
      <c r="Q59">
        <v>25</v>
      </c>
      <c r="R59">
        <v>58</v>
      </c>
      <c r="S59">
        <v>2</v>
      </c>
      <c r="T59">
        <v>0.71428572999999995</v>
      </c>
      <c r="U59">
        <v>0</v>
      </c>
      <c r="V59">
        <v>1</v>
      </c>
      <c r="W59">
        <v>2</v>
      </c>
      <c r="X59">
        <v>1</v>
      </c>
      <c r="Y59">
        <v>3</v>
      </c>
      <c r="Z59">
        <v>1</v>
      </c>
      <c r="AA59">
        <v>0</v>
      </c>
      <c r="AB59">
        <v>2</v>
      </c>
      <c r="AC59">
        <v>5</v>
      </c>
      <c r="AD59">
        <v>11</v>
      </c>
      <c r="AE59">
        <v>5</v>
      </c>
      <c r="AF59">
        <v>9</v>
      </c>
      <c r="AG59">
        <v>57</v>
      </c>
      <c r="AH59">
        <v>0</v>
      </c>
      <c r="AI59">
        <v>7</v>
      </c>
      <c r="AJ59">
        <v>1</v>
      </c>
      <c r="AK59">
        <v>19.25</v>
      </c>
      <c r="AL59">
        <v>33.75</v>
      </c>
      <c r="AM59">
        <v>116</v>
      </c>
      <c r="AN59">
        <v>4</v>
      </c>
      <c r="AO59">
        <v>0.875</v>
      </c>
      <c r="AP59">
        <v>2</v>
      </c>
      <c r="AQ59">
        <v>0</v>
      </c>
      <c r="AR59">
        <v>5</v>
      </c>
      <c r="AS59">
        <v>0</v>
      </c>
      <c r="AT59">
        <v>2</v>
      </c>
      <c r="AU59">
        <v>1</v>
      </c>
      <c r="AV59">
        <v>6</v>
      </c>
      <c r="AW59">
        <v>0</v>
      </c>
      <c r="AX59">
        <v>4</v>
      </c>
      <c r="AY59">
        <v>12</v>
      </c>
      <c r="AZ59">
        <v>6</v>
      </c>
      <c r="BA59">
        <v>11</v>
      </c>
      <c r="BB59">
        <v>68</v>
      </c>
      <c r="BC59">
        <v>44</v>
      </c>
      <c r="BD59">
        <v>0</v>
      </c>
      <c r="BE59">
        <v>0</v>
      </c>
      <c r="BF59">
        <v>0</v>
      </c>
      <c r="BG59">
        <v>56.225999999999999</v>
      </c>
      <c r="BH59">
        <v>69.7</v>
      </c>
      <c r="BI59">
        <v>43.426000000000002</v>
      </c>
      <c r="BJ59">
        <v>69.203999999999994</v>
      </c>
      <c r="BK59">
        <v>58.832000000000001</v>
      </c>
      <c r="BL59">
        <v>62.613999999999997</v>
      </c>
      <c r="BM59">
        <v>2.4790000000000001</v>
      </c>
      <c r="BN59">
        <v>43.426000000000002</v>
      </c>
      <c r="BO59">
        <v>69.7</v>
      </c>
      <c r="BP59">
        <v>0</v>
      </c>
      <c r="BQ59">
        <v>56.225999999999999</v>
      </c>
      <c r="BR59">
        <v>-2.4790000000000001</v>
      </c>
      <c r="BS59">
        <v>41.167999999999999</v>
      </c>
      <c r="BT59">
        <v>30.795999999999999</v>
      </c>
      <c r="BU59">
        <v>37.386000000000003</v>
      </c>
      <c r="BV59">
        <v>2996</v>
      </c>
      <c r="BW59">
        <v>65.843999999999994</v>
      </c>
      <c r="BX59">
        <v>256.71429999999998</v>
      </c>
      <c r="BY59">
        <v>30</v>
      </c>
      <c r="BZ59">
        <v>370</v>
      </c>
      <c r="CA59">
        <v>7.6790000000000003</v>
      </c>
      <c r="CB59">
        <v>789</v>
      </c>
      <c r="CC59">
        <v>103.429</v>
      </c>
      <c r="CD59">
        <v>4.1369999999999996</v>
      </c>
      <c r="CE59">
        <v>4</v>
      </c>
      <c r="CF59">
        <v>3261</v>
      </c>
      <c r="CG59">
        <v>17</v>
      </c>
      <c r="CH59">
        <v>266.57100000000003</v>
      </c>
      <c r="CI59">
        <v>11.663</v>
      </c>
      <c r="CJ59">
        <v>6.577</v>
      </c>
      <c r="CK59">
        <v>16.111000000000001</v>
      </c>
      <c r="CL59">
        <v>0</v>
      </c>
      <c r="CM59">
        <v>26</v>
      </c>
      <c r="CN59">
        <v>0</v>
      </c>
      <c r="CO59">
        <v>90.475999999999999</v>
      </c>
      <c r="CP59">
        <v>71.429000000000002</v>
      </c>
      <c r="CQ59">
        <v>10</v>
      </c>
      <c r="CR59">
        <v>49</v>
      </c>
      <c r="CS59">
        <v>14.2</v>
      </c>
      <c r="CT59">
        <v>22</v>
      </c>
      <c r="CU59">
        <v>11</v>
      </c>
      <c r="CV59">
        <v>0</v>
      </c>
      <c r="CW59">
        <v>17</v>
      </c>
      <c r="CX59">
        <v>175</v>
      </c>
      <c r="CY59">
        <v>22</v>
      </c>
      <c r="CZ59">
        <v>66.667000000000002</v>
      </c>
      <c r="DA59">
        <v>37.661999999999999</v>
      </c>
      <c r="DB59">
        <v>65.239999999999995</v>
      </c>
      <c r="DC59">
        <v>3</v>
      </c>
      <c r="DD59">
        <v>2891</v>
      </c>
      <c r="DE59">
        <v>70.161000000000001</v>
      </c>
      <c r="DF59">
        <v>250.875</v>
      </c>
      <c r="DG59">
        <v>23</v>
      </c>
      <c r="DH59">
        <v>393.25</v>
      </c>
      <c r="DI59">
        <v>8.3510000000000009</v>
      </c>
      <c r="DJ59">
        <v>1690</v>
      </c>
      <c r="DK59">
        <v>134.375</v>
      </c>
      <c r="DL59">
        <v>5.0229999999999997</v>
      </c>
      <c r="DM59">
        <v>18</v>
      </c>
      <c r="DN59">
        <v>3396</v>
      </c>
      <c r="DO59">
        <v>13</v>
      </c>
      <c r="DP59">
        <v>258.875</v>
      </c>
      <c r="DQ59">
        <v>11.901999999999999</v>
      </c>
      <c r="DR59">
        <v>6.8259999999999996</v>
      </c>
      <c r="DS59">
        <v>6.0910000000000002</v>
      </c>
      <c r="DT59">
        <v>1</v>
      </c>
      <c r="DU59">
        <v>23</v>
      </c>
      <c r="DV59">
        <v>0</v>
      </c>
      <c r="DW59">
        <v>96.296000000000006</v>
      </c>
      <c r="DX59">
        <v>94.117999999999995</v>
      </c>
      <c r="DY59">
        <v>16</v>
      </c>
      <c r="DZ59">
        <v>74</v>
      </c>
      <c r="EA59">
        <v>4.25</v>
      </c>
      <c r="EB59">
        <v>8</v>
      </c>
      <c r="EC59">
        <v>16</v>
      </c>
      <c r="ED59">
        <v>6</v>
      </c>
      <c r="EE59">
        <v>13</v>
      </c>
      <c r="EF59">
        <v>270</v>
      </c>
      <c r="EG59">
        <v>23.25</v>
      </c>
      <c r="EH59">
        <v>83.332999999999998</v>
      </c>
      <c r="EI59">
        <v>45.348999999999997</v>
      </c>
      <c r="EJ59">
        <v>77.069999999999993</v>
      </c>
      <c r="EK59">
        <v>8</v>
      </c>
    </row>
    <row r="60" spans="1:141" x14ac:dyDescent="0.25">
      <c r="A60">
        <v>47</v>
      </c>
      <c r="B60">
        <v>-5</v>
      </c>
      <c r="C60">
        <v>0</v>
      </c>
      <c r="D60">
        <v>2025</v>
      </c>
      <c r="E60">
        <v>4</v>
      </c>
      <c r="F60" t="str">
        <f>VLOOKUP(G60, Map!$A$1:$B$33, 2, FALSE)</f>
        <v>SF</v>
      </c>
      <c r="G60" t="s">
        <v>143</v>
      </c>
      <c r="H60" t="str">
        <f>VLOOKUP(I60, Map!$A$1:$B$33, 2, FALSE)</f>
        <v>JAX</v>
      </c>
      <c r="I60" t="s">
        <v>139</v>
      </c>
      <c r="J60">
        <v>0</v>
      </c>
      <c r="K60">
        <v>0</v>
      </c>
      <c r="L60">
        <v>0</v>
      </c>
      <c r="M60">
        <v>0</v>
      </c>
      <c r="N60">
        <v>5</v>
      </c>
      <c r="O60">
        <v>3</v>
      </c>
      <c r="P60">
        <v>20.5</v>
      </c>
      <c r="Q60">
        <v>20</v>
      </c>
      <c r="R60">
        <v>-4</v>
      </c>
      <c r="S60">
        <v>-1</v>
      </c>
      <c r="T60">
        <v>0.625</v>
      </c>
      <c r="U60">
        <v>3</v>
      </c>
      <c r="V60">
        <v>0</v>
      </c>
      <c r="W60">
        <v>2</v>
      </c>
      <c r="X60">
        <v>1</v>
      </c>
      <c r="Y60">
        <v>3</v>
      </c>
      <c r="Z60">
        <v>2</v>
      </c>
      <c r="AA60">
        <v>5</v>
      </c>
      <c r="AB60">
        <v>1</v>
      </c>
      <c r="AC60">
        <v>15</v>
      </c>
      <c r="AD60">
        <v>5</v>
      </c>
      <c r="AE60">
        <v>13</v>
      </c>
      <c r="AF60">
        <v>7</v>
      </c>
      <c r="AG60">
        <v>68</v>
      </c>
      <c r="AH60">
        <v>1</v>
      </c>
      <c r="AI60">
        <v>4</v>
      </c>
      <c r="AJ60">
        <v>3</v>
      </c>
      <c r="AK60">
        <v>22.142856999999999</v>
      </c>
      <c r="AL60">
        <v>20.857143000000001</v>
      </c>
      <c r="AM60">
        <v>-9</v>
      </c>
      <c r="AN60">
        <v>-2</v>
      </c>
      <c r="AO60">
        <v>0.57142859999999995</v>
      </c>
      <c r="AP60">
        <v>1</v>
      </c>
      <c r="AQ60">
        <v>0</v>
      </c>
      <c r="AR60">
        <v>3</v>
      </c>
      <c r="AS60">
        <v>2</v>
      </c>
      <c r="AT60">
        <v>1</v>
      </c>
      <c r="AU60">
        <v>1</v>
      </c>
      <c r="AV60">
        <v>2</v>
      </c>
      <c r="AW60">
        <v>1</v>
      </c>
      <c r="AX60">
        <v>10</v>
      </c>
      <c r="AY60">
        <v>8</v>
      </c>
      <c r="AZ60">
        <v>9</v>
      </c>
      <c r="BA60">
        <v>9</v>
      </c>
      <c r="BB60">
        <v>58</v>
      </c>
      <c r="BC60">
        <v>49.5</v>
      </c>
      <c r="BD60">
        <v>2</v>
      </c>
      <c r="BE60">
        <v>0</v>
      </c>
      <c r="BF60">
        <v>0</v>
      </c>
      <c r="BG60">
        <v>62.25</v>
      </c>
      <c r="BH60">
        <v>60.715000000000003</v>
      </c>
      <c r="BI60">
        <v>37.450000000000003</v>
      </c>
      <c r="BJ60">
        <v>43.375999999999998</v>
      </c>
      <c r="BK60">
        <v>24.294</v>
      </c>
      <c r="BL60">
        <v>29.547000000000001</v>
      </c>
      <c r="BM60">
        <v>4.7939999999999996</v>
      </c>
      <c r="BN60">
        <v>37.450000000000003</v>
      </c>
      <c r="BO60">
        <v>60.715000000000003</v>
      </c>
      <c r="BP60">
        <v>0</v>
      </c>
      <c r="BQ60">
        <v>62.25</v>
      </c>
      <c r="BR60">
        <v>-4.7939999999999996</v>
      </c>
      <c r="BS60">
        <v>75.706000000000003</v>
      </c>
      <c r="BT60">
        <v>56.624000000000002</v>
      </c>
      <c r="BU60">
        <v>70.453000000000003</v>
      </c>
      <c r="BV60">
        <v>2753</v>
      </c>
      <c r="BW60">
        <v>65.885999999999996</v>
      </c>
      <c r="BX60">
        <v>259.25</v>
      </c>
      <c r="BY60">
        <v>23</v>
      </c>
      <c r="BZ60">
        <v>362.25</v>
      </c>
      <c r="CA60">
        <v>7.3010000000000002</v>
      </c>
      <c r="CB60">
        <v>775</v>
      </c>
      <c r="CC60">
        <v>89.375</v>
      </c>
      <c r="CD60">
        <v>3.4049999999999998</v>
      </c>
      <c r="CE60">
        <v>3</v>
      </c>
      <c r="CF60">
        <v>3588</v>
      </c>
      <c r="CG60">
        <v>12</v>
      </c>
      <c r="CH60">
        <v>272.875</v>
      </c>
      <c r="CI60">
        <v>11.081</v>
      </c>
      <c r="CJ60">
        <v>6.6669999999999998</v>
      </c>
      <c r="CK60">
        <v>1.889</v>
      </c>
      <c r="CL60">
        <v>0</v>
      </c>
      <c r="CM60">
        <v>9</v>
      </c>
      <c r="CN60">
        <v>0</v>
      </c>
      <c r="CO60">
        <v>92.308000000000007</v>
      </c>
      <c r="CP60">
        <v>90</v>
      </c>
      <c r="CQ60">
        <v>18</v>
      </c>
      <c r="CR60">
        <v>66</v>
      </c>
      <c r="CS60">
        <v>14.308</v>
      </c>
      <c r="CT60">
        <v>25</v>
      </c>
      <c r="CU60">
        <v>12</v>
      </c>
      <c r="CV60">
        <v>0</v>
      </c>
      <c r="CW60">
        <v>12</v>
      </c>
      <c r="CX60">
        <v>160</v>
      </c>
      <c r="CY60">
        <v>20.875</v>
      </c>
      <c r="CZ60">
        <v>54.545000000000002</v>
      </c>
      <c r="DA60">
        <v>46.363999999999997</v>
      </c>
      <c r="DB60">
        <v>65.709999999999994</v>
      </c>
      <c r="DC60">
        <v>-5</v>
      </c>
      <c r="DD60">
        <v>2100</v>
      </c>
      <c r="DE60">
        <v>58.686999999999998</v>
      </c>
      <c r="DF60">
        <v>215.14285000000001</v>
      </c>
      <c r="DG60">
        <v>21</v>
      </c>
      <c r="DH60">
        <v>351.14285000000001</v>
      </c>
      <c r="DI60">
        <v>6.2549999999999999</v>
      </c>
      <c r="DJ60">
        <v>1033</v>
      </c>
      <c r="DK60">
        <v>119.714</v>
      </c>
      <c r="DL60">
        <v>4.6820000000000004</v>
      </c>
      <c r="DM60">
        <v>6</v>
      </c>
      <c r="DN60">
        <v>2695</v>
      </c>
      <c r="DO60">
        <v>9</v>
      </c>
      <c r="DP60">
        <v>231.429</v>
      </c>
      <c r="DQ60">
        <v>10.657999999999999</v>
      </c>
      <c r="DR60">
        <v>7.375</v>
      </c>
      <c r="DS60">
        <v>3.1880000000000002</v>
      </c>
      <c r="DT60">
        <v>2</v>
      </c>
      <c r="DU60">
        <v>8</v>
      </c>
      <c r="DV60">
        <v>0</v>
      </c>
      <c r="DW60">
        <v>93.332999999999998</v>
      </c>
      <c r="DX60">
        <v>71.429000000000002</v>
      </c>
      <c r="DY60">
        <v>10</v>
      </c>
      <c r="DZ60">
        <v>44</v>
      </c>
      <c r="EA60">
        <v>4.4290000000000003</v>
      </c>
      <c r="EB60">
        <v>10</v>
      </c>
      <c r="EC60">
        <v>30</v>
      </c>
      <c r="ED60">
        <v>12</v>
      </c>
      <c r="EE60">
        <v>9</v>
      </c>
      <c r="EF60">
        <v>146</v>
      </c>
      <c r="EG60">
        <v>19.143000000000001</v>
      </c>
      <c r="EH60">
        <v>53.332999999999998</v>
      </c>
      <c r="EI60">
        <v>32.978999999999999</v>
      </c>
      <c r="EJ60">
        <v>59.74</v>
      </c>
      <c r="EK60">
        <v>8</v>
      </c>
    </row>
    <row r="61" spans="1:141" x14ac:dyDescent="0.25">
      <c r="A61">
        <v>57</v>
      </c>
      <c r="B61">
        <v>17</v>
      </c>
      <c r="C61">
        <v>1</v>
      </c>
      <c r="D61">
        <v>2025</v>
      </c>
      <c r="E61">
        <v>4</v>
      </c>
      <c r="F61" t="str">
        <f>VLOOKUP(G61, Map!$A$1:$B$33, 2, FALSE)</f>
        <v>KC</v>
      </c>
      <c r="G61" t="s">
        <v>158</v>
      </c>
      <c r="H61" t="str">
        <f>VLOOKUP(I61, Map!$A$1:$B$33, 2, FALSE)</f>
        <v>BAL</v>
      </c>
      <c r="I61" t="s">
        <v>146</v>
      </c>
      <c r="J61">
        <v>0</v>
      </c>
      <c r="K61">
        <v>0</v>
      </c>
      <c r="L61">
        <v>0</v>
      </c>
      <c r="M61">
        <v>1</v>
      </c>
      <c r="N61">
        <v>5</v>
      </c>
      <c r="O61">
        <v>3</v>
      </c>
      <c r="P61">
        <v>16.375</v>
      </c>
      <c r="Q61">
        <v>26.75</v>
      </c>
      <c r="R61">
        <v>83</v>
      </c>
      <c r="S61">
        <v>3</v>
      </c>
      <c r="T61">
        <v>0.625</v>
      </c>
      <c r="U61">
        <v>1</v>
      </c>
      <c r="V61">
        <v>1</v>
      </c>
      <c r="W61">
        <v>4</v>
      </c>
      <c r="X61">
        <v>1</v>
      </c>
      <c r="Y61">
        <v>1</v>
      </c>
      <c r="Z61">
        <v>2</v>
      </c>
      <c r="AA61">
        <v>2</v>
      </c>
      <c r="AB61">
        <v>2</v>
      </c>
      <c r="AC61">
        <v>16</v>
      </c>
      <c r="AD61">
        <v>3</v>
      </c>
      <c r="AE61">
        <v>7</v>
      </c>
      <c r="AF61">
        <v>11</v>
      </c>
      <c r="AG61">
        <v>65</v>
      </c>
      <c r="AH61">
        <v>0</v>
      </c>
      <c r="AI61">
        <v>2</v>
      </c>
      <c r="AJ61">
        <v>5</v>
      </c>
      <c r="AK61">
        <v>30</v>
      </c>
      <c r="AL61">
        <v>24.857143000000001</v>
      </c>
      <c r="AM61">
        <v>-36</v>
      </c>
      <c r="AN61">
        <v>1</v>
      </c>
      <c r="AO61">
        <v>0.28571429999999998</v>
      </c>
      <c r="AP61">
        <v>1</v>
      </c>
      <c r="AQ61">
        <v>0</v>
      </c>
      <c r="AR61">
        <v>2</v>
      </c>
      <c r="AS61">
        <v>3</v>
      </c>
      <c r="AT61">
        <v>0</v>
      </c>
      <c r="AU61">
        <v>2</v>
      </c>
      <c r="AV61">
        <v>1</v>
      </c>
      <c r="AW61">
        <v>3</v>
      </c>
      <c r="AX61">
        <v>10</v>
      </c>
      <c r="AY61">
        <v>7</v>
      </c>
      <c r="AZ61">
        <v>7</v>
      </c>
      <c r="BA61">
        <v>9</v>
      </c>
      <c r="BB61">
        <v>61</v>
      </c>
      <c r="BC61">
        <v>51.5</v>
      </c>
      <c r="BD61">
        <v>-10.5</v>
      </c>
      <c r="BE61">
        <v>0</v>
      </c>
      <c r="BF61">
        <v>0</v>
      </c>
      <c r="BG61">
        <v>48.405999999999999</v>
      </c>
      <c r="BH61">
        <v>86.936999999999998</v>
      </c>
      <c r="BI61">
        <v>51.206000000000003</v>
      </c>
      <c r="BJ61">
        <v>70.539000000000001</v>
      </c>
      <c r="BK61">
        <v>89.078999999999994</v>
      </c>
      <c r="BL61">
        <v>89.069000000000003</v>
      </c>
      <c r="BM61">
        <v>-0.53200000000000003</v>
      </c>
      <c r="BN61">
        <v>51.206000000000003</v>
      </c>
      <c r="BO61">
        <v>86.936999999999998</v>
      </c>
      <c r="BP61">
        <v>0</v>
      </c>
      <c r="BQ61">
        <v>48.405999999999999</v>
      </c>
      <c r="BR61">
        <v>0.53200000000000003</v>
      </c>
      <c r="BS61">
        <v>10.920999999999999</v>
      </c>
      <c r="BT61">
        <v>29.460999999999999</v>
      </c>
      <c r="BU61">
        <v>10.930999999999999</v>
      </c>
      <c r="BV61">
        <v>3149</v>
      </c>
      <c r="BW61">
        <v>67.021000000000001</v>
      </c>
      <c r="BX61">
        <v>251.75</v>
      </c>
      <c r="BY61">
        <v>25</v>
      </c>
      <c r="BZ61">
        <v>388.875</v>
      </c>
      <c r="CA61">
        <v>7.3719999999999999</v>
      </c>
      <c r="CB61">
        <v>1327</v>
      </c>
      <c r="CC61">
        <v>126.5</v>
      </c>
      <c r="CD61">
        <v>4.4980000000000002</v>
      </c>
      <c r="CE61">
        <v>9</v>
      </c>
      <c r="CF61">
        <v>3639</v>
      </c>
      <c r="CG61">
        <v>17</v>
      </c>
      <c r="CH61">
        <v>262.375</v>
      </c>
      <c r="CI61">
        <v>11</v>
      </c>
      <c r="CJ61">
        <v>4</v>
      </c>
      <c r="CK61">
        <v>3.4</v>
      </c>
      <c r="CL61">
        <v>0</v>
      </c>
      <c r="CM61">
        <v>17</v>
      </c>
      <c r="CN61">
        <v>0</v>
      </c>
      <c r="CO61">
        <v>88</v>
      </c>
      <c r="CP61">
        <v>80</v>
      </c>
      <c r="CQ61">
        <v>12</v>
      </c>
      <c r="CR61">
        <v>58</v>
      </c>
      <c r="CS61">
        <v>8.3330000000000002</v>
      </c>
      <c r="CT61">
        <v>19</v>
      </c>
      <c r="CU61">
        <v>11</v>
      </c>
      <c r="CV61">
        <v>0</v>
      </c>
      <c r="CW61">
        <v>17</v>
      </c>
      <c r="CX61">
        <v>214</v>
      </c>
      <c r="CY61">
        <v>23.625</v>
      </c>
      <c r="CZ61">
        <v>82.352999999999994</v>
      </c>
      <c r="DA61">
        <v>44</v>
      </c>
      <c r="DB61">
        <v>78.150000000000006</v>
      </c>
      <c r="DC61">
        <v>5</v>
      </c>
      <c r="DD61">
        <v>2046</v>
      </c>
      <c r="DE61">
        <v>69.73</v>
      </c>
      <c r="DF61">
        <v>182.28572</v>
      </c>
      <c r="DG61">
        <v>19</v>
      </c>
      <c r="DH61">
        <v>337.14285000000001</v>
      </c>
      <c r="DI61">
        <v>7.7080000000000002</v>
      </c>
      <c r="DJ61">
        <v>1139</v>
      </c>
      <c r="DK61">
        <v>133.429</v>
      </c>
      <c r="DL61">
        <v>5.2770000000000001</v>
      </c>
      <c r="DM61">
        <v>8</v>
      </c>
      <c r="DN61">
        <v>2456</v>
      </c>
      <c r="DO61">
        <v>11</v>
      </c>
      <c r="DP61">
        <v>203.714</v>
      </c>
      <c r="DQ61">
        <v>11.054</v>
      </c>
      <c r="DR61">
        <v>6.8890000000000002</v>
      </c>
      <c r="DS61">
        <v>2.4089999999999998</v>
      </c>
      <c r="DT61">
        <v>1</v>
      </c>
      <c r="DU61">
        <v>9</v>
      </c>
      <c r="DV61">
        <v>0</v>
      </c>
      <c r="DW61">
        <v>94.736999999999995</v>
      </c>
      <c r="DX61">
        <v>92.308000000000007</v>
      </c>
      <c r="DY61">
        <v>12</v>
      </c>
      <c r="DZ61">
        <v>54</v>
      </c>
      <c r="EA61">
        <v>5.8330000000000002</v>
      </c>
      <c r="EB61">
        <v>8</v>
      </c>
      <c r="EC61">
        <v>19</v>
      </c>
      <c r="ED61">
        <v>6</v>
      </c>
      <c r="EE61">
        <v>11</v>
      </c>
      <c r="EF61">
        <v>174</v>
      </c>
      <c r="EG61">
        <v>18.143000000000001</v>
      </c>
      <c r="EH61">
        <v>38.462000000000003</v>
      </c>
      <c r="EI61">
        <v>40.506</v>
      </c>
      <c r="EJ61">
        <v>52.38</v>
      </c>
      <c r="EK61">
        <v>-6</v>
      </c>
    </row>
    <row r="62" spans="1:141" x14ac:dyDescent="0.25">
      <c r="A62">
        <v>49</v>
      </c>
      <c r="B62">
        <v>-1</v>
      </c>
      <c r="C62">
        <v>0</v>
      </c>
      <c r="D62">
        <v>2025</v>
      </c>
      <c r="E62">
        <v>4</v>
      </c>
      <c r="F62" t="str">
        <f>VLOOKUP(G62, Map!$A$1:$B$33, 2, FALSE)</f>
        <v>LV</v>
      </c>
      <c r="G62" t="s">
        <v>157</v>
      </c>
      <c r="H62" t="str">
        <f>VLOOKUP(I62, Map!$A$1:$B$33, 2, FALSE)</f>
        <v>CHI</v>
      </c>
      <c r="I62" t="s">
        <v>163</v>
      </c>
      <c r="J62">
        <v>0</v>
      </c>
      <c r="K62">
        <v>0</v>
      </c>
      <c r="L62">
        <v>0</v>
      </c>
      <c r="M62">
        <v>0</v>
      </c>
      <c r="N62">
        <v>2</v>
      </c>
      <c r="O62">
        <v>5</v>
      </c>
      <c r="P62">
        <v>25.714285</v>
      </c>
      <c r="Q62">
        <v>14.714286</v>
      </c>
      <c r="R62">
        <v>-77</v>
      </c>
      <c r="S62">
        <v>-1</v>
      </c>
      <c r="T62">
        <v>0.28571429999999998</v>
      </c>
      <c r="U62">
        <v>0</v>
      </c>
      <c r="V62">
        <v>2</v>
      </c>
      <c r="W62">
        <v>1</v>
      </c>
      <c r="X62">
        <v>2</v>
      </c>
      <c r="Y62">
        <v>1</v>
      </c>
      <c r="Z62">
        <v>3</v>
      </c>
      <c r="AA62">
        <v>2</v>
      </c>
      <c r="AB62">
        <v>3</v>
      </c>
      <c r="AC62">
        <v>6</v>
      </c>
      <c r="AD62">
        <v>10</v>
      </c>
      <c r="AE62">
        <v>8</v>
      </c>
      <c r="AF62">
        <v>8</v>
      </c>
      <c r="AG62">
        <v>56</v>
      </c>
      <c r="AH62">
        <v>1</v>
      </c>
      <c r="AI62">
        <v>4</v>
      </c>
      <c r="AJ62">
        <v>3</v>
      </c>
      <c r="AK62">
        <v>26.428571999999999</v>
      </c>
      <c r="AL62">
        <v>24</v>
      </c>
      <c r="AM62">
        <v>-17</v>
      </c>
      <c r="AN62">
        <v>-1</v>
      </c>
      <c r="AO62">
        <v>0.57142859999999995</v>
      </c>
      <c r="AP62">
        <v>0</v>
      </c>
      <c r="AQ62">
        <v>2</v>
      </c>
      <c r="AR62">
        <v>2</v>
      </c>
      <c r="AS62">
        <v>1</v>
      </c>
      <c r="AT62">
        <v>2</v>
      </c>
      <c r="AU62">
        <v>2</v>
      </c>
      <c r="AV62">
        <v>3</v>
      </c>
      <c r="AW62">
        <v>2</v>
      </c>
      <c r="AX62">
        <v>3</v>
      </c>
      <c r="AY62">
        <v>14</v>
      </c>
      <c r="AZ62">
        <v>5</v>
      </c>
      <c r="BA62">
        <v>11</v>
      </c>
      <c r="BB62">
        <v>61</v>
      </c>
      <c r="BC62">
        <v>48</v>
      </c>
      <c r="BD62">
        <v>-2.5</v>
      </c>
      <c r="BE62">
        <v>0</v>
      </c>
      <c r="BF62">
        <v>0</v>
      </c>
      <c r="BG62">
        <v>47.011000000000003</v>
      </c>
      <c r="BH62">
        <v>40.973999999999997</v>
      </c>
      <c r="BI62">
        <v>52.610999999999997</v>
      </c>
      <c r="BJ62">
        <v>75.525999999999996</v>
      </c>
      <c r="BK62">
        <v>31.864999999999998</v>
      </c>
      <c r="BL62">
        <v>45.531999999999996</v>
      </c>
      <c r="BM62">
        <v>-0.63200000000000001</v>
      </c>
      <c r="BN62">
        <v>52.610999999999997</v>
      </c>
      <c r="BO62">
        <v>40.973999999999997</v>
      </c>
      <c r="BP62">
        <v>0</v>
      </c>
      <c r="BQ62">
        <v>47.011000000000003</v>
      </c>
      <c r="BR62">
        <v>0.63200000000000001</v>
      </c>
      <c r="BS62">
        <v>68.135000000000005</v>
      </c>
      <c r="BT62">
        <v>24.474</v>
      </c>
      <c r="BU62">
        <v>54.468000000000004</v>
      </c>
      <c r="BV62">
        <v>1570</v>
      </c>
      <c r="BW62">
        <v>66.176000000000002</v>
      </c>
      <c r="BX62">
        <v>182.71428</v>
      </c>
      <c r="BY62">
        <v>19</v>
      </c>
      <c r="BZ62">
        <v>297.28570000000002</v>
      </c>
      <c r="CA62">
        <v>6.7649999999999997</v>
      </c>
      <c r="CB62">
        <v>731</v>
      </c>
      <c r="CC62">
        <v>93.713999999999999</v>
      </c>
      <c r="CD62">
        <v>3.859</v>
      </c>
      <c r="CE62">
        <v>3</v>
      </c>
      <c r="CF62">
        <v>2345</v>
      </c>
      <c r="CG62">
        <v>7</v>
      </c>
      <c r="CH62">
        <v>203.571</v>
      </c>
      <c r="CI62">
        <v>10.222</v>
      </c>
      <c r="CJ62">
        <v>6.7329999999999997</v>
      </c>
      <c r="CK62">
        <v>3.0710000000000002</v>
      </c>
      <c r="CL62">
        <v>0</v>
      </c>
      <c r="CM62">
        <v>15</v>
      </c>
      <c r="CN62">
        <v>0</v>
      </c>
      <c r="CO62">
        <v>100</v>
      </c>
      <c r="CP62">
        <v>78.570999999999998</v>
      </c>
      <c r="CQ62">
        <v>11</v>
      </c>
      <c r="CR62">
        <v>41</v>
      </c>
      <c r="CS62">
        <v>15.333</v>
      </c>
      <c r="CT62">
        <v>26</v>
      </c>
      <c r="CU62">
        <v>8</v>
      </c>
      <c r="CV62">
        <v>0</v>
      </c>
      <c r="CW62">
        <v>7</v>
      </c>
      <c r="CX62">
        <v>103</v>
      </c>
      <c r="CY62">
        <v>15.856999999999999</v>
      </c>
      <c r="CZ62">
        <v>45.454999999999998</v>
      </c>
      <c r="DA62">
        <v>37.930999999999997</v>
      </c>
      <c r="DB62">
        <v>53.17</v>
      </c>
      <c r="DC62">
        <v>-5</v>
      </c>
      <c r="DD62">
        <v>2157</v>
      </c>
      <c r="DE62">
        <v>61.947000000000003</v>
      </c>
      <c r="DF62">
        <v>225.57142999999999</v>
      </c>
      <c r="DG62">
        <v>26</v>
      </c>
      <c r="DH62">
        <v>362.14285000000001</v>
      </c>
      <c r="DI62">
        <v>7.2880000000000003</v>
      </c>
      <c r="DJ62">
        <v>1087</v>
      </c>
      <c r="DK62">
        <v>124.571</v>
      </c>
      <c r="DL62">
        <v>4.4039999999999999</v>
      </c>
      <c r="DM62">
        <v>7</v>
      </c>
      <c r="DN62">
        <v>2678</v>
      </c>
      <c r="DO62">
        <v>9</v>
      </c>
      <c r="DP62">
        <v>237.571</v>
      </c>
      <c r="DQ62">
        <v>11.763999999999999</v>
      </c>
      <c r="DR62">
        <v>4.5709999999999997</v>
      </c>
      <c r="DS62">
        <v>2.9409999999999998</v>
      </c>
      <c r="DT62">
        <v>1</v>
      </c>
      <c r="DU62">
        <v>14</v>
      </c>
      <c r="DV62">
        <v>0</v>
      </c>
      <c r="DW62">
        <v>100</v>
      </c>
      <c r="DX62">
        <v>85</v>
      </c>
      <c r="DY62">
        <v>17</v>
      </c>
      <c r="DZ62">
        <v>66</v>
      </c>
      <c r="EA62">
        <v>11.909000000000001</v>
      </c>
      <c r="EB62">
        <v>7</v>
      </c>
      <c r="EC62">
        <v>24</v>
      </c>
      <c r="ED62">
        <v>6</v>
      </c>
      <c r="EE62">
        <v>9</v>
      </c>
      <c r="EF62">
        <v>168</v>
      </c>
      <c r="EG62">
        <v>19.286000000000001</v>
      </c>
      <c r="EH62">
        <v>37.5</v>
      </c>
      <c r="EI62">
        <v>41.110999999999997</v>
      </c>
      <c r="EJ62">
        <v>57.14</v>
      </c>
      <c r="EK62">
        <v>10</v>
      </c>
    </row>
    <row r="63" spans="1:141" x14ac:dyDescent="0.25">
      <c r="A63">
        <v>80</v>
      </c>
      <c r="B63">
        <v>0</v>
      </c>
      <c r="C63">
        <v>0</v>
      </c>
      <c r="D63">
        <v>2025</v>
      </c>
      <c r="E63">
        <v>4</v>
      </c>
      <c r="F63" t="str">
        <f>VLOOKUP(G63, Map!$A$1:$B$33, 2, FALSE)</f>
        <v>DAL</v>
      </c>
      <c r="G63" t="s">
        <v>150</v>
      </c>
      <c r="H63" t="str">
        <f>VLOOKUP(I63, Map!$A$1:$B$33, 2, FALSE)</f>
        <v>GB</v>
      </c>
      <c r="I63" t="s">
        <v>154</v>
      </c>
      <c r="J63">
        <v>0</v>
      </c>
      <c r="K63">
        <v>0</v>
      </c>
      <c r="L63">
        <v>0</v>
      </c>
      <c r="M63">
        <v>0</v>
      </c>
      <c r="N63">
        <v>3</v>
      </c>
      <c r="O63">
        <v>4</v>
      </c>
      <c r="P63">
        <v>31.25</v>
      </c>
      <c r="Q63">
        <v>30.75</v>
      </c>
      <c r="R63">
        <v>-4</v>
      </c>
      <c r="S63">
        <v>-1</v>
      </c>
      <c r="T63">
        <v>0.4375</v>
      </c>
      <c r="U63">
        <v>2</v>
      </c>
      <c r="V63">
        <v>1</v>
      </c>
      <c r="W63">
        <v>2</v>
      </c>
      <c r="X63">
        <v>0</v>
      </c>
      <c r="Y63">
        <v>1</v>
      </c>
      <c r="Z63">
        <v>4</v>
      </c>
      <c r="AA63">
        <v>2</v>
      </c>
      <c r="AB63">
        <v>3</v>
      </c>
      <c r="AC63">
        <v>13</v>
      </c>
      <c r="AD63">
        <v>5</v>
      </c>
      <c r="AE63">
        <v>11</v>
      </c>
      <c r="AF63">
        <v>7</v>
      </c>
      <c r="AG63">
        <v>68</v>
      </c>
      <c r="AH63">
        <v>0</v>
      </c>
      <c r="AI63">
        <v>5</v>
      </c>
      <c r="AJ63">
        <v>1</v>
      </c>
      <c r="AK63">
        <v>21.428571999999999</v>
      </c>
      <c r="AL63">
        <v>27.571428000000001</v>
      </c>
      <c r="AM63">
        <v>43</v>
      </c>
      <c r="AN63">
        <v>3</v>
      </c>
      <c r="AO63">
        <v>0.78571427000000005</v>
      </c>
      <c r="AP63">
        <v>1</v>
      </c>
      <c r="AQ63">
        <v>0</v>
      </c>
      <c r="AR63">
        <v>3</v>
      </c>
      <c r="AS63">
        <v>0</v>
      </c>
      <c r="AT63">
        <v>2</v>
      </c>
      <c r="AU63">
        <v>1</v>
      </c>
      <c r="AV63">
        <v>3</v>
      </c>
      <c r="AW63">
        <v>0</v>
      </c>
      <c r="AX63">
        <v>8</v>
      </c>
      <c r="AY63">
        <v>8</v>
      </c>
      <c r="AZ63">
        <v>8</v>
      </c>
      <c r="BA63">
        <v>8</v>
      </c>
      <c r="BB63">
        <v>61</v>
      </c>
      <c r="BC63">
        <v>55</v>
      </c>
      <c r="BD63">
        <v>2</v>
      </c>
      <c r="BE63">
        <v>0</v>
      </c>
      <c r="BF63">
        <v>0</v>
      </c>
      <c r="BG63">
        <v>39.972999999999999</v>
      </c>
      <c r="BH63">
        <v>65.203000000000003</v>
      </c>
      <c r="BI63">
        <v>59.706000000000003</v>
      </c>
      <c r="BJ63">
        <v>11.148999999999999</v>
      </c>
      <c r="BK63">
        <v>93.962999999999994</v>
      </c>
      <c r="BL63">
        <v>51.643999999999998</v>
      </c>
      <c r="BM63">
        <v>-3.7029999999999998</v>
      </c>
      <c r="BN63">
        <v>59.706000000000003</v>
      </c>
      <c r="BO63">
        <v>65.203000000000003</v>
      </c>
      <c r="BP63">
        <v>0</v>
      </c>
      <c r="BQ63">
        <v>39.972999999999999</v>
      </c>
      <c r="BR63">
        <v>3.7029999999999998</v>
      </c>
      <c r="BS63">
        <v>6.0369999999999999</v>
      </c>
      <c r="BT63">
        <v>88.850999999999999</v>
      </c>
      <c r="BU63">
        <v>48.356000000000002</v>
      </c>
      <c r="BV63">
        <v>3160</v>
      </c>
      <c r="BW63">
        <v>70.233999999999995</v>
      </c>
      <c r="BX63">
        <v>263.75</v>
      </c>
      <c r="BY63">
        <v>25</v>
      </c>
      <c r="BZ63">
        <v>391.375</v>
      </c>
      <c r="CA63">
        <v>7.1909999999999998</v>
      </c>
      <c r="CB63">
        <v>1283</v>
      </c>
      <c r="CC63">
        <v>120.375</v>
      </c>
      <c r="CD63">
        <v>4.6749999999999998</v>
      </c>
      <c r="CE63">
        <v>10</v>
      </c>
      <c r="CF63">
        <v>3813</v>
      </c>
      <c r="CG63">
        <v>17</v>
      </c>
      <c r="CH63">
        <v>271</v>
      </c>
      <c r="CI63">
        <v>10.238</v>
      </c>
      <c r="CJ63">
        <v>7.7329999999999997</v>
      </c>
      <c r="CK63">
        <v>4.8099999999999996</v>
      </c>
      <c r="CL63">
        <v>1</v>
      </c>
      <c r="CM63">
        <v>15</v>
      </c>
      <c r="CN63">
        <v>0</v>
      </c>
      <c r="CO63">
        <v>96.296000000000006</v>
      </c>
      <c r="CP63">
        <v>100</v>
      </c>
      <c r="CQ63">
        <v>16</v>
      </c>
      <c r="CR63">
        <v>74</v>
      </c>
      <c r="CS63">
        <v>10</v>
      </c>
      <c r="CT63">
        <v>28</v>
      </c>
      <c r="CU63">
        <v>11</v>
      </c>
      <c r="CV63">
        <v>6</v>
      </c>
      <c r="CW63">
        <v>17</v>
      </c>
      <c r="CX63">
        <v>246</v>
      </c>
      <c r="CY63">
        <v>23.125</v>
      </c>
      <c r="CZ63">
        <v>77.778000000000006</v>
      </c>
      <c r="DA63">
        <v>43.158000000000001</v>
      </c>
      <c r="DB63">
        <v>74.19</v>
      </c>
      <c r="DC63">
        <v>-1</v>
      </c>
      <c r="DD63">
        <v>2648</v>
      </c>
      <c r="DE63">
        <v>70.891999999999996</v>
      </c>
      <c r="DF63">
        <v>245</v>
      </c>
      <c r="DG63">
        <v>26</v>
      </c>
      <c r="DH63">
        <v>371</v>
      </c>
      <c r="DI63">
        <v>8.4410000000000007</v>
      </c>
      <c r="DJ63">
        <v>1099</v>
      </c>
      <c r="DK63">
        <v>114.143</v>
      </c>
      <c r="DL63">
        <v>3.9359999999999999</v>
      </c>
      <c r="DM63">
        <v>9</v>
      </c>
      <c r="DN63">
        <v>3008</v>
      </c>
      <c r="DO63">
        <v>13</v>
      </c>
      <c r="DP63">
        <v>256.85700000000003</v>
      </c>
      <c r="DQ63">
        <v>11.907</v>
      </c>
      <c r="DR63">
        <v>6.1429999999999998</v>
      </c>
      <c r="DS63">
        <v>6.75</v>
      </c>
      <c r="DT63">
        <v>0</v>
      </c>
      <c r="DU63">
        <v>21</v>
      </c>
      <c r="DV63">
        <v>0</v>
      </c>
      <c r="DW63">
        <v>95.238</v>
      </c>
      <c r="DX63">
        <v>76.471000000000004</v>
      </c>
      <c r="DY63">
        <v>13</v>
      </c>
      <c r="DZ63">
        <v>59</v>
      </c>
      <c r="EA63">
        <v>11.909000000000001</v>
      </c>
      <c r="EB63">
        <v>6</v>
      </c>
      <c r="EC63">
        <v>22</v>
      </c>
      <c r="ED63">
        <v>0</v>
      </c>
      <c r="EE63">
        <v>13</v>
      </c>
      <c r="EF63">
        <v>193</v>
      </c>
      <c r="EG63">
        <v>21</v>
      </c>
      <c r="EH63">
        <v>75</v>
      </c>
      <c r="EI63">
        <v>48.276000000000003</v>
      </c>
      <c r="EJ63">
        <v>78.569999999999993</v>
      </c>
      <c r="EK63">
        <v>1</v>
      </c>
    </row>
    <row r="64" spans="1:141" x14ac:dyDescent="0.25">
      <c r="A64">
        <v>48</v>
      </c>
      <c r="B64">
        <v>6</v>
      </c>
      <c r="C64">
        <v>1</v>
      </c>
      <c r="D64">
        <v>2025</v>
      </c>
      <c r="E64">
        <v>4</v>
      </c>
      <c r="F64" t="str">
        <f>VLOOKUP(G64, Map!$A$1:$B$33, 2, FALSE)</f>
        <v>MIA</v>
      </c>
      <c r="G64" t="s">
        <v>152</v>
      </c>
      <c r="H64" t="str">
        <f>VLOOKUP(I64, Map!$A$1:$B$33, 2, FALSE)</f>
        <v>NYJ</v>
      </c>
      <c r="I64" t="s">
        <v>166</v>
      </c>
      <c r="J64">
        <v>0</v>
      </c>
      <c r="K64">
        <v>0</v>
      </c>
      <c r="L64">
        <v>0</v>
      </c>
      <c r="M64">
        <v>1</v>
      </c>
      <c r="N64">
        <v>2</v>
      </c>
      <c r="O64">
        <v>6</v>
      </c>
      <c r="P64">
        <v>26.875</v>
      </c>
      <c r="Q64">
        <v>21.75</v>
      </c>
      <c r="R64">
        <v>-41</v>
      </c>
      <c r="S64">
        <v>1</v>
      </c>
      <c r="T64">
        <v>0.25</v>
      </c>
      <c r="U64">
        <v>1</v>
      </c>
      <c r="V64">
        <v>2</v>
      </c>
      <c r="W64">
        <v>1</v>
      </c>
      <c r="X64">
        <v>2</v>
      </c>
      <c r="Y64">
        <v>1</v>
      </c>
      <c r="Z64">
        <v>4</v>
      </c>
      <c r="AA64">
        <v>1</v>
      </c>
      <c r="AB64">
        <v>5</v>
      </c>
      <c r="AC64">
        <v>9</v>
      </c>
      <c r="AD64">
        <v>9</v>
      </c>
      <c r="AE64">
        <v>10</v>
      </c>
      <c r="AF64">
        <v>8</v>
      </c>
      <c r="AG64">
        <v>68</v>
      </c>
      <c r="AH64">
        <v>0</v>
      </c>
      <c r="AI64">
        <v>1</v>
      </c>
      <c r="AJ64">
        <v>7</v>
      </c>
      <c r="AK64">
        <v>27.625</v>
      </c>
      <c r="AL64">
        <v>21</v>
      </c>
      <c r="AM64">
        <v>-53</v>
      </c>
      <c r="AN64">
        <v>1</v>
      </c>
      <c r="AO64">
        <v>0.125</v>
      </c>
      <c r="AP64">
        <v>0</v>
      </c>
      <c r="AQ64">
        <v>2</v>
      </c>
      <c r="AR64">
        <v>0</v>
      </c>
      <c r="AS64">
        <v>5</v>
      </c>
      <c r="AT64">
        <v>1</v>
      </c>
      <c r="AU64">
        <v>2</v>
      </c>
      <c r="AV64">
        <v>1</v>
      </c>
      <c r="AW64">
        <v>4</v>
      </c>
      <c r="AX64">
        <v>7</v>
      </c>
      <c r="AY64">
        <v>10</v>
      </c>
      <c r="AZ64">
        <v>8</v>
      </c>
      <c r="BA64">
        <v>9</v>
      </c>
      <c r="BB64">
        <v>60</v>
      </c>
      <c r="BC64">
        <v>45</v>
      </c>
      <c r="BD64">
        <v>-5</v>
      </c>
      <c r="BE64">
        <v>0</v>
      </c>
      <c r="BF64">
        <v>0</v>
      </c>
      <c r="BG64">
        <v>55.488999999999997</v>
      </c>
      <c r="BH64">
        <v>23.369</v>
      </c>
      <c r="BI64">
        <v>44.155999999999999</v>
      </c>
      <c r="BJ64">
        <v>61.023000000000003</v>
      </c>
      <c r="BK64">
        <v>81.53</v>
      </c>
      <c r="BL64">
        <v>82.106999999999999</v>
      </c>
      <c r="BM64">
        <v>2.3439999999999999</v>
      </c>
      <c r="BN64">
        <v>44.155999999999999</v>
      </c>
      <c r="BO64">
        <v>23.369</v>
      </c>
      <c r="BP64">
        <v>0</v>
      </c>
      <c r="BQ64">
        <v>55.488999999999997</v>
      </c>
      <c r="BR64">
        <v>-2.3439999999999999</v>
      </c>
      <c r="BS64">
        <v>18.47</v>
      </c>
      <c r="BT64">
        <v>38.976999999999997</v>
      </c>
      <c r="BU64">
        <v>17.893000000000001</v>
      </c>
      <c r="BV64">
        <v>2361</v>
      </c>
      <c r="BW64">
        <v>68.674999999999997</v>
      </c>
      <c r="BX64">
        <v>187.875</v>
      </c>
      <c r="BY64">
        <v>17</v>
      </c>
      <c r="BZ64">
        <v>299.875</v>
      </c>
      <c r="CA64">
        <v>6.47</v>
      </c>
      <c r="CB64">
        <v>898</v>
      </c>
      <c r="CC64">
        <v>98.5</v>
      </c>
      <c r="CD64">
        <v>4.452</v>
      </c>
      <c r="CE64">
        <v>4</v>
      </c>
      <c r="CF64">
        <v>2991</v>
      </c>
      <c r="CG64">
        <v>15</v>
      </c>
      <c r="CH64">
        <v>201.375</v>
      </c>
      <c r="CI64">
        <v>9.4209999999999994</v>
      </c>
      <c r="CJ64">
        <v>6.4669999999999996</v>
      </c>
      <c r="CK64">
        <v>4.8239999999999998</v>
      </c>
      <c r="CL64">
        <v>1</v>
      </c>
      <c r="CM64">
        <v>15</v>
      </c>
      <c r="CN64">
        <v>0</v>
      </c>
      <c r="CO64">
        <v>100</v>
      </c>
      <c r="CP64">
        <v>91.667000000000002</v>
      </c>
      <c r="CQ64">
        <v>11</v>
      </c>
      <c r="CR64">
        <v>52</v>
      </c>
      <c r="CS64">
        <v>7</v>
      </c>
      <c r="CT64">
        <v>26</v>
      </c>
      <c r="CU64">
        <v>11</v>
      </c>
      <c r="CV64">
        <v>6</v>
      </c>
      <c r="CW64">
        <v>15</v>
      </c>
      <c r="CX64">
        <v>174</v>
      </c>
      <c r="CY64">
        <v>17</v>
      </c>
      <c r="CZ64">
        <v>53.845999999999997</v>
      </c>
      <c r="DA64">
        <v>41.237000000000002</v>
      </c>
      <c r="DB64">
        <v>72.05</v>
      </c>
      <c r="DC64">
        <v>-5</v>
      </c>
      <c r="DD64">
        <v>2012</v>
      </c>
      <c r="DE64">
        <v>63.713000000000001</v>
      </c>
      <c r="DF64">
        <v>156.5</v>
      </c>
      <c r="DG64">
        <v>15</v>
      </c>
      <c r="DH64">
        <v>327.625</v>
      </c>
      <c r="DI64">
        <v>6.2110000000000003</v>
      </c>
      <c r="DJ64">
        <v>1254</v>
      </c>
      <c r="DK64">
        <v>143.625</v>
      </c>
      <c r="DL64">
        <v>5.1989999999999998</v>
      </c>
      <c r="DM64">
        <v>6</v>
      </c>
      <c r="DN64">
        <v>2542</v>
      </c>
      <c r="DO64">
        <v>9</v>
      </c>
      <c r="DP64">
        <v>184</v>
      </c>
      <c r="DQ64">
        <v>9.7479999999999993</v>
      </c>
      <c r="DR64">
        <v>6.2729999999999997</v>
      </c>
      <c r="DS64">
        <v>2.4169999999999998</v>
      </c>
      <c r="DT64">
        <v>1</v>
      </c>
      <c r="DU64">
        <v>11</v>
      </c>
      <c r="DV64">
        <v>0</v>
      </c>
      <c r="DW64">
        <v>100</v>
      </c>
      <c r="DX64">
        <v>100</v>
      </c>
      <c r="DY64">
        <v>17</v>
      </c>
      <c r="DZ64">
        <v>60</v>
      </c>
      <c r="EA64">
        <v>6.25</v>
      </c>
      <c r="EB64">
        <v>11</v>
      </c>
      <c r="EC64">
        <v>31</v>
      </c>
      <c r="ED64">
        <v>2</v>
      </c>
      <c r="EE64">
        <v>9</v>
      </c>
      <c r="EF64">
        <v>168</v>
      </c>
      <c r="EG64">
        <v>18.5</v>
      </c>
      <c r="EH64">
        <v>52.631999999999998</v>
      </c>
      <c r="EI64">
        <v>34.905999999999999</v>
      </c>
      <c r="EJ64">
        <v>69.17</v>
      </c>
      <c r="EK64">
        <v>-9</v>
      </c>
    </row>
    <row r="65" spans="1:141" x14ac:dyDescent="0.25">
      <c r="A65">
        <v>31</v>
      </c>
      <c r="B65">
        <v>25</v>
      </c>
      <c r="C65">
        <v>1</v>
      </c>
      <c r="D65">
        <v>2025</v>
      </c>
      <c r="E65">
        <v>4</v>
      </c>
      <c r="F65" t="str">
        <f>VLOOKUP(G65, Map!$A$1:$B$33, 2, FALSE)</f>
        <v>DEN</v>
      </c>
      <c r="G65" t="s">
        <v>159</v>
      </c>
      <c r="H65" t="str">
        <f>VLOOKUP(I65, Map!$A$1:$B$33, 2, FALSE)</f>
        <v>CIN</v>
      </c>
      <c r="I65" t="s">
        <v>161</v>
      </c>
      <c r="J65">
        <v>0</v>
      </c>
      <c r="K65">
        <v>0</v>
      </c>
      <c r="L65">
        <v>0</v>
      </c>
      <c r="M65">
        <v>1</v>
      </c>
      <c r="N65">
        <v>6</v>
      </c>
      <c r="O65">
        <v>2</v>
      </c>
      <c r="P65">
        <v>18.875</v>
      </c>
      <c r="Q65">
        <v>25.875</v>
      </c>
      <c r="R65">
        <v>56</v>
      </c>
      <c r="S65">
        <v>5</v>
      </c>
      <c r="T65">
        <v>0.75</v>
      </c>
      <c r="U65">
        <v>0</v>
      </c>
      <c r="V65">
        <v>1</v>
      </c>
      <c r="W65">
        <v>4</v>
      </c>
      <c r="X65">
        <v>0</v>
      </c>
      <c r="Y65">
        <v>2</v>
      </c>
      <c r="Z65">
        <v>2</v>
      </c>
      <c r="AA65">
        <v>3</v>
      </c>
      <c r="AB65">
        <v>2</v>
      </c>
      <c r="AC65">
        <v>4</v>
      </c>
      <c r="AD65">
        <v>12</v>
      </c>
      <c r="AE65">
        <v>7</v>
      </c>
      <c r="AF65">
        <v>9</v>
      </c>
      <c r="AG65">
        <v>63</v>
      </c>
      <c r="AH65">
        <v>0</v>
      </c>
      <c r="AI65">
        <v>3</v>
      </c>
      <c r="AJ65">
        <v>5</v>
      </c>
      <c r="AK65">
        <v>31.625</v>
      </c>
      <c r="AL65">
        <v>21.75</v>
      </c>
      <c r="AM65">
        <v>-79</v>
      </c>
      <c r="AN65">
        <v>-1</v>
      </c>
      <c r="AO65">
        <v>0.375</v>
      </c>
      <c r="AP65">
        <v>2</v>
      </c>
      <c r="AQ65">
        <v>0</v>
      </c>
      <c r="AR65">
        <v>2</v>
      </c>
      <c r="AS65">
        <v>2</v>
      </c>
      <c r="AT65">
        <v>1</v>
      </c>
      <c r="AU65">
        <v>3</v>
      </c>
      <c r="AV65">
        <v>3</v>
      </c>
      <c r="AW65">
        <v>2</v>
      </c>
      <c r="AX65">
        <v>14</v>
      </c>
      <c r="AY65">
        <v>4</v>
      </c>
      <c r="AZ65">
        <v>13</v>
      </c>
      <c r="BA65">
        <v>5</v>
      </c>
      <c r="BB65">
        <v>59</v>
      </c>
      <c r="BC65">
        <v>37.5</v>
      </c>
      <c r="BD65">
        <v>-16</v>
      </c>
      <c r="BE65">
        <v>0</v>
      </c>
      <c r="BF65">
        <v>0</v>
      </c>
      <c r="BG65">
        <v>71.754000000000005</v>
      </c>
      <c r="BH65">
        <v>56.457000000000001</v>
      </c>
      <c r="BI65">
        <v>28.021000000000001</v>
      </c>
      <c r="BJ65">
        <v>79.120999999999995</v>
      </c>
      <c r="BK65">
        <v>85.433999999999997</v>
      </c>
      <c r="BL65">
        <v>92.38</v>
      </c>
      <c r="BM65">
        <v>8.8940000000000001</v>
      </c>
      <c r="BN65">
        <v>28.021000000000001</v>
      </c>
      <c r="BO65">
        <v>56.457000000000001</v>
      </c>
      <c r="BP65">
        <v>0</v>
      </c>
      <c r="BQ65">
        <v>71.754000000000005</v>
      </c>
      <c r="BR65">
        <v>-8.8940000000000001</v>
      </c>
      <c r="BS65">
        <v>14.566000000000001</v>
      </c>
      <c r="BT65">
        <v>20.879000000000001</v>
      </c>
      <c r="BU65">
        <v>7.62</v>
      </c>
      <c r="BV65">
        <v>2703</v>
      </c>
      <c r="BW65">
        <v>62.807000000000002</v>
      </c>
      <c r="BX65">
        <v>219.125</v>
      </c>
      <c r="BY65">
        <v>22</v>
      </c>
      <c r="BZ65">
        <v>363.125</v>
      </c>
      <c r="CA65">
        <v>6.3259999999999996</v>
      </c>
      <c r="CB65">
        <v>1407</v>
      </c>
      <c r="CC65">
        <v>137.75</v>
      </c>
      <c r="CD65">
        <v>5.0090000000000003</v>
      </c>
      <c r="CE65">
        <v>10</v>
      </c>
      <c r="CF65">
        <v>3223</v>
      </c>
      <c r="CG65">
        <v>15</v>
      </c>
      <c r="CH65">
        <v>225.375</v>
      </c>
      <c r="CI65">
        <v>10.073</v>
      </c>
      <c r="CJ65">
        <v>6.0279999999999996</v>
      </c>
      <c r="CK65">
        <v>90.5</v>
      </c>
      <c r="CL65">
        <v>0</v>
      </c>
      <c r="CM65">
        <v>36</v>
      </c>
      <c r="CN65">
        <v>0</v>
      </c>
      <c r="CO65">
        <v>100</v>
      </c>
      <c r="CP65">
        <v>90.909000000000006</v>
      </c>
      <c r="CQ65">
        <v>10</v>
      </c>
      <c r="CR65">
        <v>51</v>
      </c>
      <c r="CS65">
        <v>10.467000000000001</v>
      </c>
      <c r="CT65">
        <v>38</v>
      </c>
      <c r="CU65">
        <v>18</v>
      </c>
      <c r="CV65">
        <v>0</v>
      </c>
      <c r="CW65">
        <v>15</v>
      </c>
      <c r="CX65">
        <v>207</v>
      </c>
      <c r="CY65">
        <v>20.75</v>
      </c>
      <c r="CZ65">
        <v>50</v>
      </c>
      <c r="DA65">
        <v>37.863999999999997</v>
      </c>
      <c r="DB65">
        <v>73.02</v>
      </c>
      <c r="DC65">
        <v>-1</v>
      </c>
      <c r="DD65">
        <v>2540</v>
      </c>
      <c r="DE65">
        <v>63.636000000000003</v>
      </c>
      <c r="DF65">
        <v>202</v>
      </c>
      <c r="DG65">
        <v>15</v>
      </c>
      <c r="DH65">
        <v>299.125</v>
      </c>
      <c r="DI65">
        <v>6.0490000000000004</v>
      </c>
      <c r="DJ65">
        <v>793</v>
      </c>
      <c r="DK65">
        <v>82.875</v>
      </c>
      <c r="DL65">
        <v>4.3049999999999997</v>
      </c>
      <c r="DM65">
        <v>5</v>
      </c>
      <c r="DN65">
        <v>3165</v>
      </c>
      <c r="DO65">
        <v>15</v>
      </c>
      <c r="DP65">
        <v>216.25</v>
      </c>
      <c r="DQ65">
        <v>9.5050000000000008</v>
      </c>
      <c r="DR65">
        <v>5.2729999999999997</v>
      </c>
      <c r="DS65">
        <v>3.3570000000000002</v>
      </c>
      <c r="DT65">
        <v>0</v>
      </c>
      <c r="DU65">
        <v>11</v>
      </c>
      <c r="DV65">
        <v>0</v>
      </c>
      <c r="DW65">
        <v>100</v>
      </c>
      <c r="DX65">
        <v>84.614999999999995</v>
      </c>
      <c r="DY65">
        <v>11</v>
      </c>
      <c r="DZ65">
        <v>52</v>
      </c>
      <c r="EA65">
        <v>11.523999999999999</v>
      </c>
      <c r="EB65">
        <v>11</v>
      </c>
      <c r="EC65">
        <v>37</v>
      </c>
      <c r="ED65">
        <v>0</v>
      </c>
      <c r="EE65">
        <v>15</v>
      </c>
      <c r="EF65">
        <v>174</v>
      </c>
      <c r="EG65">
        <v>18.5</v>
      </c>
      <c r="EH65">
        <v>80</v>
      </c>
      <c r="EI65">
        <v>39.393999999999998</v>
      </c>
      <c r="EJ65">
        <v>79.87</v>
      </c>
      <c r="EK65">
        <v>-2</v>
      </c>
    </row>
    <row r="66" spans="1:141" x14ac:dyDescent="0.25">
      <c r="A66">
        <v>49</v>
      </c>
      <c r="B66">
        <v>-3</v>
      </c>
      <c r="C66">
        <v>0</v>
      </c>
      <c r="D66">
        <v>2025</v>
      </c>
      <c r="E66">
        <v>5</v>
      </c>
      <c r="F66" t="str">
        <f>VLOOKUP(G66, Map!$A$1:$B$33, 2, FALSE)</f>
        <v>LA</v>
      </c>
      <c r="G66" t="s">
        <v>155</v>
      </c>
      <c r="H66" t="str">
        <f>VLOOKUP(I66, Map!$A$1:$B$33, 2, FALSE)</f>
        <v>SF</v>
      </c>
      <c r="I66" t="s">
        <v>143</v>
      </c>
      <c r="J66">
        <v>0</v>
      </c>
      <c r="K66">
        <v>0</v>
      </c>
      <c r="L66">
        <v>0</v>
      </c>
      <c r="M66">
        <v>0</v>
      </c>
      <c r="N66">
        <v>5</v>
      </c>
      <c r="O66">
        <v>2</v>
      </c>
      <c r="P66">
        <v>16.714285</v>
      </c>
      <c r="Q66">
        <v>25</v>
      </c>
      <c r="R66">
        <v>58</v>
      </c>
      <c r="S66">
        <v>2</v>
      </c>
      <c r="T66">
        <v>0.71428572999999995</v>
      </c>
      <c r="U66">
        <v>0</v>
      </c>
      <c r="V66">
        <v>1</v>
      </c>
      <c r="W66">
        <v>2</v>
      </c>
      <c r="X66">
        <v>1</v>
      </c>
      <c r="Y66">
        <v>3</v>
      </c>
      <c r="Z66">
        <v>1</v>
      </c>
      <c r="AA66">
        <v>0</v>
      </c>
      <c r="AB66">
        <v>2</v>
      </c>
      <c r="AC66">
        <v>5</v>
      </c>
      <c r="AD66">
        <v>11</v>
      </c>
      <c r="AE66">
        <v>5</v>
      </c>
      <c r="AF66">
        <v>9</v>
      </c>
      <c r="AG66">
        <v>57</v>
      </c>
      <c r="AH66">
        <v>1</v>
      </c>
      <c r="AI66">
        <v>5</v>
      </c>
      <c r="AJ66">
        <v>3</v>
      </c>
      <c r="AK66">
        <v>20.5</v>
      </c>
      <c r="AL66">
        <v>20</v>
      </c>
      <c r="AM66">
        <v>-4</v>
      </c>
      <c r="AN66">
        <v>-1</v>
      </c>
      <c r="AO66">
        <v>0.625</v>
      </c>
      <c r="AP66">
        <v>3</v>
      </c>
      <c r="AQ66">
        <v>0</v>
      </c>
      <c r="AR66">
        <v>2</v>
      </c>
      <c r="AS66">
        <v>1</v>
      </c>
      <c r="AT66">
        <v>3</v>
      </c>
      <c r="AU66">
        <v>2</v>
      </c>
      <c r="AV66">
        <v>5</v>
      </c>
      <c r="AW66">
        <v>1</v>
      </c>
      <c r="AX66">
        <v>15</v>
      </c>
      <c r="AY66">
        <v>5</v>
      </c>
      <c r="AZ66">
        <v>13</v>
      </c>
      <c r="BA66">
        <v>7</v>
      </c>
      <c r="BB66">
        <v>68</v>
      </c>
      <c r="BC66">
        <v>45</v>
      </c>
      <c r="BD66">
        <v>-3.5</v>
      </c>
      <c r="BE66">
        <v>0</v>
      </c>
      <c r="BF66">
        <v>0</v>
      </c>
      <c r="BG66">
        <v>70.816999999999993</v>
      </c>
      <c r="BH66">
        <v>69.837999999999994</v>
      </c>
      <c r="BI66">
        <v>28.95</v>
      </c>
      <c r="BJ66">
        <v>36.555</v>
      </c>
      <c r="BK66">
        <v>66.771000000000001</v>
      </c>
      <c r="BL66">
        <v>43.046999999999997</v>
      </c>
      <c r="BM66">
        <v>8.43</v>
      </c>
      <c r="BN66">
        <v>28.95</v>
      </c>
      <c r="BO66">
        <v>69.837999999999994</v>
      </c>
      <c r="BP66">
        <v>0</v>
      </c>
      <c r="BQ66">
        <v>70.816999999999993</v>
      </c>
      <c r="BR66">
        <v>-8.43</v>
      </c>
      <c r="BS66">
        <v>33.228999999999999</v>
      </c>
      <c r="BT66">
        <v>63.445</v>
      </c>
      <c r="BU66">
        <v>56.953000000000003</v>
      </c>
      <c r="BV66">
        <v>2996</v>
      </c>
      <c r="BW66">
        <v>65.843999999999994</v>
      </c>
      <c r="BX66">
        <v>256.71429999999998</v>
      </c>
      <c r="BY66">
        <v>30</v>
      </c>
      <c r="BZ66">
        <v>370</v>
      </c>
      <c r="CA66">
        <v>7.6790000000000003</v>
      </c>
      <c r="CB66">
        <v>789</v>
      </c>
      <c r="CC66">
        <v>103.429</v>
      </c>
      <c r="CD66">
        <v>4.1369999999999996</v>
      </c>
      <c r="CE66">
        <v>4</v>
      </c>
      <c r="CF66">
        <v>3261</v>
      </c>
      <c r="CG66">
        <v>17</v>
      </c>
      <c r="CH66">
        <v>266.57100000000003</v>
      </c>
      <c r="CI66">
        <v>11.663</v>
      </c>
      <c r="CJ66">
        <v>6.577</v>
      </c>
      <c r="CK66">
        <v>16.111000000000001</v>
      </c>
      <c r="CL66">
        <v>0</v>
      </c>
      <c r="CM66">
        <v>26</v>
      </c>
      <c r="CN66">
        <v>0</v>
      </c>
      <c r="CO66">
        <v>90.475999999999999</v>
      </c>
      <c r="CP66">
        <v>71.429000000000002</v>
      </c>
      <c r="CQ66">
        <v>10</v>
      </c>
      <c r="CR66">
        <v>49</v>
      </c>
      <c r="CS66">
        <v>14.2</v>
      </c>
      <c r="CT66">
        <v>22</v>
      </c>
      <c r="CU66">
        <v>11</v>
      </c>
      <c r="CV66">
        <v>0</v>
      </c>
      <c r="CW66">
        <v>17</v>
      </c>
      <c r="CX66">
        <v>175</v>
      </c>
      <c r="CY66">
        <v>22</v>
      </c>
      <c r="CZ66">
        <v>66.667000000000002</v>
      </c>
      <c r="DA66">
        <v>37.661999999999999</v>
      </c>
      <c r="DB66">
        <v>65.239999999999995</v>
      </c>
      <c r="DC66">
        <v>3</v>
      </c>
      <c r="DD66">
        <v>2753</v>
      </c>
      <c r="DE66">
        <v>65.885999999999996</v>
      </c>
      <c r="DF66">
        <v>259.25</v>
      </c>
      <c r="DG66">
        <v>23</v>
      </c>
      <c r="DH66">
        <v>362.25</v>
      </c>
      <c r="DI66">
        <v>7.3010000000000002</v>
      </c>
      <c r="DJ66">
        <v>775</v>
      </c>
      <c r="DK66">
        <v>89.375</v>
      </c>
      <c r="DL66">
        <v>3.4049999999999998</v>
      </c>
      <c r="DM66">
        <v>3</v>
      </c>
      <c r="DN66">
        <v>3588</v>
      </c>
      <c r="DO66">
        <v>12</v>
      </c>
      <c r="DP66">
        <v>272.875</v>
      </c>
      <c r="DQ66">
        <v>11.081</v>
      </c>
      <c r="DR66">
        <v>6.6669999999999998</v>
      </c>
      <c r="DS66">
        <v>1.889</v>
      </c>
      <c r="DT66">
        <v>0</v>
      </c>
      <c r="DU66">
        <v>9</v>
      </c>
      <c r="DV66">
        <v>0</v>
      </c>
      <c r="DW66">
        <v>92.308000000000007</v>
      </c>
      <c r="DX66">
        <v>90</v>
      </c>
      <c r="DY66">
        <v>18</v>
      </c>
      <c r="DZ66">
        <v>66</v>
      </c>
      <c r="EA66">
        <v>14.308</v>
      </c>
      <c r="EB66">
        <v>12</v>
      </c>
      <c r="EC66">
        <v>25</v>
      </c>
      <c r="ED66">
        <v>0</v>
      </c>
      <c r="EE66">
        <v>12</v>
      </c>
      <c r="EF66">
        <v>160</v>
      </c>
      <c r="EG66">
        <v>20.875</v>
      </c>
      <c r="EH66">
        <v>54.545000000000002</v>
      </c>
      <c r="EI66">
        <v>46.363999999999997</v>
      </c>
      <c r="EJ66">
        <v>65.709999999999994</v>
      </c>
      <c r="EK66">
        <v>-5</v>
      </c>
    </row>
    <row r="67" spans="1:141" x14ac:dyDescent="0.25">
      <c r="A67">
        <v>38</v>
      </c>
      <c r="B67">
        <v>-4</v>
      </c>
      <c r="C67">
        <v>0</v>
      </c>
      <c r="D67">
        <v>2025</v>
      </c>
      <c r="E67">
        <v>5</v>
      </c>
      <c r="F67" t="str">
        <f>VLOOKUP(G67, Map!$A$1:$B$33, 2, FALSE)</f>
        <v>CLE</v>
      </c>
      <c r="G67" t="s">
        <v>162</v>
      </c>
      <c r="H67" t="str">
        <f>VLOOKUP(I67, Map!$A$1:$B$33, 2, FALSE)</f>
        <v>MIN</v>
      </c>
      <c r="I67" t="s">
        <v>153</v>
      </c>
      <c r="J67">
        <v>0</v>
      </c>
      <c r="K67">
        <v>0</v>
      </c>
      <c r="L67">
        <v>0</v>
      </c>
      <c r="M67">
        <v>0</v>
      </c>
      <c r="N67">
        <v>2</v>
      </c>
      <c r="O67">
        <v>6</v>
      </c>
      <c r="P67">
        <v>23</v>
      </c>
      <c r="Q67">
        <v>15.75</v>
      </c>
      <c r="R67">
        <v>-58</v>
      </c>
      <c r="S67">
        <v>-1</v>
      </c>
      <c r="T67">
        <v>0.25</v>
      </c>
      <c r="U67">
        <v>0</v>
      </c>
      <c r="V67">
        <v>3</v>
      </c>
      <c r="W67">
        <v>2</v>
      </c>
      <c r="X67">
        <v>2</v>
      </c>
      <c r="Y67">
        <v>0</v>
      </c>
      <c r="Z67">
        <v>4</v>
      </c>
      <c r="AA67">
        <v>1</v>
      </c>
      <c r="AB67">
        <v>4</v>
      </c>
      <c r="AC67">
        <v>7</v>
      </c>
      <c r="AD67">
        <v>10</v>
      </c>
      <c r="AE67">
        <v>8</v>
      </c>
      <c r="AF67">
        <v>9</v>
      </c>
      <c r="AG67">
        <v>61</v>
      </c>
      <c r="AH67">
        <v>1</v>
      </c>
      <c r="AI67">
        <v>3</v>
      </c>
      <c r="AJ67">
        <v>4</v>
      </c>
      <c r="AK67">
        <v>23.142856999999999</v>
      </c>
      <c r="AL67">
        <v>22.142856999999999</v>
      </c>
      <c r="AM67">
        <v>-7</v>
      </c>
      <c r="AN67">
        <v>-2</v>
      </c>
      <c r="AO67">
        <v>0.42857142999999998</v>
      </c>
      <c r="AP67">
        <v>1</v>
      </c>
      <c r="AQ67">
        <v>0</v>
      </c>
      <c r="AR67">
        <v>1</v>
      </c>
      <c r="AS67">
        <v>2</v>
      </c>
      <c r="AT67">
        <v>2</v>
      </c>
      <c r="AU67">
        <v>2</v>
      </c>
      <c r="AV67">
        <v>1</v>
      </c>
      <c r="AW67">
        <v>2</v>
      </c>
      <c r="AX67">
        <v>13</v>
      </c>
      <c r="AY67">
        <v>4</v>
      </c>
      <c r="AZ67">
        <v>7</v>
      </c>
      <c r="BA67">
        <v>9</v>
      </c>
      <c r="BB67">
        <v>61</v>
      </c>
      <c r="BC67">
        <v>33.5</v>
      </c>
      <c r="BD67">
        <v>0.5</v>
      </c>
      <c r="BE67">
        <v>0</v>
      </c>
      <c r="BF67">
        <v>0</v>
      </c>
      <c r="BG67">
        <v>31.54</v>
      </c>
      <c r="BH67">
        <v>32.758000000000003</v>
      </c>
      <c r="BI67">
        <v>68.206999999999994</v>
      </c>
      <c r="BJ67">
        <v>44.899000000000001</v>
      </c>
      <c r="BK67">
        <v>35.680999999999997</v>
      </c>
      <c r="BL67">
        <v>42.65</v>
      </c>
      <c r="BM67">
        <v>-7.3520000000000003</v>
      </c>
      <c r="BN67">
        <v>68.206999999999994</v>
      </c>
      <c r="BO67">
        <v>32.758000000000003</v>
      </c>
      <c r="BP67">
        <v>0</v>
      </c>
      <c r="BQ67">
        <v>31.54</v>
      </c>
      <c r="BR67">
        <v>7.3520000000000003</v>
      </c>
      <c r="BS67">
        <v>64.319000000000003</v>
      </c>
      <c r="BT67">
        <v>55.100999999999999</v>
      </c>
      <c r="BU67">
        <v>57.35</v>
      </c>
      <c r="BV67">
        <v>1756</v>
      </c>
      <c r="BW67">
        <v>58.94</v>
      </c>
      <c r="BX67">
        <v>174.125</v>
      </c>
      <c r="BY67">
        <v>14</v>
      </c>
      <c r="BZ67">
        <v>279.125</v>
      </c>
      <c r="CA67">
        <v>4.9870000000000001</v>
      </c>
      <c r="CB67">
        <v>896</v>
      </c>
      <c r="CC67">
        <v>89.5</v>
      </c>
      <c r="CD67">
        <v>3.7679999999999998</v>
      </c>
      <c r="CE67">
        <v>6</v>
      </c>
      <c r="CF67">
        <v>2652</v>
      </c>
      <c r="CG67">
        <v>7</v>
      </c>
      <c r="CH67">
        <v>189.625</v>
      </c>
      <c r="CI67">
        <v>8.4610000000000003</v>
      </c>
      <c r="CJ67">
        <v>6.9169999999999998</v>
      </c>
      <c r="CK67">
        <v>4.3029999999999999</v>
      </c>
      <c r="CL67">
        <v>1</v>
      </c>
      <c r="CM67">
        <v>24</v>
      </c>
      <c r="CN67">
        <v>0</v>
      </c>
      <c r="CO67">
        <v>92.308000000000007</v>
      </c>
      <c r="CP67">
        <v>76.923000000000002</v>
      </c>
      <c r="CQ67">
        <v>10</v>
      </c>
      <c r="CR67">
        <v>42</v>
      </c>
      <c r="CS67">
        <v>11.412000000000001</v>
      </c>
      <c r="CT67">
        <v>42</v>
      </c>
      <c r="CU67">
        <v>16</v>
      </c>
      <c r="CV67">
        <v>6</v>
      </c>
      <c r="CW67">
        <v>7</v>
      </c>
      <c r="CX67">
        <v>126</v>
      </c>
      <c r="CY67">
        <v>16.75</v>
      </c>
      <c r="CZ67">
        <v>57.895000000000003</v>
      </c>
      <c r="DA67">
        <v>33.042999999999999</v>
      </c>
      <c r="DB67">
        <v>69.39</v>
      </c>
      <c r="DC67">
        <v>0</v>
      </c>
      <c r="DD67">
        <v>1981</v>
      </c>
      <c r="DE67">
        <v>63.927</v>
      </c>
      <c r="DF67">
        <v>202.71428</v>
      </c>
      <c r="DG67">
        <v>21</v>
      </c>
      <c r="DH67">
        <v>321.14285000000001</v>
      </c>
      <c r="DI67">
        <v>7.2649999999999997</v>
      </c>
      <c r="DJ67">
        <v>772</v>
      </c>
      <c r="DK67">
        <v>93.856999999999999</v>
      </c>
      <c r="DL67">
        <v>4.2939999999999996</v>
      </c>
      <c r="DM67">
        <v>5</v>
      </c>
      <c r="DN67">
        <v>2606</v>
      </c>
      <c r="DO67">
        <v>9</v>
      </c>
      <c r="DP67">
        <v>227.286</v>
      </c>
      <c r="DQ67">
        <v>11.364000000000001</v>
      </c>
      <c r="DR67">
        <v>6.2220000000000004</v>
      </c>
      <c r="DS67">
        <v>3.3570000000000002</v>
      </c>
      <c r="DT67">
        <v>2</v>
      </c>
      <c r="DU67">
        <v>18</v>
      </c>
      <c r="DV67">
        <v>0</v>
      </c>
      <c r="DW67">
        <v>100</v>
      </c>
      <c r="DX67">
        <v>87.5</v>
      </c>
      <c r="DY67">
        <v>14</v>
      </c>
      <c r="DZ67">
        <v>55</v>
      </c>
      <c r="EA67">
        <v>7.8179999999999996</v>
      </c>
      <c r="EB67">
        <v>10</v>
      </c>
      <c r="EC67">
        <v>29</v>
      </c>
      <c r="ED67">
        <v>12</v>
      </c>
      <c r="EE67">
        <v>9</v>
      </c>
      <c r="EF67">
        <v>155</v>
      </c>
      <c r="EG67">
        <v>17.428999999999998</v>
      </c>
      <c r="EH67">
        <v>62.5</v>
      </c>
      <c r="EI67">
        <v>33.332999999999998</v>
      </c>
      <c r="EJ67">
        <v>70.13</v>
      </c>
      <c r="EK67">
        <v>-4</v>
      </c>
    </row>
    <row r="68" spans="1:141" x14ac:dyDescent="0.25">
      <c r="A68">
        <v>46</v>
      </c>
      <c r="B68">
        <v>34</v>
      </c>
      <c r="C68">
        <v>1</v>
      </c>
      <c r="D68">
        <v>2025</v>
      </c>
      <c r="E68">
        <v>5</v>
      </c>
      <c r="F68" t="str">
        <f>VLOOKUP(G68, Map!$A$1:$B$33, 2, FALSE)</f>
        <v>IND</v>
      </c>
      <c r="G68" t="s">
        <v>138</v>
      </c>
      <c r="H68" t="str">
        <f>VLOOKUP(I68, Map!$A$1:$B$33, 2, FALSE)</f>
        <v>LV</v>
      </c>
      <c r="I68" t="s">
        <v>157</v>
      </c>
      <c r="J68">
        <v>0</v>
      </c>
      <c r="K68">
        <v>0</v>
      </c>
      <c r="L68">
        <v>0</v>
      </c>
      <c r="M68">
        <v>1</v>
      </c>
      <c r="N68">
        <v>7</v>
      </c>
      <c r="O68">
        <v>1</v>
      </c>
      <c r="P68">
        <v>19.25</v>
      </c>
      <c r="Q68">
        <v>33.75</v>
      </c>
      <c r="R68">
        <v>116</v>
      </c>
      <c r="S68">
        <v>4</v>
      </c>
      <c r="T68">
        <v>0.875</v>
      </c>
      <c r="U68">
        <v>2</v>
      </c>
      <c r="V68">
        <v>0</v>
      </c>
      <c r="W68">
        <v>5</v>
      </c>
      <c r="X68">
        <v>0</v>
      </c>
      <c r="Y68">
        <v>2</v>
      </c>
      <c r="Z68">
        <v>1</v>
      </c>
      <c r="AA68">
        <v>6</v>
      </c>
      <c r="AB68">
        <v>0</v>
      </c>
      <c r="AC68">
        <v>4</v>
      </c>
      <c r="AD68">
        <v>12</v>
      </c>
      <c r="AE68">
        <v>6</v>
      </c>
      <c r="AF68">
        <v>11</v>
      </c>
      <c r="AG68">
        <v>68</v>
      </c>
      <c r="AH68">
        <v>0</v>
      </c>
      <c r="AI68">
        <v>2</v>
      </c>
      <c r="AJ68">
        <v>5</v>
      </c>
      <c r="AK68">
        <v>25.714285</v>
      </c>
      <c r="AL68">
        <v>14.714286</v>
      </c>
      <c r="AM68">
        <v>-77</v>
      </c>
      <c r="AN68">
        <v>-1</v>
      </c>
      <c r="AO68">
        <v>0.28571429999999998</v>
      </c>
      <c r="AP68">
        <v>0</v>
      </c>
      <c r="AQ68">
        <v>2</v>
      </c>
      <c r="AR68">
        <v>1</v>
      </c>
      <c r="AS68">
        <v>2</v>
      </c>
      <c r="AT68">
        <v>1</v>
      </c>
      <c r="AU68">
        <v>3</v>
      </c>
      <c r="AV68">
        <v>2</v>
      </c>
      <c r="AW68">
        <v>3</v>
      </c>
      <c r="AX68">
        <v>6</v>
      </c>
      <c r="AY68">
        <v>10</v>
      </c>
      <c r="AZ68">
        <v>8</v>
      </c>
      <c r="BA68">
        <v>8</v>
      </c>
      <c r="BB68">
        <v>56</v>
      </c>
      <c r="BC68">
        <v>46.5</v>
      </c>
      <c r="BD68">
        <v>-19.5</v>
      </c>
      <c r="BE68">
        <v>0</v>
      </c>
      <c r="BF68">
        <v>0</v>
      </c>
      <c r="BG68">
        <v>62.985999999999997</v>
      </c>
      <c r="BH68">
        <v>47.167000000000002</v>
      </c>
      <c r="BI68">
        <v>36.719000000000001</v>
      </c>
      <c r="BJ68">
        <v>79.09</v>
      </c>
      <c r="BK68">
        <v>89.93</v>
      </c>
      <c r="BL68">
        <v>96.727999999999994</v>
      </c>
      <c r="BM68">
        <v>5.1189999999999998</v>
      </c>
      <c r="BN68">
        <v>36.719000000000001</v>
      </c>
      <c r="BO68">
        <v>47.167000000000002</v>
      </c>
      <c r="BP68">
        <v>0</v>
      </c>
      <c r="BQ68">
        <v>62.985999999999997</v>
      </c>
      <c r="BR68">
        <v>-5.1189999999999998</v>
      </c>
      <c r="BS68">
        <v>10.07</v>
      </c>
      <c r="BT68">
        <v>20.91</v>
      </c>
      <c r="BU68">
        <v>3.2719999999999998</v>
      </c>
      <c r="BV68">
        <v>2891</v>
      </c>
      <c r="BW68">
        <v>70.161000000000001</v>
      </c>
      <c r="BX68">
        <v>250.875</v>
      </c>
      <c r="BY68">
        <v>23</v>
      </c>
      <c r="BZ68">
        <v>393.25</v>
      </c>
      <c r="CA68">
        <v>8.3510000000000009</v>
      </c>
      <c r="CB68">
        <v>1690</v>
      </c>
      <c r="CC68">
        <v>134.375</v>
      </c>
      <c r="CD68">
        <v>5.0229999999999997</v>
      </c>
      <c r="CE68">
        <v>18</v>
      </c>
      <c r="CF68">
        <v>3396</v>
      </c>
      <c r="CG68">
        <v>13</v>
      </c>
      <c r="CH68">
        <v>258.875</v>
      </c>
      <c r="CI68">
        <v>11.901999999999999</v>
      </c>
      <c r="CJ68">
        <v>6.8259999999999996</v>
      </c>
      <c r="CK68">
        <v>6.0910000000000002</v>
      </c>
      <c r="CL68">
        <v>1</v>
      </c>
      <c r="CM68">
        <v>23</v>
      </c>
      <c r="CN68">
        <v>0</v>
      </c>
      <c r="CO68">
        <v>96.296000000000006</v>
      </c>
      <c r="CP68">
        <v>94.117999999999995</v>
      </c>
      <c r="CQ68">
        <v>16</v>
      </c>
      <c r="CR68">
        <v>74</v>
      </c>
      <c r="CS68">
        <v>4.25</v>
      </c>
      <c r="CT68">
        <v>16</v>
      </c>
      <c r="CU68">
        <v>8</v>
      </c>
      <c r="CV68">
        <v>6</v>
      </c>
      <c r="CW68">
        <v>13</v>
      </c>
      <c r="CX68">
        <v>270</v>
      </c>
      <c r="CY68">
        <v>23.25</v>
      </c>
      <c r="CZ68">
        <v>83.332999999999998</v>
      </c>
      <c r="DA68">
        <v>45.348999999999997</v>
      </c>
      <c r="DB68">
        <v>77.069999999999993</v>
      </c>
      <c r="DC68">
        <v>8</v>
      </c>
      <c r="DD68">
        <v>1570</v>
      </c>
      <c r="DE68">
        <v>66.176000000000002</v>
      </c>
      <c r="DF68">
        <v>182.71428</v>
      </c>
      <c r="DG68">
        <v>19</v>
      </c>
      <c r="DH68">
        <v>297.28570000000002</v>
      </c>
      <c r="DI68">
        <v>6.7649999999999997</v>
      </c>
      <c r="DJ68">
        <v>731</v>
      </c>
      <c r="DK68">
        <v>93.713999999999999</v>
      </c>
      <c r="DL68">
        <v>3.859</v>
      </c>
      <c r="DM68">
        <v>3</v>
      </c>
      <c r="DN68">
        <v>2345</v>
      </c>
      <c r="DO68">
        <v>7</v>
      </c>
      <c r="DP68">
        <v>203.571</v>
      </c>
      <c r="DQ68">
        <v>10.222</v>
      </c>
      <c r="DR68">
        <v>6.7329999999999997</v>
      </c>
      <c r="DS68">
        <v>3.0710000000000002</v>
      </c>
      <c r="DT68">
        <v>0</v>
      </c>
      <c r="DU68">
        <v>15</v>
      </c>
      <c r="DV68">
        <v>0</v>
      </c>
      <c r="DW68">
        <v>100</v>
      </c>
      <c r="DX68">
        <v>78.570999999999998</v>
      </c>
      <c r="DY68">
        <v>11</v>
      </c>
      <c r="DZ68">
        <v>41</v>
      </c>
      <c r="EA68">
        <v>15.333</v>
      </c>
      <c r="EB68">
        <v>8</v>
      </c>
      <c r="EC68">
        <v>26</v>
      </c>
      <c r="ED68">
        <v>0</v>
      </c>
      <c r="EE68">
        <v>7</v>
      </c>
      <c r="EF68">
        <v>103</v>
      </c>
      <c r="EG68">
        <v>15.856999999999999</v>
      </c>
      <c r="EH68">
        <v>45.454999999999998</v>
      </c>
      <c r="EI68">
        <v>37.930999999999997</v>
      </c>
      <c r="EJ68">
        <v>53.17</v>
      </c>
      <c r="EK68">
        <v>-5</v>
      </c>
    </row>
    <row r="69" spans="1:141" x14ac:dyDescent="0.25">
      <c r="A69">
        <v>40</v>
      </c>
      <c r="B69">
        <v>12</v>
      </c>
      <c r="C69">
        <v>1</v>
      </c>
      <c r="D69">
        <v>2025</v>
      </c>
      <c r="E69">
        <v>5</v>
      </c>
      <c r="F69" t="str">
        <f>VLOOKUP(G69, Map!$A$1:$B$33, 2, FALSE)</f>
        <v>NO</v>
      </c>
      <c r="G69" t="s">
        <v>168</v>
      </c>
      <c r="H69" t="str">
        <f>VLOOKUP(I69, Map!$A$1:$B$33, 2, FALSE)</f>
        <v>NYG</v>
      </c>
      <c r="I69" t="s">
        <v>149</v>
      </c>
      <c r="J69">
        <v>0</v>
      </c>
      <c r="K69">
        <v>0</v>
      </c>
      <c r="L69">
        <v>0</v>
      </c>
      <c r="M69">
        <v>1</v>
      </c>
      <c r="N69">
        <v>1</v>
      </c>
      <c r="O69">
        <v>7</v>
      </c>
      <c r="P69">
        <v>26.125</v>
      </c>
      <c r="Q69">
        <v>16</v>
      </c>
      <c r="R69">
        <v>-81</v>
      </c>
      <c r="S69">
        <v>-3</v>
      </c>
      <c r="T69">
        <v>0.125</v>
      </c>
      <c r="U69">
        <v>0</v>
      </c>
      <c r="V69">
        <v>1</v>
      </c>
      <c r="W69">
        <v>1</v>
      </c>
      <c r="X69">
        <v>4</v>
      </c>
      <c r="Y69">
        <v>0</v>
      </c>
      <c r="Z69">
        <v>3</v>
      </c>
      <c r="AA69">
        <v>1</v>
      </c>
      <c r="AB69">
        <v>5</v>
      </c>
      <c r="AC69">
        <v>7</v>
      </c>
      <c r="AD69">
        <v>10</v>
      </c>
      <c r="AE69">
        <v>7</v>
      </c>
      <c r="AF69">
        <v>10</v>
      </c>
      <c r="AG69">
        <v>64</v>
      </c>
      <c r="AH69">
        <v>0</v>
      </c>
      <c r="AI69">
        <v>2</v>
      </c>
      <c r="AJ69">
        <v>6</v>
      </c>
      <c r="AK69">
        <v>26.875</v>
      </c>
      <c r="AL69">
        <v>21.625</v>
      </c>
      <c r="AM69">
        <v>-42</v>
      </c>
      <c r="AN69">
        <v>-2</v>
      </c>
      <c r="AO69">
        <v>0.25</v>
      </c>
      <c r="AP69">
        <v>1</v>
      </c>
      <c r="AQ69">
        <v>3</v>
      </c>
      <c r="AR69">
        <v>2</v>
      </c>
      <c r="AS69">
        <v>1</v>
      </c>
      <c r="AT69">
        <v>0</v>
      </c>
      <c r="AU69">
        <v>5</v>
      </c>
      <c r="AV69">
        <v>1</v>
      </c>
      <c r="AW69">
        <v>4</v>
      </c>
      <c r="AX69">
        <v>10</v>
      </c>
      <c r="AY69">
        <v>7</v>
      </c>
      <c r="AZ69">
        <v>14</v>
      </c>
      <c r="BA69">
        <v>4</v>
      </c>
      <c r="BB69">
        <v>67</v>
      </c>
      <c r="BC69">
        <v>41.5</v>
      </c>
      <c r="BD69">
        <v>-7.5</v>
      </c>
      <c r="BE69">
        <v>0</v>
      </c>
      <c r="BF69">
        <v>0</v>
      </c>
      <c r="BG69">
        <v>54.686</v>
      </c>
      <c r="BH69">
        <v>20.779</v>
      </c>
      <c r="BI69">
        <v>44.953000000000003</v>
      </c>
      <c r="BJ69">
        <v>88.521000000000001</v>
      </c>
      <c r="BK69">
        <v>65.164000000000001</v>
      </c>
      <c r="BL69">
        <v>79.331000000000003</v>
      </c>
      <c r="BM69">
        <v>1.5549999999999999</v>
      </c>
      <c r="BN69">
        <v>44.953000000000003</v>
      </c>
      <c r="BO69">
        <v>20.779</v>
      </c>
      <c r="BP69">
        <v>0</v>
      </c>
      <c r="BQ69">
        <v>54.686</v>
      </c>
      <c r="BR69">
        <v>-1.5549999999999999</v>
      </c>
      <c r="BS69">
        <v>34.835999999999999</v>
      </c>
      <c r="BT69">
        <v>11.478999999999999</v>
      </c>
      <c r="BU69">
        <v>20.669</v>
      </c>
      <c r="BV69">
        <v>2083</v>
      </c>
      <c r="BW69">
        <v>66.206999999999994</v>
      </c>
      <c r="BX69">
        <v>201.375</v>
      </c>
      <c r="BY69">
        <v>13</v>
      </c>
      <c r="BZ69">
        <v>310.25</v>
      </c>
      <c r="CA69">
        <v>5.976</v>
      </c>
      <c r="CB69">
        <v>779</v>
      </c>
      <c r="CC69">
        <v>93.625</v>
      </c>
      <c r="CD69">
        <v>3.7829999999999999</v>
      </c>
      <c r="CE69">
        <v>3</v>
      </c>
      <c r="CF69">
        <v>2973</v>
      </c>
      <c r="CG69">
        <v>8</v>
      </c>
      <c r="CH69">
        <v>216.625</v>
      </c>
      <c r="CI69">
        <v>9.0259999999999998</v>
      </c>
      <c r="CJ69">
        <v>6.0590000000000002</v>
      </c>
      <c r="CK69">
        <v>4.7779999999999996</v>
      </c>
      <c r="CL69">
        <v>1</v>
      </c>
      <c r="CM69">
        <v>17</v>
      </c>
      <c r="CN69">
        <v>0</v>
      </c>
      <c r="CO69">
        <v>100</v>
      </c>
      <c r="CP69">
        <v>71.429000000000002</v>
      </c>
      <c r="CQ69">
        <v>15</v>
      </c>
      <c r="CR69">
        <v>56</v>
      </c>
      <c r="CS69">
        <v>15.25</v>
      </c>
      <c r="CT69">
        <v>27</v>
      </c>
      <c r="CU69">
        <v>7</v>
      </c>
      <c r="CV69">
        <v>6</v>
      </c>
      <c r="CW69">
        <v>8</v>
      </c>
      <c r="CX69">
        <v>128</v>
      </c>
      <c r="CY69">
        <v>19.125</v>
      </c>
      <c r="CZ69">
        <v>33.332999999999998</v>
      </c>
      <c r="DA69">
        <v>38.835000000000001</v>
      </c>
      <c r="DB69">
        <v>61.22</v>
      </c>
      <c r="DC69">
        <v>-2</v>
      </c>
      <c r="DD69">
        <v>2348</v>
      </c>
      <c r="DE69">
        <v>59.448999999999998</v>
      </c>
      <c r="DF69">
        <v>207.25</v>
      </c>
      <c r="DG69">
        <v>23</v>
      </c>
      <c r="DH69">
        <v>339.25</v>
      </c>
      <c r="DI69">
        <v>6.9210000000000003</v>
      </c>
      <c r="DJ69">
        <v>1249</v>
      </c>
      <c r="DK69">
        <v>118</v>
      </c>
      <c r="DL69">
        <v>4.0339999999999998</v>
      </c>
      <c r="DM69">
        <v>10</v>
      </c>
      <c r="DN69">
        <v>2910</v>
      </c>
      <c r="DO69">
        <v>11</v>
      </c>
      <c r="DP69">
        <v>221.25</v>
      </c>
      <c r="DQ69">
        <v>11.641999999999999</v>
      </c>
      <c r="DR69">
        <v>7.2629999999999999</v>
      </c>
      <c r="DS69">
        <v>5.1740000000000004</v>
      </c>
      <c r="DT69">
        <v>0</v>
      </c>
      <c r="DU69">
        <v>19</v>
      </c>
      <c r="DV69">
        <v>0</v>
      </c>
      <c r="DW69">
        <v>78.947000000000003</v>
      </c>
      <c r="DX69">
        <v>100</v>
      </c>
      <c r="DY69">
        <v>10</v>
      </c>
      <c r="DZ69">
        <v>45</v>
      </c>
      <c r="EA69">
        <v>7.1539999999999999</v>
      </c>
      <c r="EB69">
        <v>12</v>
      </c>
      <c r="EC69">
        <v>32</v>
      </c>
      <c r="ED69">
        <v>0</v>
      </c>
      <c r="EE69">
        <v>11</v>
      </c>
      <c r="EF69">
        <v>173</v>
      </c>
      <c r="EG69">
        <v>20.625</v>
      </c>
      <c r="EH69">
        <v>52.941000000000003</v>
      </c>
      <c r="EI69">
        <v>39.814999999999998</v>
      </c>
      <c r="EJ69">
        <v>59.26</v>
      </c>
      <c r="EK69">
        <v>-4</v>
      </c>
    </row>
    <row r="70" spans="1:141" x14ac:dyDescent="0.25">
      <c r="A70">
        <v>59</v>
      </c>
      <c r="B70">
        <v>-15</v>
      </c>
      <c r="C70">
        <v>0</v>
      </c>
      <c r="D70">
        <v>2025</v>
      </c>
      <c r="E70">
        <v>5</v>
      </c>
      <c r="F70" t="str">
        <f>VLOOKUP(G70, Map!$A$1:$B$33, 2, FALSE)</f>
        <v>NYJ</v>
      </c>
      <c r="G70" t="s">
        <v>166</v>
      </c>
      <c r="H70" t="str">
        <f>VLOOKUP(I70, Map!$A$1:$B$33, 2, FALSE)</f>
        <v>DAL</v>
      </c>
      <c r="I70" t="s">
        <v>150</v>
      </c>
      <c r="J70">
        <v>0</v>
      </c>
      <c r="K70">
        <v>0</v>
      </c>
      <c r="L70">
        <v>0</v>
      </c>
      <c r="M70">
        <v>0</v>
      </c>
      <c r="N70">
        <v>1</v>
      </c>
      <c r="O70">
        <v>7</v>
      </c>
      <c r="P70">
        <v>27.625</v>
      </c>
      <c r="Q70">
        <v>21</v>
      </c>
      <c r="R70">
        <v>-53</v>
      </c>
      <c r="S70">
        <v>1</v>
      </c>
      <c r="T70">
        <v>0.125</v>
      </c>
      <c r="U70">
        <v>0</v>
      </c>
      <c r="V70">
        <v>2</v>
      </c>
      <c r="W70">
        <v>0</v>
      </c>
      <c r="X70">
        <v>5</v>
      </c>
      <c r="Y70">
        <v>1</v>
      </c>
      <c r="Z70">
        <v>2</v>
      </c>
      <c r="AA70">
        <v>1</v>
      </c>
      <c r="AB70">
        <v>4</v>
      </c>
      <c r="AC70">
        <v>7</v>
      </c>
      <c r="AD70">
        <v>10</v>
      </c>
      <c r="AE70">
        <v>8</v>
      </c>
      <c r="AF70">
        <v>9</v>
      </c>
      <c r="AG70">
        <v>60</v>
      </c>
      <c r="AH70">
        <v>1</v>
      </c>
      <c r="AI70">
        <v>3</v>
      </c>
      <c r="AJ70">
        <v>4</v>
      </c>
      <c r="AK70">
        <v>31.25</v>
      </c>
      <c r="AL70">
        <v>30.75</v>
      </c>
      <c r="AM70">
        <v>-4</v>
      </c>
      <c r="AN70">
        <v>-1</v>
      </c>
      <c r="AO70">
        <v>0.4375</v>
      </c>
      <c r="AP70">
        <v>2</v>
      </c>
      <c r="AQ70">
        <v>1</v>
      </c>
      <c r="AR70">
        <v>2</v>
      </c>
      <c r="AS70">
        <v>0</v>
      </c>
      <c r="AT70">
        <v>1</v>
      </c>
      <c r="AU70">
        <v>4</v>
      </c>
      <c r="AV70">
        <v>2</v>
      </c>
      <c r="AW70">
        <v>3</v>
      </c>
      <c r="AX70">
        <v>13</v>
      </c>
      <c r="AY70">
        <v>5</v>
      </c>
      <c r="AZ70">
        <v>11</v>
      </c>
      <c r="BA70">
        <v>7</v>
      </c>
      <c r="BB70">
        <v>68</v>
      </c>
      <c r="BC70">
        <v>47.5</v>
      </c>
      <c r="BD70">
        <v>9</v>
      </c>
      <c r="BE70">
        <v>0</v>
      </c>
      <c r="BF70">
        <v>0</v>
      </c>
      <c r="BG70">
        <v>40.969000000000001</v>
      </c>
      <c r="BH70">
        <v>38.823999999999998</v>
      </c>
      <c r="BI70">
        <v>58.701999999999998</v>
      </c>
      <c r="BJ70">
        <v>5.6959999999999997</v>
      </c>
      <c r="BK70">
        <v>29.68</v>
      </c>
      <c r="BL70">
        <v>12.981999999999999</v>
      </c>
      <c r="BM70">
        <v>-3.54</v>
      </c>
      <c r="BN70">
        <v>58.701999999999998</v>
      </c>
      <c r="BO70">
        <v>38.823999999999998</v>
      </c>
      <c r="BP70">
        <v>0</v>
      </c>
      <c r="BQ70">
        <v>40.969000000000001</v>
      </c>
      <c r="BR70">
        <v>3.54</v>
      </c>
      <c r="BS70">
        <v>70.319999999999993</v>
      </c>
      <c r="BT70">
        <v>94.304000000000002</v>
      </c>
      <c r="BU70">
        <v>87.018000000000001</v>
      </c>
      <c r="BV70">
        <v>2012</v>
      </c>
      <c r="BW70">
        <v>63.713000000000001</v>
      </c>
      <c r="BX70">
        <v>156.5</v>
      </c>
      <c r="BY70">
        <v>15</v>
      </c>
      <c r="BZ70">
        <v>327.625</v>
      </c>
      <c r="CA70">
        <v>6.2110000000000003</v>
      </c>
      <c r="CB70">
        <v>1254</v>
      </c>
      <c r="CC70">
        <v>143.625</v>
      </c>
      <c r="CD70">
        <v>5.1989999999999998</v>
      </c>
      <c r="CE70">
        <v>6</v>
      </c>
      <c r="CF70">
        <v>2542</v>
      </c>
      <c r="CG70">
        <v>9</v>
      </c>
      <c r="CH70">
        <v>184</v>
      </c>
      <c r="CI70">
        <v>9.7479999999999993</v>
      </c>
      <c r="CJ70">
        <v>6.2729999999999997</v>
      </c>
      <c r="CK70">
        <v>2.4169999999999998</v>
      </c>
      <c r="CL70">
        <v>1</v>
      </c>
      <c r="CM70">
        <v>11</v>
      </c>
      <c r="CN70">
        <v>0</v>
      </c>
      <c r="CO70">
        <v>100</v>
      </c>
      <c r="CP70">
        <v>100</v>
      </c>
      <c r="CQ70">
        <v>17</v>
      </c>
      <c r="CR70">
        <v>60</v>
      </c>
      <c r="CS70">
        <v>6.25</v>
      </c>
      <c r="CT70">
        <v>31</v>
      </c>
      <c r="CU70">
        <v>11</v>
      </c>
      <c r="CV70">
        <v>2</v>
      </c>
      <c r="CW70">
        <v>9</v>
      </c>
      <c r="CX70">
        <v>168</v>
      </c>
      <c r="CY70">
        <v>18.5</v>
      </c>
      <c r="CZ70">
        <v>52.631999999999998</v>
      </c>
      <c r="DA70">
        <v>34.905999999999999</v>
      </c>
      <c r="DB70">
        <v>69.17</v>
      </c>
      <c r="DC70">
        <v>-9</v>
      </c>
      <c r="DD70">
        <v>3160</v>
      </c>
      <c r="DE70">
        <v>70.233999999999995</v>
      </c>
      <c r="DF70">
        <v>263.75</v>
      </c>
      <c r="DG70">
        <v>25</v>
      </c>
      <c r="DH70">
        <v>391.375</v>
      </c>
      <c r="DI70">
        <v>7.1909999999999998</v>
      </c>
      <c r="DJ70">
        <v>1283</v>
      </c>
      <c r="DK70">
        <v>120.375</v>
      </c>
      <c r="DL70">
        <v>4.6749999999999998</v>
      </c>
      <c r="DM70">
        <v>10</v>
      </c>
      <c r="DN70">
        <v>3813</v>
      </c>
      <c r="DO70">
        <v>17</v>
      </c>
      <c r="DP70">
        <v>271</v>
      </c>
      <c r="DQ70">
        <v>10.238</v>
      </c>
      <c r="DR70">
        <v>7.7329999999999997</v>
      </c>
      <c r="DS70">
        <v>4.8099999999999996</v>
      </c>
      <c r="DT70">
        <v>1</v>
      </c>
      <c r="DU70">
        <v>15</v>
      </c>
      <c r="DV70">
        <v>0</v>
      </c>
      <c r="DW70">
        <v>96.296000000000006</v>
      </c>
      <c r="DX70">
        <v>100</v>
      </c>
      <c r="DY70">
        <v>16</v>
      </c>
      <c r="DZ70">
        <v>74</v>
      </c>
      <c r="EA70">
        <v>10</v>
      </c>
      <c r="EB70">
        <v>11</v>
      </c>
      <c r="EC70">
        <v>28</v>
      </c>
      <c r="ED70">
        <v>6</v>
      </c>
      <c r="EE70">
        <v>17</v>
      </c>
      <c r="EF70">
        <v>246</v>
      </c>
      <c r="EG70">
        <v>23.125</v>
      </c>
      <c r="EH70">
        <v>77.778000000000006</v>
      </c>
      <c r="EI70">
        <v>43.158000000000001</v>
      </c>
      <c r="EJ70">
        <v>74.19</v>
      </c>
      <c r="EK70">
        <v>-1</v>
      </c>
    </row>
    <row r="71" spans="1:141" x14ac:dyDescent="0.25">
      <c r="A71">
        <v>38</v>
      </c>
      <c r="B71">
        <v>-4</v>
      </c>
      <c r="C71">
        <v>0</v>
      </c>
      <c r="D71">
        <v>2025</v>
      </c>
      <c r="E71">
        <v>5</v>
      </c>
      <c r="F71" t="str">
        <f>VLOOKUP(G71, Map!$A$1:$B$33, 2, FALSE)</f>
        <v>PHI</v>
      </c>
      <c r="G71" t="s">
        <v>147</v>
      </c>
      <c r="H71" t="str">
        <f>VLOOKUP(I71, Map!$A$1:$B$33, 2, FALSE)</f>
        <v>DEN</v>
      </c>
      <c r="I71" t="s">
        <v>159</v>
      </c>
      <c r="J71">
        <v>0</v>
      </c>
      <c r="K71">
        <v>0</v>
      </c>
      <c r="L71">
        <v>0</v>
      </c>
      <c r="M71">
        <v>0</v>
      </c>
      <c r="N71">
        <v>6</v>
      </c>
      <c r="O71">
        <v>2</v>
      </c>
      <c r="P71">
        <v>23.125</v>
      </c>
      <c r="Q71">
        <v>26</v>
      </c>
      <c r="R71">
        <v>23</v>
      </c>
      <c r="S71">
        <v>2</v>
      </c>
      <c r="T71">
        <v>0.75</v>
      </c>
      <c r="U71">
        <v>2</v>
      </c>
      <c r="V71">
        <v>1</v>
      </c>
      <c r="W71">
        <v>3</v>
      </c>
      <c r="X71">
        <v>1</v>
      </c>
      <c r="Y71">
        <v>3</v>
      </c>
      <c r="Z71">
        <v>1</v>
      </c>
      <c r="AA71">
        <v>5</v>
      </c>
      <c r="AB71">
        <v>1</v>
      </c>
      <c r="AC71">
        <v>16</v>
      </c>
      <c r="AD71">
        <v>3</v>
      </c>
      <c r="AE71">
        <v>10</v>
      </c>
      <c r="AF71">
        <v>9</v>
      </c>
      <c r="AG71">
        <v>63</v>
      </c>
      <c r="AH71">
        <v>1</v>
      </c>
      <c r="AI71">
        <v>6</v>
      </c>
      <c r="AJ71">
        <v>2</v>
      </c>
      <c r="AK71">
        <v>18.875</v>
      </c>
      <c r="AL71">
        <v>25.875</v>
      </c>
      <c r="AM71">
        <v>56</v>
      </c>
      <c r="AN71">
        <v>5</v>
      </c>
      <c r="AO71">
        <v>0.75</v>
      </c>
      <c r="AP71">
        <v>0</v>
      </c>
      <c r="AQ71">
        <v>1</v>
      </c>
      <c r="AR71">
        <v>4</v>
      </c>
      <c r="AS71">
        <v>0</v>
      </c>
      <c r="AT71">
        <v>2</v>
      </c>
      <c r="AU71">
        <v>2</v>
      </c>
      <c r="AV71">
        <v>3</v>
      </c>
      <c r="AW71">
        <v>2</v>
      </c>
      <c r="AX71">
        <v>4</v>
      </c>
      <c r="AY71">
        <v>12</v>
      </c>
      <c r="AZ71">
        <v>7</v>
      </c>
      <c r="BA71">
        <v>9</v>
      </c>
      <c r="BB71">
        <v>63</v>
      </c>
      <c r="BC71">
        <v>41</v>
      </c>
      <c r="BD71">
        <v>-3</v>
      </c>
      <c r="BE71">
        <v>0</v>
      </c>
      <c r="BF71">
        <v>0</v>
      </c>
      <c r="BG71">
        <v>60.174999999999997</v>
      </c>
      <c r="BH71">
        <v>75.641000000000005</v>
      </c>
      <c r="BI71">
        <v>39.508000000000003</v>
      </c>
      <c r="BJ71">
        <v>45.787999999999997</v>
      </c>
      <c r="BK71">
        <v>55.210999999999999</v>
      </c>
      <c r="BL71">
        <v>44.265000000000001</v>
      </c>
      <c r="BM71">
        <v>4.056</v>
      </c>
      <c r="BN71">
        <v>39.508000000000003</v>
      </c>
      <c r="BO71">
        <v>75.641000000000005</v>
      </c>
      <c r="BP71">
        <v>0</v>
      </c>
      <c r="BQ71">
        <v>60.174999999999997</v>
      </c>
      <c r="BR71">
        <v>-4.056</v>
      </c>
      <c r="BS71">
        <v>44.789000000000001</v>
      </c>
      <c r="BT71">
        <v>54.212000000000003</v>
      </c>
      <c r="BU71">
        <v>55.734999999999999</v>
      </c>
      <c r="BV71">
        <v>2679</v>
      </c>
      <c r="BW71">
        <v>70.233000000000004</v>
      </c>
      <c r="BX71">
        <v>192.75</v>
      </c>
      <c r="BY71">
        <v>23</v>
      </c>
      <c r="BZ71">
        <v>321.25</v>
      </c>
      <c r="CA71">
        <v>7.7160000000000002</v>
      </c>
      <c r="CB71">
        <v>1178</v>
      </c>
      <c r="CC71">
        <v>111.625</v>
      </c>
      <c r="CD71">
        <v>4.0960000000000001</v>
      </c>
      <c r="CE71">
        <v>9</v>
      </c>
      <c r="CF71">
        <v>2957</v>
      </c>
      <c r="CG71">
        <v>15</v>
      </c>
      <c r="CH71">
        <v>209.625</v>
      </c>
      <c r="CI71">
        <v>10.987</v>
      </c>
      <c r="CJ71">
        <v>4.75</v>
      </c>
      <c r="CK71">
        <v>3.75</v>
      </c>
      <c r="CL71">
        <v>3</v>
      </c>
      <c r="CM71">
        <v>16</v>
      </c>
      <c r="CN71">
        <v>0</v>
      </c>
      <c r="CO71">
        <v>100</v>
      </c>
      <c r="CP71">
        <v>77.778000000000006</v>
      </c>
      <c r="CQ71">
        <v>7</v>
      </c>
      <c r="CR71">
        <v>46</v>
      </c>
      <c r="CS71">
        <v>13.55</v>
      </c>
      <c r="CT71">
        <v>34</v>
      </c>
      <c r="CU71">
        <v>7</v>
      </c>
      <c r="CV71">
        <v>6</v>
      </c>
      <c r="CW71">
        <v>15</v>
      </c>
      <c r="CX71">
        <v>208</v>
      </c>
      <c r="CY71">
        <v>17.875</v>
      </c>
      <c r="CZ71">
        <v>78.570999999999998</v>
      </c>
      <c r="DA71">
        <v>33.332999999999998</v>
      </c>
      <c r="DB71">
        <v>87.14</v>
      </c>
      <c r="DC71">
        <v>4</v>
      </c>
      <c r="DD71">
        <v>2703</v>
      </c>
      <c r="DE71">
        <v>62.807000000000002</v>
      </c>
      <c r="DF71">
        <v>219.125</v>
      </c>
      <c r="DG71">
        <v>22</v>
      </c>
      <c r="DH71">
        <v>363.125</v>
      </c>
      <c r="DI71">
        <v>6.3259999999999996</v>
      </c>
      <c r="DJ71">
        <v>1407</v>
      </c>
      <c r="DK71">
        <v>137.75</v>
      </c>
      <c r="DL71">
        <v>5.0090000000000003</v>
      </c>
      <c r="DM71">
        <v>10</v>
      </c>
      <c r="DN71">
        <v>3223</v>
      </c>
      <c r="DO71">
        <v>15</v>
      </c>
      <c r="DP71">
        <v>225.375</v>
      </c>
      <c r="DQ71">
        <v>10.073</v>
      </c>
      <c r="DR71">
        <v>6.0279999999999996</v>
      </c>
      <c r="DS71">
        <v>90.5</v>
      </c>
      <c r="DT71">
        <v>0</v>
      </c>
      <c r="DU71">
        <v>36</v>
      </c>
      <c r="DV71">
        <v>0</v>
      </c>
      <c r="DW71">
        <v>100</v>
      </c>
      <c r="DX71">
        <v>90.909000000000006</v>
      </c>
      <c r="DY71">
        <v>10</v>
      </c>
      <c r="DZ71">
        <v>51</v>
      </c>
      <c r="EA71">
        <v>10.467000000000001</v>
      </c>
      <c r="EB71">
        <v>18</v>
      </c>
      <c r="EC71">
        <v>38</v>
      </c>
      <c r="ED71">
        <v>0</v>
      </c>
      <c r="EE71">
        <v>15</v>
      </c>
      <c r="EF71">
        <v>207</v>
      </c>
      <c r="EG71">
        <v>20.75</v>
      </c>
      <c r="EH71">
        <v>50</v>
      </c>
      <c r="EI71">
        <v>37.863999999999997</v>
      </c>
      <c r="EJ71">
        <v>73.02</v>
      </c>
      <c r="EK71">
        <v>-1</v>
      </c>
    </row>
    <row r="72" spans="1:141" x14ac:dyDescent="0.25">
      <c r="A72">
        <v>51</v>
      </c>
      <c r="B72">
        <v>3</v>
      </c>
      <c r="C72">
        <v>1</v>
      </c>
      <c r="D72">
        <v>2025</v>
      </c>
      <c r="E72">
        <v>5</v>
      </c>
      <c r="F72" t="str">
        <f>VLOOKUP(G72, Map!$A$1:$B$33, 2, FALSE)</f>
        <v>CAR</v>
      </c>
      <c r="G72" t="s">
        <v>142</v>
      </c>
      <c r="H72" t="str">
        <f>VLOOKUP(I72, Map!$A$1:$B$33, 2, FALSE)</f>
        <v>MIA</v>
      </c>
      <c r="I72" t="s">
        <v>152</v>
      </c>
      <c r="J72">
        <v>0</v>
      </c>
      <c r="K72">
        <v>0</v>
      </c>
      <c r="L72">
        <v>0</v>
      </c>
      <c r="M72">
        <v>1</v>
      </c>
      <c r="N72">
        <v>4</v>
      </c>
      <c r="O72">
        <v>4</v>
      </c>
      <c r="P72">
        <v>24</v>
      </c>
      <c r="Q72">
        <v>19.25</v>
      </c>
      <c r="R72">
        <v>-38</v>
      </c>
      <c r="S72">
        <v>-1</v>
      </c>
      <c r="T72">
        <v>0.5</v>
      </c>
      <c r="U72">
        <v>1</v>
      </c>
      <c r="V72">
        <v>0</v>
      </c>
      <c r="W72">
        <v>3</v>
      </c>
      <c r="X72">
        <v>1</v>
      </c>
      <c r="Y72">
        <v>1</v>
      </c>
      <c r="Z72">
        <v>3</v>
      </c>
      <c r="AA72">
        <v>2</v>
      </c>
      <c r="AB72">
        <v>1</v>
      </c>
      <c r="AC72">
        <v>7</v>
      </c>
      <c r="AD72">
        <v>10</v>
      </c>
      <c r="AE72">
        <v>9</v>
      </c>
      <c r="AF72">
        <v>8</v>
      </c>
      <c r="AG72">
        <v>58</v>
      </c>
      <c r="AH72">
        <v>0</v>
      </c>
      <c r="AI72">
        <v>2</v>
      </c>
      <c r="AJ72">
        <v>6</v>
      </c>
      <c r="AK72">
        <v>26.875</v>
      </c>
      <c r="AL72">
        <v>21.75</v>
      </c>
      <c r="AM72">
        <v>-41</v>
      </c>
      <c r="AN72">
        <v>1</v>
      </c>
      <c r="AO72">
        <v>0.25</v>
      </c>
      <c r="AP72">
        <v>1</v>
      </c>
      <c r="AQ72">
        <v>2</v>
      </c>
      <c r="AR72">
        <v>1</v>
      </c>
      <c r="AS72">
        <v>2</v>
      </c>
      <c r="AT72">
        <v>1</v>
      </c>
      <c r="AU72">
        <v>4</v>
      </c>
      <c r="AV72">
        <v>1</v>
      </c>
      <c r="AW72">
        <v>5</v>
      </c>
      <c r="AX72">
        <v>9</v>
      </c>
      <c r="AY72">
        <v>9</v>
      </c>
      <c r="AZ72">
        <v>10</v>
      </c>
      <c r="BA72">
        <v>8</v>
      </c>
      <c r="BB72">
        <v>68</v>
      </c>
      <c r="BC72">
        <v>48</v>
      </c>
      <c r="BD72">
        <v>2</v>
      </c>
      <c r="BE72">
        <v>0</v>
      </c>
      <c r="BF72">
        <v>0</v>
      </c>
      <c r="BG72">
        <v>50.603000000000002</v>
      </c>
      <c r="BH72">
        <v>23.288</v>
      </c>
      <c r="BI72">
        <v>49.003</v>
      </c>
      <c r="BJ72">
        <v>44.764000000000003</v>
      </c>
      <c r="BK72">
        <v>64.024000000000001</v>
      </c>
      <c r="BL72">
        <v>56.100999999999999</v>
      </c>
      <c r="BM72">
        <v>0.67500000000000004</v>
      </c>
      <c r="BN72">
        <v>49.003</v>
      </c>
      <c r="BO72">
        <v>23.288</v>
      </c>
      <c r="BP72">
        <v>0</v>
      </c>
      <c r="BQ72">
        <v>50.603000000000002</v>
      </c>
      <c r="BR72">
        <v>-0.67500000000000004</v>
      </c>
      <c r="BS72">
        <v>35.975999999999999</v>
      </c>
      <c r="BT72">
        <v>55.235999999999997</v>
      </c>
      <c r="BU72">
        <v>43.899000000000001</v>
      </c>
      <c r="BV72">
        <v>2241</v>
      </c>
      <c r="BW72">
        <v>62.451999999999998</v>
      </c>
      <c r="BX72">
        <v>179.5</v>
      </c>
      <c r="BY72">
        <v>19</v>
      </c>
      <c r="BZ72">
        <v>334.5</v>
      </c>
      <c r="CA72">
        <v>6.0570000000000004</v>
      </c>
      <c r="CB72">
        <v>1145</v>
      </c>
      <c r="CC72">
        <v>136.875</v>
      </c>
      <c r="CD72">
        <v>4.6399999999999997</v>
      </c>
      <c r="CE72">
        <v>4</v>
      </c>
      <c r="CF72">
        <v>2816</v>
      </c>
      <c r="CG72">
        <v>12</v>
      </c>
      <c r="CH72">
        <v>197.625</v>
      </c>
      <c r="CI72">
        <v>9.6989999999999998</v>
      </c>
      <c r="CJ72">
        <v>6.8460000000000001</v>
      </c>
      <c r="CK72">
        <v>4.75</v>
      </c>
      <c r="CL72">
        <v>1</v>
      </c>
      <c r="CM72">
        <v>13</v>
      </c>
      <c r="CN72">
        <v>0</v>
      </c>
      <c r="CO72">
        <v>86.667000000000002</v>
      </c>
      <c r="CP72">
        <v>86.667000000000002</v>
      </c>
      <c r="CQ72">
        <v>13</v>
      </c>
      <c r="CR72">
        <v>52</v>
      </c>
      <c r="CS72">
        <v>16.411999999999999</v>
      </c>
      <c r="CT72">
        <v>27</v>
      </c>
      <c r="CU72">
        <v>11</v>
      </c>
      <c r="CV72">
        <v>6</v>
      </c>
      <c r="CW72">
        <v>12</v>
      </c>
      <c r="CX72">
        <v>154</v>
      </c>
      <c r="CY72">
        <v>20.75</v>
      </c>
      <c r="CZ72">
        <v>68.421000000000006</v>
      </c>
      <c r="DA72">
        <v>37.255000000000003</v>
      </c>
      <c r="DB72">
        <v>70.83</v>
      </c>
      <c r="DC72">
        <v>-5</v>
      </c>
      <c r="DD72">
        <v>2361</v>
      </c>
      <c r="DE72">
        <v>68.674999999999997</v>
      </c>
      <c r="DF72">
        <v>187.875</v>
      </c>
      <c r="DG72">
        <v>17</v>
      </c>
      <c r="DH72">
        <v>299.875</v>
      </c>
      <c r="DI72">
        <v>6.47</v>
      </c>
      <c r="DJ72">
        <v>898</v>
      </c>
      <c r="DK72">
        <v>98.5</v>
      </c>
      <c r="DL72">
        <v>4.452</v>
      </c>
      <c r="DM72">
        <v>4</v>
      </c>
      <c r="DN72">
        <v>2991</v>
      </c>
      <c r="DO72">
        <v>15</v>
      </c>
      <c r="DP72">
        <v>201.375</v>
      </c>
      <c r="DQ72">
        <v>9.4209999999999994</v>
      </c>
      <c r="DR72">
        <v>6.4669999999999996</v>
      </c>
      <c r="DS72">
        <v>4.8239999999999998</v>
      </c>
      <c r="DT72">
        <v>1</v>
      </c>
      <c r="DU72">
        <v>15</v>
      </c>
      <c r="DV72">
        <v>0</v>
      </c>
      <c r="DW72">
        <v>100</v>
      </c>
      <c r="DX72">
        <v>91.667000000000002</v>
      </c>
      <c r="DY72">
        <v>11</v>
      </c>
      <c r="DZ72">
        <v>52</v>
      </c>
      <c r="EA72">
        <v>7</v>
      </c>
      <c r="EB72">
        <v>11</v>
      </c>
      <c r="EC72">
        <v>26</v>
      </c>
      <c r="ED72">
        <v>6</v>
      </c>
      <c r="EE72">
        <v>15</v>
      </c>
      <c r="EF72">
        <v>174</v>
      </c>
      <c r="EG72">
        <v>17</v>
      </c>
      <c r="EH72">
        <v>53.845999999999997</v>
      </c>
      <c r="EI72">
        <v>41.237000000000002</v>
      </c>
      <c r="EJ72">
        <v>72.05</v>
      </c>
      <c r="EK72">
        <v>-5</v>
      </c>
    </row>
    <row r="73" spans="1:141" x14ac:dyDescent="0.25">
      <c r="A73">
        <v>54</v>
      </c>
      <c r="B73">
        <v>-34</v>
      </c>
      <c r="C73">
        <v>0</v>
      </c>
      <c r="D73">
        <v>2025</v>
      </c>
      <c r="E73">
        <v>5</v>
      </c>
      <c r="F73" t="str">
        <f>VLOOKUP(G73, Map!$A$1:$B$33, 2, FALSE)</f>
        <v>BAL</v>
      </c>
      <c r="G73" t="s">
        <v>146</v>
      </c>
      <c r="H73" t="str">
        <f>VLOOKUP(I73, Map!$A$1:$B$33, 2, FALSE)</f>
        <v>HOU</v>
      </c>
      <c r="I73" t="s">
        <v>137</v>
      </c>
      <c r="J73">
        <v>0</v>
      </c>
      <c r="K73">
        <v>0</v>
      </c>
      <c r="L73">
        <v>0</v>
      </c>
      <c r="M73">
        <v>0</v>
      </c>
      <c r="N73">
        <v>2</v>
      </c>
      <c r="O73">
        <v>5</v>
      </c>
      <c r="P73">
        <v>30</v>
      </c>
      <c r="Q73">
        <v>24.857143000000001</v>
      </c>
      <c r="R73">
        <v>-36</v>
      </c>
      <c r="S73">
        <v>1</v>
      </c>
      <c r="T73">
        <v>0.28571429999999998</v>
      </c>
      <c r="U73">
        <v>1</v>
      </c>
      <c r="V73">
        <v>0</v>
      </c>
      <c r="W73">
        <v>2</v>
      </c>
      <c r="X73">
        <v>3</v>
      </c>
      <c r="Y73">
        <v>0</v>
      </c>
      <c r="Z73">
        <v>2</v>
      </c>
      <c r="AA73">
        <v>1</v>
      </c>
      <c r="AB73">
        <v>3</v>
      </c>
      <c r="AC73">
        <v>10</v>
      </c>
      <c r="AD73">
        <v>7</v>
      </c>
      <c r="AE73">
        <v>7</v>
      </c>
      <c r="AF73">
        <v>9</v>
      </c>
      <c r="AG73">
        <v>61</v>
      </c>
      <c r="AH73">
        <v>1</v>
      </c>
      <c r="AI73">
        <v>3</v>
      </c>
      <c r="AJ73">
        <v>4</v>
      </c>
      <c r="AK73">
        <v>14.714286</v>
      </c>
      <c r="AL73">
        <v>21.857143000000001</v>
      </c>
      <c r="AM73">
        <v>50</v>
      </c>
      <c r="AN73">
        <v>1</v>
      </c>
      <c r="AO73">
        <v>0.42857142999999998</v>
      </c>
      <c r="AP73">
        <v>1</v>
      </c>
      <c r="AQ73">
        <v>1</v>
      </c>
      <c r="AR73">
        <v>2</v>
      </c>
      <c r="AS73">
        <v>1</v>
      </c>
      <c r="AT73">
        <v>1</v>
      </c>
      <c r="AU73">
        <v>3</v>
      </c>
      <c r="AV73">
        <v>2</v>
      </c>
      <c r="AW73">
        <v>1</v>
      </c>
      <c r="AX73">
        <v>3</v>
      </c>
      <c r="AY73">
        <v>13</v>
      </c>
      <c r="AZ73">
        <v>8</v>
      </c>
      <c r="BA73">
        <v>8</v>
      </c>
      <c r="BB73">
        <v>69</v>
      </c>
      <c r="BC73">
        <v>48</v>
      </c>
      <c r="BD73">
        <v>17</v>
      </c>
      <c r="BE73">
        <v>0</v>
      </c>
      <c r="BF73">
        <v>0</v>
      </c>
      <c r="BG73">
        <v>52.476999999999997</v>
      </c>
      <c r="BH73">
        <v>65.69</v>
      </c>
      <c r="BI73">
        <v>47.143999999999998</v>
      </c>
      <c r="BJ73">
        <v>8.609</v>
      </c>
      <c r="BK73">
        <v>12.563000000000001</v>
      </c>
      <c r="BL73">
        <v>1.605</v>
      </c>
      <c r="BM73">
        <v>0.89</v>
      </c>
      <c r="BN73">
        <v>47.143999999999998</v>
      </c>
      <c r="BO73">
        <v>65.69</v>
      </c>
      <c r="BP73">
        <v>0</v>
      </c>
      <c r="BQ73">
        <v>52.476999999999997</v>
      </c>
      <c r="BR73">
        <v>-0.89</v>
      </c>
      <c r="BS73">
        <v>87.436999999999998</v>
      </c>
      <c r="BT73">
        <v>91.391000000000005</v>
      </c>
      <c r="BU73">
        <v>98.394999999999996</v>
      </c>
      <c r="BV73">
        <v>2046</v>
      </c>
      <c r="BW73">
        <v>69.73</v>
      </c>
      <c r="BX73">
        <v>182.28572</v>
      </c>
      <c r="BY73">
        <v>19</v>
      </c>
      <c r="BZ73">
        <v>337.14285000000001</v>
      </c>
      <c r="CA73">
        <v>7.7080000000000002</v>
      </c>
      <c r="CB73">
        <v>1139</v>
      </c>
      <c r="CC73">
        <v>133.429</v>
      </c>
      <c r="CD73">
        <v>5.2770000000000001</v>
      </c>
      <c r="CE73">
        <v>8</v>
      </c>
      <c r="CF73">
        <v>2456</v>
      </c>
      <c r="CG73">
        <v>11</v>
      </c>
      <c r="CH73">
        <v>203.714</v>
      </c>
      <c r="CI73">
        <v>11.054</v>
      </c>
      <c r="CJ73">
        <v>6.8890000000000002</v>
      </c>
      <c r="CK73">
        <v>2.4089999999999998</v>
      </c>
      <c r="CL73">
        <v>1</v>
      </c>
      <c r="CM73">
        <v>9</v>
      </c>
      <c r="CN73">
        <v>0</v>
      </c>
      <c r="CO73">
        <v>94.736999999999995</v>
      </c>
      <c r="CP73">
        <v>92.308000000000007</v>
      </c>
      <c r="CQ73">
        <v>12</v>
      </c>
      <c r="CR73">
        <v>54</v>
      </c>
      <c r="CS73">
        <v>5.8330000000000002</v>
      </c>
      <c r="CT73">
        <v>19</v>
      </c>
      <c r="CU73">
        <v>8</v>
      </c>
      <c r="CV73">
        <v>6</v>
      </c>
      <c r="CW73">
        <v>11</v>
      </c>
      <c r="CX73">
        <v>174</v>
      </c>
      <c r="CY73">
        <v>18.143000000000001</v>
      </c>
      <c r="CZ73">
        <v>38.462000000000003</v>
      </c>
      <c r="DA73">
        <v>40.506</v>
      </c>
      <c r="DB73">
        <v>52.38</v>
      </c>
      <c r="DC73">
        <v>-6</v>
      </c>
      <c r="DD73">
        <v>2266</v>
      </c>
      <c r="DE73">
        <v>66.525000000000006</v>
      </c>
      <c r="DF73">
        <v>215.28572</v>
      </c>
      <c r="DG73">
        <v>22</v>
      </c>
      <c r="DH73">
        <v>348.57144</v>
      </c>
      <c r="DI73">
        <v>6.9749999999999996</v>
      </c>
      <c r="DJ73">
        <v>869</v>
      </c>
      <c r="DK73">
        <v>113.429</v>
      </c>
      <c r="DL73">
        <v>4.2690000000000001</v>
      </c>
      <c r="DM73">
        <v>3</v>
      </c>
      <c r="DN73">
        <v>2816</v>
      </c>
      <c r="DO73">
        <v>11</v>
      </c>
      <c r="DP73">
        <v>235.143</v>
      </c>
      <c r="DQ73">
        <v>10.484</v>
      </c>
      <c r="DR73">
        <v>7.875</v>
      </c>
      <c r="DS73">
        <v>6.1109999999999998</v>
      </c>
      <c r="DT73">
        <v>1</v>
      </c>
      <c r="DU73">
        <v>16</v>
      </c>
      <c r="DV73">
        <v>0</v>
      </c>
      <c r="DW73">
        <v>100</v>
      </c>
      <c r="DX73">
        <v>89.474000000000004</v>
      </c>
      <c r="DY73">
        <v>17</v>
      </c>
      <c r="DZ73">
        <v>63</v>
      </c>
      <c r="EA73">
        <v>11.545</v>
      </c>
      <c r="EB73">
        <v>9</v>
      </c>
      <c r="EC73">
        <v>27</v>
      </c>
      <c r="ED73">
        <v>6</v>
      </c>
      <c r="EE73">
        <v>11</v>
      </c>
      <c r="EF73">
        <v>153</v>
      </c>
      <c r="EG73">
        <v>18.713999999999999</v>
      </c>
      <c r="EH73">
        <v>66.667000000000002</v>
      </c>
      <c r="EI73">
        <v>35.164999999999999</v>
      </c>
      <c r="EJ73">
        <v>60.15</v>
      </c>
      <c r="EK73">
        <v>4</v>
      </c>
    </row>
    <row r="74" spans="1:141" x14ac:dyDescent="0.25">
      <c r="A74">
        <v>43</v>
      </c>
      <c r="B74">
        <v>-1</v>
      </c>
      <c r="C74">
        <v>0</v>
      </c>
      <c r="D74">
        <v>2025</v>
      </c>
      <c r="E74">
        <v>5</v>
      </c>
      <c r="F74" t="str">
        <f>VLOOKUP(G74, Map!$A$1:$B$33, 2, FALSE)</f>
        <v>ARI</v>
      </c>
      <c r="G74" t="s">
        <v>156</v>
      </c>
      <c r="H74" t="str">
        <f>VLOOKUP(I74, Map!$A$1:$B$33, 2, FALSE)</f>
        <v>TEN</v>
      </c>
      <c r="I74" t="s">
        <v>140</v>
      </c>
      <c r="J74">
        <v>0</v>
      </c>
      <c r="K74">
        <v>0</v>
      </c>
      <c r="L74">
        <v>0</v>
      </c>
      <c r="M74">
        <v>0</v>
      </c>
      <c r="N74">
        <v>2</v>
      </c>
      <c r="O74">
        <v>5</v>
      </c>
      <c r="P74">
        <v>22</v>
      </c>
      <c r="Q74">
        <v>21.857143000000001</v>
      </c>
      <c r="R74">
        <v>-1</v>
      </c>
      <c r="S74">
        <v>-5</v>
      </c>
      <c r="T74">
        <v>0.28571429999999998</v>
      </c>
      <c r="U74">
        <v>0</v>
      </c>
      <c r="V74">
        <v>2</v>
      </c>
      <c r="W74">
        <v>1</v>
      </c>
      <c r="X74">
        <v>3</v>
      </c>
      <c r="Y74">
        <v>1</v>
      </c>
      <c r="Z74">
        <v>2</v>
      </c>
      <c r="AA74">
        <v>2</v>
      </c>
      <c r="AB74">
        <v>3</v>
      </c>
      <c r="AC74">
        <v>4</v>
      </c>
      <c r="AD74">
        <v>12</v>
      </c>
      <c r="AE74">
        <v>8</v>
      </c>
      <c r="AF74">
        <v>8</v>
      </c>
      <c r="AG74">
        <v>69</v>
      </c>
      <c r="AH74">
        <v>1</v>
      </c>
      <c r="AI74">
        <v>1</v>
      </c>
      <c r="AJ74">
        <v>7</v>
      </c>
      <c r="AK74">
        <v>28.75</v>
      </c>
      <c r="AL74">
        <v>13.75</v>
      </c>
      <c r="AM74">
        <v>-120</v>
      </c>
      <c r="AN74">
        <v>-3</v>
      </c>
      <c r="AO74">
        <v>0.125</v>
      </c>
      <c r="AP74">
        <v>0</v>
      </c>
      <c r="AQ74">
        <v>3</v>
      </c>
      <c r="AR74">
        <v>0</v>
      </c>
      <c r="AS74">
        <v>3</v>
      </c>
      <c r="AT74">
        <v>1</v>
      </c>
      <c r="AU74">
        <v>4</v>
      </c>
      <c r="AV74">
        <v>0</v>
      </c>
      <c r="AW74">
        <v>6</v>
      </c>
      <c r="AX74">
        <v>7</v>
      </c>
      <c r="AY74">
        <v>9</v>
      </c>
      <c r="AZ74">
        <v>8</v>
      </c>
      <c r="BA74">
        <v>7</v>
      </c>
      <c r="BB74">
        <v>59</v>
      </c>
      <c r="BC74">
        <v>39</v>
      </c>
      <c r="BD74">
        <v>-7</v>
      </c>
      <c r="BE74">
        <v>0</v>
      </c>
      <c r="BF74">
        <v>0</v>
      </c>
      <c r="BG74">
        <v>72.959000000000003</v>
      </c>
      <c r="BH74">
        <v>25.26</v>
      </c>
      <c r="BI74">
        <v>26.826000000000001</v>
      </c>
      <c r="BJ74">
        <v>56.503999999999998</v>
      </c>
      <c r="BK74">
        <v>51.408000000000001</v>
      </c>
      <c r="BL74">
        <v>54.756</v>
      </c>
      <c r="BM74">
        <v>9.56</v>
      </c>
      <c r="BN74">
        <v>26.826000000000001</v>
      </c>
      <c r="BO74">
        <v>25.26</v>
      </c>
      <c r="BP74">
        <v>0</v>
      </c>
      <c r="BQ74">
        <v>72.959000000000003</v>
      </c>
      <c r="BR74">
        <v>-9.56</v>
      </c>
      <c r="BS74">
        <v>48.591999999999999</v>
      </c>
      <c r="BT74">
        <v>43.496000000000002</v>
      </c>
      <c r="BU74">
        <v>45.244</v>
      </c>
      <c r="BV74">
        <v>2113</v>
      </c>
      <c r="BW74">
        <v>66.941999999999993</v>
      </c>
      <c r="BX74">
        <v>199.85714999999999</v>
      </c>
      <c r="BY74">
        <v>18</v>
      </c>
      <c r="BZ74">
        <v>333.42856</v>
      </c>
      <c r="CA74">
        <v>6.335</v>
      </c>
      <c r="CB74">
        <v>888</v>
      </c>
      <c r="CC74">
        <v>110.429</v>
      </c>
      <c r="CD74">
        <v>4.4169999999999998</v>
      </c>
      <c r="CE74">
        <v>5</v>
      </c>
      <c r="CF74">
        <v>2721</v>
      </c>
      <c r="CG74">
        <v>10</v>
      </c>
      <c r="CH74">
        <v>223</v>
      </c>
      <c r="CI74">
        <v>9.4629999999999992</v>
      </c>
      <c r="CJ74">
        <v>6.6669999999999998</v>
      </c>
      <c r="CK74">
        <v>3.238</v>
      </c>
      <c r="CL74">
        <v>1</v>
      </c>
      <c r="CM74">
        <v>12</v>
      </c>
      <c r="CN74">
        <v>0</v>
      </c>
      <c r="CO74">
        <v>100</v>
      </c>
      <c r="CP74">
        <v>86.667000000000002</v>
      </c>
      <c r="CQ74">
        <v>13</v>
      </c>
      <c r="CR74">
        <v>55</v>
      </c>
      <c r="CS74">
        <v>8.25</v>
      </c>
      <c r="CT74">
        <v>25</v>
      </c>
      <c r="CU74">
        <v>9</v>
      </c>
      <c r="CV74">
        <v>8</v>
      </c>
      <c r="CW74">
        <v>10</v>
      </c>
      <c r="CX74">
        <v>153</v>
      </c>
      <c r="CY74">
        <v>19</v>
      </c>
      <c r="CZ74">
        <v>57.143000000000001</v>
      </c>
      <c r="DA74">
        <v>44.792000000000002</v>
      </c>
      <c r="DB74">
        <v>63.49</v>
      </c>
      <c r="DC74">
        <v>-1</v>
      </c>
      <c r="DD74">
        <v>1785</v>
      </c>
      <c r="DE74">
        <v>57.664000000000001</v>
      </c>
      <c r="DF74">
        <v>168.375</v>
      </c>
      <c r="DG74">
        <v>21</v>
      </c>
      <c r="DH74">
        <v>282.25</v>
      </c>
      <c r="DI74">
        <v>5.8940000000000001</v>
      </c>
      <c r="DJ74">
        <v>643</v>
      </c>
      <c r="DK74">
        <v>80.375</v>
      </c>
      <c r="DL74">
        <v>3.9209999999999998</v>
      </c>
      <c r="DM74">
        <v>3</v>
      </c>
      <c r="DN74">
        <v>2580</v>
      </c>
      <c r="DO74">
        <v>5</v>
      </c>
      <c r="DP74">
        <v>201.875</v>
      </c>
      <c r="DQ74">
        <v>10.222</v>
      </c>
      <c r="DR74">
        <v>6.8129999999999997</v>
      </c>
      <c r="DS74">
        <v>4.8949999999999996</v>
      </c>
      <c r="DT74">
        <v>0</v>
      </c>
      <c r="DU74">
        <v>16</v>
      </c>
      <c r="DV74">
        <v>0</v>
      </c>
      <c r="DW74">
        <v>88.888999999999996</v>
      </c>
      <c r="DX74">
        <v>76.19</v>
      </c>
      <c r="DY74">
        <v>16</v>
      </c>
      <c r="DZ74">
        <v>56</v>
      </c>
      <c r="EA74">
        <v>10.75</v>
      </c>
      <c r="EB74">
        <v>12</v>
      </c>
      <c r="EC74">
        <v>37</v>
      </c>
      <c r="ED74">
        <v>6</v>
      </c>
      <c r="EE74">
        <v>5</v>
      </c>
      <c r="EF74">
        <v>110</v>
      </c>
      <c r="EG74">
        <v>15.875</v>
      </c>
      <c r="EH74">
        <v>38.462000000000003</v>
      </c>
      <c r="EI74">
        <v>29.907</v>
      </c>
      <c r="EJ74">
        <v>65.31</v>
      </c>
      <c r="EK74">
        <v>-4</v>
      </c>
    </row>
    <row r="75" spans="1:141" x14ac:dyDescent="0.25">
      <c r="A75">
        <v>73</v>
      </c>
      <c r="B75">
        <v>-3</v>
      </c>
      <c r="C75">
        <v>0</v>
      </c>
      <c r="D75">
        <v>2025</v>
      </c>
      <c r="E75">
        <v>5</v>
      </c>
      <c r="F75" t="str">
        <f>VLOOKUP(G75, Map!$A$1:$B$33, 2, FALSE)</f>
        <v>SEA</v>
      </c>
      <c r="G75" t="s">
        <v>144</v>
      </c>
      <c r="H75" t="str">
        <f>VLOOKUP(I75, Map!$A$1:$B$33, 2, FALSE)</f>
        <v>TB</v>
      </c>
      <c r="I75" t="s">
        <v>141</v>
      </c>
      <c r="J75">
        <v>0</v>
      </c>
      <c r="K75">
        <v>0</v>
      </c>
      <c r="L75">
        <v>0</v>
      </c>
      <c r="M75">
        <v>0</v>
      </c>
      <c r="N75">
        <v>5</v>
      </c>
      <c r="O75">
        <v>2</v>
      </c>
      <c r="P75">
        <v>19.428571999999999</v>
      </c>
      <c r="Q75">
        <v>27.571428000000001</v>
      </c>
      <c r="R75">
        <v>57</v>
      </c>
      <c r="S75">
        <v>2</v>
      </c>
      <c r="T75">
        <v>0.71428572999999995</v>
      </c>
      <c r="U75">
        <v>1</v>
      </c>
      <c r="V75">
        <v>1</v>
      </c>
      <c r="W75">
        <v>2</v>
      </c>
      <c r="X75">
        <v>2</v>
      </c>
      <c r="Y75">
        <v>3</v>
      </c>
      <c r="Z75">
        <v>0</v>
      </c>
      <c r="AA75">
        <v>2</v>
      </c>
      <c r="AB75">
        <v>2</v>
      </c>
      <c r="AC75">
        <v>9</v>
      </c>
      <c r="AD75">
        <v>8</v>
      </c>
      <c r="AE75">
        <v>7</v>
      </c>
      <c r="AF75">
        <v>10</v>
      </c>
      <c r="AG75">
        <v>61</v>
      </c>
      <c r="AH75">
        <v>1</v>
      </c>
      <c r="AI75">
        <v>6</v>
      </c>
      <c r="AJ75">
        <v>2</v>
      </c>
      <c r="AK75">
        <v>22.25</v>
      </c>
      <c r="AL75">
        <v>24.625</v>
      </c>
      <c r="AM75">
        <v>19</v>
      </c>
      <c r="AN75">
        <v>1</v>
      </c>
      <c r="AO75">
        <v>0.75</v>
      </c>
      <c r="AP75">
        <v>2</v>
      </c>
      <c r="AQ75">
        <v>0</v>
      </c>
      <c r="AR75">
        <v>2</v>
      </c>
      <c r="AS75">
        <v>1</v>
      </c>
      <c r="AT75">
        <v>4</v>
      </c>
      <c r="AU75">
        <v>1</v>
      </c>
      <c r="AV75">
        <v>4</v>
      </c>
      <c r="AW75">
        <v>2</v>
      </c>
      <c r="AX75">
        <v>8</v>
      </c>
      <c r="AY75">
        <v>9</v>
      </c>
      <c r="AZ75">
        <v>4</v>
      </c>
      <c r="BA75">
        <v>12</v>
      </c>
      <c r="BB75">
        <v>59</v>
      </c>
      <c r="BC75">
        <v>59</v>
      </c>
      <c r="BD75">
        <v>-3</v>
      </c>
      <c r="BE75">
        <v>0</v>
      </c>
      <c r="BF75">
        <v>0</v>
      </c>
      <c r="BG75">
        <v>53.08</v>
      </c>
      <c r="BH75">
        <v>58.414999999999999</v>
      </c>
      <c r="BI75">
        <v>46.545999999999999</v>
      </c>
      <c r="BJ75">
        <v>5.3630000000000004</v>
      </c>
      <c r="BK75">
        <v>93.289000000000001</v>
      </c>
      <c r="BL75">
        <v>43.320999999999998</v>
      </c>
      <c r="BM75">
        <v>1.246</v>
      </c>
      <c r="BN75">
        <v>46.545999999999999</v>
      </c>
      <c r="BO75">
        <v>58.414999999999999</v>
      </c>
      <c r="BP75">
        <v>0</v>
      </c>
      <c r="BQ75">
        <v>53.08</v>
      </c>
      <c r="BR75">
        <v>-1.246</v>
      </c>
      <c r="BS75">
        <v>6.7110000000000003</v>
      </c>
      <c r="BT75">
        <v>94.637</v>
      </c>
      <c r="BU75">
        <v>56.679000000000002</v>
      </c>
      <c r="BV75">
        <v>2459</v>
      </c>
      <c r="BW75">
        <v>67.856999999999999</v>
      </c>
      <c r="BX75">
        <v>244.42857000000001</v>
      </c>
      <c r="BY75">
        <v>27</v>
      </c>
      <c r="BZ75">
        <v>358.85714999999999</v>
      </c>
      <c r="CA75">
        <v>9.0259999999999998</v>
      </c>
      <c r="CB75">
        <v>918</v>
      </c>
      <c r="CC75">
        <v>106.143</v>
      </c>
      <c r="CD75">
        <v>3.6779999999999999</v>
      </c>
      <c r="CE75">
        <v>8</v>
      </c>
      <c r="CF75">
        <v>2854</v>
      </c>
      <c r="CG75">
        <v>12</v>
      </c>
      <c r="CH75">
        <v>252.714</v>
      </c>
      <c r="CI75">
        <v>13.301</v>
      </c>
      <c r="CJ75">
        <v>7.1740000000000004</v>
      </c>
      <c r="CK75">
        <v>7.8890000000000002</v>
      </c>
      <c r="CL75">
        <v>2</v>
      </c>
      <c r="CM75">
        <v>23</v>
      </c>
      <c r="CN75">
        <v>0</v>
      </c>
      <c r="CO75">
        <v>100</v>
      </c>
      <c r="CP75">
        <v>76.471000000000004</v>
      </c>
      <c r="CQ75">
        <v>13</v>
      </c>
      <c r="CR75">
        <v>61</v>
      </c>
      <c r="CS75">
        <v>11</v>
      </c>
      <c r="CT75">
        <v>26</v>
      </c>
      <c r="CU75">
        <v>10</v>
      </c>
      <c r="CV75">
        <v>6</v>
      </c>
      <c r="CW75">
        <v>12</v>
      </c>
      <c r="CX75">
        <v>193</v>
      </c>
      <c r="CY75">
        <v>19.428999999999998</v>
      </c>
      <c r="CZ75">
        <v>66.667000000000002</v>
      </c>
      <c r="DA75">
        <v>33.332999999999998</v>
      </c>
      <c r="DB75">
        <v>76.569999999999993</v>
      </c>
      <c r="DC75">
        <v>-4</v>
      </c>
      <c r="DD75">
        <v>2769</v>
      </c>
      <c r="DE75">
        <v>63.941000000000003</v>
      </c>
      <c r="DF75">
        <v>224.875</v>
      </c>
      <c r="DG75">
        <v>29</v>
      </c>
      <c r="DH75">
        <v>338</v>
      </c>
      <c r="DI75">
        <v>7.1340000000000003</v>
      </c>
      <c r="DJ75">
        <v>950</v>
      </c>
      <c r="DK75">
        <v>98.125</v>
      </c>
      <c r="DL75">
        <v>3.8479999999999999</v>
      </c>
      <c r="DM75">
        <v>6</v>
      </c>
      <c r="DN75">
        <v>3234</v>
      </c>
      <c r="DO75">
        <v>13</v>
      </c>
      <c r="DP75">
        <v>239.875</v>
      </c>
      <c r="DQ75">
        <v>11.157</v>
      </c>
      <c r="DR75">
        <v>7.8</v>
      </c>
      <c r="DS75">
        <v>6.8</v>
      </c>
      <c r="DT75">
        <v>2</v>
      </c>
      <c r="DU75">
        <v>25</v>
      </c>
      <c r="DV75">
        <v>0</v>
      </c>
      <c r="DW75">
        <v>94.117999999999995</v>
      </c>
      <c r="DX75">
        <v>80.951999999999998</v>
      </c>
      <c r="DY75">
        <v>17</v>
      </c>
      <c r="DZ75">
        <v>67</v>
      </c>
      <c r="EA75">
        <v>14.667</v>
      </c>
      <c r="EB75">
        <v>12</v>
      </c>
      <c r="EC75">
        <v>32</v>
      </c>
      <c r="ED75">
        <v>14</v>
      </c>
      <c r="EE75">
        <v>13</v>
      </c>
      <c r="EF75">
        <v>197</v>
      </c>
      <c r="EG75">
        <v>18.875</v>
      </c>
      <c r="EH75">
        <v>50</v>
      </c>
      <c r="EI75">
        <v>36.274999999999999</v>
      </c>
      <c r="EJ75">
        <v>55.19</v>
      </c>
      <c r="EK75">
        <v>7</v>
      </c>
    </row>
    <row r="76" spans="1:141" x14ac:dyDescent="0.25">
      <c r="A76">
        <v>61</v>
      </c>
      <c r="B76">
        <v>-13</v>
      </c>
      <c r="C76">
        <v>0</v>
      </c>
      <c r="D76">
        <v>2025</v>
      </c>
      <c r="E76">
        <v>5</v>
      </c>
      <c r="F76" t="str">
        <f>VLOOKUP(G76, Map!$A$1:$B$33, 2, FALSE)</f>
        <v>CIN</v>
      </c>
      <c r="G76" t="s">
        <v>161</v>
      </c>
      <c r="H76" t="str">
        <f>VLOOKUP(I76, Map!$A$1:$B$33, 2, FALSE)</f>
        <v>DET</v>
      </c>
      <c r="I76" t="s">
        <v>164</v>
      </c>
      <c r="J76">
        <v>0</v>
      </c>
      <c r="K76">
        <v>0</v>
      </c>
      <c r="L76">
        <v>0</v>
      </c>
      <c r="M76">
        <v>0</v>
      </c>
      <c r="N76">
        <v>3</v>
      </c>
      <c r="O76">
        <v>5</v>
      </c>
      <c r="P76">
        <v>31.625</v>
      </c>
      <c r="Q76">
        <v>21.75</v>
      </c>
      <c r="R76">
        <v>-79</v>
      </c>
      <c r="S76">
        <v>-1</v>
      </c>
      <c r="T76">
        <v>0.375</v>
      </c>
      <c r="U76">
        <v>2</v>
      </c>
      <c r="V76">
        <v>0</v>
      </c>
      <c r="W76">
        <v>2</v>
      </c>
      <c r="X76">
        <v>2</v>
      </c>
      <c r="Y76">
        <v>1</v>
      </c>
      <c r="Z76">
        <v>3</v>
      </c>
      <c r="AA76">
        <v>3</v>
      </c>
      <c r="AB76">
        <v>2</v>
      </c>
      <c r="AC76">
        <v>14</v>
      </c>
      <c r="AD76">
        <v>4</v>
      </c>
      <c r="AE76">
        <v>13</v>
      </c>
      <c r="AF76">
        <v>5</v>
      </c>
      <c r="AG76">
        <v>59</v>
      </c>
      <c r="AH76">
        <v>1</v>
      </c>
      <c r="AI76">
        <v>5</v>
      </c>
      <c r="AJ76">
        <v>2</v>
      </c>
      <c r="AK76">
        <v>21.571428000000001</v>
      </c>
      <c r="AL76">
        <v>30.714285</v>
      </c>
      <c r="AM76">
        <v>64</v>
      </c>
      <c r="AN76">
        <v>1</v>
      </c>
      <c r="AO76">
        <v>0.71428572999999995</v>
      </c>
      <c r="AP76">
        <v>1</v>
      </c>
      <c r="AQ76">
        <v>1</v>
      </c>
      <c r="AR76">
        <v>3</v>
      </c>
      <c r="AS76">
        <v>0</v>
      </c>
      <c r="AT76">
        <v>2</v>
      </c>
      <c r="AU76">
        <v>2</v>
      </c>
      <c r="AV76">
        <v>2</v>
      </c>
      <c r="AW76">
        <v>1</v>
      </c>
      <c r="AX76">
        <v>8</v>
      </c>
      <c r="AY76">
        <v>8</v>
      </c>
      <c r="AZ76">
        <v>11</v>
      </c>
      <c r="BA76">
        <v>5</v>
      </c>
      <c r="BB76">
        <v>73</v>
      </c>
      <c r="BC76">
        <v>53.5</v>
      </c>
      <c r="BD76">
        <v>10</v>
      </c>
      <c r="BE76">
        <v>0</v>
      </c>
      <c r="BF76">
        <v>0</v>
      </c>
      <c r="BG76">
        <v>23.173999999999999</v>
      </c>
      <c r="BH76">
        <v>65.406000000000006</v>
      </c>
      <c r="BI76">
        <v>76.64</v>
      </c>
      <c r="BJ76">
        <v>28.056999999999999</v>
      </c>
      <c r="BK76">
        <v>8.7720000000000002</v>
      </c>
      <c r="BL76">
        <v>7.7380000000000004</v>
      </c>
      <c r="BM76">
        <v>-10.92</v>
      </c>
      <c r="BN76">
        <v>76.64</v>
      </c>
      <c r="BO76">
        <v>65.406000000000006</v>
      </c>
      <c r="BP76">
        <v>0</v>
      </c>
      <c r="BQ76">
        <v>23.173999999999999</v>
      </c>
      <c r="BR76">
        <v>10.92</v>
      </c>
      <c r="BS76">
        <v>91.227999999999994</v>
      </c>
      <c r="BT76">
        <v>71.942999999999998</v>
      </c>
      <c r="BU76">
        <v>92.262</v>
      </c>
      <c r="BV76">
        <v>2540</v>
      </c>
      <c r="BW76">
        <v>63.636000000000003</v>
      </c>
      <c r="BX76">
        <v>202</v>
      </c>
      <c r="BY76">
        <v>15</v>
      </c>
      <c r="BZ76">
        <v>299.125</v>
      </c>
      <c r="CA76">
        <v>6.0490000000000004</v>
      </c>
      <c r="CB76">
        <v>793</v>
      </c>
      <c r="CC76">
        <v>82.875</v>
      </c>
      <c r="CD76">
        <v>4.3049999999999997</v>
      </c>
      <c r="CE76">
        <v>5</v>
      </c>
      <c r="CF76">
        <v>3165</v>
      </c>
      <c r="CG76">
        <v>15</v>
      </c>
      <c r="CH76">
        <v>216.25</v>
      </c>
      <c r="CI76">
        <v>9.5050000000000008</v>
      </c>
      <c r="CJ76">
        <v>5.2729999999999997</v>
      </c>
      <c r="CK76">
        <v>3.3570000000000002</v>
      </c>
      <c r="CL76">
        <v>0</v>
      </c>
      <c r="CM76">
        <v>11</v>
      </c>
      <c r="CN76">
        <v>0</v>
      </c>
      <c r="CO76">
        <v>100</v>
      </c>
      <c r="CP76">
        <v>84.614999999999995</v>
      </c>
      <c r="CQ76">
        <v>11</v>
      </c>
      <c r="CR76">
        <v>52</v>
      </c>
      <c r="CS76">
        <v>11.523999999999999</v>
      </c>
      <c r="CT76">
        <v>37</v>
      </c>
      <c r="CU76">
        <v>11</v>
      </c>
      <c r="CV76">
        <v>0</v>
      </c>
      <c r="CW76">
        <v>15</v>
      </c>
      <c r="CX76">
        <v>174</v>
      </c>
      <c r="CY76">
        <v>18.5</v>
      </c>
      <c r="CZ76">
        <v>80</v>
      </c>
      <c r="DA76">
        <v>39.393999999999998</v>
      </c>
      <c r="DB76">
        <v>79.87</v>
      </c>
      <c r="DC76">
        <v>-2</v>
      </c>
      <c r="DD76">
        <v>2664</v>
      </c>
      <c r="DE76">
        <v>75</v>
      </c>
      <c r="DF76">
        <v>223.57142999999999</v>
      </c>
      <c r="DG76">
        <v>23</v>
      </c>
      <c r="DH76">
        <v>367.14285000000001</v>
      </c>
      <c r="DI76">
        <v>8.01</v>
      </c>
      <c r="DJ76">
        <v>1256</v>
      </c>
      <c r="DK76">
        <v>133.714</v>
      </c>
      <c r="DL76">
        <v>4.5220000000000002</v>
      </c>
      <c r="DM76">
        <v>10</v>
      </c>
      <c r="DN76">
        <v>2959</v>
      </c>
      <c r="DO76">
        <v>16</v>
      </c>
      <c r="DP76">
        <v>233.429</v>
      </c>
      <c r="DQ76">
        <v>10.68</v>
      </c>
      <c r="DR76">
        <v>6.2610000000000001</v>
      </c>
      <c r="DS76">
        <v>24.2</v>
      </c>
      <c r="DT76">
        <v>1</v>
      </c>
      <c r="DU76">
        <v>23</v>
      </c>
      <c r="DV76">
        <v>0</v>
      </c>
      <c r="DW76">
        <v>100</v>
      </c>
      <c r="DX76">
        <v>72.727000000000004</v>
      </c>
      <c r="DY76">
        <v>8</v>
      </c>
      <c r="DZ76">
        <v>51</v>
      </c>
      <c r="EA76">
        <v>10</v>
      </c>
      <c r="EB76">
        <v>14</v>
      </c>
      <c r="EC76">
        <v>27</v>
      </c>
      <c r="ED76">
        <v>8</v>
      </c>
      <c r="EE76">
        <v>16</v>
      </c>
      <c r="EF76">
        <v>215</v>
      </c>
      <c r="EG76">
        <v>19.856999999999999</v>
      </c>
      <c r="EH76">
        <v>61.537999999999997</v>
      </c>
      <c r="EI76">
        <v>37.646999999999998</v>
      </c>
      <c r="EJ76">
        <v>74.88</v>
      </c>
      <c r="EK76">
        <v>6</v>
      </c>
    </row>
    <row r="77" spans="1:141" x14ac:dyDescent="0.25">
      <c r="A77">
        <v>37</v>
      </c>
      <c r="B77">
        <v>-17</v>
      </c>
      <c r="C77">
        <v>0</v>
      </c>
      <c r="D77">
        <v>2025</v>
      </c>
      <c r="E77">
        <v>5</v>
      </c>
      <c r="F77" t="str">
        <f>VLOOKUP(G77, Map!$A$1:$B$33, 2, FALSE)</f>
        <v>LAC</v>
      </c>
      <c r="G77" t="s">
        <v>160</v>
      </c>
      <c r="H77" t="str">
        <f>VLOOKUP(I77, Map!$A$1:$B$33, 2, FALSE)</f>
        <v>WAS</v>
      </c>
      <c r="I77" t="s">
        <v>148</v>
      </c>
      <c r="J77">
        <v>0</v>
      </c>
      <c r="K77">
        <v>0</v>
      </c>
      <c r="L77">
        <v>0</v>
      </c>
      <c r="M77">
        <v>0</v>
      </c>
      <c r="N77">
        <v>5</v>
      </c>
      <c r="O77">
        <v>3</v>
      </c>
      <c r="P77">
        <v>21.625</v>
      </c>
      <c r="Q77">
        <v>23.5</v>
      </c>
      <c r="R77">
        <v>15</v>
      </c>
      <c r="S77">
        <v>1</v>
      </c>
      <c r="T77">
        <v>0.625</v>
      </c>
      <c r="U77">
        <v>3</v>
      </c>
      <c r="V77">
        <v>0</v>
      </c>
      <c r="W77">
        <v>3</v>
      </c>
      <c r="X77">
        <v>2</v>
      </c>
      <c r="Y77">
        <v>2</v>
      </c>
      <c r="Z77">
        <v>1</v>
      </c>
      <c r="AA77">
        <v>4</v>
      </c>
      <c r="AB77">
        <v>1</v>
      </c>
      <c r="AC77">
        <v>10</v>
      </c>
      <c r="AD77">
        <v>7</v>
      </c>
      <c r="AE77">
        <v>11</v>
      </c>
      <c r="AF77">
        <v>5</v>
      </c>
      <c r="AG77">
        <v>65</v>
      </c>
      <c r="AH77">
        <v>1</v>
      </c>
      <c r="AI77">
        <v>3</v>
      </c>
      <c r="AJ77">
        <v>5</v>
      </c>
      <c r="AK77">
        <v>24.75</v>
      </c>
      <c r="AL77">
        <v>23.375</v>
      </c>
      <c r="AM77">
        <v>-11</v>
      </c>
      <c r="AN77">
        <v>-3</v>
      </c>
      <c r="AO77">
        <v>0.375</v>
      </c>
      <c r="AP77">
        <v>1</v>
      </c>
      <c r="AQ77">
        <v>1</v>
      </c>
      <c r="AR77">
        <v>2</v>
      </c>
      <c r="AS77">
        <v>1</v>
      </c>
      <c r="AT77">
        <v>1</v>
      </c>
      <c r="AU77">
        <v>4</v>
      </c>
      <c r="AV77">
        <v>1</v>
      </c>
      <c r="AW77">
        <v>4</v>
      </c>
      <c r="AX77">
        <v>7</v>
      </c>
      <c r="AY77">
        <v>8</v>
      </c>
      <c r="AZ77">
        <v>7</v>
      </c>
      <c r="BA77">
        <v>8</v>
      </c>
      <c r="BB77">
        <v>65</v>
      </c>
      <c r="BC77">
        <v>39.5</v>
      </c>
      <c r="BD77">
        <v>3.5</v>
      </c>
      <c r="BE77">
        <v>0</v>
      </c>
      <c r="BF77">
        <v>0</v>
      </c>
      <c r="BG77">
        <v>58.500999999999998</v>
      </c>
      <c r="BH77">
        <v>72.947999999999993</v>
      </c>
      <c r="BI77">
        <v>41.167999999999999</v>
      </c>
      <c r="BJ77">
        <v>18.48</v>
      </c>
      <c r="BK77">
        <v>20.015999999999998</v>
      </c>
      <c r="BL77">
        <v>17.332000000000001</v>
      </c>
      <c r="BM77">
        <v>3.0550000000000002</v>
      </c>
      <c r="BN77">
        <v>41.167999999999999</v>
      </c>
      <c r="BO77">
        <v>72.947999999999993</v>
      </c>
      <c r="BP77">
        <v>0</v>
      </c>
      <c r="BQ77">
        <v>58.500999999999998</v>
      </c>
      <c r="BR77">
        <v>-3.0550000000000002</v>
      </c>
      <c r="BS77">
        <v>79.983999999999995</v>
      </c>
      <c r="BT77">
        <v>81.52</v>
      </c>
      <c r="BU77">
        <v>82.668000000000006</v>
      </c>
      <c r="BV77">
        <v>3094</v>
      </c>
      <c r="BW77">
        <v>68</v>
      </c>
      <c r="BX77">
        <v>255.375</v>
      </c>
      <c r="BY77">
        <v>26</v>
      </c>
      <c r="BZ77">
        <v>396.125</v>
      </c>
      <c r="CA77">
        <v>7.28</v>
      </c>
      <c r="CB77">
        <v>1030</v>
      </c>
      <c r="CC77">
        <v>123.125</v>
      </c>
      <c r="CD77">
        <v>4.8520000000000003</v>
      </c>
      <c r="CE77">
        <v>3</v>
      </c>
      <c r="CF77">
        <v>3764</v>
      </c>
      <c r="CG77">
        <v>16</v>
      </c>
      <c r="CH77">
        <v>273</v>
      </c>
      <c r="CI77">
        <v>10.706</v>
      </c>
      <c r="CJ77">
        <v>5.5910000000000002</v>
      </c>
      <c r="CK77">
        <v>5.05</v>
      </c>
      <c r="CL77">
        <v>0</v>
      </c>
      <c r="CM77">
        <v>22</v>
      </c>
      <c r="CN77">
        <v>0</v>
      </c>
      <c r="CO77">
        <v>100</v>
      </c>
      <c r="CP77">
        <v>94.736999999999995</v>
      </c>
      <c r="CQ77">
        <v>18</v>
      </c>
      <c r="CR77">
        <v>72</v>
      </c>
      <c r="CS77">
        <v>12.5</v>
      </c>
      <c r="CT77">
        <v>20</v>
      </c>
      <c r="CU77">
        <v>8</v>
      </c>
      <c r="CV77">
        <v>0</v>
      </c>
      <c r="CW77">
        <v>16</v>
      </c>
      <c r="CX77">
        <v>188</v>
      </c>
      <c r="CY77">
        <v>21.875</v>
      </c>
      <c r="CZ77">
        <v>70</v>
      </c>
      <c r="DA77">
        <v>48.673000000000002</v>
      </c>
      <c r="DB77">
        <v>61.73</v>
      </c>
      <c r="DC77">
        <v>-3</v>
      </c>
      <c r="DD77">
        <v>2360</v>
      </c>
      <c r="DE77">
        <v>61.966000000000001</v>
      </c>
      <c r="DF77">
        <v>196.625</v>
      </c>
      <c r="DG77">
        <v>20</v>
      </c>
      <c r="DH77">
        <v>346.5</v>
      </c>
      <c r="DI77">
        <v>7.1369999999999996</v>
      </c>
      <c r="DJ77">
        <v>1342</v>
      </c>
      <c r="DK77">
        <v>137.75</v>
      </c>
      <c r="DL77">
        <v>5.1980000000000004</v>
      </c>
      <c r="DM77">
        <v>9</v>
      </c>
      <c r="DN77">
        <v>2815</v>
      </c>
      <c r="DO77">
        <v>12</v>
      </c>
      <c r="DP77">
        <v>208.75</v>
      </c>
      <c r="DQ77">
        <v>11.516999999999999</v>
      </c>
      <c r="DR77">
        <v>6.1360000000000001</v>
      </c>
      <c r="DS77">
        <v>5.9470000000000001</v>
      </c>
      <c r="DT77">
        <v>1</v>
      </c>
      <c r="DU77">
        <v>22</v>
      </c>
      <c r="DV77">
        <v>0</v>
      </c>
      <c r="DW77">
        <v>100</v>
      </c>
      <c r="DX77">
        <v>71.429000000000002</v>
      </c>
      <c r="DY77">
        <v>10</v>
      </c>
      <c r="DZ77">
        <v>49</v>
      </c>
      <c r="EA77">
        <v>4</v>
      </c>
      <c r="EB77">
        <v>11</v>
      </c>
      <c r="EC77">
        <v>25</v>
      </c>
      <c r="ED77">
        <v>8</v>
      </c>
      <c r="EE77">
        <v>12</v>
      </c>
      <c r="EF77">
        <v>187</v>
      </c>
      <c r="EG77">
        <v>18.75</v>
      </c>
      <c r="EH77">
        <v>45.454999999999998</v>
      </c>
      <c r="EI77">
        <v>38.636000000000003</v>
      </c>
      <c r="EJ77">
        <v>79.290000000000006</v>
      </c>
      <c r="EK77">
        <v>-5</v>
      </c>
    </row>
    <row r="78" spans="1:141" x14ac:dyDescent="0.25">
      <c r="A78">
        <v>43</v>
      </c>
      <c r="B78">
        <v>-3</v>
      </c>
      <c r="C78">
        <v>0</v>
      </c>
      <c r="D78">
        <v>2025</v>
      </c>
      <c r="E78">
        <v>5</v>
      </c>
      <c r="F78" t="str">
        <f>VLOOKUP(G78, Map!$A$1:$B$33, 2, FALSE)</f>
        <v>BUF</v>
      </c>
      <c r="G78" t="s">
        <v>165</v>
      </c>
      <c r="H78" t="str">
        <f>VLOOKUP(I78, Map!$A$1:$B$33, 2, FALSE)</f>
        <v>NE</v>
      </c>
      <c r="I78" t="s">
        <v>151</v>
      </c>
      <c r="J78">
        <v>0</v>
      </c>
      <c r="K78">
        <v>0</v>
      </c>
      <c r="L78">
        <v>0</v>
      </c>
      <c r="M78">
        <v>0</v>
      </c>
      <c r="N78">
        <v>5</v>
      </c>
      <c r="O78">
        <v>2</v>
      </c>
      <c r="P78">
        <v>20.857143000000001</v>
      </c>
      <c r="Q78">
        <v>29.571428000000001</v>
      </c>
      <c r="R78">
        <v>61</v>
      </c>
      <c r="S78">
        <v>1</v>
      </c>
      <c r="T78">
        <v>0.71428572999999995</v>
      </c>
      <c r="U78">
        <v>2</v>
      </c>
      <c r="V78">
        <v>1</v>
      </c>
      <c r="W78">
        <v>3</v>
      </c>
      <c r="X78">
        <v>1</v>
      </c>
      <c r="Y78">
        <v>2</v>
      </c>
      <c r="Z78">
        <v>1</v>
      </c>
      <c r="AA78">
        <v>3</v>
      </c>
      <c r="AB78">
        <v>1</v>
      </c>
      <c r="AC78">
        <v>14</v>
      </c>
      <c r="AD78">
        <v>4</v>
      </c>
      <c r="AE78">
        <v>8</v>
      </c>
      <c r="AF78">
        <v>9</v>
      </c>
      <c r="AG78">
        <v>68</v>
      </c>
      <c r="AH78">
        <v>1</v>
      </c>
      <c r="AI78">
        <v>6</v>
      </c>
      <c r="AJ78">
        <v>2</v>
      </c>
      <c r="AK78">
        <v>18.25</v>
      </c>
      <c r="AL78">
        <v>26.625</v>
      </c>
      <c r="AM78">
        <v>67</v>
      </c>
      <c r="AN78">
        <v>5</v>
      </c>
      <c r="AO78">
        <v>0.75</v>
      </c>
      <c r="AP78">
        <v>2</v>
      </c>
      <c r="AQ78">
        <v>0</v>
      </c>
      <c r="AR78">
        <v>2</v>
      </c>
      <c r="AS78">
        <v>2</v>
      </c>
      <c r="AT78">
        <v>4</v>
      </c>
      <c r="AU78">
        <v>0</v>
      </c>
      <c r="AV78">
        <v>4</v>
      </c>
      <c r="AW78">
        <v>2</v>
      </c>
      <c r="AX78">
        <v>8</v>
      </c>
      <c r="AY78">
        <v>9</v>
      </c>
      <c r="AZ78">
        <v>7</v>
      </c>
      <c r="BA78">
        <v>9</v>
      </c>
      <c r="BB78">
        <v>61</v>
      </c>
      <c r="BC78">
        <v>46.5</v>
      </c>
      <c r="BD78">
        <v>-5.5</v>
      </c>
      <c r="BE78">
        <v>0</v>
      </c>
      <c r="BF78">
        <v>0</v>
      </c>
      <c r="BG78">
        <v>67.872</v>
      </c>
      <c r="BH78">
        <v>66.658000000000001</v>
      </c>
      <c r="BI78">
        <v>31.872</v>
      </c>
      <c r="BJ78">
        <v>49.173000000000002</v>
      </c>
      <c r="BK78">
        <v>43.631</v>
      </c>
      <c r="BL78">
        <v>42.906999999999996</v>
      </c>
      <c r="BM78">
        <v>7.15</v>
      </c>
      <c r="BN78">
        <v>31.872</v>
      </c>
      <c r="BO78">
        <v>66.658000000000001</v>
      </c>
      <c r="BP78">
        <v>0</v>
      </c>
      <c r="BQ78">
        <v>67.872</v>
      </c>
      <c r="BR78">
        <v>-7.15</v>
      </c>
      <c r="BS78">
        <v>56.369</v>
      </c>
      <c r="BT78">
        <v>50.826999999999998</v>
      </c>
      <c r="BU78">
        <v>57.093000000000004</v>
      </c>
      <c r="BV78">
        <v>2334</v>
      </c>
      <c r="BW78">
        <v>67.488</v>
      </c>
      <c r="BX78">
        <v>218.42857000000001</v>
      </c>
      <c r="BY78">
        <v>22</v>
      </c>
      <c r="BZ78">
        <v>395</v>
      </c>
      <c r="CA78">
        <v>7.9509999999999996</v>
      </c>
      <c r="CB78">
        <v>1576</v>
      </c>
      <c r="CC78">
        <v>164.429</v>
      </c>
      <c r="CD78">
        <v>5.2080000000000002</v>
      </c>
      <c r="CE78">
        <v>13</v>
      </c>
      <c r="CF78">
        <v>2719</v>
      </c>
      <c r="CG78">
        <v>12</v>
      </c>
      <c r="CH78">
        <v>230.571</v>
      </c>
      <c r="CI78">
        <v>11.781000000000001</v>
      </c>
      <c r="CJ78">
        <v>5.8639999999999999</v>
      </c>
      <c r="CK78">
        <v>5.35</v>
      </c>
      <c r="CL78">
        <v>0</v>
      </c>
      <c r="CM78">
        <v>22</v>
      </c>
      <c r="CN78">
        <v>0</v>
      </c>
      <c r="CO78">
        <v>95.454999999999998</v>
      </c>
      <c r="CP78">
        <v>92.308000000000007</v>
      </c>
      <c r="CQ78">
        <v>12</v>
      </c>
      <c r="CR78">
        <v>57</v>
      </c>
      <c r="CS78">
        <v>8</v>
      </c>
      <c r="CT78">
        <v>22</v>
      </c>
      <c r="CU78">
        <v>10</v>
      </c>
      <c r="CV78">
        <v>0</v>
      </c>
      <c r="CW78">
        <v>12</v>
      </c>
      <c r="CX78">
        <v>207</v>
      </c>
      <c r="CY78">
        <v>23.143000000000001</v>
      </c>
      <c r="CZ78">
        <v>60</v>
      </c>
      <c r="DA78">
        <v>43.75</v>
      </c>
      <c r="DB78">
        <v>73.47</v>
      </c>
      <c r="DC78">
        <v>2</v>
      </c>
      <c r="DD78">
        <v>2965</v>
      </c>
      <c r="DE78">
        <v>75</v>
      </c>
      <c r="DF78">
        <v>240.5</v>
      </c>
      <c r="DG78">
        <v>29</v>
      </c>
      <c r="DH78">
        <v>367.375</v>
      </c>
      <c r="DI78">
        <v>8.7940000000000005</v>
      </c>
      <c r="DJ78">
        <v>1056</v>
      </c>
      <c r="DK78">
        <v>112.625</v>
      </c>
      <c r="DL78">
        <v>3.9340000000000002</v>
      </c>
      <c r="DM78">
        <v>7</v>
      </c>
      <c r="DN78">
        <v>3418</v>
      </c>
      <c r="DO78">
        <v>15</v>
      </c>
      <c r="DP78">
        <v>254.75</v>
      </c>
      <c r="DQ78">
        <v>11.725</v>
      </c>
      <c r="DR78">
        <v>6.3159999999999998</v>
      </c>
      <c r="DS78">
        <v>3.7410000000000001</v>
      </c>
      <c r="DT78">
        <v>4</v>
      </c>
      <c r="DU78">
        <v>19</v>
      </c>
      <c r="DV78">
        <v>0</v>
      </c>
      <c r="DW78">
        <v>91.304000000000002</v>
      </c>
      <c r="DX78">
        <v>92.308000000000007</v>
      </c>
      <c r="DY78">
        <v>12</v>
      </c>
      <c r="DZ78">
        <v>57</v>
      </c>
      <c r="EA78">
        <v>16.8</v>
      </c>
      <c r="EB78">
        <v>10</v>
      </c>
      <c r="EC78">
        <v>27</v>
      </c>
      <c r="ED78">
        <v>14</v>
      </c>
      <c r="EE78">
        <v>15</v>
      </c>
      <c r="EF78">
        <v>213</v>
      </c>
      <c r="EG78">
        <v>20.375</v>
      </c>
      <c r="EH78">
        <v>83.332999999999998</v>
      </c>
      <c r="EI78">
        <v>39.784999999999997</v>
      </c>
      <c r="EJ78">
        <v>67</v>
      </c>
      <c r="EK78">
        <v>2</v>
      </c>
    </row>
    <row r="79" spans="1:141" x14ac:dyDescent="0.25">
      <c r="A79">
        <v>59</v>
      </c>
      <c r="B79">
        <v>3</v>
      </c>
      <c r="C79">
        <v>1</v>
      </c>
      <c r="D79">
        <v>2025</v>
      </c>
      <c r="E79">
        <v>5</v>
      </c>
      <c r="F79" t="str">
        <f>VLOOKUP(G79, Map!$A$1:$B$33, 2, FALSE)</f>
        <v>JAX</v>
      </c>
      <c r="G79" t="s">
        <v>139</v>
      </c>
      <c r="H79" t="str">
        <f>VLOOKUP(I79, Map!$A$1:$B$33, 2, FALSE)</f>
        <v>KC</v>
      </c>
      <c r="I79" t="s">
        <v>158</v>
      </c>
      <c r="J79">
        <v>0</v>
      </c>
      <c r="K79">
        <v>0</v>
      </c>
      <c r="L79">
        <v>0</v>
      </c>
      <c r="M79">
        <v>1</v>
      </c>
      <c r="N79">
        <v>4</v>
      </c>
      <c r="O79">
        <v>3</v>
      </c>
      <c r="P79">
        <v>22.142856999999999</v>
      </c>
      <c r="Q79">
        <v>20.857143000000001</v>
      </c>
      <c r="R79">
        <v>-9</v>
      </c>
      <c r="S79">
        <v>-2</v>
      </c>
      <c r="T79">
        <v>0.57142859999999995</v>
      </c>
      <c r="U79">
        <v>1</v>
      </c>
      <c r="V79">
        <v>0</v>
      </c>
      <c r="W79">
        <v>3</v>
      </c>
      <c r="X79">
        <v>2</v>
      </c>
      <c r="Y79">
        <v>1</v>
      </c>
      <c r="Z79">
        <v>1</v>
      </c>
      <c r="AA79">
        <v>2</v>
      </c>
      <c r="AB79">
        <v>1</v>
      </c>
      <c r="AC79">
        <v>10</v>
      </c>
      <c r="AD79">
        <v>8</v>
      </c>
      <c r="AE79">
        <v>9</v>
      </c>
      <c r="AF79">
        <v>9</v>
      </c>
      <c r="AG79">
        <v>58</v>
      </c>
      <c r="AH79">
        <v>0</v>
      </c>
      <c r="AI79">
        <v>5</v>
      </c>
      <c r="AJ79">
        <v>3</v>
      </c>
      <c r="AK79">
        <v>16.375</v>
      </c>
      <c r="AL79">
        <v>26.75</v>
      </c>
      <c r="AM79">
        <v>83</v>
      </c>
      <c r="AN79">
        <v>3</v>
      </c>
      <c r="AO79">
        <v>0.625</v>
      </c>
      <c r="AP79">
        <v>1</v>
      </c>
      <c r="AQ79">
        <v>1</v>
      </c>
      <c r="AR79">
        <v>4</v>
      </c>
      <c r="AS79">
        <v>1</v>
      </c>
      <c r="AT79">
        <v>1</v>
      </c>
      <c r="AU79">
        <v>2</v>
      </c>
      <c r="AV79">
        <v>2</v>
      </c>
      <c r="AW79">
        <v>2</v>
      </c>
      <c r="AX79">
        <v>16</v>
      </c>
      <c r="AY79">
        <v>3</v>
      </c>
      <c r="AZ79">
        <v>7</v>
      </c>
      <c r="BA79">
        <v>11</v>
      </c>
      <c r="BB79">
        <v>65</v>
      </c>
      <c r="BC79">
        <v>48.5</v>
      </c>
      <c r="BD79">
        <v>3.5</v>
      </c>
      <c r="BE79">
        <v>0</v>
      </c>
      <c r="BF79">
        <v>0</v>
      </c>
      <c r="BG79">
        <v>37.582000000000001</v>
      </c>
      <c r="BH79">
        <v>69.012</v>
      </c>
      <c r="BI79">
        <v>62.116</v>
      </c>
      <c r="BJ79">
        <v>33.058999999999997</v>
      </c>
      <c r="BK79">
        <v>65.521000000000001</v>
      </c>
      <c r="BL79">
        <v>57.588000000000001</v>
      </c>
      <c r="BM79">
        <v>-4.6959999999999997</v>
      </c>
      <c r="BN79">
        <v>62.116</v>
      </c>
      <c r="BO79">
        <v>69.012</v>
      </c>
      <c r="BP79">
        <v>0</v>
      </c>
      <c r="BQ79">
        <v>37.582000000000001</v>
      </c>
      <c r="BR79">
        <v>4.6959999999999997</v>
      </c>
      <c r="BS79">
        <v>34.478999999999999</v>
      </c>
      <c r="BT79">
        <v>66.941000000000003</v>
      </c>
      <c r="BU79">
        <v>42.411999999999999</v>
      </c>
      <c r="BV79">
        <v>2100</v>
      </c>
      <c r="BW79">
        <v>58.686999999999998</v>
      </c>
      <c r="BX79">
        <v>215.14285000000001</v>
      </c>
      <c r="BY79">
        <v>21</v>
      </c>
      <c r="BZ79">
        <v>351.14285000000001</v>
      </c>
      <c r="CA79">
        <v>6.2549999999999999</v>
      </c>
      <c r="CB79">
        <v>1033</v>
      </c>
      <c r="CC79">
        <v>119.714</v>
      </c>
      <c r="CD79">
        <v>4.6820000000000004</v>
      </c>
      <c r="CE79">
        <v>6</v>
      </c>
      <c r="CF79">
        <v>2695</v>
      </c>
      <c r="CG79">
        <v>9</v>
      </c>
      <c r="CH79">
        <v>231.429</v>
      </c>
      <c r="CI79">
        <v>10.657999999999999</v>
      </c>
      <c r="CJ79">
        <v>7.375</v>
      </c>
      <c r="CK79">
        <v>3.1880000000000002</v>
      </c>
      <c r="CL79">
        <v>2</v>
      </c>
      <c r="CM79">
        <v>8</v>
      </c>
      <c r="CN79">
        <v>0</v>
      </c>
      <c r="CO79">
        <v>93.332999999999998</v>
      </c>
      <c r="CP79">
        <v>71.429000000000002</v>
      </c>
      <c r="CQ79">
        <v>10</v>
      </c>
      <c r="CR79">
        <v>44</v>
      </c>
      <c r="CS79">
        <v>4.4290000000000003</v>
      </c>
      <c r="CT79">
        <v>30</v>
      </c>
      <c r="CU79">
        <v>10</v>
      </c>
      <c r="CV79">
        <v>12</v>
      </c>
      <c r="CW79">
        <v>9</v>
      </c>
      <c r="CX79">
        <v>146</v>
      </c>
      <c r="CY79">
        <v>19.143000000000001</v>
      </c>
      <c r="CZ79">
        <v>53.332999999999998</v>
      </c>
      <c r="DA79">
        <v>32.978999999999999</v>
      </c>
      <c r="DB79">
        <v>59.74</v>
      </c>
      <c r="DC79">
        <v>8</v>
      </c>
      <c r="DD79">
        <v>3149</v>
      </c>
      <c r="DE79">
        <v>67.021000000000001</v>
      </c>
      <c r="DF79">
        <v>251.75</v>
      </c>
      <c r="DG79">
        <v>25</v>
      </c>
      <c r="DH79">
        <v>388.875</v>
      </c>
      <c r="DI79">
        <v>7.3719999999999999</v>
      </c>
      <c r="DJ79">
        <v>1327</v>
      </c>
      <c r="DK79">
        <v>126.5</v>
      </c>
      <c r="DL79">
        <v>4.4980000000000002</v>
      </c>
      <c r="DM79">
        <v>9</v>
      </c>
      <c r="DN79">
        <v>3639</v>
      </c>
      <c r="DO79">
        <v>17</v>
      </c>
      <c r="DP79">
        <v>262.375</v>
      </c>
      <c r="DQ79">
        <v>11</v>
      </c>
      <c r="DR79">
        <v>4</v>
      </c>
      <c r="DS79">
        <v>3.4</v>
      </c>
      <c r="DT79">
        <v>0</v>
      </c>
      <c r="DU79">
        <v>17</v>
      </c>
      <c r="DV79">
        <v>0</v>
      </c>
      <c r="DW79">
        <v>88</v>
      </c>
      <c r="DX79">
        <v>80</v>
      </c>
      <c r="DY79">
        <v>12</v>
      </c>
      <c r="DZ79">
        <v>58</v>
      </c>
      <c r="EA79">
        <v>8.3330000000000002</v>
      </c>
      <c r="EB79">
        <v>11</v>
      </c>
      <c r="EC79">
        <v>19</v>
      </c>
      <c r="ED79">
        <v>0</v>
      </c>
      <c r="EE79">
        <v>17</v>
      </c>
      <c r="EF79">
        <v>214</v>
      </c>
      <c r="EG79">
        <v>23.625</v>
      </c>
      <c r="EH79">
        <v>82.352999999999994</v>
      </c>
      <c r="EI79">
        <v>44</v>
      </c>
      <c r="EJ79">
        <v>78.150000000000006</v>
      </c>
      <c r="EK79">
        <v>5</v>
      </c>
    </row>
    <row r="80" spans="1:141" x14ac:dyDescent="0.25">
      <c r="A80">
        <v>51</v>
      </c>
      <c r="B80">
        <v>17</v>
      </c>
      <c r="C80">
        <v>1</v>
      </c>
      <c r="D80">
        <v>2025</v>
      </c>
      <c r="E80">
        <v>6</v>
      </c>
      <c r="F80" t="str">
        <f>VLOOKUP(G80, Map!$A$1:$B$33, 2, FALSE)</f>
        <v>NYG</v>
      </c>
      <c r="G80" t="s">
        <v>149</v>
      </c>
      <c r="H80" t="str">
        <f>VLOOKUP(I80, Map!$A$1:$B$33, 2, FALSE)</f>
        <v>PHI</v>
      </c>
      <c r="I80" t="s">
        <v>147</v>
      </c>
      <c r="J80">
        <v>0</v>
      </c>
      <c r="K80">
        <v>0</v>
      </c>
      <c r="L80">
        <v>0</v>
      </c>
      <c r="M80">
        <v>1</v>
      </c>
      <c r="N80">
        <v>2</v>
      </c>
      <c r="O80">
        <v>6</v>
      </c>
      <c r="P80">
        <v>26.875</v>
      </c>
      <c r="Q80">
        <v>21.625</v>
      </c>
      <c r="R80">
        <v>-42</v>
      </c>
      <c r="S80">
        <v>-2</v>
      </c>
      <c r="T80">
        <v>0.25</v>
      </c>
      <c r="U80">
        <v>1</v>
      </c>
      <c r="V80">
        <v>3</v>
      </c>
      <c r="W80">
        <v>2</v>
      </c>
      <c r="X80">
        <v>1</v>
      </c>
      <c r="Y80">
        <v>0</v>
      </c>
      <c r="Z80">
        <v>5</v>
      </c>
      <c r="AA80">
        <v>1</v>
      </c>
      <c r="AB80">
        <v>4</v>
      </c>
      <c r="AC80">
        <v>10</v>
      </c>
      <c r="AD80">
        <v>7</v>
      </c>
      <c r="AE80">
        <v>14</v>
      </c>
      <c r="AF80">
        <v>4</v>
      </c>
      <c r="AG80">
        <v>67</v>
      </c>
      <c r="AH80">
        <v>0</v>
      </c>
      <c r="AI80">
        <v>6</v>
      </c>
      <c r="AJ80">
        <v>2</v>
      </c>
      <c r="AK80">
        <v>23.125</v>
      </c>
      <c r="AL80">
        <v>26</v>
      </c>
      <c r="AM80">
        <v>23</v>
      </c>
      <c r="AN80">
        <v>2</v>
      </c>
      <c r="AO80">
        <v>0.75</v>
      </c>
      <c r="AP80">
        <v>2</v>
      </c>
      <c r="AQ80">
        <v>1</v>
      </c>
      <c r="AR80">
        <v>3</v>
      </c>
      <c r="AS80">
        <v>1</v>
      </c>
      <c r="AT80">
        <v>3</v>
      </c>
      <c r="AU80">
        <v>1</v>
      </c>
      <c r="AV80">
        <v>5</v>
      </c>
      <c r="AW80">
        <v>1</v>
      </c>
      <c r="AX80">
        <v>16</v>
      </c>
      <c r="AY80">
        <v>3</v>
      </c>
      <c r="AZ80">
        <v>10</v>
      </c>
      <c r="BA80">
        <v>9</v>
      </c>
      <c r="BB80">
        <v>63</v>
      </c>
      <c r="BC80">
        <v>47.5</v>
      </c>
      <c r="BD80">
        <v>-6</v>
      </c>
      <c r="BE80">
        <v>0</v>
      </c>
      <c r="BF80">
        <v>0</v>
      </c>
      <c r="BG80">
        <v>25.431000000000001</v>
      </c>
      <c r="BH80">
        <v>53.965000000000003</v>
      </c>
      <c r="BI80">
        <v>74.364999999999995</v>
      </c>
      <c r="BJ80">
        <v>69.239000000000004</v>
      </c>
      <c r="BK80">
        <v>86.138000000000005</v>
      </c>
      <c r="BL80">
        <v>84.373000000000005</v>
      </c>
      <c r="BM80">
        <v>-10.234999999999999</v>
      </c>
      <c r="BN80">
        <v>74.364999999999995</v>
      </c>
      <c r="BO80">
        <v>53.965000000000003</v>
      </c>
      <c r="BP80">
        <v>0</v>
      </c>
      <c r="BQ80">
        <v>25.431000000000001</v>
      </c>
      <c r="BR80">
        <v>10.234999999999999</v>
      </c>
      <c r="BS80">
        <v>13.862</v>
      </c>
      <c r="BT80">
        <v>30.760999999999999</v>
      </c>
      <c r="BU80">
        <v>15.627000000000001</v>
      </c>
      <c r="BV80">
        <v>2348</v>
      </c>
      <c r="BW80">
        <v>59.448999999999998</v>
      </c>
      <c r="BX80">
        <v>207.25</v>
      </c>
      <c r="BY80">
        <v>23</v>
      </c>
      <c r="BZ80">
        <v>339.25</v>
      </c>
      <c r="CA80">
        <v>6.9210000000000003</v>
      </c>
      <c r="CB80">
        <v>1249</v>
      </c>
      <c r="CC80">
        <v>118</v>
      </c>
      <c r="CD80">
        <v>4.0339999999999998</v>
      </c>
      <c r="CE80">
        <v>10</v>
      </c>
      <c r="CF80">
        <v>2910</v>
      </c>
      <c r="CG80">
        <v>11</v>
      </c>
      <c r="CH80">
        <v>221.25</v>
      </c>
      <c r="CI80">
        <v>11.641999999999999</v>
      </c>
      <c r="CJ80">
        <v>7.2629999999999999</v>
      </c>
      <c r="CK80">
        <v>5.1740000000000004</v>
      </c>
      <c r="CL80">
        <v>0</v>
      </c>
      <c r="CM80">
        <v>19</v>
      </c>
      <c r="CN80">
        <v>0</v>
      </c>
      <c r="CO80">
        <v>78.947000000000003</v>
      </c>
      <c r="CP80">
        <v>100</v>
      </c>
      <c r="CQ80">
        <v>10</v>
      </c>
      <c r="CR80">
        <v>45</v>
      </c>
      <c r="CS80">
        <v>7.1539999999999999</v>
      </c>
      <c r="CT80">
        <v>32</v>
      </c>
      <c r="CU80">
        <v>12</v>
      </c>
      <c r="CV80">
        <v>0</v>
      </c>
      <c r="CW80">
        <v>11</v>
      </c>
      <c r="CX80">
        <v>173</v>
      </c>
      <c r="CY80">
        <v>20.625</v>
      </c>
      <c r="CZ80">
        <v>52.941000000000003</v>
      </c>
      <c r="DA80">
        <v>39.814999999999998</v>
      </c>
      <c r="DB80">
        <v>59.26</v>
      </c>
      <c r="DC80">
        <v>-4</v>
      </c>
      <c r="DD80">
        <v>2679</v>
      </c>
      <c r="DE80">
        <v>70.233000000000004</v>
      </c>
      <c r="DF80">
        <v>192.75</v>
      </c>
      <c r="DG80">
        <v>23</v>
      </c>
      <c r="DH80">
        <v>321.25</v>
      </c>
      <c r="DI80">
        <v>7.7160000000000002</v>
      </c>
      <c r="DJ80">
        <v>1178</v>
      </c>
      <c r="DK80">
        <v>111.625</v>
      </c>
      <c r="DL80">
        <v>4.0960000000000001</v>
      </c>
      <c r="DM80">
        <v>9</v>
      </c>
      <c r="DN80">
        <v>2957</v>
      </c>
      <c r="DO80">
        <v>15</v>
      </c>
      <c r="DP80">
        <v>209.625</v>
      </c>
      <c r="DQ80">
        <v>10.987</v>
      </c>
      <c r="DR80">
        <v>4.75</v>
      </c>
      <c r="DS80">
        <v>3.75</v>
      </c>
      <c r="DT80">
        <v>3</v>
      </c>
      <c r="DU80">
        <v>16</v>
      </c>
      <c r="DV80">
        <v>0</v>
      </c>
      <c r="DW80">
        <v>100</v>
      </c>
      <c r="DX80">
        <v>77.778000000000006</v>
      </c>
      <c r="DY80">
        <v>7</v>
      </c>
      <c r="DZ80">
        <v>46</v>
      </c>
      <c r="EA80">
        <v>13.55</v>
      </c>
      <c r="EB80">
        <v>7</v>
      </c>
      <c r="EC80">
        <v>34</v>
      </c>
      <c r="ED80">
        <v>6</v>
      </c>
      <c r="EE80">
        <v>15</v>
      </c>
      <c r="EF80">
        <v>208</v>
      </c>
      <c r="EG80">
        <v>17.875</v>
      </c>
      <c r="EH80">
        <v>78.570999999999998</v>
      </c>
      <c r="EI80">
        <v>33.332999999999998</v>
      </c>
      <c r="EJ80">
        <v>87.14</v>
      </c>
      <c r="EK80">
        <v>4</v>
      </c>
    </row>
    <row r="81" spans="1:141" x14ac:dyDescent="0.25">
      <c r="A81">
        <v>24</v>
      </c>
      <c r="B81">
        <v>-2</v>
      </c>
      <c r="C81">
        <v>0</v>
      </c>
      <c r="D81">
        <v>2025</v>
      </c>
      <c r="E81">
        <v>6</v>
      </c>
      <c r="F81" t="str">
        <f>VLOOKUP(G81, Map!$A$1:$B$33, 2, FALSE)</f>
        <v>NYJ</v>
      </c>
      <c r="G81" t="s">
        <v>166</v>
      </c>
      <c r="H81" t="str">
        <f>VLOOKUP(I81, Map!$A$1:$B$33, 2, FALSE)</f>
        <v>DEN</v>
      </c>
      <c r="I81" t="s">
        <v>159</v>
      </c>
      <c r="J81">
        <v>0</v>
      </c>
      <c r="K81">
        <v>0</v>
      </c>
      <c r="L81">
        <v>0</v>
      </c>
      <c r="M81">
        <v>0</v>
      </c>
      <c r="N81">
        <v>1</v>
      </c>
      <c r="O81">
        <v>7</v>
      </c>
      <c r="P81">
        <v>27.625</v>
      </c>
      <c r="Q81">
        <v>21</v>
      </c>
      <c r="R81">
        <v>-53</v>
      </c>
      <c r="S81">
        <v>1</v>
      </c>
      <c r="T81">
        <v>0.125</v>
      </c>
      <c r="U81">
        <v>0</v>
      </c>
      <c r="V81">
        <v>2</v>
      </c>
      <c r="W81">
        <v>0</v>
      </c>
      <c r="X81">
        <v>5</v>
      </c>
      <c r="Y81">
        <v>1</v>
      </c>
      <c r="Z81">
        <v>2</v>
      </c>
      <c r="AA81">
        <v>1</v>
      </c>
      <c r="AB81">
        <v>4</v>
      </c>
      <c r="AC81">
        <v>7</v>
      </c>
      <c r="AD81">
        <v>10</v>
      </c>
      <c r="AE81">
        <v>8</v>
      </c>
      <c r="AF81">
        <v>9</v>
      </c>
      <c r="AG81">
        <v>60</v>
      </c>
      <c r="AH81">
        <v>1</v>
      </c>
      <c r="AI81">
        <v>6</v>
      </c>
      <c r="AJ81">
        <v>2</v>
      </c>
      <c r="AK81">
        <v>18.875</v>
      </c>
      <c r="AL81">
        <v>25.875</v>
      </c>
      <c r="AM81">
        <v>56</v>
      </c>
      <c r="AN81">
        <v>5</v>
      </c>
      <c r="AO81">
        <v>0.75</v>
      </c>
      <c r="AP81">
        <v>0</v>
      </c>
      <c r="AQ81">
        <v>1</v>
      </c>
      <c r="AR81">
        <v>4</v>
      </c>
      <c r="AS81">
        <v>0</v>
      </c>
      <c r="AT81">
        <v>2</v>
      </c>
      <c r="AU81">
        <v>2</v>
      </c>
      <c r="AV81">
        <v>3</v>
      </c>
      <c r="AW81">
        <v>2</v>
      </c>
      <c r="AX81">
        <v>4</v>
      </c>
      <c r="AY81">
        <v>12</v>
      </c>
      <c r="AZ81">
        <v>7</v>
      </c>
      <c r="BA81">
        <v>9</v>
      </c>
      <c r="BB81">
        <v>63</v>
      </c>
      <c r="BC81">
        <v>34</v>
      </c>
      <c r="BD81">
        <v>4</v>
      </c>
      <c r="BE81">
        <v>0</v>
      </c>
      <c r="BF81">
        <v>0</v>
      </c>
      <c r="BG81">
        <v>28.818000000000001</v>
      </c>
      <c r="BH81">
        <v>42.67</v>
      </c>
      <c r="BI81">
        <v>70.950999999999993</v>
      </c>
      <c r="BJ81">
        <v>86.847999999999999</v>
      </c>
      <c r="BK81">
        <v>3.073</v>
      </c>
      <c r="BL81">
        <v>42.994999999999997</v>
      </c>
      <c r="BM81">
        <v>-8.3539999999999992</v>
      </c>
      <c r="BN81">
        <v>70.950999999999993</v>
      </c>
      <c r="BO81">
        <v>42.67</v>
      </c>
      <c r="BP81">
        <v>0</v>
      </c>
      <c r="BQ81">
        <v>28.818000000000001</v>
      </c>
      <c r="BR81">
        <v>8.3539999999999992</v>
      </c>
      <c r="BS81">
        <v>96.927000000000007</v>
      </c>
      <c r="BT81">
        <v>13.151999999999999</v>
      </c>
      <c r="BU81">
        <v>57.005000000000003</v>
      </c>
      <c r="BV81">
        <v>2012</v>
      </c>
      <c r="BW81">
        <v>63.713000000000001</v>
      </c>
      <c r="BX81">
        <v>156.5</v>
      </c>
      <c r="BY81">
        <v>15</v>
      </c>
      <c r="BZ81">
        <v>327.625</v>
      </c>
      <c r="CA81">
        <v>6.2110000000000003</v>
      </c>
      <c r="CB81">
        <v>1254</v>
      </c>
      <c r="CC81">
        <v>143.625</v>
      </c>
      <c r="CD81">
        <v>5.1989999999999998</v>
      </c>
      <c r="CE81">
        <v>6</v>
      </c>
      <c r="CF81">
        <v>2542</v>
      </c>
      <c r="CG81">
        <v>9</v>
      </c>
      <c r="CH81">
        <v>184</v>
      </c>
      <c r="CI81">
        <v>9.7479999999999993</v>
      </c>
      <c r="CJ81">
        <v>6.2729999999999997</v>
      </c>
      <c r="CK81">
        <v>2.4169999999999998</v>
      </c>
      <c r="CL81">
        <v>1</v>
      </c>
      <c r="CM81">
        <v>11</v>
      </c>
      <c r="CN81">
        <v>0</v>
      </c>
      <c r="CO81">
        <v>100</v>
      </c>
      <c r="CP81">
        <v>100</v>
      </c>
      <c r="CQ81">
        <v>17</v>
      </c>
      <c r="CR81">
        <v>60</v>
      </c>
      <c r="CS81">
        <v>6.25</v>
      </c>
      <c r="CT81">
        <v>31</v>
      </c>
      <c r="CU81">
        <v>11</v>
      </c>
      <c r="CV81">
        <v>2</v>
      </c>
      <c r="CW81">
        <v>9</v>
      </c>
      <c r="CX81">
        <v>168</v>
      </c>
      <c r="CY81">
        <v>18.5</v>
      </c>
      <c r="CZ81">
        <v>52.631999999999998</v>
      </c>
      <c r="DA81">
        <v>34.905999999999999</v>
      </c>
      <c r="DB81">
        <v>69.17</v>
      </c>
      <c r="DC81">
        <v>-9</v>
      </c>
      <c r="DD81">
        <v>2703</v>
      </c>
      <c r="DE81">
        <v>62.807000000000002</v>
      </c>
      <c r="DF81">
        <v>219.125</v>
      </c>
      <c r="DG81">
        <v>22</v>
      </c>
      <c r="DH81">
        <v>363.125</v>
      </c>
      <c r="DI81">
        <v>6.3259999999999996</v>
      </c>
      <c r="DJ81">
        <v>1407</v>
      </c>
      <c r="DK81">
        <v>137.75</v>
      </c>
      <c r="DL81">
        <v>5.0090000000000003</v>
      </c>
      <c r="DM81">
        <v>10</v>
      </c>
      <c r="DN81">
        <v>3223</v>
      </c>
      <c r="DO81">
        <v>15</v>
      </c>
      <c r="DP81">
        <v>225.375</v>
      </c>
      <c r="DQ81">
        <v>10.073</v>
      </c>
      <c r="DR81">
        <v>6.0279999999999996</v>
      </c>
      <c r="DS81">
        <v>90.5</v>
      </c>
      <c r="DT81">
        <v>0</v>
      </c>
      <c r="DU81">
        <v>36</v>
      </c>
      <c r="DV81">
        <v>0</v>
      </c>
      <c r="DW81">
        <v>100</v>
      </c>
      <c r="DX81">
        <v>90.909000000000006</v>
      </c>
      <c r="DY81">
        <v>10</v>
      </c>
      <c r="DZ81">
        <v>51</v>
      </c>
      <c r="EA81">
        <v>10.467000000000001</v>
      </c>
      <c r="EB81">
        <v>18</v>
      </c>
      <c r="EC81">
        <v>38</v>
      </c>
      <c r="ED81">
        <v>0</v>
      </c>
      <c r="EE81">
        <v>15</v>
      </c>
      <c r="EF81">
        <v>207</v>
      </c>
      <c r="EG81">
        <v>20.75</v>
      </c>
      <c r="EH81">
        <v>50</v>
      </c>
      <c r="EI81">
        <v>37.863999999999997</v>
      </c>
      <c r="EJ81">
        <v>73.02</v>
      </c>
      <c r="EK81">
        <v>-1</v>
      </c>
    </row>
    <row r="82" spans="1:141" x14ac:dyDescent="0.25">
      <c r="A82">
        <v>58</v>
      </c>
      <c r="B82">
        <v>4</v>
      </c>
      <c r="C82">
        <v>1</v>
      </c>
      <c r="D82">
        <v>2025</v>
      </c>
      <c r="E82">
        <v>6</v>
      </c>
      <c r="F82" t="str">
        <f>VLOOKUP(G82, Map!$A$1:$B$33, 2, FALSE)</f>
        <v>IND</v>
      </c>
      <c r="G82" t="s">
        <v>138</v>
      </c>
      <c r="H82" t="str">
        <f>VLOOKUP(I82, Map!$A$1:$B$33, 2, FALSE)</f>
        <v>ARI</v>
      </c>
      <c r="I82" t="s">
        <v>156</v>
      </c>
      <c r="J82">
        <v>0</v>
      </c>
      <c r="K82">
        <v>0</v>
      </c>
      <c r="L82">
        <v>0</v>
      </c>
      <c r="M82">
        <v>1</v>
      </c>
      <c r="N82">
        <v>7</v>
      </c>
      <c r="O82">
        <v>1</v>
      </c>
      <c r="P82">
        <v>19.25</v>
      </c>
      <c r="Q82">
        <v>33.75</v>
      </c>
      <c r="R82">
        <v>116</v>
      </c>
      <c r="S82">
        <v>4</v>
      </c>
      <c r="T82">
        <v>0.875</v>
      </c>
      <c r="U82">
        <v>2</v>
      </c>
      <c r="V82">
        <v>0</v>
      </c>
      <c r="W82">
        <v>5</v>
      </c>
      <c r="X82">
        <v>0</v>
      </c>
      <c r="Y82">
        <v>2</v>
      </c>
      <c r="Z82">
        <v>1</v>
      </c>
      <c r="AA82">
        <v>6</v>
      </c>
      <c r="AB82">
        <v>0</v>
      </c>
      <c r="AC82">
        <v>4</v>
      </c>
      <c r="AD82">
        <v>12</v>
      </c>
      <c r="AE82">
        <v>6</v>
      </c>
      <c r="AF82">
        <v>11</v>
      </c>
      <c r="AG82">
        <v>68</v>
      </c>
      <c r="AH82">
        <v>0</v>
      </c>
      <c r="AI82">
        <v>2</v>
      </c>
      <c r="AJ82">
        <v>5</v>
      </c>
      <c r="AK82">
        <v>22</v>
      </c>
      <c r="AL82">
        <v>21.857143000000001</v>
      </c>
      <c r="AM82">
        <v>-1</v>
      </c>
      <c r="AN82">
        <v>-5</v>
      </c>
      <c r="AO82">
        <v>0.28571429999999998</v>
      </c>
      <c r="AP82">
        <v>0</v>
      </c>
      <c r="AQ82">
        <v>2</v>
      </c>
      <c r="AR82">
        <v>1</v>
      </c>
      <c r="AS82">
        <v>3</v>
      </c>
      <c r="AT82">
        <v>1</v>
      </c>
      <c r="AU82">
        <v>2</v>
      </c>
      <c r="AV82">
        <v>2</v>
      </c>
      <c r="AW82">
        <v>3</v>
      </c>
      <c r="AX82">
        <v>4</v>
      </c>
      <c r="AY82">
        <v>12</v>
      </c>
      <c r="AZ82">
        <v>8</v>
      </c>
      <c r="BA82">
        <v>8</v>
      </c>
      <c r="BB82">
        <v>69</v>
      </c>
      <c r="BC82">
        <v>54</v>
      </c>
      <c r="BD82">
        <v>-6</v>
      </c>
      <c r="BE82">
        <v>0</v>
      </c>
      <c r="BF82">
        <v>0</v>
      </c>
      <c r="BG82">
        <v>73.093000000000004</v>
      </c>
      <c r="BH82">
        <v>56.143999999999998</v>
      </c>
      <c r="BI82">
        <v>26.693000000000001</v>
      </c>
      <c r="BJ82">
        <v>43.664999999999999</v>
      </c>
      <c r="BK82">
        <v>77</v>
      </c>
      <c r="BL82">
        <v>58.5</v>
      </c>
      <c r="BM82">
        <v>9.2629999999999999</v>
      </c>
      <c r="BN82">
        <v>26.693000000000001</v>
      </c>
      <c r="BO82">
        <v>56.143999999999998</v>
      </c>
      <c r="BP82">
        <v>0</v>
      </c>
      <c r="BQ82">
        <v>73.093000000000004</v>
      </c>
      <c r="BR82">
        <v>-9.2629999999999999</v>
      </c>
      <c r="BS82">
        <v>23</v>
      </c>
      <c r="BT82">
        <v>56.335000000000001</v>
      </c>
      <c r="BU82">
        <v>41.5</v>
      </c>
      <c r="BV82">
        <v>2891</v>
      </c>
      <c r="BW82">
        <v>70.161000000000001</v>
      </c>
      <c r="BX82">
        <v>250.875</v>
      </c>
      <c r="BY82">
        <v>23</v>
      </c>
      <c r="BZ82">
        <v>393.25</v>
      </c>
      <c r="CA82">
        <v>8.3510000000000009</v>
      </c>
      <c r="CB82">
        <v>1690</v>
      </c>
      <c r="CC82">
        <v>134.375</v>
      </c>
      <c r="CD82">
        <v>5.0229999999999997</v>
      </c>
      <c r="CE82">
        <v>18</v>
      </c>
      <c r="CF82">
        <v>3396</v>
      </c>
      <c r="CG82">
        <v>13</v>
      </c>
      <c r="CH82">
        <v>258.875</v>
      </c>
      <c r="CI82">
        <v>11.901999999999999</v>
      </c>
      <c r="CJ82">
        <v>6.8259999999999996</v>
      </c>
      <c r="CK82">
        <v>6.0910000000000002</v>
      </c>
      <c r="CL82">
        <v>1</v>
      </c>
      <c r="CM82">
        <v>23</v>
      </c>
      <c r="CN82">
        <v>0</v>
      </c>
      <c r="CO82">
        <v>96.296000000000006</v>
      </c>
      <c r="CP82">
        <v>94.117999999999995</v>
      </c>
      <c r="CQ82">
        <v>16</v>
      </c>
      <c r="CR82">
        <v>74</v>
      </c>
      <c r="CS82">
        <v>4.25</v>
      </c>
      <c r="CT82">
        <v>16</v>
      </c>
      <c r="CU82">
        <v>8</v>
      </c>
      <c r="CV82">
        <v>6</v>
      </c>
      <c r="CW82">
        <v>13</v>
      </c>
      <c r="CX82">
        <v>270</v>
      </c>
      <c r="CY82">
        <v>23.25</v>
      </c>
      <c r="CZ82">
        <v>83.332999999999998</v>
      </c>
      <c r="DA82">
        <v>45.348999999999997</v>
      </c>
      <c r="DB82">
        <v>77.069999999999993</v>
      </c>
      <c r="DC82">
        <v>8</v>
      </c>
      <c r="DD82">
        <v>2113</v>
      </c>
      <c r="DE82">
        <v>66.941999999999993</v>
      </c>
      <c r="DF82">
        <v>199.85714999999999</v>
      </c>
      <c r="DG82">
        <v>18</v>
      </c>
      <c r="DH82">
        <v>333.42856</v>
      </c>
      <c r="DI82">
        <v>6.335</v>
      </c>
      <c r="DJ82">
        <v>888</v>
      </c>
      <c r="DK82">
        <v>110.429</v>
      </c>
      <c r="DL82">
        <v>4.4169999999999998</v>
      </c>
      <c r="DM82">
        <v>5</v>
      </c>
      <c r="DN82">
        <v>2721</v>
      </c>
      <c r="DO82">
        <v>10</v>
      </c>
      <c r="DP82">
        <v>223</v>
      </c>
      <c r="DQ82">
        <v>9.4629999999999992</v>
      </c>
      <c r="DR82">
        <v>6.6669999999999998</v>
      </c>
      <c r="DS82">
        <v>3.238</v>
      </c>
      <c r="DT82">
        <v>1</v>
      </c>
      <c r="DU82">
        <v>12</v>
      </c>
      <c r="DV82">
        <v>0</v>
      </c>
      <c r="DW82">
        <v>100</v>
      </c>
      <c r="DX82">
        <v>86.667000000000002</v>
      </c>
      <c r="DY82">
        <v>13</v>
      </c>
      <c r="DZ82">
        <v>55</v>
      </c>
      <c r="EA82">
        <v>8.25</v>
      </c>
      <c r="EB82">
        <v>9</v>
      </c>
      <c r="EC82">
        <v>25</v>
      </c>
      <c r="ED82">
        <v>8</v>
      </c>
      <c r="EE82">
        <v>10</v>
      </c>
      <c r="EF82">
        <v>153</v>
      </c>
      <c r="EG82">
        <v>19</v>
      </c>
      <c r="EH82">
        <v>57.143000000000001</v>
      </c>
      <c r="EI82">
        <v>44.792000000000002</v>
      </c>
      <c r="EJ82">
        <v>63.49</v>
      </c>
      <c r="EK82">
        <v>-1</v>
      </c>
    </row>
    <row r="83" spans="1:141" x14ac:dyDescent="0.25">
      <c r="A83">
        <v>56</v>
      </c>
      <c r="B83">
        <v>-2</v>
      </c>
      <c r="C83">
        <v>0</v>
      </c>
      <c r="D83">
        <v>2025</v>
      </c>
      <c r="E83">
        <v>6</v>
      </c>
      <c r="F83" t="str">
        <f>VLOOKUP(G83, Map!$A$1:$B$33, 2, FALSE)</f>
        <v>MIA</v>
      </c>
      <c r="G83" t="s">
        <v>152</v>
      </c>
      <c r="H83" t="str">
        <f>VLOOKUP(I83, Map!$A$1:$B$33, 2, FALSE)</f>
        <v>LAC</v>
      </c>
      <c r="I83" t="s">
        <v>160</v>
      </c>
      <c r="J83">
        <v>0</v>
      </c>
      <c r="K83">
        <v>0</v>
      </c>
      <c r="L83">
        <v>0</v>
      </c>
      <c r="M83">
        <v>0</v>
      </c>
      <c r="N83">
        <v>2</v>
      </c>
      <c r="O83">
        <v>6</v>
      </c>
      <c r="P83">
        <v>26.875</v>
      </c>
      <c r="Q83">
        <v>21.75</v>
      </c>
      <c r="R83">
        <v>-41</v>
      </c>
      <c r="S83">
        <v>1</v>
      </c>
      <c r="T83">
        <v>0.25</v>
      </c>
      <c r="U83">
        <v>1</v>
      </c>
      <c r="V83">
        <v>2</v>
      </c>
      <c r="W83">
        <v>1</v>
      </c>
      <c r="X83">
        <v>2</v>
      </c>
      <c r="Y83">
        <v>1</v>
      </c>
      <c r="Z83">
        <v>4</v>
      </c>
      <c r="AA83">
        <v>1</v>
      </c>
      <c r="AB83">
        <v>5</v>
      </c>
      <c r="AC83">
        <v>9</v>
      </c>
      <c r="AD83">
        <v>9</v>
      </c>
      <c r="AE83">
        <v>10</v>
      </c>
      <c r="AF83">
        <v>8</v>
      </c>
      <c r="AG83">
        <v>68</v>
      </c>
      <c r="AH83">
        <v>1</v>
      </c>
      <c r="AI83">
        <v>5</v>
      </c>
      <c r="AJ83">
        <v>3</v>
      </c>
      <c r="AK83">
        <v>21.625</v>
      </c>
      <c r="AL83">
        <v>23.5</v>
      </c>
      <c r="AM83">
        <v>15</v>
      </c>
      <c r="AN83">
        <v>1</v>
      </c>
      <c r="AO83">
        <v>0.625</v>
      </c>
      <c r="AP83">
        <v>3</v>
      </c>
      <c r="AQ83">
        <v>0</v>
      </c>
      <c r="AR83">
        <v>3</v>
      </c>
      <c r="AS83">
        <v>2</v>
      </c>
      <c r="AT83">
        <v>2</v>
      </c>
      <c r="AU83">
        <v>1</v>
      </c>
      <c r="AV83">
        <v>4</v>
      </c>
      <c r="AW83">
        <v>1</v>
      </c>
      <c r="AX83">
        <v>10</v>
      </c>
      <c r="AY83">
        <v>7</v>
      </c>
      <c r="AZ83">
        <v>11</v>
      </c>
      <c r="BA83">
        <v>5</v>
      </c>
      <c r="BB83">
        <v>65</v>
      </c>
      <c r="BC83">
        <v>49.5</v>
      </c>
      <c r="BD83">
        <v>4.5</v>
      </c>
      <c r="BE83">
        <v>0</v>
      </c>
      <c r="BF83">
        <v>0</v>
      </c>
      <c r="BG83">
        <v>38.777999999999999</v>
      </c>
      <c r="BH83">
        <v>46.981000000000002</v>
      </c>
      <c r="BI83">
        <v>60.911000000000001</v>
      </c>
      <c r="BJ83">
        <v>39.554000000000002</v>
      </c>
      <c r="BK83">
        <v>56.527000000000001</v>
      </c>
      <c r="BL83">
        <v>43.646000000000001</v>
      </c>
      <c r="BM83">
        <v>-4.0229999999999997</v>
      </c>
      <c r="BN83">
        <v>60.911000000000001</v>
      </c>
      <c r="BO83">
        <v>46.981000000000002</v>
      </c>
      <c r="BP83">
        <v>0</v>
      </c>
      <c r="BQ83">
        <v>38.777999999999999</v>
      </c>
      <c r="BR83">
        <v>4.0229999999999997</v>
      </c>
      <c r="BS83">
        <v>43.472999999999999</v>
      </c>
      <c r="BT83">
        <v>60.445999999999998</v>
      </c>
      <c r="BU83">
        <v>56.353999999999999</v>
      </c>
      <c r="BV83">
        <v>2361</v>
      </c>
      <c r="BW83">
        <v>68.674999999999997</v>
      </c>
      <c r="BX83">
        <v>187.875</v>
      </c>
      <c r="BY83">
        <v>17</v>
      </c>
      <c r="BZ83">
        <v>299.875</v>
      </c>
      <c r="CA83">
        <v>6.47</v>
      </c>
      <c r="CB83">
        <v>898</v>
      </c>
      <c r="CC83">
        <v>98.5</v>
      </c>
      <c r="CD83">
        <v>4.452</v>
      </c>
      <c r="CE83">
        <v>4</v>
      </c>
      <c r="CF83">
        <v>2991</v>
      </c>
      <c r="CG83">
        <v>15</v>
      </c>
      <c r="CH83">
        <v>201.375</v>
      </c>
      <c r="CI83">
        <v>9.4209999999999994</v>
      </c>
      <c r="CJ83">
        <v>6.4669999999999996</v>
      </c>
      <c r="CK83">
        <v>4.8239999999999998</v>
      </c>
      <c r="CL83">
        <v>1</v>
      </c>
      <c r="CM83">
        <v>15</v>
      </c>
      <c r="CN83">
        <v>0</v>
      </c>
      <c r="CO83">
        <v>100</v>
      </c>
      <c r="CP83">
        <v>91.667000000000002</v>
      </c>
      <c r="CQ83">
        <v>11</v>
      </c>
      <c r="CR83">
        <v>52</v>
      </c>
      <c r="CS83">
        <v>7</v>
      </c>
      <c r="CT83">
        <v>26</v>
      </c>
      <c r="CU83">
        <v>11</v>
      </c>
      <c r="CV83">
        <v>6</v>
      </c>
      <c r="CW83">
        <v>15</v>
      </c>
      <c r="CX83">
        <v>174</v>
      </c>
      <c r="CY83">
        <v>17</v>
      </c>
      <c r="CZ83">
        <v>53.845999999999997</v>
      </c>
      <c r="DA83">
        <v>41.237000000000002</v>
      </c>
      <c r="DB83">
        <v>72.05</v>
      </c>
      <c r="DC83">
        <v>-5</v>
      </c>
      <c r="DD83">
        <v>3094</v>
      </c>
      <c r="DE83">
        <v>68</v>
      </c>
      <c r="DF83">
        <v>255.375</v>
      </c>
      <c r="DG83">
        <v>26</v>
      </c>
      <c r="DH83">
        <v>396.125</v>
      </c>
      <c r="DI83">
        <v>7.28</v>
      </c>
      <c r="DJ83">
        <v>1030</v>
      </c>
      <c r="DK83">
        <v>123.125</v>
      </c>
      <c r="DL83">
        <v>4.8520000000000003</v>
      </c>
      <c r="DM83">
        <v>3</v>
      </c>
      <c r="DN83">
        <v>3764</v>
      </c>
      <c r="DO83">
        <v>16</v>
      </c>
      <c r="DP83">
        <v>273</v>
      </c>
      <c r="DQ83">
        <v>10.706</v>
      </c>
      <c r="DR83">
        <v>5.5910000000000002</v>
      </c>
      <c r="DS83">
        <v>5.05</v>
      </c>
      <c r="DT83">
        <v>0</v>
      </c>
      <c r="DU83">
        <v>22</v>
      </c>
      <c r="DV83">
        <v>0</v>
      </c>
      <c r="DW83">
        <v>100</v>
      </c>
      <c r="DX83">
        <v>94.736999999999995</v>
      </c>
      <c r="DY83">
        <v>18</v>
      </c>
      <c r="DZ83">
        <v>72</v>
      </c>
      <c r="EA83">
        <v>12.5</v>
      </c>
      <c r="EB83">
        <v>8</v>
      </c>
      <c r="EC83">
        <v>20</v>
      </c>
      <c r="ED83">
        <v>0</v>
      </c>
      <c r="EE83">
        <v>16</v>
      </c>
      <c r="EF83">
        <v>188</v>
      </c>
      <c r="EG83">
        <v>21.875</v>
      </c>
      <c r="EH83">
        <v>70</v>
      </c>
      <c r="EI83">
        <v>48.673000000000002</v>
      </c>
      <c r="EJ83">
        <v>61.73</v>
      </c>
      <c r="EK83">
        <v>-3</v>
      </c>
    </row>
    <row r="84" spans="1:141" x14ac:dyDescent="0.25">
      <c r="A84">
        <v>44</v>
      </c>
      <c r="B84">
        <v>-6</v>
      </c>
      <c r="C84">
        <v>0</v>
      </c>
      <c r="D84">
        <v>2025</v>
      </c>
      <c r="E84">
        <v>6</v>
      </c>
      <c r="F84" t="str">
        <f>VLOOKUP(G84, Map!$A$1:$B$33, 2, FALSE)</f>
        <v>NO</v>
      </c>
      <c r="G84" t="s">
        <v>168</v>
      </c>
      <c r="H84" t="str">
        <f>VLOOKUP(I84, Map!$A$1:$B$33, 2, FALSE)</f>
        <v>NE</v>
      </c>
      <c r="I84" t="s">
        <v>151</v>
      </c>
      <c r="J84">
        <v>0</v>
      </c>
      <c r="K84">
        <v>0</v>
      </c>
      <c r="L84">
        <v>0</v>
      </c>
      <c r="M84">
        <v>0</v>
      </c>
      <c r="N84">
        <v>1</v>
      </c>
      <c r="O84">
        <v>7</v>
      </c>
      <c r="P84">
        <v>26.125</v>
      </c>
      <c r="Q84">
        <v>16</v>
      </c>
      <c r="R84">
        <v>-81</v>
      </c>
      <c r="S84">
        <v>-3</v>
      </c>
      <c r="T84">
        <v>0.125</v>
      </c>
      <c r="U84">
        <v>0</v>
      </c>
      <c r="V84">
        <v>1</v>
      </c>
      <c r="W84">
        <v>1</v>
      </c>
      <c r="X84">
        <v>4</v>
      </c>
      <c r="Y84">
        <v>0</v>
      </c>
      <c r="Z84">
        <v>3</v>
      </c>
      <c r="AA84">
        <v>1</v>
      </c>
      <c r="AB84">
        <v>5</v>
      </c>
      <c r="AC84">
        <v>7</v>
      </c>
      <c r="AD84">
        <v>10</v>
      </c>
      <c r="AE84">
        <v>7</v>
      </c>
      <c r="AF84">
        <v>10</v>
      </c>
      <c r="AG84">
        <v>64</v>
      </c>
      <c r="AH84">
        <v>1</v>
      </c>
      <c r="AI84">
        <v>6</v>
      </c>
      <c r="AJ84">
        <v>2</v>
      </c>
      <c r="AK84">
        <v>18.25</v>
      </c>
      <c r="AL84">
        <v>26.625</v>
      </c>
      <c r="AM84">
        <v>67</v>
      </c>
      <c r="AN84">
        <v>5</v>
      </c>
      <c r="AO84">
        <v>0.75</v>
      </c>
      <c r="AP84">
        <v>2</v>
      </c>
      <c r="AQ84">
        <v>0</v>
      </c>
      <c r="AR84">
        <v>2</v>
      </c>
      <c r="AS84">
        <v>2</v>
      </c>
      <c r="AT84">
        <v>4</v>
      </c>
      <c r="AU84">
        <v>0</v>
      </c>
      <c r="AV84">
        <v>4</v>
      </c>
      <c r="AW84">
        <v>2</v>
      </c>
      <c r="AX84">
        <v>8</v>
      </c>
      <c r="AY84">
        <v>9</v>
      </c>
      <c r="AZ84">
        <v>7</v>
      </c>
      <c r="BA84">
        <v>9</v>
      </c>
      <c r="BB84">
        <v>61</v>
      </c>
      <c r="BC84">
        <v>45.5</v>
      </c>
      <c r="BD84">
        <v>5</v>
      </c>
      <c r="BE84">
        <v>0</v>
      </c>
      <c r="BF84">
        <v>0</v>
      </c>
      <c r="BG84">
        <v>39.972999999999999</v>
      </c>
      <c r="BH84">
        <v>33.323999999999998</v>
      </c>
      <c r="BI84">
        <v>59.706000000000003</v>
      </c>
      <c r="BJ84">
        <v>29.558</v>
      </c>
      <c r="BK84">
        <v>39.549999999999997</v>
      </c>
      <c r="BL84">
        <v>35.929000000000002</v>
      </c>
      <c r="BM84">
        <v>-4.133</v>
      </c>
      <c r="BN84">
        <v>59.706000000000003</v>
      </c>
      <c r="BO84">
        <v>33.323999999999998</v>
      </c>
      <c r="BP84">
        <v>0</v>
      </c>
      <c r="BQ84">
        <v>39.972999999999999</v>
      </c>
      <c r="BR84">
        <v>4.133</v>
      </c>
      <c r="BS84">
        <v>60.45</v>
      </c>
      <c r="BT84">
        <v>70.441999999999993</v>
      </c>
      <c r="BU84">
        <v>64.070999999999998</v>
      </c>
      <c r="BV84">
        <v>2083</v>
      </c>
      <c r="BW84">
        <v>66.206999999999994</v>
      </c>
      <c r="BX84">
        <v>201.375</v>
      </c>
      <c r="BY84">
        <v>13</v>
      </c>
      <c r="BZ84">
        <v>310.25</v>
      </c>
      <c r="CA84">
        <v>5.976</v>
      </c>
      <c r="CB84">
        <v>779</v>
      </c>
      <c r="CC84">
        <v>93.625</v>
      </c>
      <c r="CD84">
        <v>3.7829999999999999</v>
      </c>
      <c r="CE84">
        <v>3</v>
      </c>
      <c r="CF84">
        <v>2973</v>
      </c>
      <c r="CG84">
        <v>8</v>
      </c>
      <c r="CH84">
        <v>216.625</v>
      </c>
      <c r="CI84">
        <v>9.0259999999999998</v>
      </c>
      <c r="CJ84">
        <v>6.0590000000000002</v>
      </c>
      <c r="CK84">
        <v>4.7779999999999996</v>
      </c>
      <c r="CL84">
        <v>1</v>
      </c>
      <c r="CM84">
        <v>17</v>
      </c>
      <c r="CN84">
        <v>0</v>
      </c>
      <c r="CO84">
        <v>100</v>
      </c>
      <c r="CP84">
        <v>71.429000000000002</v>
      </c>
      <c r="CQ84">
        <v>15</v>
      </c>
      <c r="CR84">
        <v>56</v>
      </c>
      <c r="CS84">
        <v>15.25</v>
      </c>
      <c r="CT84">
        <v>27</v>
      </c>
      <c r="CU84">
        <v>7</v>
      </c>
      <c r="CV84">
        <v>6</v>
      </c>
      <c r="CW84">
        <v>8</v>
      </c>
      <c r="CX84">
        <v>128</v>
      </c>
      <c r="CY84">
        <v>19.125</v>
      </c>
      <c r="CZ84">
        <v>33.332999999999998</v>
      </c>
      <c r="DA84">
        <v>38.835000000000001</v>
      </c>
      <c r="DB84">
        <v>61.22</v>
      </c>
      <c r="DC84">
        <v>-2</v>
      </c>
      <c r="DD84">
        <v>2965</v>
      </c>
      <c r="DE84">
        <v>75</v>
      </c>
      <c r="DF84">
        <v>240.5</v>
      </c>
      <c r="DG84">
        <v>29</v>
      </c>
      <c r="DH84">
        <v>367.375</v>
      </c>
      <c r="DI84">
        <v>8.7940000000000005</v>
      </c>
      <c r="DJ84">
        <v>1056</v>
      </c>
      <c r="DK84">
        <v>112.625</v>
      </c>
      <c r="DL84">
        <v>3.9340000000000002</v>
      </c>
      <c r="DM84">
        <v>7</v>
      </c>
      <c r="DN84">
        <v>3418</v>
      </c>
      <c r="DO84">
        <v>15</v>
      </c>
      <c r="DP84">
        <v>254.75</v>
      </c>
      <c r="DQ84">
        <v>11.725</v>
      </c>
      <c r="DR84">
        <v>6.3159999999999998</v>
      </c>
      <c r="DS84">
        <v>3.7410000000000001</v>
      </c>
      <c r="DT84">
        <v>4</v>
      </c>
      <c r="DU84">
        <v>19</v>
      </c>
      <c r="DV84">
        <v>0</v>
      </c>
      <c r="DW84">
        <v>91.304000000000002</v>
      </c>
      <c r="DX84">
        <v>92.308000000000007</v>
      </c>
      <c r="DY84">
        <v>12</v>
      </c>
      <c r="DZ84">
        <v>57</v>
      </c>
      <c r="EA84">
        <v>16.8</v>
      </c>
      <c r="EB84">
        <v>10</v>
      </c>
      <c r="EC84">
        <v>27</v>
      </c>
      <c r="ED84">
        <v>14</v>
      </c>
      <c r="EE84">
        <v>15</v>
      </c>
      <c r="EF84">
        <v>213</v>
      </c>
      <c r="EG84">
        <v>20.375</v>
      </c>
      <c r="EH84">
        <v>83.332999999999998</v>
      </c>
      <c r="EI84">
        <v>39.784999999999997</v>
      </c>
      <c r="EJ84">
        <v>67</v>
      </c>
      <c r="EK84">
        <v>2</v>
      </c>
    </row>
    <row r="85" spans="1:141" x14ac:dyDescent="0.25">
      <c r="A85">
        <v>32</v>
      </c>
      <c r="B85">
        <v>14</v>
      </c>
      <c r="C85">
        <v>1</v>
      </c>
      <c r="D85">
        <v>2025</v>
      </c>
      <c r="E85">
        <v>6</v>
      </c>
      <c r="F85" t="str">
        <f>VLOOKUP(G85, Map!$A$1:$B$33, 2, FALSE)</f>
        <v>PIT</v>
      </c>
      <c r="G85" t="s">
        <v>145</v>
      </c>
      <c r="H85" t="str">
        <f>VLOOKUP(I85, Map!$A$1:$B$33, 2, FALSE)</f>
        <v>CLE</v>
      </c>
      <c r="I85" t="s">
        <v>162</v>
      </c>
      <c r="J85">
        <v>0</v>
      </c>
      <c r="K85">
        <v>0</v>
      </c>
      <c r="L85">
        <v>0</v>
      </c>
      <c r="M85">
        <v>1</v>
      </c>
      <c r="N85">
        <v>4</v>
      </c>
      <c r="O85">
        <v>3</v>
      </c>
      <c r="P85">
        <v>25</v>
      </c>
      <c r="Q85">
        <v>25</v>
      </c>
      <c r="R85">
        <v>0</v>
      </c>
      <c r="S85">
        <v>-2</v>
      </c>
      <c r="T85">
        <v>0.57142859999999995</v>
      </c>
      <c r="U85">
        <v>1</v>
      </c>
      <c r="V85">
        <v>1</v>
      </c>
      <c r="W85">
        <v>2</v>
      </c>
      <c r="X85">
        <v>2</v>
      </c>
      <c r="Y85">
        <v>2</v>
      </c>
      <c r="Z85">
        <v>1</v>
      </c>
      <c r="AA85">
        <v>3</v>
      </c>
      <c r="AB85">
        <v>1</v>
      </c>
      <c r="AC85">
        <v>9</v>
      </c>
      <c r="AD85">
        <v>8</v>
      </c>
      <c r="AE85">
        <v>10</v>
      </c>
      <c r="AF85">
        <v>6</v>
      </c>
      <c r="AG85">
        <v>66</v>
      </c>
      <c r="AH85">
        <v>0</v>
      </c>
      <c r="AI85">
        <v>2</v>
      </c>
      <c r="AJ85">
        <v>6</v>
      </c>
      <c r="AK85">
        <v>23</v>
      </c>
      <c r="AL85">
        <v>15.75</v>
      </c>
      <c r="AM85">
        <v>-58</v>
      </c>
      <c r="AN85">
        <v>-1</v>
      </c>
      <c r="AO85">
        <v>0.25</v>
      </c>
      <c r="AP85">
        <v>0</v>
      </c>
      <c r="AQ85">
        <v>3</v>
      </c>
      <c r="AR85">
        <v>2</v>
      </c>
      <c r="AS85">
        <v>2</v>
      </c>
      <c r="AT85">
        <v>0</v>
      </c>
      <c r="AU85">
        <v>4</v>
      </c>
      <c r="AV85">
        <v>1</v>
      </c>
      <c r="AW85">
        <v>4</v>
      </c>
      <c r="AX85">
        <v>7</v>
      </c>
      <c r="AY85">
        <v>10</v>
      </c>
      <c r="AZ85">
        <v>8</v>
      </c>
      <c r="BA85">
        <v>9</v>
      </c>
      <c r="BB85">
        <v>61</v>
      </c>
      <c r="BC85">
        <v>35</v>
      </c>
      <c r="BD85">
        <v>-10</v>
      </c>
      <c r="BE85">
        <v>0</v>
      </c>
      <c r="BF85">
        <v>0</v>
      </c>
      <c r="BG85">
        <v>63.186999999999998</v>
      </c>
      <c r="BH85">
        <v>38.466000000000001</v>
      </c>
      <c r="BI85">
        <v>36.520000000000003</v>
      </c>
      <c r="BJ85">
        <v>76.869</v>
      </c>
      <c r="BK85">
        <v>65.832999999999998</v>
      </c>
      <c r="BL85">
        <v>82.393000000000001</v>
      </c>
      <c r="BM85">
        <v>5.4160000000000004</v>
      </c>
      <c r="BN85">
        <v>36.520000000000003</v>
      </c>
      <c r="BO85">
        <v>38.466000000000001</v>
      </c>
      <c r="BP85">
        <v>0</v>
      </c>
      <c r="BQ85">
        <v>63.186999999999998</v>
      </c>
      <c r="BR85">
        <v>-5.4160000000000004</v>
      </c>
      <c r="BS85">
        <v>34.167000000000002</v>
      </c>
      <c r="BT85">
        <v>23.131</v>
      </c>
      <c r="BU85">
        <v>17.606999999999999</v>
      </c>
      <c r="BV85">
        <v>2471</v>
      </c>
      <c r="BW85">
        <v>68.570999999999998</v>
      </c>
      <c r="BX85">
        <v>202.85714999999999</v>
      </c>
      <c r="BY85">
        <v>20</v>
      </c>
      <c r="BZ85">
        <v>308.71429999999998</v>
      </c>
      <c r="CA85">
        <v>7.1479999999999997</v>
      </c>
      <c r="CB85">
        <v>750</v>
      </c>
      <c r="CC85">
        <v>94.286000000000001</v>
      </c>
      <c r="CD85">
        <v>4.0739999999999998</v>
      </c>
      <c r="CE85">
        <v>3</v>
      </c>
      <c r="CF85">
        <v>2781</v>
      </c>
      <c r="CG85">
        <v>16</v>
      </c>
      <c r="CH85">
        <v>214.429</v>
      </c>
      <c r="CI85">
        <v>10.423999999999999</v>
      </c>
      <c r="CJ85">
        <v>6.4089999999999998</v>
      </c>
      <c r="CK85">
        <v>7.4379999999999997</v>
      </c>
      <c r="CL85">
        <v>0</v>
      </c>
      <c r="CM85">
        <v>22</v>
      </c>
      <c r="CN85">
        <v>0</v>
      </c>
      <c r="CO85">
        <v>100</v>
      </c>
      <c r="CP85">
        <v>87.5</v>
      </c>
      <c r="CQ85">
        <v>14</v>
      </c>
      <c r="CR85">
        <v>59</v>
      </c>
      <c r="CS85">
        <v>8.25</v>
      </c>
      <c r="CT85">
        <v>23</v>
      </c>
      <c r="CU85">
        <v>8</v>
      </c>
      <c r="CV85">
        <v>0</v>
      </c>
      <c r="CW85">
        <v>16</v>
      </c>
      <c r="CX85">
        <v>175</v>
      </c>
      <c r="CY85">
        <v>17.428999999999998</v>
      </c>
      <c r="CZ85">
        <v>50</v>
      </c>
      <c r="DA85">
        <v>38.960999999999999</v>
      </c>
      <c r="DB85">
        <v>75.94</v>
      </c>
      <c r="DC85">
        <v>4</v>
      </c>
      <c r="DD85">
        <v>1756</v>
      </c>
      <c r="DE85">
        <v>58.94</v>
      </c>
      <c r="DF85">
        <v>174.125</v>
      </c>
      <c r="DG85">
        <v>14</v>
      </c>
      <c r="DH85">
        <v>279.125</v>
      </c>
      <c r="DI85">
        <v>4.9870000000000001</v>
      </c>
      <c r="DJ85">
        <v>896</v>
      </c>
      <c r="DK85">
        <v>89.5</v>
      </c>
      <c r="DL85">
        <v>3.7679999999999998</v>
      </c>
      <c r="DM85">
        <v>6</v>
      </c>
      <c r="DN85">
        <v>2652</v>
      </c>
      <c r="DO85">
        <v>7</v>
      </c>
      <c r="DP85">
        <v>189.625</v>
      </c>
      <c r="DQ85">
        <v>8.4610000000000003</v>
      </c>
      <c r="DR85">
        <v>6.9169999999999998</v>
      </c>
      <c r="DS85">
        <v>4.3029999999999999</v>
      </c>
      <c r="DT85">
        <v>1</v>
      </c>
      <c r="DU85">
        <v>24</v>
      </c>
      <c r="DV85">
        <v>0</v>
      </c>
      <c r="DW85">
        <v>92.308000000000007</v>
      </c>
      <c r="DX85">
        <v>76.923000000000002</v>
      </c>
      <c r="DY85">
        <v>10</v>
      </c>
      <c r="DZ85">
        <v>42</v>
      </c>
      <c r="EA85">
        <v>11.412000000000001</v>
      </c>
      <c r="EB85">
        <v>16</v>
      </c>
      <c r="EC85">
        <v>42</v>
      </c>
      <c r="ED85">
        <v>6</v>
      </c>
      <c r="EE85">
        <v>7</v>
      </c>
      <c r="EF85">
        <v>126</v>
      </c>
      <c r="EG85">
        <v>16.75</v>
      </c>
      <c r="EH85">
        <v>57.895000000000003</v>
      </c>
      <c r="EI85">
        <v>33.042999999999999</v>
      </c>
      <c r="EJ85">
        <v>69.39</v>
      </c>
      <c r="EK85">
        <v>0</v>
      </c>
    </row>
    <row r="86" spans="1:141" x14ac:dyDescent="0.25">
      <c r="A86">
        <v>57</v>
      </c>
      <c r="B86">
        <v>3</v>
      </c>
      <c r="C86">
        <v>1</v>
      </c>
      <c r="D86">
        <v>2025</v>
      </c>
      <c r="E86">
        <v>6</v>
      </c>
      <c r="F86" t="str">
        <f>VLOOKUP(G86, Map!$A$1:$B$33, 2, FALSE)</f>
        <v>CAR</v>
      </c>
      <c r="G86" t="s">
        <v>142</v>
      </c>
      <c r="H86" t="str">
        <f>VLOOKUP(I86, Map!$A$1:$B$33, 2, FALSE)</f>
        <v>DAL</v>
      </c>
      <c r="I86" t="s">
        <v>150</v>
      </c>
      <c r="J86">
        <v>0</v>
      </c>
      <c r="K86">
        <v>0</v>
      </c>
      <c r="L86">
        <v>0</v>
      </c>
      <c r="M86">
        <v>1</v>
      </c>
      <c r="N86">
        <v>4</v>
      </c>
      <c r="O86">
        <v>4</v>
      </c>
      <c r="P86">
        <v>24</v>
      </c>
      <c r="Q86">
        <v>19.25</v>
      </c>
      <c r="R86">
        <v>-38</v>
      </c>
      <c r="S86">
        <v>-1</v>
      </c>
      <c r="T86">
        <v>0.5</v>
      </c>
      <c r="U86">
        <v>1</v>
      </c>
      <c r="V86">
        <v>0</v>
      </c>
      <c r="W86">
        <v>3</v>
      </c>
      <c r="X86">
        <v>1</v>
      </c>
      <c r="Y86">
        <v>1</v>
      </c>
      <c r="Z86">
        <v>3</v>
      </c>
      <c r="AA86">
        <v>2</v>
      </c>
      <c r="AB86">
        <v>1</v>
      </c>
      <c r="AC86">
        <v>7</v>
      </c>
      <c r="AD86">
        <v>10</v>
      </c>
      <c r="AE86">
        <v>9</v>
      </c>
      <c r="AF86">
        <v>8</v>
      </c>
      <c r="AG86">
        <v>58</v>
      </c>
      <c r="AH86">
        <v>0</v>
      </c>
      <c r="AI86">
        <v>3</v>
      </c>
      <c r="AJ86">
        <v>4</v>
      </c>
      <c r="AK86">
        <v>31.25</v>
      </c>
      <c r="AL86">
        <v>30.75</v>
      </c>
      <c r="AM86">
        <v>-4</v>
      </c>
      <c r="AN86">
        <v>-1</v>
      </c>
      <c r="AO86">
        <v>0.4375</v>
      </c>
      <c r="AP86">
        <v>2</v>
      </c>
      <c r="AQ86">
        <v>1</v>
      </c>
      <c r="AR86">
        <v>2</v>
      </c>
      <c r="AS86">
        <v>0</v>
      </c>
      <c r="AT86">
        <v>1</v>
      </c>
      <c r="AU86">
        <v>4</v>
      </c>
      <c r="AV86">
        <v>2</v>
      </c>
      <c r="AW86">
        <v>3</v>
      </c>
      <c r="AX86">
        <v>13</v>
      </c>
      <c r="AY86">
        <v>5</v>
      </c>
      <c r="AZ86">
        <v>11</v>
      </c>
      <c r="BA86">
        <v>7</v>
      </c>
      <c r="BB86">
        <v>68</v>
      </c>
      <c r="BC86">
        <v>54.5</v>
      </c>
      <c r="BD86">
        <v>2.5</v>
      </c>
      <c r="BE86">
        <v>0</v>
      </c>
      <c r="BF86">
        <v>0</v>
      </c>
      <c r="BG86">
        <v>38.113999999999997</v>
      </c>
      <c r="BH86">
        <v>44.316000000000003</v>
      </c>
      <c r="BI86">
        <v>61.58</v>
      </c>
      <c r="BJ86">
        <v>26.2</v>
      </c>
      <c r="BK86">
        <v>71.253</v>
      </c>
      <c r="BL86">
        <v>54.682000000000002</v>
      </c>
      <c r="BM86">
        <v>-4.069</v>
      </c>
      <c r="BN86">
        <v>61.58</v>
      </c>
      <c r="BO86">
        <v>44.316000000000003</v>
      </c>
      <c r="BP86">
        <v>0</v>
      </c>
      <c r="BQ86">
        <v>38.113999999999997</v>
      </c>
      <c r="BR86">
        <v>4.069</v>
      </c>
      <c r="BS86">
        <v>28.747</v>
      </c>
      <c r="BT86">
        <v>73.8</v>
      </c>
      <c r="BU86">
        <v>45.317999999999998</v>
      </c>
      <c r="BV86">
        <v>2241</v>
      </c>
      <c r="BW86">
        <v>62.451999999999998</v>
      </c>
      <c r="BX86">
        <v>179.5</v>
      </c>
      <c r="BY86">
        <v>19</v>
      </c>
      <c r="BZ86">
        <v>334.5</v>
      </c>
      <c r="CA86">
        <v>6.0570000000000004</v>
      </c>
      <c r="CB86">
        <v>1145</v>
      </c>
      <c r="CC86">
        <v>136.875</v>
      </c>
      <c r="CD86">
        <v>4.6399999999999997</v>
      </c>
      <c r="CE86">
        <v>4</v>
      </c>
      <c r="CF86">
        <v>2816</v>
      </c>
      <c r="CG86">
        <v>12</v>
      </c>
      <c r="CH86">
        <v>197.625</v>
      </c>
      <c r="CI86">
        <v>9.6989999999999998</v>
      </c>
      <c r="CJ86">
        <v>6.8460000000000001</v>
      </c>
      <c r="CK86">
        <v>4.75</v>
      </c>
      <c r="CL86">
        <v>1</v>
      </c>
      <c r="CM86">
        <v>13</v>
      </c>
      <c r="CN86">
        <v>0</v>
      </c>
      <c r="CO86">
        <v>86.667000000000002</v>
      </c>
      <c r="CP86">
        <v>86.667000000000002</v>
      </c>
      <c r="CQ86">
        <v>13</v>
      </c>
      <c r="CR86">
        <v>52</v>
      </c>
      <c r="CS86">
        <v>16.411999999999999</v>
      </c>
      <c r="CT86">
        <v>27</v>
      </c>
      <c r="CU86">
        <v>11</v>
      </c>
      <c r="CV86">
        <v>6</v>
      </c>
      <c r="CW86">
        <v>12</v>
      </c>
      <c r="CX86">
        <v>154</v>
      </c>
      <c r="CY86">
        <v>20.75</v>
      </c>
      <c r="CZ86">
        <v>68.421000000000006</v>
      </c>
      <c r="DA86">
        <v>37.255000000000003</v>
      </c>
      <c r="DB86">
        <v>70.83</v>
      </c>
      <c r="DC86">
        <v>-5</v>
      </c>
      <c r="DD86">
        <v>3160</v>
      </c>
      <c r="DE86">
        <v>70.233999999999995</v>
      </c>
      <c r="DF86">
        <v>263.75</v>
      </c>
      <c r="DG86">
        <v>25</v>
      </c>
      <c r="DH86">
        <v>391.375</v>
      </c>
      <c r="DI86">
        <v>7.1909999999999998</v>
      </c>
      <c r="DJ86">
        <v>1283</v>
      </c>
      <c r="DK86">
        <v>120.375</v>
      </c>
      <c r="DL86">
        <v>4.6749999999999998</v>
      </c>
      <c r="DM86">
        <v>10</v>
      </c>
      <c r="DN86">
        <v>3813</v>
      </c>
      <c r="DO86">
        <v>17</v>
      </c>
      <c r="DP86">
        <v>271</v>
      </c>
      <c r="DQ86">
        <v>10.238</v>
      </c>
      <c r="DR86">
        <v>7.7329999999999997</v>
      </c>
      <c r="DS86">
        <v>4.8099999999999996</v>
      </c>
      <c r="DT86">
        <v>1</v>
      </c>
      <c r="DU86">
        <v>15</v>
      </c>
      <c r="DV86">
        <v>0</v>
      </c>
      <c r="DW86">
        <v>96.296000000000006</v>
      </c>
      <c r="DX86">
        <v>100</v>
      </c>
      <c r="DY86">
        <v>16</v>
      </c>
      <c r="DZ86">
        <v>74</v>
      </c>
      <c r="EA86">
        <v>10</v>
      </c>
      <c r="EB86">
        <v>11</v>
      </c>
      <c r="EC86">
        <v>28</v>
      </c>
      <c r="ED86">
        <v>6</v>
      </c>
      <c r="EE86">
        <v>17</v>
      </c>
      <c r="EF86">
        <v>246</v>
      </c>
      <c r="EG86">
        <v>23.125</v>
      </c>
      <c r="EH86">
        <v>77.778000000000006</v>
      </c>
      <c r="EI86">
        <v>43.158000000000001</v>
      </c>
      <c r="EJ86">
        <v>74.19</v>
      </c>
      <c r="EK86">
        <v>-1</v>
      </c>
    </row>
    <row r="87" spans="1:141" x14ac:dyDescent="0.25">
      <c r="A87">
        <v>32</v>
      </c>
      <c r="B87">
        <v>-8</v>
      </c>
      <c r="C87">
        <v>0</v>
      </c>
      <c r="D87">
        <v>2025</v>
      </c>
      <c r="E87">
        <v>6</v>
      </c>
      <c r="F87" t="str">
        <f>VLOOKUP(G87, Map!$A$1:$B$33, 2, FALSE)</f>
        <v>JAX</v>
      </c>
      <c r="G87" t="s">
        <v>139</v>
      </c>
      <c r="H87" t="str">
        <f>VLOOKUP(I87, Map!$A$1:$B$33, 2, FALSE)</f>
        <v>SEA</v>
      </c>
      <c r="I87" t="s">
        <v>144</v>
      </c>
      <c r="J87">
        <v>0</v>
      </c>
      <c r="K87">
        <v>0</v>
      </c>
      <c r="L87">
        <v>0</v>
      </c>
      <c r="M87">
        <v>0</v>
      </c>
      <c r="N87">
        <v>4</v>
      </c>
      <c r="O87">
        <v>3</v>
      </c>
      <c r="P87">
        <v>22.142856999999999</v>
      </c>
      <c r="Q87">
        <v>20.857143000000001</v>
      </c>
      <c r="R87">
        <v>-9</v>
      </c>
      <c r="S87">
        <v>-2</v>
      </c>
      <c r="T87">
        <v>0.57142859999999995</v>
      </c>
      <c r="U87">
        <v>1</v>
      </c>
      <c r="V87">
        <v>0</v>
      </c>
      <c r="W87">
        <v>3</v>
      </c>
      <c r="X87">
        <v>2</v>
      </c>
      <c r="Y87">
        <v>1</v>
      </c>
      <c r="Z87">
        <v>1</v>
      </c>
      <c r="AA87">
        <v>2</v>
      </c>
      <c r="AB87">
        <v>1</v>
      </c>
      <c r="AC87">
        <v>10</v>
      </c>
      <c r="AD87">
        <v>8</v>
      </c>
      <c r="AE87">
        <v>9</v>
      </c>
      <c r="AF87">
        <v>9</v>
      </c>
      <c r="AG87">
        <v>58</v>
      </c>
      <c r="AH87">
        <v>1</v>
      </c>
      <c r="AI87">
        <v>5</v>
      </c>
      <c r="AJ87">
        <v>2</v>
      </c>
      <c r="AK87">
        <v>19.428571999999999</v>
      </c>
      <c r="AL87">
        <v>27.571428000000001</v>
      </c>
      <c r="AM87">
        <v>57</v>
      </c>
      <c r="AN87">
        <v>2</v>
      </c>
      <c r="AO87">
        <v>0.71428572999999995</v>
      </c>
      <c r="AP87">
        <v>1</v>
      </c>
      <c r="AQ87">
        <v>1</v>
      </c>
      <c r="AR87">
        <v>2</v>
      </c>
      <c r="AS87">
        <v>2</v>
      </c>
      <c r="AT87">
        <v>3</v>
      </c>
      <c r="AU87">
        <v>0</v>
      </c>
      <c r="AV87">
        <v>2</v>
      </c>
      <c r="AW87">
        <v>2</v>
      </c>
      <c r="AX87">
        <v>9</v>
      </c>
      <c r="AY87">
        <v>8</v>
      </c>
      <c r="AZ87">
        <v>7</v>
      </c>
      <c r="BA87">
        <v>10</v>
      </c>
      <c r="BB87">
        <v>61</v>
      </c>
      <c r="BC87">
        <v>40</v>
      </c>
      <c r="BD87">
        <v>6</v>
      </c>
      <c r="BE87">
        <v>0</v>
      </c>
      <c r="BF87">
        <v>0</v>
      </c>
      <c r="BG87">
        <v>49.8</v>
      </c>
      <c r="BH87">
        <v>56.197000000000003</v>
      </c>
      <c r="BI87">
        <v>49.8</v>
      </c>
      <c r="BJ87">
        <v>50.325000000000003</v>
      </c>
      <c r="BK87">
        <v>30.231000000000002</v>
      </c>
      <c r="BL87">
        <v>24.475999999999999</v>
      </c>
      <c r="BM87">
        <v>8.3000000000000004E-2</v>
      </c>
      <c r="BN87">
        <v>49.8</v>
      </c>
      <c r="BO87">
        <v>56.197000000000003</v>
      </c>
      <c r="BP87">
        <v>0</v>
      </c>
      <c r="BQ87">
        <v>49.8</v>
      </c>
      <c r="BR87">
        <v>-8.3000000000000004E-2</v>
      </c>
      <c r="BS87">
        <v>69.769000000000005</v>
      </c>
      <c r="BT87">
        <v>49.674999999999997</v>
      </c>
      <c r="BU87">
        <v>75.524000000000001</v>
      </c>
      <c r="BV87">
        <v>2100</v>
      </c>
      <c r="BW87">
        <v>58.686999999999998</v>
      </c>
      <c r="BX87">
        <v>215.14285000000001</v>
      </c>
      <c r="BY87">
        <v>21</v>
      </c>
      <c r="BZ87">
        <v>351.14285000000001</v>
      </c>
      <c r="CA87">
        <v>6.2549999999999999</v>
      </c>
      <c r="CB87">
        <v>1033</v>
      </c>
      <c r="CC87">
        <v>119.714</v>
      </c>
      <c r="CD87">
        <v>4.6820000000000004</v>
      </c>
      <c r="CE87">
        <v>6</v>
      </c>
      <c r="CF87">
        <v>2695</v>
      </c>
      <c r="CG87">
        <v>9</v>
      </c>
      <c r="CH87">
        <v>231.429</v>
      </c>
      <c r="CI87">
        <v>10.657999999999999</v>
      </c>
      <c r="CJ87">
        <v>7.375</v>
      </c>
      <c r="CK87">
        <v>3.1880000000000002</v>
      </c>
      <c r="CL87">
        <v>2</v>
      </c>
      <c r="CM87">
        <v>8</v>
      </c>
      <c r="CN87">
        <v>0</v>
      </c>
      <c r="CO87">
        <v>93.332999999999998</v>
      </c>
      <c r="CP87">
        <v>71.429000000000002</v>
      </c>
      <c r="CQ87">
        <v>10</v>
      </c>
      <c r="CR87">
        <v>44</v>
      </c>
      <c r="CS87">
        <v>4.4290000000000003</v>
      </c>
      <c r="CT87">
        <v>30</v>
      </c>
      <c r="CU87">
        <v>10</v>
      </c>
      <c r="CV87">
        <v>12</v>
      </c>
      <c r="CW87">
        <v>9</v>
      </c>
      <c r="CX87">
        <v>146</v>
      </c>
      <c r="CY87">
        <v>19.143000000000001</v>
      </c>
      <c r="CZ87">
        <v>53.332999999999998</v>
      </c>
      <c r="DA87">
        <v>32.978999999999999</v>
      </c>
      <c r="DB87">
        <v>59.74</v>
      </c>
      <c r="DC87">
        <v>8</v>
      </c>
      <c r="DD87">
        <v>2459</v>
      </c>
      <c r="DE87">
        <v>67.856999999999999</v>
      </c>
      <c r="DF87">
        <v>244.42857000000001</v>
      </c>
      <c r="DG87">
        <v>27</v>
      </c>
      <c r="DH87">
        <v>358.85714999999999</v>
      </c>
      <c r="DI87">
        <v>9.0259999999999998</v>
      </c>
      <c r="DJ87">
        <v>918</v>
      </c>
      <c r="DK87">
        <v>106.143</v>
      </c>
      <c r="DL87">
        <v>3.6779999999999999</v>
      </c>
      <c r="DM87">
        <v>8</v>
      </c>
      <c r="DN87">
        <v>2854</v>
      </c>
      <c r="DO87">
        <v>12</v>
      </c>
      <c r="DP87">
        <v>252.714</v>
      </c>
      <c r="DQ87">
        <v>13.301</v>
      </c>
      <c r="DR87">
        <v>7.1740000000000004</v>
      </c>
      <c r="DS87">
        <v>7.8890000000000002</v>
      </c>
      <c r="DT87">
        <v>2</v>
      </c>
      <c r="DU87">
        <v>23</v>
      </c>
      <c r="DV87">
        <v>0</v>
      </c>
      <c r="DW87">
        <v>100</v>
      </c>
      <c r="DX87">
        <v>76.471000000000004</v>
      </c>
      <c r="DY87">
        <v>13</v>
      </c>
      <c r="DZ87">
        <v>61</v>
      </c>
      <c r="EA87">
        <v>11</v>
      </c>
      <c r="EB87">
        <v>10</v>
      </c>
      <c r="EC87">
        <v>26</v>
      </c>
      <c r="ED87">
        <v>6</v>
      </c>
      <c r="EE87">
        <v>12</v>
      </c>
      <c r="EF87">
        <v>193</v>
      </c>
      <c r="EG87">
        <v>19.428999999999998</v>
      </c>
      <c r="EH87">
        <v>66.667000000000002</v>
      </c>
      <c r="EI87">
        <v>33.332999999999998</v>
      </c>
      <c r="EJ87">
        <v>76.569999999999993</v>
      </c>
      <c r="EK87">
        <v>-4</v>
      </c>
    </row>
    <row r="88" spans="1:141" x14ac:dyDescent="0.25">
      <c r="A88">
        <v>20</v>
      </c>
      <c r="B88">
        <v>-14</v>
      </c>
      <c r="C88">
        <v>0</v>
      </c>
      <c r="D88">
        <v>2025</v>
      </c>
      <c r="E88">
        <v>6</v>
      </c>
      <c r="F88" t="str">
        <f>VLOOKUP(G88, Map!$A$1:$B$33, 2, FALSE)</f>
        <v>BAL</v>
      </c>
      <c r="G88" t="s">
        <v>146</v>
      </c>
      <c r="H88" t="str">
        <f>VLOOKUP(I88, Map!$A$1:$B$33, 2, FALSE)</f>
        <v>LA</v>
      </c>
      <c r="I88" t="s">
        <v>155</v>
      </c>
      <c r="J88">
        <v>0</v>
      </c>
      <c r="K88">
        <v>0</v>
      </c>
      <c r="L88">
        <v>0</v>
      </c>
      <c r="M88">
        <v>0</v>
      </c>
      <c r="N88">
        <v>2</v>
      </c>
      <c r="O88">
        <v>5</v>
      </c>
      <c r="P88">
        <v>30</v>
      </c>
      <c r="Q88">
        <v>24.857143000000001</v>
      </c>
      <c r="R88">
        <v>-36</v>
      </c>
      <c r="S88">
        <v>1</v>
      </c>
      <c r="T88">
        <v>0.28571429999999998</v>
      </c>
      <c r="U88">
        <v>1</v>
      </c>
      <c r="V88">
        <v>0</v>
      </c>
      <c r="W88">
        <v>2</v>
      </c>
      <c r="X88">
        <v>3</v>
      </c>
      <c r="Y88">
        <v>0</v>
      </c>
      <c r="Z88">
        <v>2</v>
      </c>
      <c r="AA88">
        <v>1</v>
      </c>
      <c r="AB88">
        <v>3</v>
      </c>
      <c r="AC88">
        <v>10</v>
      </c>
      <c r="AD88">
        <v>7</v>
      </c>
      <c r="AE88">
        <v>7</v>
      </c>
      <c r="AF88">
        <v>9</v>
      </c>
      <c r="AG88">
        <v>61</v>
      </c>
      <c r="AH88">
        <v>1</v>
      </c>
      <c r="AI88">
        <v>5</v>
      </c>
      <c r="AJ88">
        <v>2</v>
      </c>
      <c r="AK88">
        <v>16.714285</v>
      </c>
      <c r="AL88">
        <v>25</v>
      </c>
      <c r="AM88">
        <v>58</v>
      </c>
      <c r="AN88">
        <v>2</v>
      </c>
      <c r="AO88">
        <v>0.71428572999999995</v>
      </c>
      <c r="AP88">
        <v>0</v>
      </c>
      <c r="AQ88">
        <v>1</v>
      </c>
      <c r="AR88">
        <v>2</v>
      </c>
      <c r="AS88">
        <v>1</v>
      </c>
      <c r="AT88">
        <v>3</v>
      </c>
      <c r="AU88">
        <v>1</v>
      </c>
      <c r="AV88">
        <v>0</v>
      </c>
      <c r="AW88">
        <v>2</v>
      </c>
      <c r="AX88">
        <v>5</v>
      </c>
      <c r="AY88">
        <v>11</v>
      </c>
      <c r="AZ88">
        <v>5</v>
      </c>
      <c r="BA88">
        <v>9</v>
      </c>
      <c r="BB88">
        <v>57</v>
      </c>
      <c r="BC88">
        <v>32.5</v>
      </c>
      <c r="BD88">
        <v>10</v>
      </c>
      <c r="BE88">
        <v>0</v>
      </c>
      <c r="BF88">
        <v>0</v>
      </c>
      <c r="BG88">
        <v>37.515999999999998</v>
      </c>
      <c r="BH88">
        <v>72.88</v>
      </c>
      <c r="BI88">
        <v>62.183</v>
      </c>
      <c r="BJ88">
        <v>54.764000000000003</v>
      </c>
      <c r="BK88">
        <v>3.5579999999999998</v>
      </c>
      <c r="BL88">
        <v>15.196</v>
      </c>
      <c r="BM88">
        <v>-4.6239999999999997</v>
      </c>
      <c r="BN88">
        <v>62.183</v>
      </c>
      <c r="BO88">
        <v>72.88</v>
      </c>
      <c r="BP88">
        <v>0</v>
      </c>
      <c r="BQ88">
        <v>37.515999999999998</v>
      </c>
      <c r="BR88">
        <v>4.6239999999999997</v>
      </c>
      <c r="BS88">
        <v>96.441999999999993</v>
      </c>
      <c r="BT88">
        <v>45.235999999999997</v>
      </c>
      <c r="BU88">
        <v>84.804000000000002</v>
      </c>
      <c r="BV88">
        <v>2046</v>
      </c>
      <c r="BW88">
        <v>69.73</v>
      </c>
      <c r="BX88">
        <v>182.28572</v>
      </c>
      <c r="BY88">
        <v>19</v>
      </c>
      <c r="BZ88">
        <v>337.14285000000001</v>
      </c>
      <c r="CA88">
        <v>7.7080000000000002</v>
      </c>
      <c r="CB88">
        <v>1139</v>
      </c>
      <c r="CC88">
        <v>133.429</v>
      </c>
      <c r="CD88">
        <v>5.2770000000000001</v>
      </c>
      <c r="CE88">
        <v>8</v>
      </c>
      <c r="CF88">
        <v>2456</v>
      </c>
      <c r="CG88">
        <v>11</v>
      </c>
      <c r="CH88">
        <v>203.714</v>
      </c>
      <c r="CI88">
        <v>11.054</v>
      </c>
      <c r="CJ88">
        <v>6.8890000000000002</v>
      </c>
      <c r="CK88">
        <v>2.4089999999999998</v>
      </c>
      <c r="CL88">
        <v>1</v>
      </c>
      <c r="CM88">
        <v>9</v>
      </c>
      <c r="CN88">
        <v>0</v>
      </c>
      <c r="CO88">
        <v>94.736999999999995</v>
      </c>
      <c r="CP88">
        <v>92.308000000000007</v>
      </c>
      <c r="CQ88">
        <v>12</v>
      </c>
      <c r="CR88">
        <v>54</v>
      </c>
      <c r="CS88">
        <v>5.8330000000000002</v>
      </c>
      <c r="CT88">
        <v>19</v>
      </c>
      <c r="CU88">
        <v>8</v>
      </c>
      <c r="CV88">
        <v>6</v>
      </c>
      <c r="CW88">
        <v>11</v>
      </c>
      <c r="CX88">
        <v>174</v>
      </c>
      <c r="CY88">
        <v>18.143000000000001</v>
      </c>
      <c r="CZ88">
        <v>38.462000000000003</v>
      </c>
      <c r="DA88">
        <v>40.506</v>
      </c>
      <c r="DB88">
        <v>52.38</v>
      </c>
      <c r="DC88">
        <v>-6</v>
      </c>
      <c r="DD88">
        <v>2996</v>
      </c>
      <c r="DE88">
        <v>65.843999999999994</v>
      </c>
      <c r="DF88">
        <v>256.71429999999998</v>
      </c>
      <c r="DG88">
        <v>30</v>
      </c>
      <c r="DH88">
        <v>370</v>
      </c>
      <c r="DI88">
        <v>7.6790000000000003</v>
      </c>
      <c r="DJ88">
        <v>789</v>
      </c>
      <c r="DK88">
        <v>103.429</v>
      </c>
      <c r="DL88">
        <v>4.1369999999999996</v>
      </c>
      <c r="DM88">
        <v>4</v>
      </c>
      <c r="DN88">
        <v>3261</v>
      </c>
      <c r="DO88">
        <v>17</v>
      </c>
      <c r="DP88">
        <v>266.57100000000003</v>
      </c>
      <c r="DQ88">
        <v>11.663</v>
      </c>
      <c r="DR88">
        <v>6.577</v>
      </c>
      <c r="DS88">
        <v>16.111000000000001</v>
      </c>
      <c r="DT88">
        <v>0</v>
      </c>
      <c r="DU88">
        <v>26</v>
      </c>
      <c r="DV88">
        <v>0</v>
      </c>
      <c r="DW88">
        <v>90.475999999999999</v>
      </c>
      <c r="DX88">
        <v>71.429000000000002</v>
      </c>
      <c r="DY88">
        <v>10</v>
      </c>
      <c r="DZ88">
        <v>49</v>
      </c>
      <c r="EA88">
        <v>14.2</v>
      </c>
      <c r="EB88">
        <v>11</v>
      </c>
      <c r="EC88">
        <v>22</v>
      </c>
      <c r="ED88">
        <v>0</v>
      </c>
      <c r="EE88">
        <v>17</v>
      </c>
      <c r="EF88">
        <v>175</v>
      </c>
      <c r="EG88">
        <v>22</v>
      </c>
      <c r="EH88">
        <v>66.667000000000002</v>
      </c>
      <c r="EI88">
        <v>37.661999999999999</v>
      </c>
      <c r="EJ88">
        <v>65.239999999999995</v>
      </c>
      <c r="EK88">
        <v>3</v>
      </c>
    </row>
    <row r="89" spans="1:141" x14ac:dyDescent="0.25">
      <c r="A89">
        <v>30</v>
      </c>
      <c r="B89">
        <v>10</v>
      </c>
      <c r="C89">
        <v>1</v>
      </c>
      <c r="D89">
        <v>2025</v>
      </c>
      <c r="E89">
        <v>6</v>
      </c>
      <c r="F89" t="str">
        <f>VLOOKUP(G89, Map!$A$1:$B$33, 2, FALSE)</f>
        <v>LV</v>
      </c>
      <c r="G89" t="s">
        <v>157</v>
      </c>
      <c r="H89" t="str">
        <f>VLOOKUP(I89, Map!$A$1:$B$33, 2, FALSE)</f>
        <v>TEN</v>
      </c>
      <c r="I89" t="s">
        <v>140</v>
      </c>
      <c r="J89">
        <v>0</v>
      </c>
      <c r="K89">
        <v>0</v>
      </c>
      <c r="L89">
        <v>0</v>
      </c>
      <c r="M89">
        <v>1</v>
      </c>
      <c r="N89">
        <v>2</v>
      </c>
      <c r="O89">
        <v>5</v>
      </c>
      <c r="P89">
        <v>25.714285</v>
      </c>
      <c r="Q89">
        <v>14.714286</v>
      </c>
      <c r="R89">
        <v>-77</v>
      </c>
      <c r="S89">
        <v>-1</v>
      </c>
      <c r="T89">
        <v>0.28571429999999998</v>
      </c>
      <c r="U89">
        <v>0</v>
      </c>
      <c r="V89">
        <v>2</v>
      </c>
      <c r="W89">
        <v>1</v>
      </c>
      <c r="X89">
        <v>2</v>
      </c>
      <c r="Y89">
        <v>1</v>
      </c>
      <c r="Z89">
        <v>3</v>
      </c>
      <c r="AA89">
        <v>2</v>
      </c>
      <c r="AB89">
        <v>3</v>
      </c>
      <c r="AC89">
        <v>6</v>
      </c>
      <c r="AD89">
        <v>10</v>
      </c>
      <c r="AE89">
        <v>8</v>
      </c>
      <c r="AF89">
        <v>8</v>
      </c>
      <c r="AG89">
        <v>56</v>
      </c>
      <c r="AH89">
        <v>0</v>
      </c>
      <c r="AI89">
        <v>1</v>
      </c>
      <c r="AJ89">
        <v>7</v>
      </c>
      <c r="AK89">
        <v>28.75</v>
      </c>
      <c r="AL89">
        <v>13.75</v>
      </c>
      <c r="AM89">
        <v>-120</v>
      </c>
      <c r="AN89">
        <v>-3</v>
      </c>
      <c r="AO89">
        <v>0.125</v>
      </c>
      <c r="AP89">
        <v>0</v>
      </c>
      <c r="AQ89">
        <v>3</v>
      </c>
      <c r="AR89">
        <v>0</v>
      </c>
      <c r="AS89">
        <v>3</v>
      </c>
      <c r="AT89">
        <v>1</v>
      </c>
      <c r="AU89">
        <v>4</v>
      </c>
      <c r="AV89">
        <v>0</v>
      </c>
      <c r="AW89">
        <v>6</v>
      </c>
      <c r="AX89">
        <v>7</v>
      </c>
      <c r="AY89">
        <v>9</v>
      </c>
      <c r="AZ89">
        <v>8</v>
      </c>
      <c r="BA89">
        <v>7</v>
      </c>
      <c r="BB89">
        <v>59</v>
      </c>
      <c r="BC89">
        <v>35.5</v>
      </c>
      <c r="BD89">
        <v>-7</v>
      </c>
      <c r="BE89">
        <v>0</v>
      </c>
      <c r="BF89">
        <v>0</v>
      </c>
      <c r="BG89">
        <v>64.391000000000005</v>
      </c>
      <c r="BH89">
        <v>17.306000000000001</v>
      </c>
      <c r="BI89">
        <v>35.325000000000003</v>
      </c>
      <c r="BJ89">
        <v>94.700999999999993</v>
      </c>
      <c r="BK89">
        <v>39.896000000000001</v>
      </c>
      <c r="BL89">
        <v>86.575000000000003</v>
      </c>
      <c r="BM89">
        <v>5.73</v>
      </c>
      <c r="BN89">
        <v>35.325000000000003</v>
      </c>
      <c r="BO89">
        <v>17.306000000000001</v>
      </c>
      <c r="BP89">
        <v>0</v>
      </c>
      <c r="BQ89">
        <v>64.391000000000005</v>
      </c>
      <c r="BR89">
        <v>-5.73</v>
      </c>
      <c r="BS89">
        <v>60.103999999999999</v>
      </c>
      <c r="BT89">
        <v>5.2990000000000004</v>
      </c>
      <c r="BU89">
        <v>13.425000000000001</v>
      </c>
      <c r="BV89">
        <v>1570</v>
      </c>
      <c r="BW89">
        <v>66.176000000000002</v>
      </c>
      <c r="BX89">
        <v>182.71428</v>
      </c>
      <c r="BY89">
        <v>19</v>
      </c>
      <c r="BZ89">
        <v>297.28570000000002</v>
      </c>
      <c r="CA89">
        <v>6.7649999999999997</v>
      </c>
      <c r="CB89">
        <v>731</v>
      </c>
      <c r="CC89">
        <v>93.713999999999999</v>
      </c>
      <c r="CD89">
        <v>3.859</v>
      </c>
      <c r="CE89">
        <v>3</v>
      </c>
      <c r="CF89">
        <v>2345</v>
      </c>
      <c r="CG89">
        <v>7</v>
      </c>
      <c r="CH89">
        <v>203.571</v>
      </c>
      <c r="CI89">
        <v>10.222</v>
      </c>
      <c r="CJ89">
        <v>6.7329999999999997</v>
      </c>
      <c r="CK89">
        <v>3.0710000000000002</v>
      </c>
      <c r="CL89">
        <v>0</v>
      </c>
      <c r="CM89">
        <v>15</v>
      </c>
      <c r="CN89">
        <v>0</v>
      </c>
      <c r="CO89">
        <v>100</v>
      </c>
      <c r="CP89">
        <v>78.570999999999998</v>
      </c>
      <c r="CQ89">
        <v>11</v>
      </c>
      <c r="CR89">
        <v>41</v>
      </c>
      <c r="CS89">
        <v>15.333</v>
      </c>
      <c r="CT89">
        <v>26</v>
      </c>
      <c r="CU89">
        <v>8</v>
      </c>
      <c r="CV89">
        <v>0</v>
      </c>
      <c r="CW89">
        <v>7</v>
      </c>
      <c r="CX89">
        <v>103</v>
      </c>
      <c r="CY89">
        <v>15.856999999999999</v>
      </c>
      <c r="CZ89">
        <v>45.454999999999998</v>
      </c>
      <c r="DA89">
        <v>37.930999999999997</v>
      </c>
      <c r="DB89">
        <v>53.17</v>
      </c>
      <c r="DC89">
        <v>-5</v>
      </c>
      <c r="DD89">
        <v>1785</v>
      </c>
      <c r="DE89">
        <v>57.664000000000001</v>
      </c>
      <c r="DF89">
        <v>168.375</v>
      </c>
      <c r="DG89">
        <v>21</v>
      </c>
      <c r="DH89">
        <v>282.25</v>
      </c>
      <c r="DI89">
        <v>5.8940000000000001</v>
      </c>
      <c r="DJ89">
        <v>643</v>
      </c>
      <c r="DK89">
        <v>80.375</v>
      </c>
      <c r="DL89">
        <v>3.9209999999999998</v>
      </c>
      <c r="DM89">
        <v>3</v>
      </c>
      <c r="DN89">
        <v>2580</v>
      </c>
      <c r="DO89">
        <v>5</v>
      </c>
      <c r="DP89">
        <v>201.875</v>
      </c>
      <c r="DQ89">
        <v>10.222</v>
      </c>
      <c r="DR89">
        <v>6.8129999999999997</v>
      </c>
      <c r="DS89">
        <v>4.8949999999999996</v>
      </c>
      <c r="DT89">
        <v>0</v>
      </c>
      <c r="DU89">
        <v>16</v>
      </c>
      <c r="DV89">
        <v>0</v>
      </c>
      <c r="DW89">
        <v>88.888999999999996</v>
      </c>
      <c r="DX89">
        <v>76.19</v>
      </c>
      <c r="DY89">
        <v>16</v>
      </c>
      <c r="DZ89">
        <v>56</v>
      </c>
      <c r="EA89">
        <v>10.75</v>
      </c>
      <c r="EB89">
        <v>12</v>
      </c>
      <c r="EC89">
        <v>37</v>
      </c>
      <c r="ED89">
        <v>6</v>
      </c>
      <c r="EE89">
        <v>5</v>
      </c>
      <c r="EF89">
        <v>110</v>
      </c>
      <c r="EG89">
        <v>15.875</v>
      </c>
      <c r="EH89">
        <v>38.462000000000003</v>
      </c>
      <c r="EI89">
        <v>29.907</v>
      </c>
      <c r="EJ89">
        <v>65.31</v>
      </c>
      <c r="EK89">
        <v>-4</v>
      </c>
    </row>
    <row r="90" spans="1:141" x14ac:dyDescent="0.25">
      <c r="A90">
        <v>45</v>
      </c>
      <c r="B90">
        <v>9</v>
      </c>
      <c r="C90">
        <v>1</v>
      </c>
      <c r="D90">
        <v>2025</v>
      </c>
      <c r="E90">
        <v>6</v>
      </c>
      <c r="F90" t="str">
        <f>VLOOKUP(G90, Map!$A$1:$B$33, 2, FALSE)</f>
        <v>GB</v>
      </c>
      <c r="G90" t="s">
        <v>154</v>
      </c>
      <c r="H90" t="str">
        <f>VLOOKUP(I90, Map!$A$1:$B$33, 2, FALSE)</f>
        <v>CIN</v>
      </c>
      <c r="I90" t="s">
        <v>161</v>
      </c>
      <c r="J90">
        <v>0</v>
      </c>
      <c r="K90">
        <v>0</v>
      </c>
      <c r="L90">
        <v>0</v>
      </c>
      <c r="M90">
        <v>1</v>
      </c>
      <c r="N90">
        <v>5</v>
      </c>
      <c r="O90">
        <v>1</v>
      </c>
      <c r="P90">
        <v>21.428571999999999</v>
      </c>
      <c r="Q90">
        <v>27.571428000000001</v>
      </c>
      <c r="R90">
        <v>43</v>
      </c>
      <c r="S90">
        <v>3</v>
      </c>
      <c r="T90">
        <v>0.78571427000000005</v>
      </c>
      <c r="U90">
        <v>1</v>
      </c>
      <c r="V90">
        <v>0</v>
      </c>
      <c r="W90">
        <v>3</v>
      </c>
      <c r="X90">
        <v>0</v>
      </c>
      <c r="Y90">
        <v>2</v>
      </c>
      <c r="Z90">
        <v>1</v>
      </c>
      <c r="AA90">
        <v>3</v>
      </c>
      <c r="AB90">
        <v>0</v>
      </c>
      <c r="AC90">
        <v>8</v>
      </c>
      <c r="AD90">
        <v>8</v>
      </c>
      <c r="AE90">
        <v>8</v>
      </c>
      <c r="AF90">
        <v>8</v>
      </c>
      <c r="AG90">
        <v>61</v>
      </c>
      <c r="AH90">
        <v>0</v>
      </c>
      <c r="AI90">
        <v>3</v>
      </c>
      <c r="AJ90">
        <v>5</v>
      </c>
      <c r="AK90">
        <v>31.625</v>
      </c>
      <c r="AL90">
        <v>21.75</v>
      </c>
      <c r="AM90">
        <v>-79</v>
      </c>
      <c r="AN90">
        <v>-1</v>
      </c>
      <c r="AO90">
        <v>0.375</v>
      </c>
      <c r="AP90">
        <v>2</v>
      </c>
      <c r="AQ90">
        <v>0</v>
      </c>
      <c r="AR90">
        <v>2</v>
      </c>
      <c r="AS90">
        <v>2</v>
      </c>
      <c r="AT90">
        <v>1</v>
      </c>
      <c r="AU90">
        <v>3</v>
      </c>
      <c r="AV90">
        <v>3</v>
      </c>
      <c r="AW90">
        <v>2</v>
      </c>
      <c r="AX90">
        <v>14</v>
      </c>
      <c r="AY90">
        <v>4</v>
      </c>
      <c r="AZ90">
        <v>13</v>
      </c>
      <c r="BA90">
        <v>5</v>
      </c>
      <c r="BB90">
        <v>59</v>
      </c>
      <c r="BC90">
        <v>44.5</v>
      </c>
      <c r="BD90">
        <v>-10</v>
      </c>
      <c r="BE90">
        <v>0</v>
      </c>
      <c r="BF90">
        <v>0</v>
      </c>
      <c r="BG90">
        <v>80.388999999999996</v>
      </c>
      <c r="BH90">
        <v>64.492999999999995</v>
      </c>
      <c r="BI90">
        <v>19.454999999999998</v>
      </c>
      <c r="BJ90">
        <v>54.054000000000002</v>
      </c>
      <c r="BK90">
        <v>80.715999999999994</v>
      </c>
      <c r="BL90">
        <v>77.491</v>
      </c>
      <c r="BM90">
        <v>13.188000000000001</v>
      </c>
      <c r="BN90">
        <v>19.454999999999998</v>
      </c>
      <c r="BO90">
        <v>64.492999999999995</v>
      </c>
      <c r="BP90">
        <v>0</v>
      </c>
      <c r="BQ90">
        <v>80.388999999999996</v>
      </c>
      <c r="BR90">
        <v>-13.188000000000001</v>
      </c>
      <c r="BS90">
        <v>19.283999999999999</v>
      </c>
      <c r="BT90">
        <v>45.945999999999998</v>
      </c>
      <c r="BU90">
        <v>22.509</v>
      </c>
      <c r="BV90">
        <v>2648</v>
      </c>
      <c r="BW90">
        <v>70.891999999999996</v>
      </c>
      <c r="BX90">
        <v>245</v>
      </c>
      <c r="BY90">
        <v>26</v>
      </c>
      <c r="BZ90">
        <v>371</v>
      </c>
      <c r="CA90">
        <v>8.4410000000000007</v>
      </c>
      <c r="CB90">
        <v>1099</v>
      </c>
      <c r="CC90">
        <v>114.143</v>
      </c>
      <c r="CD90">
        <v>3.9359999999999999</v>
      </c>
      <c r="CE90">
        <v>9</v>
      </c>
      <c r="CF90">
        <v>3008</v>
      </c>
      <c r="CG90">
        <v>13</v>
      </c>
      <c r="CH90">
        <v>256.85700000000003</v>
      </c>
      <c r="CI90">
        <v>11.907</v>
      </c>
      <c r="CJ90">
        <v>6.1429999999999998</v>
      </c>
      <c r="CK90">
        <v>6.75</v>
      </c>
      <c r="CL90">
        <v>0</v>
      </c>
      <c r="CM90">
        <v>21</v>
      </c>
      <c r="CN90">
        <v>0</v>
      </c>
      <c r="CO90">
        <v>95.238</v>
      </c>
      <c r="CP90">
        <v>76.471000000000004</v>
      </c>
      <c r="CQ90">
        <v>13</v>
      </c>
      <c r="CR90">
        <v>59</v>
      </c>
      <c r="CS90">
        <v>11.909000000000001</v>
      </c>
      <c r="CT90">
        <v>22</v>
      </c>
      <c r="CU90">
        <v>6</v>
      </c>
      <c r="CV90">
        <v>0</v>
      </c>
      <c r="CW90">
        <v>13</v>
      </c>
      <c r="CX90">
        <v>193</v>
      </c>
      <c r="CY90">
        <v>21</v>
      </c>
      <c r="CZ90">
        <v>75</v>
      </c>
      <c r="DA90">
        <v>48.276000000000003</v>
      </c>
      <c r="DB90">
        <v>78.569999999999993</v>
      </c>
      <c r="DC90">
        <v>1</v>
      </c>
      <c r="DD90">
        <v>2540</v>
      </c>
      <c r="DE90">
        <v>63.636000000000003</v>
      </c>
      <c r="DF90">
        <v>202</v>
      </c>
      <c r="DG90">
        <v>15</v>
      </c>
      <c r="DH90">
        <v>299.125</v>
      </c>
      <c r="DI90">
        <v>6.0490000000000004</v>
      </c>
      <c r="DJ90">
        <v>793</v>
      </c>
      <c r="DK90">
        <v>82.875</v>
      </c>
      <c r="DL90">
        <v>4.3049999999999997</v>
      </c>
      <c r="DM90">
        <v>5</v>
      </c>
      <c r="DN90">
        <v>3165</v>
      </c>
      <c r="DO90">
        <v>15</v>
      </c>
      <c r="DP90">
        <v>216.25</v>
      </c>
      <c r="DQ90">
        <v>9.5050000000000008</v>
      </c>
      <c r="DR90">
        <v>5.2729999999999997</v>
      </c>
      <c r="DS90">
        <v>3.3570000000000002</v>
      </c>
      <c r="DT90">
        <v>0</v>
      </c>
      <c r="DU90">
        <v>11</v>
      </c>
      <c r="DV90">
        <v>0</v>
      </c>
      <c r="DW90">
        <v>100</v>
      </c>
      <c r="DX90">
        <v>84.614999999999995</v>
      </c>
      <c r="DY90">
        <v>11</v>
      </c>
      <c r="DZ90">
        <v>52</v>
      </c>
      <c r="EA90">
        <v>11.523999999999999</v>
      </c>
      <c r="EB90">
        <v>11</v>
      </c>
      <c r="EC90">
        <v>37</v>
      </c>
      <c r="ED90">
        <v>0</v>
      </c>
      <c r="EE90">
        <v>15</v>
      </c>
      <c r="EF90">
        <v>174</v>
      </c>
      <c r="EG90">
        <v>18.5</v>
      </c>
      <c r="EH90">
        <v>80</v>
      </c>
      <c r="EI90">
        <v>39.393999999999998</v>
      </c>
      <c r="EJ90">
        <v>79.87</v>
      </c>
      <c r="EK90">
        <v>-2</v>
      </c>
    </row>
    <row r="91" spans="1:141" x14ac:dyDescent="0.25">
      <c r="A91">
        <v>49</v>
      </c>
      <c r="B91">
        <v>11</v>
      </c>
      <c r="C91">
        <v>1</v>
      </c>
      <c r="D91">
        <v>2025</v>
      </c>
      <c r="E91">
        <v>6</v>
      </c>
      <c r="F91" t="str">
        <f>VLOOKUP(G91, Map!$A$1:$B$33, 2, FALSE)</f>
        <v>TB</v>
      </c>
      <c r="G91" t="s">
        <v>141</v>
      </c>
      <c r="H91" t="str">
        <f>VLOOKUP(I91, Map!$A$1:$B$33, 2, FALSE)</f>
        <v>SF</v>
      </c>
      <c r="I91" t="s">
        <v>143</v>
      </c>
      <c r="J91">
        <v>0</v>
      </c>
      <c r="K91">
        <v>0</v>
      </c>
      <c r="L91">
        <v>0</v>
      </c>
      <c r="M91">
        <v>1</v>
      </c>
      <c r="N91">
        <v>6</v>
      </c>
      <c r="O91">
        <v>2</v>
      </c>
      <c r="P91">
        <v>22.25</v>
      </c>
      <c r="Q91">
        <v>24.625</v>
      </c>
      <c r="R91">
        <v>19</v>
      </c>
      <c r="S91">
        <v>1</v>
      </c>
      <c r="T91">
        <v>0.75</v>
      </c>
      <c r="U91">
        <v>2</v>
      </c>
      <c r="V91">
        <v>0</v>
      </c>
      <c r="W91">
        <v>2</v>
      </c>
      <c r="X91">
        <v>1</v>
      </c>
      <c r="Y91">
        <v>4</v>
      </c>
      <c r="Z91">
        <v>1</v>
      </c>
      <c r="AA91">
        <v>4</v>
      </c>
      <c r="AB91">
        <v>2</v>
      </c>
      <c r="AC91">
        <v>8</v>
      </c>
      <c r="AD91">
        <v>9</v>
      </c>
      <c r="AE91">
        <v>4</v>
      </c>
      <c r="AF91">
        <v>12</v>
      </c>
      <c r="AG91">
        <v>59</v>
      </c>
      <c r="AH91">
        <v>0</v>
      </c>
      <c r="AI91">
        <v>5</v>
      </c>
      <c r="AJ91">
        <v>3</v>
      </c>
      <c r="AK91">
        <v>20.5</v>
      </c>
      <c r="AL91">
        <v>20</v>
      </c>
      <c r="AM91">
        <v>-4</v>
      </c>
      <c r="AN91">
        <v>-1</v>
      </c>
      <c r="AO91">
        <v>0.625</v>
      </c>
      <c r="AP91">
        <v>3</v>
      </c>
      <c r="AQ91">
        <v>0</v>
      </c>
      <c r="AR91">
        <v>2</v>
      </c>
      <c r="AS91">
        <v>1</v>
      </c>
      <c r="AT91">
        <v>3</v>
      </c>
      <c r="AU91">
        <v>2</v>
      </c>
      <c r="AV91">
        <v>5</v>
      </c>
      <c r="AW91">
        <v>1</v>
      </c>
      <c r="AX91">
        <v>15</v>
      </c>
      <c r="AY91">
        <v>5</v>
      </c>
      <c r="AZ91">
        <v>13</v>
      </c>
      <c r="BA91">
        <v>7</v>
      </c>
      <c r="BB91">
        <v>68</v>
      </c>
      <c r="BC91">
        <v>48</v>
      </c>
      <c r="BD91">
        <v>-7</v>
      </c>
      <c r="BE91">
        <v>0</v>
      </c>
      <c r="BF91">
        <v>0</v>
      </c>
      <c r="BG91">
        <v>64.86</v>
      </c>
      <c r="BH91">
        <v>69.561999999999998</v>
      </c>
      <c r="BI91">
        <v>34.86</v>
      </c>
      <c r="BJ91">
        <v>71.394999999999996</v>
      </c>
      <c r="BK91">
        <v>89.855000000000004</v>
      </c>
      <c r="BL91">
        <v>76.016999999999996</v>
      </c>
      <c r="BM91">
        <v>5.7240000000000002</v>
      </c>
      <c r="BN91">
        <v>34.86</v>
      </c>
      <c r="BO91">
        <v>69.561999999999998</v>
      </c>
      <c r="BP91">
        <v>0</v>
      </c>
      <c r="BQ91">
        <v>64.86</v>
      </c>
      <c r="BR91">
        <v>-5.7240000000000002</v>
      </c>
      <c r="BS91">
        <v>10.145</v>
      </c>
      <c r="BT91">
        <v>28.605</v>
      </c>
      <c r="BU91">
        <v>23.983000000000001</v>
      </c>
      <c r="BV91">
        <v>2769</v>
      </c>
      <c r="BW91">
        <v>63.941000000000003</v>
      </c>
      <c r="BX91">
        <v>224.875</v>
      </c>
      <c r="BY91">
        <v>29</v>
      </c>
      <c r="BZ91">
        <v>338</v>
      </c>
      <c r="CA91">
        <v>7.1340000000000003</v>
      </c>
      <c r="CB91">
        <v>950</v>
      </c>
      <c r="CC91">
        <v>98.125</v>
      </c>
      <c r="CD91">
        <v>3.8479999999999999</v>
      </c>
      <c r="CE91">
        <v>6</v>
      </c>
      <c r="CF91">
        <v>3234</v>
      </c>
      <c r="CG91">
        <v>13</v>
      </c>
      <c r="CH91">
        <v>239.875</v>
      </c>
      <c r="CI91">
        <v>11.157</v>
      </c>
      <c r="CJ91">
        <v>7.8</v>
      </c>
      <c r="CK91">
        <v>6.8</v>
      </c>
      <c r="CL91">
        <v>2</v>
      </c>
      <c r="CM91">
        <v>25</v>
      </c>
      <c r="CN91">
        <v>0</v>
      </c>
      <c r="CO91">
        <v>94.117999999999995</v>
      </c>
      <c r="CP91">
        <v>80.951999999999998</v>
      </c>
      <c r="CQ91">
        <v>17</v>
      </c>
      <c r="CR91">
        <v>67</v>
      </c>
      <c r="CS91">
        <v>14.667</v>
      </c>
      <c r="CT91">
        <v>32</v>
      </c>
      <c r="CU91">
        <v>12</v>
      </c>
      <c r="CV91">
        <v>14</v>
      </c>
      <c r="CW91">
        <v>13</v>
      </c>
      <c r="CX91">
        <v>197</v>
      </c>
      <c r="CY91">
        <v>18.875</v>
      </c>
      <c r="CZ91">
        <v>50</v>
      </c>
      <c r="DA91">
        <v>36.274999999999999</v>
      </c>
      <c r="DB91">
        <v>55.19</v>
      </c>
      <c r="DC91">
        <v>7</v>
      </c>
      <c r="DD91">
        <v>2753</v>
      </c>
      <c r="DE91">
        <v>65.885999999999996</v>
      </c>
      <c r="DF91">
        <v>259.25</v>
      </c>
      <c r="DG91">
        <v>23</v>
      </c>
      <c r="DH91">
        <v>362.25</v>
      </c>
      <c r="DI91">
        <v>7.3010000000000002</v>
      </c>
      <c r="DJ91">
        <v>775</v>
      </c>
      <c r="DK91">
        <v>89.375</v>
      </c>
      <c r="DL91">
        <v>3.4049999999999998</v>
      </c>
      <c r="DM91">
        <v>3</v>
      </c>
      <c r="DN91">
        <v>3588</v>
      </c>
      <c r="DO91">
        <v>12</v>
      </c>
      <c r="DP91">
        <v>272.875</v>
      </c>
      <c r="DQ91">
        <v>11.081</v>
      </c>
      <c r="DR91">
        <v>6.6669999999999998</v>
      </c>
      <c r="DS91">
        <v>1.889</v>
      </c>
      <c r="DT91">
        <v>0</v>
      </c>
      <c r="DU91">
        <v>9</v>
      </c>
      <c r="DV91">
        <v>0</v>
      </c>
      <c r="DW91">
        <v>92.308000000000007</v>
      </c>
      <c r="DX91">
        <v>90</v>
      </c>
      <c r="DY91">
        <v>18</v>
      </c>
      <c r="DZ91">
        <v>66</v>
      </c>
      <c r="EA91">
        <v>14.308</v>
      </c>
      <c r="EB91">
        <v>12</v>
      </c>
      <c r="EC91">
        <v>25</v>
      </c>
      <c r="ED91">
        <v>0</v>
      </c>
      <c r="EE91">
        <v>12</v>
      </c>
      <c r="EF91">
        <v>160</v>
      </c>
      <c r="EG91">
        <v>20.875</v>
      </c>
      <c r="EH91">
        <v>54.545000000000002</v>
      </c>
      <c r="EI91">
        <v>46.363999999999997</v>
      </c>
      <c r="EJ91">
        <v>65.709999999999994</v>
      </c>
      <c r="EK91">
        <v>-5</v>
      </c>
    </row>
    <row r="92" spans="1:141" x14ac:dyDescent="0.25">
      <c r="A92">
        <v>47</v>
      </c>
      <c r="B92">
        <v>13</v>
      </c>
      <c r="C92">
        <v>1</v>
      </c>
      <c r="D92">
        <v>2025</v>
      </c>
      <c r="E92">
        <v>6</v>
      </c>
      <c r="F92" t="str">
        <f>VLOOKUP(G92, Map!$A$1:$B$33, 2, FALSE)</f>
        <v>KC</v>
      </c>
      <c r="G92" t="s">
        <v>158</v>
      </c>
      <c r="H92" t="str">
        <f>VLOOKUP(I92, Map!$A$1:$B$33, 2, FALSE)</f>
        <v>DET</v>
      </c>
      <c r="I92" t="s">
        <v>164</v>
      </c>
      <c r="J92">
        <v>0</v>
      </c>
      <c r="K92">
        <v>0</v>
      </c>
      <c r="L92">
        <v>0</v>
      </c>
      <c r="M92">
        <v>1</v>
      </c>
      <c r="N92">
        <v>5</v>
      </c>
      <c r="O92">
        <v>3</v>
      </c>
      <c r="P92">
        <v>16.375</v>
      </c>
      <c r="Q92">
        <v>26.75</v>
      </c>
      <c r="R92">
        <v>83</v>
      </c>
      <c r="S92">
        <v>3</v>
      </c>
      <c r="T92">
        <v>0.625</v>
      </c>
      <c r="U92">
        <v>1</v>
      </c>
      <c r="V92">
        <v>1</v>
      </c>
      <c r="W92">
        <v>4</v>
      </c>
      <c r="X92">
        <v>1</v>
      </c>
      <c r="Y92">
        <v>1</v>
      </c>
      <c r="Z92">
        <v>2</v>
      </c>
      <c r="AA92">
        <v>2</v>
      </c>
      <c r="AB92">
        <v>2</v>
      </c>
      <c r="AC92">
        <v>16</v>
      </c>
      <c r="AD92">
        <v>3</v>
      </c>
      <c r="AE92">
        <v>7</v>
      </c>
      <c r="AF92">
        <v>11</v>
      </c>
      <c r="AG92">
        <v>65</v>
      </c>
      <c r="AH92">
        <v>0</v>
      </c>
      <c r="AI92">
        <v>5</v>
      </c>
      <c r="AJ92">
        <v>2</v>
      </c>
      <c r="AK92">
        <v>21.571428000000001</v>
      </c>
      <c r="AL92">
        <v>30.714285</v>
      </c>
      <c r="AM92">
        <v>64</v>
      </c>
      <c r="AN92">
        <v>1</v>
      </c>
      <c r="AO92">
        <v>0.71428572999999995</v>
      </c>
      <c r="AP92">
        <v>1</v>
      </c>
      <c r="AQ92">
        <v>1</v>
      </c>
      <c r="AR92">
        <v>3</v>
      </c>
      <c r="AS92">
        <v>0</v>
      </c>
      <c r="AT92">
        <v>2</v>
      </c>
      <c r="AU92">
        <v>2</v>
      </c>
      <c r="AV92">
        <v>2</v>
      </c>
      <c r="AW92">
        <v>1</v>
      </c>
      <c r="AX92">
        <v>8</v>
      </c>
      <c r="AY92">
        <v>8</v>
      </c>
      <c r="AZ92">
        <v>11</v>
      </c>
      <c r="BA92">
        <v>5</v>
      </c>
      <c r="BB92">
        <v>73</v>
      </c>
      <c r="BC92">
        <v>51</v>
      </c>
      <c r="BD92">
        <v>-8.5</v>
      </c>
      <c r="BE92">
        <v>0</v>
      </c>
      <c r="BF92">
        <v>0</v>
      </c>
      <c r="BG92">
        <v>55.488999999999997</v>
      </c>
      <c r="BH92">
        <v>90.850999999999999</v>
      </c>
      <c r="BI92">
        <v>44.155999999999999</v>
      </c>
      <c r="BJ92">
        <v>35.173999999999999</v>
      </c>
      <c r="BK92">
        <v>92.019000000000005</v>
      </c>
      <c r="BL92">
        <v>77.287999999999997</v>
      </c>
      <c r="BM92">
        <v>2.008</v>
      </c>
      <c r="BN92">
        <v>44.155999999999999</v>
      </c>
      <c r="BO92">
        <v>90.850999999999999</v>
      </c>
      <c r="BP92">
        <v>0</v>
      </c>
      <c r="BQ92">
        <v>55.488999999999997</v>
      </c>
      <c r="BR92">
        <v>-2.008</v>
      </c>
      <c r="BS92">
        <v>7.9809999999999999</v>
      </c>
      <c r="BT92">
        <v>64.825999999999993</v>
      </c>
      <c r="BU92">
        <v>22.712</v>
      </c>
      <c r="BV92">
        <v>3149</v>
      </c>
      <c r="BW92">
        <v>67.021000000000001</v>
      </c>
      <c r="BX92">
        <v>251.75</v>
      </c>
      <c r="BY92">
        <v>25</v>
      </c>
      <c r="BZ92">
        <v>388.875</v>
      </c>
      <c r="CA92">
        <v>7.3719999999999999</v>
      </c>
      <c r="CB92">
        <v>1327</v>
      </c>
      <c r="CC92">
        <v>126.5</v>
      </c>
      <c r="CD92">
        <v>4.4980000000000002</v>
      </c>
      <c r="CE92">
        <v>9</v>
      </c>
      <c r="CF92">
        <v>3639</v>
      </c>
      <c r="CG92">
        <v>17</v>
      </c>
      <c r="CH92">
        <v>262.375</v>
      </c>
      <c r="CI92">
        <v>11</v>
      </c>
      <c r="CJ92">
        <v>4</v>
      </c>
      <c r="CK92">
        <v>3.4</v>
      </c>
      <c r="CL92">
        <v>0</v>
      </c>
      <c r="CM92">
        <v>17</v>
      </c>
      <c r="CN92">
        <v>0</v>
      </c>
      <c r="CO92">
        <v>88</v>
      </c>
      <c r="CP92">
        <v>80</v>
      </c>
      <c r="CQ92">
        <v>12</v>
      </c>
      <c r="CR92">
        <v>58</v>
      </c>
      <c r="CS92">
        <v>8.3330000000000002</v>
      </c>
      <c r="CT92">
        <v>19</v>
      </c>
      <c r="CU92">
        <v>11</v>
      </c>
      <c r="CV92">
        <v>0</v>
      </c>
      <c r="CW92">
        <v>17</v>
      </c>
      <c r="CX92">
        <v>214</v>
      </c>
      <c r="CY92">
        <v>23.625</v>
      </c>
      <c r="CZ92">
        <v>82.352999999999994</v>
      </c>
      <c r="DA92">
        <v>44</v>
      </c>
      <c r="DB92">
        <v>78.150000000000006</v>
      </c>
      <c r="DC92">
        <v>5</v>
      </c>
      <c r="DD92">
        <v>2664</v>
      </c>
      <c r="DE92">
        <v>75</v>
      </c>
      <c r="DF92">
        <v>223.57142999999999</v>
      </c>
      <c r="DG92">
        <v>23</v>
      </c>
      <c r="DH92">
        <v>367.14285000000001</v>
      </c>
      <c r="DI92">
        <v>8.01</v>
      </c>
      <c r="DJ92">
        <v>1256</v>
      </c>
      <c r="DK92">
        <v>133.714</v>
      </c>
      <c r="DL92">
        <v>4.5220000000000002</v>
      </c>
      <c r="DM92">
        <v>10</v>
      </c>
      <c r="DN92">
        <v>2959</v>
      </c>
      <c r="DO92">
        <v>16</v>
      </c>
      <c r="DP92">
        <v>233.429</v>
      </c>
      <c r="DQ92">
        <v>10.68</v>
      </c>
      <c r="DR92">
        <v>6.2610000000000001</v>
      </c>
      <c r="DS92">
        <v>24.2</v>
      </c>
      <c r="DT92">
        <v>1</v>
      </c>
      <c r="DU92">
        <v>23</v>
      </c>
      <c r="DV92">
        <v>0</v>
      </c>
      <c r="DW92">
        <v>100</v>
      </c>
      <c r="DX92">
        <v>72.727000000000004</v>
      </c>
      <c r="DY92">
        <v>8</v>
      </c>
      <c r="DZ92">
        <v>51</v>
      </c>
      <c r="EA92">
        <v>10</v>
      </c>
      <c r="EB92">
        <v>14</v>
      </c>
      <c r="EC92">
        <v>27</v>
      </c>
      <c r="ED92">
        <v>8</v>
      </c>
      <c r="EE92">
        <v>16</v>
      </c>
      <c r="EF92">
        <v>215</v>
      </c>
      <c r="EG92">
        <v>19.856999999999999</v>
      </c>
      <c r="EH92">
        <v>61.537999999999997</v>
      </c>
      <c r="EI92">
        <v>37.646999999999998</v>
      </c>
      <c r="EJ92">
        <v>74.88</v>
      </c>
      <c r="EK92">
        <v>6</v>
      </c>
    </row>
    <row r="93" spans="1:141" x14ac:dyDescent="0.25">
      <c r="A93">
        <v>38</v>
      </c>
      <c r="B93">
        <v>10</v>
      </c>
      <c r="C93">
        <v>1</v>
      </c>
      <c r="D93">
        <v>2025</v>
      </c>
      <c r="E93">
        <v>6</v>
      </c>
      <c r="F93" t="str">
        <f>VLOOKUP(G93, Map!$A$1:$B$33, 2, FALSE)</f>
        <v>ATL</v>
      </c>
      <c r="G93" t="s">
        <v>167</v>
      </c>
      <c r="H93" t="str">
        <f>VLOOKUP(I93, Map!$A$1:$B$33, 2, FALSE)</f>
        <v>BUF</v>
      </c>
      <c r="I93" t="s">
        <v>165</v>
      </c>
      <c r="J93">
        <v>0</v>
      </c>
      <c r="K93">
        <v>0</v>
      </c>
      <c r="L93">
        <v>0</v>
      </c>
      <c r="M93">
        <v>1</v>
      </c>
      <c r="N93">
        <v>3</v>
      </c>
      <c r="O93">
        <v>4</v>
      </c>
      <c r="P93">
        <v>22</v>
      </c>
      <c r="Q93">
        <v>17.142856999999999</v>
      </c>
      <c r="R93">
        <v>-34</v>
      </c>
      <c r="S93">
        <v>-2</v>
      </c>
      <c r="T93">
        <v>0.42857142999999998</v>
      </c>
      <c r="U93">
        <v>0</v>
      </c>
      <c r="V93">
        <v>2</v>
      </c>
      <c r="W93">
        <v>2</v>
      </c>
      <c r="X93">
        <v>2</v>
      </c>
      <c r="Y93">
        <v>1</v>
      </c>
      <c r="Z93">
        <v>2</v>
      </c>
      <c r="AA93">
        <v>2</v>
      </c>
      <c r="AB93">
        <v>3</v>
      </c>
      <c r="AC93">
        <v>7</v>
      </c>
      <c r="AD93">
        <v>10</v>
      </c>
      <c r="AE93">
        <v>9</v>
      </c>
      <c r="AF93">
        <v>8</v>
      </c>
      <c r="AG93">
        <v>64</v>
      </c>
      <c r="AH93">
        <v>0</v>
      </c>
      <c r="AI93">
        <v>5</v>
      </c>
      <c r="AJ93">
        <v>2</v>
      </c>
      <c r="AK93">
        <v>20.857143000000001</v>
      </c>
      <c r="AL93">
        <v>29.571428000000001</v>
      </c>
      <c r="AM93">
        <v>61</v>
      </c>
      <c r="AN93">
        <v>1</v>
      </c>
      <c r="AO93">
        <v>0.71428572999999995</v>
      </c>
      <c r="AP93">
        <v>2</v>
      </c>
      <c r="AQ93">
        <v>1</v>
      </c>
      <c r="AR93">
        <v>3</v>
      </c>
      <c r="AS93">
        <v>1</v>
      </c>
      <c r="AT93">
        <v>2</v>
      </c>
      <c r="AU93">
        <v>1</v>
      </c>
      <c r="AV93">
        <v>3</v>
      </c>
      <c r="AW93">
        <v>1</v>
      </c>
      <c r="AX93">
        <v>14</v>
      </c>
      <c r="AY93">
        <v>4</v>
      </c>
      <c r="AZ93">
        <v>8</v>
      </c>
      <c r="BA93">
        <v>9</v>
      </c>
      <c r="BB93">
        <v>68</v>
      </c>
      <c r="BC93">
        <v>45.5</v>
      </c>
      <c r="BD93">
        <v>0</v>
      </c>
      <c r="BE93">
        <v>0</v>
      </c>
      <c r="BF93">
        <v>0</v>
      </c>
      <c r="BG93">
        <v>38.909999999999997</v>
      </c>
      <c r="BH93">
        <v>59.915999999999997</v>
      </c>
      <c r="BI93">
        <v>60.777000000000001</v>
      </c>
      <c r="BJ93">
        <v>69.873999999999995</v>
      </c>
      <c r="BK93">
        <v>76.025999999999996</v>
      </c>
      <c r="BL93">
        <v>77.896000000000001</v>
      </c>
      <c r="BM93">
        <v>-4.1669999999999998</v>
      </c>
      <c r="BN93">
        <v>60.777000000000001</v>
      </c>
      <c r="BO93">
        <v>59.915999999999997</v>
      </c>
      <c r="BP93">
        <v>0</v>
      </c>
      <c r="BQ93">
        <v>38.909999999999997</v>
      </c>
      <c r="BR93">
        <v>4.1669999999999998</v>
      </c>
      <c r="BS93">
        <v>23.974</v>
      </c>
      <c r="BT93">
        <v>30.126000000000001</v>
      </c>
      <c r="BU93">
        <v>22.103999999999999</v>
      </c>
      <c r="BV93">
        <v>1871</v>
      </c>
      <c r="BW93">
        <v>62.231999999999999</v>
      </c>
      <c r="BX93">
        <v>219.42857000000001</v>
      </c>
      <c r="BY93">
        <v>19</v>
      </c>
      <c r="BZ93">
        <v>353.42856</v>
      </c>
      <c r="CA93">
        <v>6.9139999999999997</v>
      </c>
      <c r="CB93">
        <v>1048</v>
      </c>
      <c r="CC93">
        <v>123.286</v>
      </c>
      <c r="CD93">
        <v>4.4029999999999996</v>
      </c>
      <c r="CE93">
        <v>7</v>
      </c>
      <c r="CF93">
        <v>2511</v>
      </c>
      <c r="CG93">
        <v>5</v>
      </c>
      <c r="CH93">
        <v>230.143</v>
      </c>
      <c r="CI93">
        <v>11.11</v>
      </c>
      <c r="CJ93">
        <v>5.9379999999999997</v>
      </c>
      <c r="CK93">
        <v>5.6429999999999998</v>
      </c>
      <c r="CL93">
        <v>0</v>
      </c>
      <c r="CM93">
        <v>16</v>
      </c>
      <c r="CN93">
        <v>0</v>
      </c>
      <c r="CO93">
        <v>100</v>
      </c>
      <c r="CP93">
        <v>75</v>
      </c>
      <c r="CQ93">
        <v>12</v>
      </c>
      <c r="CR93">
        <v>48</v>
      </c>
      <c r="CS93">
        <v>7.5380000000000003</v>
      </c>
      <c r="CT93">
        <v>22</v>
      </c>
      <c r="CU93">
        <v>9</v>
      </c>
      <c r="CV93">
        <v>0</v>
      </c>
      <c r="CW93">
        <v>5</v>
      </c>
      <c r="CX93">
        <v>120</v>
      </c>
      <c r="CY93">
        <v>19.286000000000001</v>
      </c>
      <c r="CZ93">
        <v>40</v>
      </c>
      <c r="DA93">
        <v>39.326000000000001</v>
      </c>
      <c r="DB93">
        <v>57.86</v>
      </c>
      <c r="DC93">
        <v>2</v>
      </c>
      <c r="DD93">
        <v>2334</v>
      </c>
      <c r="DE93">
        <v>67.488</v>
      </c>
      <c r="DF93">
        <v>218.42857000000001</v>
      </c>
      <c r="DG93">
        <v>22</v>
      </c>
      <c r="DH93">
        <v>395</v>
      </c>
      <c r="DI93">
        <v>7.9509999999999996</v>
      </c>
      <c r="DJ93">
        <v>1576</v>
      </c>
      <c r="DK93">
        <v>164.429</v>
      </c>
      <c r="DL93">
        <v>5.2080000000000002</v>
      </c>
      <c r="DM93">
        <v>13</v>
      </c>
      <c r="DN93">
        <v>2719</v>
      </c>
      <c r="DO93">
        <v>12</v>
      </c>
      <c r="DP93">
        <v>230.571</v>
      </c>
      <c r="DQ93">
        <v>11.781000000000001</v>
      </c>
      <c r="DR93">
        <v>5.8639999999999999</v>
      </c>
      <c r="DS93">
        <v>5.35</v>
      </c>
      <c r="DT93">
        <v>0</v>
      </c>
      <c r="DU93">
        <v>22</v>
      </c>
      <c r="DV93">
        <v>0</v>
      </c>
      <c r="DW93">
        <v>95.454999999999998</v>
      </c>
      <c r="DX93">
        <v>92.308000000000007</v>
      </c>
      <c r="DY93">
        <v>12</v>
      </c>
      <c r="DZ93">
        <v>57</v>
      </c>
      <c r="EA93">
        <v>8</v>
      </c>
      <c r="EB93">
        <v>10</v>
      </c>
      <c r="EC93">
        <v>22</v>
      </c>
      <c r="ED93">
        <v>0</v>
      </c>
      <c r="EE93">
        <v>12</v>
      </c>
      <c r="EF93">
        <v>207</v>
      </c>
      <c r="EG93">
        <v>23.143000000000001</v>
      </c>
      <c r="EH93">
        <v>60</v>
      </c>
      <c r="EI93">
        <v>43.75</v>
      </c>
      <c r="EJ93">
        <v>73.47</v>
      </c>
      <c r="EK93">
        <v>2</v>
      </c>
    </row>
    <row r="94" spans="1:141" x14ac:dyDescent="0.25">
      <c r="A94">
        <v>49</v>
      </c>
      <c r="B94">
        <v>-1</v>
      </c>
      <c r="C94">
        <v>0</v>
      </c>
      <c r="D94">
        <v>2025</v>
      </c>
      <c r="E94">
        <v>6</v>
      </c>
      <c r="F94" t="str">
        <f>VLOOKUP(G94, Map!$A$1:$B$33, 2, FALSE)</f>
        <v>WAS</v>
      </c>
      <c r="G94" t="s">
        <v>148</v>
      </c>
      <c r="H94" t="str">
        <f>VLOOKUP(I94, Map!$A$1:$B$33, 2, FALSE)</f>
        <v>CHI</v>
      </c>
      <c r="I94" t="s">
        <v>163</v>
      </c>
      <c r="J94">
        <v>0</v>
      </c>
      <c r="K94">
        <v>0</v>
      </c>
      <c r="L94">
        <v>0</v>
      </c>
      <c r="M94">
        <v>0</v>
      </c>
      <c r="N94">
        <v>3</v>
      </c>
      <c r="O94">
        <v>5</v>
      </c>
      <c r="P94">
        <v>24.75</v>
      </c>
      <c r="Q94">
        <v>23.375</v>
      </c>
      <c r="R94">
        <v>-11</v>
      </c>
      <c r="S94">
        <v>-3</v>
      </c>
      <c r="T94">
        <v>0.375</v>
      </c>
      <c r="U94">
        <v>1</v>
      </c>
      <c r="V94">
        <v>1</v>
      </c>
      <c r="W94">
        <v>2</v>
      </c>
      <c r="X94">
        <v>1</v>
      </c>
      <c r="Y94">
        <v>1</v>
      </c>
      <c r="Z94">
        <v>4</v>
      </c>
      <c r="AA94">
        <v>1</v>
      </c>
      <c r="AB94">
        <v>4</v>
      </c>
      <c r="AC94">
        <v>7</v>
      </c>
      <c r="AD94">
        <v>8</v>
      </c>
      <c r="AE94">
        <v>7</v>
      </c>
      <c r="AF94">
        <v>8</v>
      </c>
      <c r="AG94">
        <v>65</v>
      </c>
      <c r="AH94">
        <v>1</v>
      </c>
      <c r="AI94">
        <v>4</v>
      </c>
      <c r="AJ94">
        <v>3</v>
      </c>
      <c r="AK94">
        <v>26.428571999999999</v>
      </c>
      <c r="AL94">
        <v>24</v>
      </c>
      <c r="AM94">
        <v>-17</v>
      </c>
      <c r="AN94">
        <v>-1</v>
      </c>
      <c r="AO94">
        <v>0.57142859999999995</v>
      </c>
      <c r="AP94">
        <v>0</v>
      </c>
      <c r="AQ94">
        <v>2</v>
      </c>
      <c r="AR94">
        <v>2</v>
      </c>
      <c r="AS94">
        <v>1</v>
      </c>
      <c r="AT94">
        <v>2</v>
      </c>
      <c r="AU94">
        <v>2</v>
      </c>
      <c r="AV94">
        <v>3</v>
      </c>
      <c r="AW94">
        <v>2</v>
      </c>
      <c r="AX94">
        <v>3</v>
      </c>
      <c r="AY94">
        <v>14</v>
      </c>
      <c r="AZ94">
        <v>5</v>
      </c>
      <c r="BA94">
        <v>11</v>
      </c>
      <c r="BB94">
        <v>61</v>
      </c>
      <c r="BC94">
        <v>49</v>
      </c>
      <c r="BD94">
        <v>-3.5</v>
      </c>
      <c r="BE94">
        <v>0</v>
      </c>
      <c r="BF94">
        <v>0</v>
      </c>
      <c r="BG94">
        <v>65.596000000000004</v>
      </c>
      <c r="BH94">
        <v>59.732999999999997</v>
      </c>
      <c r="BI94">
        <v>34.130000000000003</v>
      </c>
      <c r="BJ94">
        <v>44.411999999999999</v>
      </c>
      <c r="BK94">
        <v>44.363</v>
      </c>
      <c r="BL94">
        <v>46.28</v>
      </c>
      <c r="BM94">
        <v>6.125</v>
      </c>
      <c r="BN94">
        <v>34.130000000000003</v>
      </c>
      <c r="BO94">
        <v>59.732999999999997</v>
      </c>
      <c r="BP94">
        <v>0</v>
      </c>
      <c r="BQ94">
        <v>65.596000000000004</v>
      </c>
      <c r="BR94">
        <v>-6.125</v>
      </c>
      <c r="BS94">
        <v>55.637</v>
      </c>
      <c r="BT94">
        <v>55.588000000000001</v>
      </c>
      <c r="BU94">
        <v>53.72</v>
      </c>
      <c r="BV94">
        <v>2360</v>
      </c>
      <c r="BW94">
        <v>61.966000000000001</v>
      </c>
      <c r="BX94">
        <v>196.625</v>
      </c>
      <c r="BY94">
        <v>20</v>
      </c>
      <c r="BZ94">
        <v>346.5</v>
      </c>
      <c r="CA94">
        <v>7.1369999999999996</v>
      </c>
      <c r="CB94">
        <v>1342</v>
      </c>
      <c r="CC94">
        <v>137.75</v>
      </c>
      <c r="CD94">
        <v>5.1980000000000004</v>
      </c>
      <c r="CE94">
        <v>9</v>
      </c>
      <c r="CF94">
        <v>2815</v>
      </c>
      <c r="CG94">
        <v>12</v>
      </c>
      <c r="CH94">
        <v>208.75</v>
      </c>
      <c r="CI94">
        <v>11.516999999999999</v>
      </c>
      <c r="CJ94">
        <v>6.1360000000000001</v>
      </c>
      <c r="CK94">
        <v>5.9470000000000001</v>
      </c>
      <c r="CL94">
        <v>1</v>
      </c>
      <c r="CM94">
        <v>22</v>
      </c>
      <c r="CN94">
        <v>0</v>
      </c>
      <c r="CO94">
        <v>100</v>
      </c>
      <c r="CP94">
        <v>71.429000000000002</v>
      </c>
      <c r="CQ94">
        <v>10</v>
      </c>
      <c r="CR94">
        <v>49</v>
      </c>
      <c r="CS94">
        <v>4</v>
      </c>
      <c r="CT94">
        <v>25</v>
      </c>
      <c r="CU94">
        <v>11</v>
      </c>
      <c r="CV94">
        <v>8</v>
      </c>
      <c r="CW94">
        <v>12</v>
      </c>
      <c r="CX94">
        <v>187</v>
      </c>
      <c r="CY94">
        <v>18.75</v>
      </c>
      <c r="CZ94">
        <v>45.454999999999998</v>
      </c>
      <c r="DA94">
        <v>38.636000000000003</v>
      </c>
      <c r="DB94">
        <v>79.290000000000006</v>
      </c>
      <c r="DC94">
        <v>-5</v>
      </c>
      <c r="DD94">
        <v>2157</v>
      </c>
      <c r="DE94">
        <v>61.947000000000003</v>
      </c>
      <c r="DF94">
        <v>225.57142999999999</v>
      </c>
      <c r="DG94">
        <v>26</v>
      </c>
      <c r="DH94">
        <v>362.14285000000001</v>
      </c>
      <c r="DI94">
        <v>7.2880000000000003</v>
      </c>
      <c r="DJ94">
        <v>1087</v>
      </c>
      <c r="DK94">
        <v>124.571</v>
      </c>
      <c r="DL94">
        <v>4.4039999999999999</v>
      </c>
      <c r="DM94">
        <v>7</v>
      </c>
      <c r="DN94">
        <v>2678</v>
      </c>
      <c r="DO94">
        <v>9</v>
      </c>
      <c r="DP94">
        <v>237.571</v>
      </c>
      <c r="DQ94">
        <v>11.763999999999999</v>
      </c>
      <c r="DR94">
        <v>4.5709999999999997</v>
      </c>
      <c r="DS94">
        <v>2.9409999999999998</v>
      </c>
      <c r="DT94">
        <v>1</v>
      </c>
      <c r="DU94">
        <v>14</v>
      </c>
      <c r="DV94">
        <v>0</v>
      </c>
      <c r="DW94">
        <v>100</v>
      </c>
      <c r="DX94">
        <v>85</v>
      </c>
      <c r="DY94">
        <v>17</v>
      </c>
      <c r="DZ94">
        <v>66</v>
      </c>
      <c r="EA94">
        <v>11.909000000000001</v>
      </c>
      <c r="EB94">
        <v>7</v>
      </c>
      <c r="EC94">
        <v>24</v>
      </c>
      <c r="ED94">
        <v>6</v>
      </c>
      <c r="EE94">
        <v>9</v>
      </c>
      <c r="EF94">
        <v>168</v>
      </c>
      <c r="EG94">
        <v>19.286000000000001</v>
      </c>
      <c r="EH94">
        <v>37.5</v>
      </c>
      <c r="EI94">
        <v>41.110999999999997</v>
      </c>
      <c r="EJ94">
        <v>57.14</v>
      </c>
      <c r="EK94">
        <v>10</v>
      </c>
    </row>
    <row r="95" spans="1:141" x14ac:dyDescent="0.25">
      <c r="A95">
        <v>64</v>
      </c>
      <c r="B95">
        <v>2</v>
      </c>
      <c r="C95">
        <v>1</v>
      </c>
      <c r="D95">
        <v>2025</v>
      </c>
      <c r="E95">
        <v>7</v>
      </c>
      <c r="F95" t="str">
        <f>VLOOKUP(G95, Map!$A$1:$B$33, 2, FALSE)</f>
        <v>CIN</v>
      </c>
      <c r="G95" t="s">
        <v>161</v>
      </c>
      <c r="H95" t="str">
        <f>VLOOKUP(I95, Map!$A$1:$B$33, 2, FALSE)</f>
        <v>PIT</v>
      </c>
      <c r="I95" t="s">
        <v>145</v>
      </c>
      <c r="J95">
        <v>0</v>
      </c>
      <c r="K95">
        <v>0</v>
      </c>
      <c r="L95">
        <v>0</v>
      </c>
      <c r="M95">
        <v>1</v>
      </c>
      <c r="N95">
        <v>3</v>
      </c>
      <c r="O95">
        <v>5</v>
      </c>
      <c r="P95">
        <v>31.625</v>
      </c>
      <c r="Q95">
        <v>21.75</v>
      </c>
      <c r="R95">
        <v>-79</v>
      </c>
      <c r="S95">
        <v>-1</v>
      </c>
      <c r="T95">
        <v>0.375</v>
      </c>
      <c r="U95">
        <v>2</v>
      </c>
      <c r="V95">
        <v>0</v>
      </c>
      <c r="W95">
        <v>2</v>
      </c>
      <c r="X95">
        <v>2</v>
      </c>
      <c r="Y95">
        <v>1</v>
      </c>
      <c r="Z95">
        <v>3</v>
      </c>
      <c r="AA95">
        <v>3</v>
      </c>
      <c r="AB95">
        <v>2</v>
      </c>
      <c r="AC95">
        <v>14</v>
      </c>
      <c r="AD95">
        <v>4</v>
      </c>
      <c r="AE95">
        <v>13</v>
      </c>
      <c r="AF95">
        <v>5</v>
      </c>
      <c r="AG95">
        <v>59</v>
      </c>
      <c r="AH95">
        <v>0</v>
      </c>
      <c r="AI95">
        <v>4</v>
      </c>
      <c r="AJ95">
        <v>3</v>
      </c>
      <c r="AK95">
        <v>25</v>
      </c>
      <c r="AL95">
        <v>25</v>
      </c>
      <c r="AM95">
        <v>0</v>
      </c>
      <c r="AN95">
        <v>-2</v>
      </c>
      <c r="AO95">
        <v>0.57142859999999995</v>
      </c>
      <c r="AP95">
        <v>1</v>
      </c>
      <c r="AQ95">
        <v>1</v>
      </c>
      <c r="AR95">
        <v>2</v>
      </c>
      <c r="AS95">
        <v>2</v>
      </c>
      <c r="AT95">
        <v>2</v>
      </c>
      <c r="AU95">
        <v>1</v>
      </c>
      <c r="AV95">
        <v>3</v>
      </c>
      <c r="AW95">
        <v>1</v>
      </c>
      <c r="AX95">
        <v>9</v>
      </c>
      <c r="AY95">
        <v>8</v>
      </c>
      <c r="AZ95">
        <v>10</v>
      </c>
      <c r="BA95">
        <v>6</v>
      </c>
      <c r="BB95">
        <v>66</v>
      </c>
      <c r="BC95">
        <v>52.5</v>
      </c>
      <c r="BD95">
        <v>2</v>
      </c>
      <c r="BE95">
        <v>0</v>
      </c>
      <c r="BF95">
        <v>0</v>
      </c>
      <c r="BG95">
        <v>35.390999999999998</v>
      </c>
      <c r="BH95">
        <v>53.475000000000001</v>
      </c>
      <c r="BI95">
        <v>64.325000000000003</v>
      </c>
      <c r="BJ95">
        <v>15.811</v>
      </c>
      <c r="BK95">
        <v>83.447999999999993</v>
      </c>
      <c r="BL95">
        <v>56.353999999999999</v>
      </c>
      <c r="BM95">
        <v>-5.7220000000000004</v>
      </c>
      <c r="BN95">
        <v>64.325000000000003</v>
      </c>
      <c r="BO95">
        <v>53.475000000000001</v>
      </c>
      <c r="BP95">
        <v>0</v>
      </c>
      <c r="BQ95">
        <v>35.390999999999998</v>
      </c>
      <c r="BR95">
        <v>5.7220000000000004</v>
      </c>
      <c r="BS95">
        <v>16.552</v>
      </c>
      <c r="BT95">
        <v>84.188999999999993</v>
      </c>
      <c r="BU95">
        <v>43.646000000000001</v>
      </c>
      <c r="BV95">
        <v>2540</v>
      </c>
      <c r="BW95">
        <v>63.636000000000003</v>
      </c>
      <c r="BX95">
        <v>202</v>
      </c>
      <c r="BY95">
        <v>15</v>
      </c>
      <c r="BZ95">
        <v>299.125</v>
      </c>
      <c r="CA95">
        <v>6.0490000000000004</v>
      </c>
      <c r="CB95">
        <v>793</v>
      </c>
      <c r="CC95">
        <v>82.875</v>
      </c>
      <c r="CD95">
        <v>4.3049999999999997</v>
      </c>
      <c r="CE95">
        <v>5</v>
      </c>
      <c r="CF95">
        <v>3165</v>
      </c>
      <c r="CG95">
        <v>15</v>
      </c>
      <c r="CH95">
        <v>216.25</v>
      </c>
      <c r="CI95">
        <v>9.5050000000000008</v>
      </c>
      <c r="CJ95">
        <v>5.2729999999999997</v>
      </c>
      <c r="CK95">
        <v>3.3570000000000002</v>
      </c>
      <c r="CL95">
        <v>0</v>
      </c>
      <c r="CM95">
        <v>11</v>
      </c>
      <c r="CN95">
        <v>0</v>
      </c>
      <c r="CO95">
        <v>100</v>
      </c>
      <c r="CP95">
        <v>84.614999999999995</v>
      </c>
      <c r="CQ95">
        <v>11</v>
      </c>
      <c r="CR95">
        <v>52</v>
      </c>
      <c r="CS95">
        <v>11.523999999999999</v>
      </c>
      <c r="CT95">
        <v>37</v>
      </c>
      <c r="CU95">
        <v>11</v>
      </c>
      <c r="CV95">
        <v>0</v>
      </c>
      <c r="CW95">
        <v>15</v>
      </c>
      <c r="CX95">
        <v>174</v>
      </c>
      <c r="CY95">
        <v>18.5</v>
      </c>
      <c r="CZ95">
        <v>80</v>
      </c>
      <c r="DA95">
        <v>39.393999999999998</v>
      </c>
      <c r="DB95">
        <v>79.87</v>
      </c>
      <c r="DC95">
        <v>-2</v>
      </c>
      <c r="DD95">
        <v>2471</v>
      </c>
      <c r="DE95">
        <v>68.570999999999998</v>
      </c>
      <c r="DF95">
        <v>202.85714999999999</v>
      </c>
      <c r="DG95">
        <v>20</v>
      </c>
      <c r="DH95">
        <v>308.71429999999998</v>
      </c>
      <c r="DI95">
        <v>7.1479999999999997</v>
      </c>
      <c r="DJ95">
        <v>750</v>
      </c>
      <c r="DK95">
        <v>94.286000000000001</v>
      </c>
      <c r="DL95">
        <v>4.0739999999999998</v>
      </c>
      <c r="DM95">
        <v>3</v>
      </c>
      <c r="DN95">
        <v>2781</v>
      </c>
      <c r="DO95">
        <v>16</v>
      </c>
      <c r="DP95">
        <v>214.429</v>
      </c>
      <c r="DQ95">
        <v>10.423999999999999</v>
      </c>
      <c r="DR95">
        <v>6.4089999999999998</v>
      </c>
      <c r="DS95">
        <v>7.4379999999999997</v>
      </c>
      <c r="DT95">
        <v>0</v>
      </c>
      <c r="DU95">
        <v>22</v>
      </c>
      <c r="DV95">
        <v>0</v>
      </c>
      <c r="DW95">
        <v>100</v>
      </c>
      <c r="DX95">
        <v>87.5</v>
      </c>
      <c r="DY95">
        <v>14</v>
      </c>
      <c r="DZ95">
        <v>59</v>
      </c>
      <c r="EA95">
        <v>8.25</v>
      </c>
      <c r="EB95">
        <v>8</v>
      </c>
      <c r="EC95">
        <v>23</v>
      </c>
      <c r="ED95">
        <v>0</v>
      </c>
      <c r="EE95">
        <v>16</v>
      </c>
      <c r="EF95">
        <v>175</v>
      </c>
      <c r="EG95">
        <v>17.428999999999998</v>
      </c>
      <c r="EH95">
        <v>50</v>
      </c>
      <c r="EI95">
        <v>38.960999999999999</v>
      </c>
      <c r="EJ95">
        <v>75.94</v>
      </c>
      <c r="EK95">
        <v>4</v>
      </c>
    </row>
    <row r="96" spans="1:141" x14ac:dyDescent="0.25">
      <c r="A96">
        <v>42</v>
      </c>
      <c r="B96">
        <v>-28</v>
      </c>
      <c r="C96">
        <v>0</v>
      </c>
      <c r="D96">
        <v>2025</v>
      </c>
      <c r="E96">
        <v>7</v>
      </c>
      <c r="F96" t="str">
        <f>VLOOKUP(G96, Map!$A$1:$B$33, 2, FALSE)</f>
        <v>JAX</v>
      </c>
      <c r="G96" t="s">
        <v>139</v>
      </c>
      <c r="H96" t="str">
        <f>VLOOKUP(I96, Map!$A$1:$B$33, 2, FALSE)</f>
        <v>LA</v>
      </c>
      <c r="I96" t="s">
        <v>155</v>
      </c>
      <c r="J96">
        <v>0</v>
      </c>
      <c r="K96">
        <v>0</v>
      </c>
      <c r="L96">
        <v>0</v>
      </c>
      <c r="M96">
        <v>0</v>
      </c>
      <c r="N96">
        <v>4</v>
      </c>
      <c r="O96">
        <v>3</v>
      </c>
      <c r="P96">
        <v>22.142856999999999</v>
      </c>
      <c r="Q96">
        <v>20.857143000000001</v>
      </c>
      <c r="R96">
        <v>-9</v>
      </c>
      <c r="S96">
        <v>-2</v>
      </c>
      <c r="T96">
        <v>0.57142859999999995</v>
      </c>
      <c r="U96">
        <v>1</v>
      </c>
      <c r="V96">
        <v>0</v>
      </c>
      <c r="W96">
        <v>3</v>
      </c>
      <c r="X96">
        <v>2</v>
      </c>
      <c r="Y96">
        <v>1</v>
      </c>
      <c r="Z96">
        <v>1</v>
      </c>
      <c r="AA96">
        <v>2</v>
      </c>
      <c r="AB96">
        <v>1</v>
      </c>
      <c r="AC96">
        <v>10</v>
      </c>
      <c r="AD96">
        <v>8</v>
      </c>
      <c r="AE96">
        <v>9</v>
      </c>
      <c r="AF96">
        <v>9</v>
      </c>
      <c r="AG96">
        <v>58</v>
      </c>
      <c r="AH96">
        <v>1</v>
      </c>
      <c r="AI96">
        <v>5</v>
      </c>
      <c r="AJ96">
        <v>2</v>
      </c>
      <c r="AK96">
        <v>16.714285</v>
      </c>
      <c r="AL96">
        <v>25</v>
      </c>
      <c r="AM96">
        <v>58</v>
      </c>
      <c r="AN96">
        <v>2</v>
      </c>
      <c r="AO96">
        <v>0.71428572999999995</v>
      </c>
      <c r="AP96">
        <v>0</v>
      </c>
      <c r="AQ96">
        <v>1</v>
      </c>
      <c r="AR96">
        <v>2</v>
      </c>
      <c r="AS96">
        <v>1</v>
      </c>
      <c r="AT96">
        <v>3</v>
      </c>
      <c r="AU96">
        <v>1</v>
      </c>
      <c r="AV96">
        <v>0</v>
      </c>
      <c r="AW96">
        <v>2</v>
      </c>
      <c r="AX96">
        <v>5</v>
      </c>
      <c r="AY96">
        <v>11</v>
      </c>
      <c r="AZ96">
        <v>5</v>
      </c>
      <c r="BA96">
        <v>9</v>
      </c>
      <c r="BB96">
        <v>57</v>
      </c>
      <c r="BC96">
        <v>43</v>
      </c>
      <c r="BD96">
        <v>15.5</v>
      </c>
      <c r="BE96">
        <v>0</v>
      </c>
      <c r="BF96">
        <v>0</v>
      </c>
      <c r="BG96">
        <v>39.508000000000003</v>
      </c>
      <c r="BH96">
        <v>62.042000000000002</v>
      </c>
      <c r="BI96">
        <v>60.174999999999997</v>
      </c>
      <c r="BJ96">
        <v>14.419</v>
      </c>
      <c r="BK96">
        <v>12.917999999999999</v>
      </c>
      <c r="BL96">
        <v>3.82</v>
      </c>
      <c r="BM96">
        <v>-3.3919999999999999</v>
      </c>
      <c r="BN96">
        <v>60.174999999999997</v>
      </c>
      <c r="BO96">
        <v>62.042000000000002</v>
      </c>
      <c r="BP96">
        <v>0</v>
      </c>
      <c r="BQ96">
        <v>39.508000000000003</v>
      </c>
      <c r="BR96">
        <v>3.3919999999999999</v>
      </c>
      <c r="BS96">
        <v>87.081999999999994</v>
      </c>
      <c r="BT96">
        <v>85.581000000000003</v>
      </c>
      <c r="BU96">
        <v>96.18</v>
      </c>
      <c r="BV96">
        <v>2100</v>
      </c>
      <c r="BW96">
        <v>58.686999999999998</v>
      </c>
      <c r="BX96">
        <v>215.14285000000001</v>
      </c>
      <c r="BY96">
        <v>21</v>
      </c>
      <c r="BZ96">
        <v>351.14285000000001</v>
      </c>
      <c r="CA96">
        <v>6.2549999999999999</v>
      </c>
      <c r="CB96">
        <v>1033</v>
      </c>
      <c r="CC96">
        <v>119.714</v>
      </c>
      <c r="CD96">
        <v>4.6820000000000004</v>
      </c>
      <c r="CE96">
        <v>6</v>
      </c>
      <c r="CF96">
        <v>2695</v>
      </c>
      <c r="CG96">
        <v>9</v>
      </c>
      <c r="CH96">
        <v>231.429</v>
      </c>
      <c r="CI96">
        <v>10.657999999999999</v>
      </c>
      <c r="CJ96">
        <v>7.375</v>
      </c>
      <c r="CK96">
        <v>3.1880000000000002</v>
      </c>
      <c r="CL96">
        <v>2</v>
      </c>
      <c r="CM96">
        <v>8</v>
      </c>
      <c r="CN96">
        <v>0</v>
      </c>
      <c r="CO96">
        <v>93.332999999999998</v>
      </c>
      <c r="CP96">
        <v>71.429000000000002</v>
      </c>
      <c r="CQ96">
        <v>10</v>
      </c>
      <c r="CR96">
        <v>44</v>
      </c>
      <c r="CS96">
        <v>4.4290000000000003</v>
      </c>
      <c r="CT96">
        <v>30</v>
      </c>
      <c r="CU96">
        <v>10</v>
      </c>
      <c r="CV96">
        <v>12</v>
      </c>
      <c r="CW96">
        <v>9</v>
      </c>
      <c r="CX96">
        <v>146</v>
      </c>
      <c r="CY96">
        <v>19.143000000000001</v>
      </c>
      <c r="CZ96">
        <v>53.332999999999998</v>
      </c>
      <c r="DA96">
        <v>32.978999999999999</v>
      </c>
      <c r="DB96">
        <v>59.74</v>
      </c>
      <c r="DC96">
        <v>8</v>
      </c>
      <c r="DD96">
        <v>2996</v>
      </c>
      <c r="DE96">
        <v>65.843999999999994</v>
      </c>
      <c r="DF96">
        <v>256.71429999999998</v>
      </c>
      <c r="DG96">
        <v>30</v>
      </c>
      <c r="DH96">
        <v>370</v>
      </c>
      <c r="DI96">
        <v>7.6790000000000003</v>
      </c>
      <c r="DJ96">
        <v>789</v>
      </c>
      <c r="DK96">
        <v>103.429</v>
      </c>
      <c r="DL96">
        <v>4.1369999999999996</v>
      </c>
      <c r="DM96">
        <v>4</v>
      </c>
      <c r="DN96">
        <v>3261</v>
      </c>
      <c r="DO96">
        <v>17</v>
      </c>
      <c r="DP96">
        <v>266.57100000000003</v>
      </c>
      <c r="DQ96">
        <v>11.663</v>
      </c>
      <c r="DR96">
        <v>6.577</v>
      </c>
      <c r="DS96">
        <v>16.111000000000001</v>
      </c>
      <c r="DT96">
        <v>0</v>
      </c>
      <c r="DU96">
        <v>26</v>
      </c>
      <c r="DV96">
        <v>0</v>
      </c>
      <c r="DW96">
        <v>90.475999999999999</v>
      </c>
      <c r="DX96">
        <v>71.429000000000002</v>
      </c>
      <c r="DY96">
        <v>10</v>
      </c>
      <c r="DZ96">
        <v>49</v>
      </c>
      <c r="EA96">
        <v>14.2</v>
      </c>
      <c r="EB96">
        <v>11</v>
      </c>
      <c r="EC96">
        <v>22</v>
      </c>
      <c r="ED96">
        <v>0</v>
      </c>
      <c r="EE96">
        <v>17</v>
      </c>
      <c r="EF96">
        <v>175</v>
      </c>
      <c r="EG96">
        <v>22</v>
      </c>
      <c r="EH96">
        <v>66.667000000000002</v>
      </c>
      <c r="EI96">
        <v>37.661999999999999</v>
      </c>
      <c r="EJ96">
        <v>65.239999999999995</v>
      </c>
      <c r="EK96">
        <v>3</v>
      </c>
    </row>
    <row r="97" spans="1:141" x14ac:dyDescent="0.25">
      <c r="A97">
        <v>40</v>
      </c>
      <c r="B97">
        <v>12</v>
      </c>
      <c r="C97">
        <v>1</v>
      </c>
      <c r="D97">
        <v>2025</v>
      </c>
      <c r="E97">
        <v>7</v>
      </c>
      <c r="F97" t="str">
        <f>VLOOKUP(G97, Map!$A$1:$B$33, 2, FALSE)</f>
        <v>CHI</v>
      </c>
      <c r="G97" t="s">
        <v>163</v>
      </c>
      <c r="H97" t="str">
        <f>VLOOKUP(I97, Map!$A$1:$B$33, 2, FALSE)</f>
        <v>NO</v>
      </c>
      <c r="I97" t="s">
        <v>168</v>
      </c>
      <c r="J97">
        <v>0</v>
      </c>
      <c r="K97">
        <v>0</v>
      </c>
      <c r="L97">
        <v>0</v>
      </c>
      <c r="M97">
        <v>1</v>
      </c>
      <c r="N97">
        <v>4</v>
      </c>
      <c r="O97">
        <v>3</v>
      </c>
      <c r="P97">
        <v>26.428571999999999</v>
      </c>
      <c r="Q97">
        <v>24</v>
      </c>
      <c r="R97">
        <v>-17</v>
      </c>
      <c r="S97">
        <v>-1</v>
      </c>
      <c r="T97">
        <v>0.57142859999999995</v>
      </c>
      <c r="U97">
        <v>0</v>
      </c>
      <c r="V97">
        <v>2</v>
      </c>
      <c r="W97">
        <v>2</v>
      </c>
      <c r="X97">
        <v>1</v>
      </c>
      <c r="Y97">
        <v>2</v>
      </c>
      <c r="Z97">
        <v>2</v>
      </c>
      <c r="AA97">
        <v>3</v>
      </c>
      <c r="AB97">
        <v>2</v>
      </c>
      <c r="AC97">
        <v>3</v>
      </c>
      <c r="AD97">
        <v>14</v>
      </c>
      <c r="AE97">
        <v>5</v>
      </c>
      <c r="AF97">
        <v>11</v>
      </c>
      <c r="AG97">
        <v>61</v>
      </c>
      <c r="AH97">
        <v>0</v>
      </c>
      <c r="AI97">
        <v>1</v>
      </c>
      <c r="AJ97">
        <v>7</v>
      </c>
      <c r="AK97">
        <v>26.125</v>
      </c>
      <c r="AL97">
        <v>16</v>
      </c>
      <c r="AM97">
        <v>-81</v>
      </c>
      <c r="AN97">
        <v>-3</v>
      </c>
      <c r="AO97">
        <v>0.125</v>
      </c>
      <c r="AP97">
        <v>0</v>
      </c>
      <c r="AQ97">
        <v>1</v>
      </c>
      <c r="AR97">
        <v>1</v>
      </c>
      <c r="AS97">
        <v>4</v>
      </c>
      <c r="AT97">
        <v>0</v>
      </c>
      <c r="AU97">
        <v>3</v>
      </c>
      <c r="AV97">
        <v>1</v>
      </c>
      <c r="AW97">
        <v>5</v>
      </c>
      <c r="AX97">
        <v>7</v>
      </c>
      <c r="AY97">
        <v>10</v>
      </c>
      <c r="AZ97">
        <v>7</v>
      </c>
      <c r="BA97">
        <v>10</v>
      </c>
      <c r="BB97">
        <v>64</v>
      </c>
      <c r="BC97">
        <v>42</v>
      </c>
      <c r="BD97">
        <v>-7.5</v>
      </c>
      <c r="BE97">
        <v>0</v>
      </c>
      <c r="BF97">
        <v>0</v>
      </c>
      <c r="BG97">
        <v>64.591999999999999</v>
      </c>
      <c r="BH97">
        <v>26.597999999999999</v>
      </c>
      <c r="BI97">
        <v>35.125999999999998</v>
      </c>
      <c r="BJ97">
        <v>89.951999999999998</v>
      </c>
      <c r="BK97">
        <v>43.374000000000002</v>
      </c>
      <c r="BL97">
        <v>80.694000000000003</v>
      </c>
      <c r="BM97">
        <v>5.9729999999999999</v>
      </c>
      <c r="BN97">
        <v>35.125999999999998</v>
      </c>
      <c r="BO97">
        <v>26.597999999999999</v>
      </c>
      <c r="BP97">
        <v>0</v>
      </c>
      <c r="BQ97">
        <v>64.591999999999999</v>
      </c>
      <c r="BR97">
        <v>-5.9729999999999999</v>
      </c>
      <c r="BS97">
        <v>56.625999999999998</v>
      </c>
      <c r="BT97">
        <v>10.048</v>
      </c>
      <c r="BU97">
        <v>19.306000000000001</v>
      </c>
      <c r="BV97">
        <v>2157</v>
      </c>
      <c r="BW97">
        <v>61.947000000000003</v>
      </c>
      <c r="BX97">
        <v>225.57142999999999</v>
      </c>
      <c r="BY97">
        <v>26</v>
      </c>
      <c r="BZ97">
        <v>362.14285000000001</v>
      </c>
      <c r="CA97">
        <v>7.2880000000000003</v>
      </c>
      <c r="CB97">
        <v>1087</v>
      </c>
      <c r="CC97">
        <v>124.571</v>
      </c>
      <c r="CD97">
        <v>4.4039999999999999</v>
      </c>
      <c r="CE97">
        <v>7</v>
      </c>
      <c r="CF97">
        <v>2678</v>
      </c>
      <c r="CG97">
        <v>9</v>
      </c>
      <c r="CH97">
        <v>237.571</v>
      </c>
      <c r="CI97">
        <v>11.763999999999999</v>
      </c>
      <c r="CJ97">
        <v>4.5709999999999997</v>
      </c>
      <c r="CK97">
        <v>2.9409999999999998</v>
      </c>
      <c r="CL97">
        <v>1</v>
      </c>
      <c r="CM97">
        <v>14</v>
      </c>
      <c r="CN97">
        <v>0</v>
      </c>
      <c r="CO97">
        <v>100</v>
      </c>
      <c r="CP97">
        <v>85</v>
      </c>
      <c r="CQ97">
        <v>17</v>
      </c>
      <c r="CR97">
        <v>66</v>
      </c>
      <c r="CS97">
        <v>11.909000000000001</v>
      </c>
      <c r="CT97">
        <v>24</v>
      </c>
      <c r="CU97">
        <v>7</v>
      </c>
      <c r="CV97">
        <v>6</v>
      </c>
      <c r="CW97">
        <v>9</v>
      </c>
      <c r="CX97">
        <v>168</v>
      </c>
      <c r="CY97">
        <v>19.286000000000001</v>
      </c>
      <c r="CZ97">
        <v>37.5</v>
      </c>
      <c r="DA97">
        <v>41.110999999999997</v>
      </c>
      <c r="DB97">
        <v>57.14</v>
      </c>
      <c r="DC97">
        <v>10</v>
      </c>
      <c r="DD97">
        <v>2083</v>
      </c>
      <c r="DE97">
        <v>66.206999999999994</v>
      </c>
      <c r="DF97">
        <v>201.375</v>
      </c>
      <c r="DG97">
        <v>13</v>
      </c>
      <c r="DH97">
        <v>310.25</v>
      </c>
      <c r="DI97">
        <v>5.976</v>
      </c>
      <c r="DJ97">
        <v>779</v>
      </c>
      <c r="DK97">
        <v>93.625</v>
      </c>
      <c r="DL97">
        <v>3.7829999999999999</v>
      </c>
      <c r="DM97">
        <v>3</v>
      </c>
      <c r="DN97">
        <v>2973</v>
      </c>
      <c r="DO97">
        <v>8</v>
      </c>
      <c r="DP97">
        <v>216.625</v>
      </c>
      <c r="DQ97">
        <v>9.0259999999999998</v>
      </c>
      <c r="DR97">
        <v>6.0590000000000002</v>
      </c>
      <c r="DS97">
        <v>4.7779999999999996</v>
      </c>
      <c r="DT97">
        <v>1</v>
      </c>
      <c r="DU97">
        <v>17</v>
      </c>
      <c r="DV97">
        <v>0</v>
      </c>
      <c r="DW97">
        <v>100</v>
      </c>
      <c r="DX97">
        <v>71.429000000000002</v>
      </c>
      <c r="DY97">
        <v>15</v>
      </c>
      <c r="DZ97">
        <v>56</v>
      </c>
      <c r="EA97">
        <v>15.25</v>
      </c>
      <c r="EB97">
        <v>7</v>
      </c>
      <c r="EC97">
        <v>27</v>
      </c>
      <c r="ED97">
        <v>6</v>
      </c>
      <c r="EE97">
        <v>8</v>
      </c>
      <c r="EF97">
        <v>128</v>
      </c>
      <c r="EG97">
        <v>19.125</v>
      </c>
      <c r="EH97">
        <v>33.332999999999998</v>
      </c>
      <c r="EI97">
        <v>38.835000000000001</v>
      </c>
      <c r="EJ97">
        <v>61.22</v>
      </c>
      <c r="EK97">
        <v>-2</v>
      </c>
    </row>
    <row r="98" spans="1:141" x14ac:dyDescent="0.25">
      <c r="A98">
        <v>37</v>
      </c>
      <c r="B98">
        <v>25</v>
      </c>
      <c r="C98">
        <v>1</v>
      </c>
      <c r="D98">
        <v>2025</v>
      </c>
      <c r="E98">
        <v>7</v>
      </c>
      <c r="F98" t="str">
        <f>VLOOKUP(G98, Map!$A$1:$B$33, 2, FALSE)</f>
        <v>CLE</v>
      </c>
      <c r="G98" t="s">
        <v>162</v>
      </c>
      <c r="H98" t="str">
        <f>VLOOKUP(I98, Map!$A$1:$B$33, 2, FALSE)</f>
        <v>MIA</v>
      </c>
      <c r="I98" t="s">
        <v>152</v>
      </c>
      <c r="J98">
        <v>0</v>
      </c>
      <c r="K98">
        <v>0</v>
      </c>
      <c r="L98">
        <v>0</v>
      </c>
      <c r="M98">
        <v>1</v>
      </c>
      <c r="N98">
        <v>2</v>
      </c>
      <c r="O98">
        <v>6</v>
      </c>
      <c r="P98">
        <v>23</v>
      </c>
      <c r="Q98">
        <v>15.75</v>
      </c>
      <c r="R98">
        <v>-58</v>
      </c>
      <c r="S98">
        <v>-1</v>
      </c>
      <c r="T98">
        <v>0.25</v>
      </c>
      <c r="U98">
        <v>0</v>
      </c>
      <c r="V98">
        <v>3</v>
      </c>
      <c r="W98">
        <v>2</v>
      </c>
      <c r="X98">
        <v>2</v>
      </c>
      <c r="Y98">
        <v>0</v>
      </c>
      <c r="Z98">
        <v>4</v>
      </c>
      <c r="AA98">
        <v>1</v>
      </c>
      <c r="AB98">
        <v>4</v>
      </c>
      <c r="AC98">
        <v>7</v>
      </c>
      <c r="AD98">
        <v>10</v>
      </c>
      <c r="AE98">
        <v>8</v>
      </c>
      <c r="AF98">
        <v>9</v>
      </c>
      <c r="AG98">
        <v>61</v>
      </c>
      <c r="AH98">
        <v>0</v>
      </c>
      <c r="AI98">
        <v>2</v>
      </c>
      <c r="AJ98">
        <v>6</v>
      </c>
      <c r="AK98">
        <v>26.875</v>
      </c>
      <c r="AL98">
        <v>21.75</v>
      </c>
      <c r="AM98">
        <v>-41</v>
      </c>
      <c r="AN98">
        <v>1</v>
      </c>
      <c r="AO98">
        <v>0.25</v>
      </c>
      <c r="AP98">
        <v>1</v>
      </c>
      <c r="AQ98">
        <v>2</v>
      </c>
      <c r="AR98">
        <v>1</v>
      </c>
      <c r="AS98">
        <v>2</v>
      </c>
      <c r="AT98">
        <v>1</v>
      </c>
      <c r="AU98">
        <v>4</v>
      </c>
      <c r="AV98">
        <v>1</v>
      </c>
      <c r="AW98">
        <v>5</v>
      </c>
      <c r="AX98">
        <v>9</v>
      </c>
      <c r="AY98">
        <v>9</v>
      </c>
      <c r="AZ98">
        <v>10</v>
      </c>
      <c r="BA98">
        <v>8</v>
      </c>
      <c r="BB98">
        <v>68</v>
      </c>
      <c r="BC98">
        <v>36.5</v>
      </c>
      <c r="BD98">
        <v>-13.5</v>
      </c>
      <c r="BE98">
        <v>0</v>
      </c>
      <c r="BF98">
        <v>0</v>
      </c>
      <c r="BG98">
        <v>42.960999999999999</v>
      </c>
      <c r="BH98">
        <v>23.969000000000001</v>
      </c>
      <c r="BI98">
        <v>56.694000000000003</v>
      </c>
      <c r="BJ98">
        <v>98.427999999999997</v>
      </c>
      <c r="BK98">
        <v>66.323999999999998</v>
      </c>
      <c r="BL98">
        <v>95.74</v>
      </c>
      <c r="BM98">
        <v>-2.4980000000000002</v>
      </c>
      <c r="BN98">
        <v>56.694000000000003</v>
      </c>
      <c r="BO98">
        <v>23.969000000000001</v>
      </c>
      <c r="BP98">
        <v>0</v>
      </c>
      <c r="BQ98">
        <v>42.960999999999999</v>
      </c>
      <c r="BR98">
        <v>2.4980000000000002</v>
      </c>
      <c r="BS98">
        <v>33.676000000000002</v>
      </c>
      <c r="BT98">
        <v>1.5720000000000001</v>
      </c>
      <c r="BU98">
        <v>4.26</v>
      </c>
      <c r="BV98">
        <v>1756</v>
      </c>
      <c r="BW98">
        <v>58.94</v>
      </c>
      <c r="BX98">
        <v>174.125</v>
      </c>
      <c r="BY98">
        <v>14</v>
      </c>
      <c r="BZ98">
        <v>279.125</v>
      </c>
      <c r="CA98">
        <v>4.9870000000000001</v>
      </c>
      <c r="CB98">
        <v>896</v>
      </c>
      <c r="CC98">
        <v>89.5</v>
      </c>
      <c r="CD98">
        <v>3.7679999999999998</v>
      </c>
      <c r="CE98">
        <v>6</v>
      </c>
      <c r="CF98">
        <v>2652</v>
      </c>
      <c r="CG98">
        <v>7</v>
      </c>
      <c r="CH98">
        <v>189.625</v>
      </c>
      <c r="CI98">
        <v>8.4610000000000003</v>
      </c>
      <c r="CJ98">
        <v>6.9169999999999998</v>
      </c>
      <c r="CK98">
        <v>4.3029999999999999</v>
      </c>
      <c r="CL98">
        <v>1</v>
      </c>
      <c r="CM98">
        <v>24</v>
      </c>
      <c r="CN98">
        <v>0</v>
      </c>
      <c r="CO98">
        <v>92.308000000000007</v>
      </c>
      <c r="CP98">
        <v>76.923000000000002</v>
      </c>
      <c r="CQ98">
        <v>10</v>
      </c>
      <c r="CR98">
        <v>42</v>
      </c>
      <c r="CS98">
        <v>11.412000000000001</v>
      </c>
      <c r="CT98">
        <v>42</v>
      </c>
      <c r="CU98">
        <v>16</v>
      </c>
      <c r="CV98">
        <v>6</v>
      </c>
      <c r="CW98">
        <v>7</v>
      </c>
      <c r="CX98">
        <v>126</v>
      </c>
      <c r="CY98">
        <v>16.75</v>
      </c>
      <c r="CZ98">
        <v>57.895000000000003</v>
      </c>
      <c r="DA98">
        <v>33.042999999999999</v>
      </c>
      <c r="DB98">
        <v>69.39</v>
      </c>
      <c r="DC98">
        <v>0</v>
      </c>
      <c r="DD98">
        <v>2361</v>
      </c>
      <c r="DE98">
        <v>68.674999999999997</v>
      </c>
      <c r="DF98">
        <v>187.875</v>
      </c>
      <c r="DG98">
        <v>17</v>
      </c>
      <c r="DH98">
        <v>299.875</v>
      </c>
      <c r="DI98">
        <v>6.47</v>
      </c>
      <c r="DJ98">
        <v>898</v>
      </c>
      <c r="DK98">
        <v>98.5</v>
      </c>
      <c r="DL98">
        <v>4.452</v>
      </c>
      <c r="DM98">
        <v>4</v>
      </c>
      <c r="DN98">
        <v>2991</v>
      </c>
      <c r="DO98">
        <v>15</v>
      </c>
      <c r="DP98">
        <v>201.375</v>
      </c>
      <c r="DQ98">
        <v>9.4209999999999994</v>
      </c>
      <c r="DR98">
        <v>6.4669999999999996</v>
      </c>
      <c r="DS98">
        <v>4.8239999999999998</v>
      </c>
      <c r="DT98">
        <v>1</v>
      </c>
      <c r="DU98">
        <v>15</v>
      </c>
      <c r="DV98">
        <v>0</v>
      </c>
      <c r="DW98">
        <v>100</v>
      </c>
      <c r="DX98">
        <v>91.667000000000002</v>
      </c>
      <c r="DY98">
        <v>11</v>
      </c>
      <c r="DZ98">
        <v>52</v>
      </c>
      <c r="EA98">
        <v>7</v>
      </c>
      <c r="EB98">
        <v>11</v>
      </c>
      <c r="EC98">
        <v>26</v>
      </c>
      <c r="ED98">
        <v>6</v>
      </c>
      <c r="EE98">
        <v>15</v>
      </c>
      <c r="EF98">
        <v>174</v>
      </c>
      <c r="EG98">
        <v>17</v>
      </c>
      <c r="EH98">
        <v>53.845999999999997</v>
      </c>
      <c r="EI98">
        <v>41.237000000000002</v>
      </c>
      <c r="EJ98">
        <v>72.05</v>
      </c>
      <c r="EK98">
        <v>-5</v>
      </c>
    </row>
    <row r="99" spans="1:141" x14ac:dyDescent="0.25">
      <c r="A99">
        <v>44</v>
      </c>
      <c r="B99">
        <v>-18</v>
      </c>
      <c r="C99">
        <v>0</v>
      </c>
      <c r="D99">
        <v>2025</v>
      </c>
      <c r="E99">
        <v>7</v>
      </c>
      <c r="F99" t="str">
        <f>VLOOKUP(G99, Map!$A$1:$B$33, 2, FALSE)</f>
        <v>TEN</v>
      </c>
      <c r="G99" t="s">
        <v>140</v>
      </c>
      <c r="H99" t="str">
        <f>VLOOKUP(I99, Map!$A$1:$B$33, 2, FALSE)</f>
        <v>NE</v>
      </c>
      <c r="I99" t="s">
        <v>151</v>
      </c>
      <c r="J99">
        <v>0</v>
      </c>
      <c r="K99">
        <v>0</v>
      </c>
      <c r="L99">
        <v>0</v>
      </c>
      <c r="M99">
        <v>0</v>
      </c>
      <c r="N99">
        <v>1</v>
      </c>
      <c r="O99">
        <v>7</v>
      </c>
      <c r="P99">
        <v>28.75</v>
      </c>
      <c r="Q99">
        <v>13.75</v>
      </c>
      <c r="R99">
        <v>-120</v>
      </c>
      <c r="S99">
        <v>-3</v>
      </c>
      <c r="T99">
        <v>0.125</v>
      </c>
      <c r="U99">
        <v>0</v>
      </c>
      <c r="V99">
        <v>3</v>
      </c>
      <c r="W99">
        <v>0</v>
      </c>
      <c r="X99">
        <v>3</v>
      </c>
      <c r="Y99">
        <v>1</v>
      </c>
      <c r="Z99">
        <v>4</v>
      </c>
      <c r="AA99">
        <v>0</v>
      </c>
      <c r="AB99">
        <v>6</v>
      </c>
      <c r="AC99">
        <v>7</v>
      </c>
      <c r="AD99">
        <v>9</v>
      </c>
      <c r="AE99">
        <v>8</v>
      </c>
      <c r="AF99">
        <v>7</v>
      </c>
      <c r="AG99">
        <v>59</v>
      </c>
      <c r="AH99">
        <v>1</v>
      </c>
      <c r="AI99">
        <v>6</v>
      </c>
      <c r="AJ99">
        <v>2</v>
      </c>
      <c r="AK99">
        <v>18.25</v>
      </c>
      <c r="AL99">
        <v>26.625</v>
      </c>
      <c r="AM99">
        <v>67</v>
      </c>
      <c r="AN99">
        <v>5</v>
      </c>
      <c r="AO99">
        <v>0.75</v>
      </c>
      <c r="AP99">
        <v>2</v>
      </c>
      <c r="AQ99">
        <v>0</v>
      </c>
      <c r="AR99">
        <v>2</v>
      </c>
      <c r="AS99">
        <v>2</v>
      </c>
      <c r="AT99">
        <v>4</v>
      </c>
      <c r="AU99">
        <v>0</v>
      </c>
      <c r="AV99">
        <v>4</v>
      </c>
      <c r="AW99">
        <v>2</v>
      </c>
      <c r="AX99">
        <v>8</v>
      </c>
      <c r="AY99">
        <v>9</v>
      </c>
      <c r="AZ99">
        <v>7</v>
      </c>
      <c r="BA99">
        <v>9</v>
      </c>
      <c r="BB99">
        <v>61</v>
      </c>
      <c r="BC99">
        <v>43</v>
      </c>
      <c r="BD99">
        <v>12.5</v>
      </c>
      <c r="BE99">
        <v>0</v>
      </c>
      <c r="BF99">
        <v>0</v>
      </c>
      <c r="BG99">
        <v>34.262</v>
      </c>
      <c r="BH99">
        <v>29.332999999999998</v>
      </c>
      <c r="BI99">
        <v>65.462000000000003</v>
      </c>
      <c r="BJ99">
        <v>7.0860000000000003</v>
      </c>
      <c r="BK99">
        <v>15.548</v>
      </c>
      <c r="BL99">
        <v>9.8770000000000007</v>
      </c>
      <c r="BM99">
        <v>-6.4329999999999998</v>
      </c>
      <c r="BN99">
        <v>65.462000000000003</v>
      </c>
      <c r="BO99">
        <v>29.332999999999998</v>
      </c>
      <c r="BP99">
        <v>0</v>
      </c>
      <c r="BQ99">
        <v>34.262</v>
      </c>
      <c r="BR99">
        <v>6.4329999999999998</v>
      </c>
      <c r="BS99">
        <v>84.451999999999998</v>
      </c>
      <c r="BT99">
        <v>92.914000000000001</v>
      </c>
      <c r="BU99">
        <v>90.123000000000005</v>
      </c>
      <c r="BV99">
        <v>1785</v>
      </c>
      <c r="BW99">
        <v>57.664000000000001</v>
      </c>
      <c r="BX99">
        <v>168.375</v>
      </c>
      <c r="BY99">
        <v>21</v>
      </c>
      <c r="BZ99">
        <v>282.25</v>
      </c>
      <c r="CA99">
        <v>5.8940000000000001</v>
      </c>
      <c r="CB99">
        <v>643</v>
      </c>
      <c r="CC99">
        <v>80.375</v>
      </c>
      <c r="CD99">
        <v>3.9209999999999998</v>
      </c>
      <c r="CE99">
        <v>3</v>
      </c>
      <c r="CF99">
        <v>2580</v>
      </c>
      <c r="CG99">
        <v>5</v>
      </c>
      <c r="CH99">
        <v>201.875</v>
      </c>
      <c r="CI99">
        <v>10.222</v>
      </c>
      <c r="CJ99">
        <v>6.8129999999999997</v>
      </c>
      <c r="CK99">
        <v>4.8949999999999996</v>
      </c>
      <c r="CL99">
        <v>0</v>
      </c>
      <c r="CM99">
        <v>16</v>
      </c>
      <c r="CN99">
        <v>0</v>
      </c>
      <c r="CO99">
        <v>88.888999999999996</v>
      </c>
      <c r="CP99">
        <v>76.19</v>
      </c>
      <c r="CQ99">
        <v>16</v>
      </c>
      <c r="CR99">
        <v>56</v>
      </c>
      <c r="CS99">
        <v>10.75</v>
      </c>
      <c r="CT99">
        <v>37</v>
      </c>
      <c r="CU99">
        <v>12</v>
      </c>
      <c r="CV99">
        <v>6</v>
      </c>
      <c r="CW99">
        <v>5</v>
      </c>
      <c r="CX99">
        <v>110</v>
      </c>
      <c r="CY99">
        <v>15.875</v>
      </c>
      <c r="CZ99">
        <v>38.462000000000003</v>
      </c>
      <c r="DA99">
        <v>29.907</v>
      </c>
      <c r="DB99">
        <v>65.31</v>
      </c>
      <c r="DC99">
        <v>-4</v>
      </c>
      <c r="DD99">
        <v>2965</v>
      </c>
      <c r="DE99">
        <v>75</v>
      </c>
      <c r="DF99">
        <v>240.5</v>
      </c>
      <c r="DG99">
        <v>29</v>
      </c>
      <c r="DH99">
        <v>367.375</v>
      </c>
      <c r="DI99">
        <v>8.7940000000000005</v>
      </c>
      <c r="DJ99">
        <v>1056</v>
      </c>
      <c r="DK99">
        <v>112.625</v>
      </c>
      <c r="DL99">
        <v>3.9340000000000002</v>
      </c>
      <c r="DM99">
        <v>7</v>
      </c>
      <c r="DN99">
        <v>3418</v>
      </c>
      <c r="DO99">
        <v>15</v>
      </c>
      <c r="DP99">
        <v>254.75</v>
      </c>
      <c r="DQ99">
        <v>11.725</v>
      </c>
      <c r="DR99">
        <v>6.3159999999999998</v>
      </c>
      <c r="DS99">
        <v>3.7410000000000001</v>
      </c>
      <c r="DT99">
        <v>4</v>
      </c>
      <c r="DU99">
        <v>19</v>
      </c>
      <c r="DV99">
        <v>0</v>
      </c>
      <c r="DW99">
        <v>91.304000000000002</v>
      </c>
      <c r="DX99">
        <v>92.308000000000007</v>
      </c>
      <c r="DY99">
        <v>12</v>
      </c>
      <c r="DZ99">
        <v>57</v>
      </c>
      <c r="EA99">
        <v>16.8</v>
      </c>
      <c r="EB99">
        <v>10</v>
      </c>
      <c r="EC99">
        <v>27</v>
      </c>
      <c r="ED99">
        <v>14</v>
      </c>
      <c r="EE99">
        <v>15</v>
      </c>
      <c r="EF99">
        <v>213</v>
      </c>
      <c r="EG99">
        <v>20.375</v>
      </c>
      <c r="EH99">
        <v>83.332999999999998</v>
      </c>
      <c r="EI99">
        <v>39.784999999999997</v>
      </c>
      <c r="EJ99">
        <v>67</v>
      </c>
      <c r="EK99">
        <v>2</v>
      </c>
    </row>
    <row r="100" spans="1:141" x14ac:dyDescent="0.25">
      <c r="A100">
        <v>31</v>
      </c>
      <c r="B100">
        <v>31</v>
      </c>
      <c r="C100">
        <v>1</v>
      </c>
      <c r="D100">
        <v>2025</v>
      </c>
      <c r="E100">
        <v>7</v>
      </c>
      <c r="F100" t="str">
        <f>VLOOKUP(G100, Map!$A$1:$B$33, 2, FALSE)</f>
        <v>KC</v>
      </c>
      <c r="G100" t="s">
        <v>158</v>
      </c>
      <c r="H100" t="str">
        <f>VLOOKUP(I100, Map!$A$1:$B$33, 2, FALSE)</f>
        <v>LV</v>
      </c>
      <c r="I100" t="s">
        <v>157</v>
      </c>
      <c r="J100">
        <v>0</v>
      </c>
      <c r="K100">
        <v>0</v>
      </c>
      <c r="L100">
        <v>0</v>
      </c>
      <c r="M100">
        <v>1</v>
      </c>
      <c r="N100">
        <v>5</v>
      </c>
      <c r="O100">
        <v>3</v>
      </c>
      <c r="P100">
        <v>16.375</v>
      </c>
      <c r="Q100">
        <v>26.75</v>
      </c>
      <c r="R100">
        <v>83</v>
      </c>
      <c r="S100">
        <v>3</v>
      </c>
      <c r="T100">
        <v>0.625</v>
      </c>
      <c r="U100">
        <v>1</v>
      </c>
      <c r="V100">
        <v>1</v>
      </c>
      <c r="W100">
        <v>4</v>
      </c>
      <c r="X100">
        <v>1</v>
      </c>
      <c r="Y100">
        <v>1</v>
      </c>
      <c r="Z100">
        <v>2</v>
      </c>
      <c r="AA100">
        <v>2</v>
      </c>
      <c r="AB100">
        <v>2</v>
      </c>
      <c r="AC100">
        <v>16</v>
      </c>
      <c r="AD100">
        <v>3</v>
      </c>
      <c r="AE100">
        <v>7</v>
      </c>
      <c r="AF100">
        <v>11</v>
      </c>
      <c r="AG100">
        <v>65</v>
      </c>
      <c r="AH100">
        <v>0</v>
      </c>
      <c r="AI100">
        <v>2</v>
      </c>
      <c r="AJ100">
        <v>5</v>
      </c>
      <c r="AK100">
        <v>25.714285</v>
      </c>
      <c r="AL100">
        <v>14.714286</v>
      </c>
      <c r="AM100">
        <v>-77</v>
      </c>
      <c r="AN100">
        <v>-1</v>
      </c>
      <c r="AO100">
        <v>0.28571429999999998</v>
      </c>
      <c r="AP100">
        <v>0</v>
      </c>
      <c r="AQ100">
        <v>2</v>
      </c>
      <c r="AR100">
        <v>1</v>
      </c>
      <c r="AS100">
        <v>2</v>
      </c>
      <c r="AT100">
        <v>1</v>
      </c>
      <c r="AU100">
        <v>3</v>
      </c>
      <c r="AV100">
        <v>2</v>
      </c>
      <c r="AW100">
        <v>3</v>
      </c>
      <c r="AX100">
        <v>6</v>
      </c>
      <c r="AY100">
        <v>10</v>
      </c>
      <c r="AZ100">
        <v>8</v>
      </c>
      <c r="BA100">
        <v>8</v>
      </c>
      <c r="BB100">
        <v>56</v>
      </c>
      <c r="BC100">
        <v>38.5</v>
      </c>
      <c r="BD100">
        <v>-21</v>
      </c>
      <c r="BE100">
        <v>0</v>
      </c>
      <c r="BF100">
        <v>0</v>
      </c>
      <c r="BG100">
        <v>78.247</v>
      </c>
      <c r="BH100">
        <v>59.963000000000001</v>
      </c>
      <c r="BI100">
        <v>21.58</v>
      </c>
      <c r="BJ100">
        <v>98.394999999999996</v>
      </c>
      <c r="BK100">
        <v>91.423000000000002</v>
      </c>
      <c r="BL100">
        <v>98.594999999999999</v>
      </c>
      <c r="BM100">
        <v>12.004</v>
      </c>
      <c r="BN100">
        <v>21.58</v>
      </c>
      <c r="BO100">
        <v>59.963000000000001</v>
      </c>
      <c r="BP100">
        <v>0</v>
      </c>
      <c r="BQ100">
        <v>78.247</v>
      </c>
      <c r="BR100">
        <v>-12.004</v>
      </c>
      <c r="BS100">
        <v>8.577</v>
      </c>
      <c r="BT100">
        <v>1.605</v>
      </c>
      <c r="BU100">
        <v>1.405</v>
      </c>
      <c r="BV100">
        <v>3149</v>
      </c>
      <c r="BW100">
        <v>67.021000000000001</v>
      </c>
      <c r="BX100">
        <v>251.75</v>
      </c>
      <c r="BY100">
        <v>25</v>
      </c>
      <c r="BZ100">
        <v>388.875</v>
      </c>
      <c r="CA100">
        <v>7.3719999999999999</v>
      </c>
      <c r="CB100">
        <v>1327</v>
      </c>
      <c r="CC100">
        <v>126.5</v>
      </c>
      <c r="CD100">
        <v>4.4980000000000002</v>
      </c>
      <c r="CE100">
        <v>9</v>
      </c>
      <c r="CF100">
        <v>3639</v>
      </c>
      <c r="CG100">
        <v>17</v>
      </c>
      <c r="CH100">
        <v>262.375</v>
      </c>
      <c r="CI100">
        <v>11</v>
      </c>
      <c r="CJ100">
        <v>4</v>
      </c>
      <c r="CK100">
        <v>3.4</v>
      </c>
      <c r="CL100">
        <v>0</v>
      </c>
      <c r="CM100">
        <v>17</v>
      </c>
      <c r="CN100">
        <v>0</v>
      </c>
      <c r="CO100">
        <v>88</v>
      </c>
      <c r="CP100">
        <v>80</v>
      </c>
      <c r="CQ100">
        <v>12</v>
      </c>
      <c r="CR100">
        <v>58</v>
      </c>
      <c r="CS100">
        <v>8.3330000000000002</v>
      </c>
      <c r="CT100">
        <v>19</v>
      </c>
      <c r="CU100">
        <v>11</v>
      </c>
      <c r="CV100">
        <v>0</v>
      </c>
      <c r="CW100">
        <v>17</v>
      </c>
      <c r="CX100">
        <v>214</v>
      </c>
      <c r="CY100">
        <v>23.625</v>
      </c>
      <c r="CZ100">
        <v>82.352999999999994</v>
      </c>
      <c r="DA100">
        <v>44</v>
      </c>
      <c r="DB100">
        <v>78.150000000000006</v>
      </c>
      <c r="DC100">
        <v>5</v>
      </c>
      <c r="DD100">
        <v>1570</v>
      </c>
      <c r="DE100">
        <v>66.176000000000002</v>
      </c>
      <c r="DF100">
        <v>182.71428</v>
      </c>
      <c r="DG100">
        <v>19</v>
      </c>
      <c r="DH100">
        <v>297.28570000000002</v>
      </c>
      <c r="DI100">
        <v>6.7649999999999997</v>
      </c>
      <c r="DJ100">
        <v>731</v>
      </c>
      <c r="DK100">
        <v>93.713999999999999</v>
      </c>
      <c r="DL100">
        <v>3.859</v>
      </c>
      <c r="DM100">
        <v>3</v>
      </c>
      <c r="DN100">
        <v>2345</v>
      </c>
      <c r="DO100">
        <v>7</v>
      </c>
      <c r="DP100">
        <v>203.571</v>
      </c>
      <c r="DQ100">
        <v>10.222</v>
      </c>
      <c r="DR100">
        <v>6.7329999999999997</v>
      </c>
      <c r="DS100">
        <v>3.0710000000000002</v>
      </c>
      <c r="DT100">
        <v>0</v>
      </c>
      <c r="DU100">
        <v>15</v>
      </c>
      <c r="DV100">
        <v>0</v>
      </c>
      <c r="DW100">
        <v>100</v>
      </c>
      <c r="DX100">
        <v>78.570999999999998</v>
      </c>
      <c r="DY100">
        <v>11</v>
      </c>
      <c r="DZ100">
        <v>41</v>
      </c>
      <c r="EA100">
        <v>15.333</v>
      </c>
      <c r="EB100">
        <v>8</v>
      </c>
      <c r="EC100">
        <v>26</v>
      </c>
      <c r="ED100">
        <v>0</v>
      </c>
      <c r="EE100">
        <v>7</v>
      </c>
      <c r="EF100">
        <v>103</v>
      </c>
      <c r="EG100">
        <v>15.856999999999999</v>
      </c>
      <c r="EH100">
        <v>45.454999999999998</v>
      </c>
      <c r="EI100">
        <v>37.930999999999997</v>
      </c>
      <c r="EJ100">
        <v>53.17</v>
      </c>
      <c r="EK100">
        <v>-5</v>
      </c>
    </row>
    <row r="101" spans="1:141" x14ac:dyDescent="0.25">
      <c r="A101">
        <v>50</v>
      </c>
      <c r="B101">
        <v>-6</v>
      </c>
      <c r="C101">
        <v>0</v>
      </c>
      <c r="D101">
        <v>2025</v>
      </c>
      <c r="E101">
        <v>7</v>
      </c>
      <c r="F101" t="str">
        <f>VLOOKUP(G101, Map!$A$1:$B$33, 2, FALSE)</f>
        <v>MIN</v>
      </c>
      <c r="G101" t="s">
        <v>153</v>
      </c>
      <c r="H101" t="str">
        <f>VLOOKUP(I101, Map!$A$1:$B$33, 2, FALSE)</f>
        <v>PHI</v>
      </c>
      <c r="I101" t="s">
        <v>147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4</v>
      </c>
      <c r="P101">
        <v>23.142856999999999</v>
      </c>
      <c r="Q101">
        <v>22.142856999999999</v>
      </c>
      <c r="R101">
        <v>-7</v>
      </c>
      <c r="S101">
        <v>-2</v>
      </c>
      <c r="T101">
        <v>0.42857142999999998</v>
      </c>
      <c r="U101">
        <v>1</v>
      </c>
      <c r="V101">
        <v>0</v>
      </c>
      <c r="W101">
        <v>1</v>
      </c>
      <c r="X101">
        <v>2</v>
      </c>
      <c r="Y101">
        <v>2</v>
      </c>
      <c r="Z101">
        <v>2</v>
      </c>
      <c r="AA101">
        <v>1</v>
      </c>
      <c r="AB101">
        <v>2</v>
      </c>
      <c r="AC101">
        <v>13</v>
      </c>
      <c r="AD101">
        <v>4</v>
      </c>
      <c r="AE101">
        <v>7</v>
      </c>
      <c r="AF101">
        <v>9</v>
      </c>
      <c r="AG101">
        <v>61</v>
      </c>
      <c r="AH101">
        <v>1</v>
      </c>
      <c r="AI101">
        <v>6</v>
      </c>
      <c r="AJ101">
        <v>2</v>
      </c>
      <c r="AK101">
        <v>23.125</v>
      </c>
      <c r="AL101">
        <v>26</v>
      </c>
      <c r="AM101">
        <v>23</v>
      </c>
      <c r="AN101">
        <v>2</v>
      </c>
      <c r="AO101">
        <v>0.75</v>
      </c>
      <c r="AP101">
        <v>2</v>
      </c>
      <c r="AQ101">
        <v>1</v>
      </c>
      <c r="AR101">
        <v>3</v>
      </c>
      <c r="AS101">
        <v>1</v>
      </c>
      <c r="AT101">
        <v>3</v>
      </c>
      <c r="AU101">
        <v>1</v>
      </c>
      <c r="AV101">
        <v>5</v>
      </c>
      <c r="AW101">
        <v>1</v>
      </c>
      <c r="AX101">
        <v>16</v>
      </c>
      <c r="AY101">
        <v>3</v>
      </c>
      <c r="AZ101">
        <v>10</v>
      </c>
      <c r="BA101">
        <v>9</v>
      </c>
      <c r="BB101">
        <v>63</v>
      </c>
      <c r="BC101">
        <v>49</v>
      </c>
      <c r="BD101">
        <v>4</v>
      </c>
      <c r="BE101">
        <v>0</v>
      </c>
      <c r="BF101">
        <v>0</v>
      </c>
      <c r="BG101">
        <v>52.811999999999998</v>
      </c>
      <c r="BH101">
        <v>62.488</v>
      </c>
      <c r="BI101">
        <v>46.811999999999998</v>
      </c>
      <c r="BJ101">
        <v>12.124000000000001</v>
      </c>
      <c r="BK101">
        <v>29.393999999999998</v>
      </c>
      <c r="BL101">
        <v>26.951000000000001</v>
      </c>
      <c r="BM101">
        <v>1.071</v>
      </c>
      <c r="BN101">
        <v>46.811999999999998</v>
      </c>
      <c r="BO101">
        <v>62.488</v>
      </c>
      <c r="BP101">
        <v>0</v>
      </c>
      <c r="BQ101">
        <v>52.811999999999998</v>
      </c>
      <c r="BR101">
        <v>-1.071</v>
      </c>
      <c r="BS101">
        <v>70.605999999999995</v>
      </c>
      <c r="BT101">
        <v>87.876000000000005</v>
      </c>
      <c r="BU101">
        <v>73.049000000000007</v>
      </c>
      <c r="BV101">
        <v>1981</v>
      </c>
      <c r="BW101">
        <v>63.927</v>
      </c>
      <c r="BX101">
        <v>202.71428</v>
      </c>
      <c r="BY101">
        <v>21</v>
      </c>
      <c r="BZ101">
        <v>321.14285000000001</v>
      </c>
      <c r="CA101">
        <v>7.2649999999999997</v>
      </c>
      <c r="CB101">
        <v>772</v>
      </c>
      <c r="CC101">
        <v>93.856999999999999</v>
      </c>
      <c r="CD101">
        <v>4.2939999999999996</v>
      </c>
      <c r="CE101">
        <v>5</v>
      </c>
      <c r="CF101">
        <v>2606</v>
      </c>
      <c r="CG101">
        <v>9</v>
      </c>
      <c r="CH101">
        <v>227.286</v>
      </c>
      <c r="CI101">
        <v>11.364000000000001</v>
      </c>
      <c r="CJ101">
        <v>6.2220000000000004</v>
      </c>
      <c r="CK101">
        <v>3.3570000000000002</v>
      </c>
      <c r="CL101">
        <v>2</v>
      </c>
      <c r="CM101">
        <v>18</v>
      </c>
      <c r="CN101">
        <v>0</v>
      </c>
      <c r="CO101">
        <v>100</v>
      </c>
      <c r="CP101">
        <v>87.5</v>
      </c>
      <c r="CQ101">
        <v>14</v>
      </c>
      <c r="CR101">
        <v>55</v>
      </c>
      <c r="CS101">
        <v>7.8179999999999996</v>
      </c>
      <c r="CT101">
        <v>29</v>
      </c>
      <c r="CU101">
        <v>10</v>
      </c>
      <c r="CV101">
        <v>12</v>
      </c>
      <c r="CW101">
        <v>9</v>
      </c>
      <c r="CX101">
        <v>155</v>
      </c>
      <c r="CY101">
        <v>17.428999999999998</v>
      </c>
      <c r="CZ101">
        <v>62.5</v>
      </c>
      <c r="DA101">
        <v>33.332999999999998</v>
      </c>
      <c r="DB101">
        <v>70.13</v>
      </c>
      <c r="DC101">
        <v>-4</v>
      </c>
      <c r="DD101">
        <v>2679</v>
      </c>
      <c r="DE101">
        <v>70.233000000000004</v>
      </c>
      <c r="DF101">
        <v>192.75</v>
      </c>
      <c r="DG101">
        <v>23</v>
      </c>
      <c r="DH101">
        <v>321.25</v>
      </c>
      <c r="DI101">
        <v>7.7160000000000002</v>
      </c>
      <c r="DJ101">
        <v>1178</v>
      </c>
      <c r="DK101">
        <v>111.625</v>
      </c>
      <c r="DL101">
        <v>4.0960000000000001</v>
      </c>
      <c r="DM101">
        <v>9</v>
      </c>
      <c r="DN101">
        <v>2957</v>
      </c>
      <c r="DO101">
        <v>15</v>
      </c>
      <c r="DP101">
        <v>209.625</v>
      </c>
      <c r="DQ101">
        <v>10.987</v>
      </c>
      <c r="DR101">
        <v>4.75</v>
      </c>
      <c r="DS101">
        <v>3.75</v>
      </c>
      <c r="DT101">
        <v>3</v>
      </c>
      <c r="DU101">
        <v>16</v>
      </c>
      <c r="DV101">
        <v>0</v>
      </c>
      <c r="DW101">
        <v>100</v>
      </c>
      <c r="DX101">
        <v>77.778000000000006</v>
      </c>
      <c r="DY101">
        <v>7</v>
      </c>
      <c r="DZ101">
        <v>46</v>
      </c>
      <c r="EA101">
        <v>13.55</v>
      </c>
      <c r="EB101">
        <v>7</v>
      </c>
      <c r="EC101">
        <v>34</v>
      </c>
      <c r="ED101">
        <v>6</v>
      </c>
      <c r="EE101">
        <v>15</v>
      </c>
      <c r="EF101">
        <v>208</v>
      </c>
      <c r="EG101">
        <v>17.875</v>
      </c>
      <c r="EH101">
        <v>78.570999999999998</v>
      </c>
      <c r="EI101">
        <v>33.332999999999998</v>
      </c>
      <c r="EJ101">
        <v>87.14</v>
      </c>
      <c r="EK101">
        <v>4</v>
      </c>
    </row>
    <row r="102" spans="1:141" x14ac:dyDescent="0.25">
      <c r="A102">
        <v>19</v>
      </c>
      <c r="B102">
        <v>-7</v>
      </c>
      <c r="C102">
        <v>0</v>
      </c>
      <c r="D102">
        <v>2025</v>
      </c>
      <c r="E102">
        <v>7</v>
      </c>
      <c r="F102" t="str">
        <f>VLOOKUP(G102, Map!$A$1:$B$33, 2, FALSE)</f>
        <v>NYJ</v>
      </c>
      <c r="G102" t="s">
        <v>166</v>
      </c>
      <c r="H102" t="str">
        <f>VLOOKUP(I102, Map!$A$1:$B$33, 2, FALSE)</f>
        <v>CAR</v>
      </c>
      <c r="I102" t="s">
        <v>142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7</v>
      </c>
      <c r="P102">
        <v>27.625</v>
      </c>
      <c r="Q102">
        <v>21</v>
      </c>
      <c r="R102">
        <v>-53</v>
      </c>
      <c r="S102">
        <v>1</v>
      </c>
      <c r="T102">
        <v>0.125</v>
      </c>
      <c r="U102">
        <v>0</v>
      </c>
      <c r="V102">
        <v>2</v>
      </c>
      <c r="W102">
        <v>0</v>
      </c>
      <c r="X102">
        <v>5</v>
      </c>
      <c r="Y102">
        <v>1</v>
      </c>
      <c r="Z102">
        <v>2</v>
      </c>
      <c r="AA102">
        <v>1</v>
      </c>
      <c r="AB102">
        <v>4</v>
      </c>
      <c r="AC102">
        <v>7</v>
      </c>
      <c r="AD102">
        <v>10</v>
      </c>
      <c r="AE102">
        <v>8</v>
      </c>
      <c r="AF102">
        <v>9</v>
      </c>
      <c r="AG102">
        <v>60</v>
      </c>
      <c r="AH102">
        <v>1</v>
      </c>
      <c r="AI102">
        <v>4</v>
      </c>
      <c r="AJ102">
        <v>4</v>
      </c>
      <c r="AK102">
        <v>24</v>
      </c>
      <c r="AL102">
        <v>19.25</v>
      </c>
      <c r="AM102">
        <v>-38</v>
      </c>
      <c r="AN102">
        <v>-1</v>
      </c>
      <c r="AO102">
        <v>0.5</v>
      </c>
      <c r="AP102">
        <v>1</v>
      </c>
      <c r="AQ102">
        <v>0</v>
      </c>
      <c r="AR102">
        <v>3</v>
      </c>
      <c r="AS102">
        <v>1</v>
      </c>
      <c r="AT102">
        <v>1</v>
      </c>
      <c r="AU102">
        <v>3</v>
      </c>
      <c r="AV102">
        <v>2</v>
      </c>
      <c r="AW102">
        <v>1</v>
      </c>
      <c r="AX102">
        <v>7</v>
      </c>
      <c r="AY102">
        <v>10</v>
      </c>
      <c r="AZ102">
        <v>9</v>
      </c>
      <c r="BA102">
        <v>8</v>
      </c>
      <c r="BB102">
        <v>58</v>
      </c>
      <c r="BC102">
        <v>29.5</v>
      </c>
      <c r="BD102">
        <v>3</v>
      </c>
      <c r="BE102">
        <v>0</v>
      </c>
      <c r="BF102">
        <v>0</v>
      </c>
      <c r="BG102">
        <v>48.006999999999998</v>
      </c>
      <c r="BH102">
        <v>20.885999999999999</v>
      </c>
      <c r="BI102">
        <v>51.606999999999999</v>
      </c>
      <c r="BJ102">
        <v>68.620999999999995</v>
      </c>
      <c r="BK102">
        <v>7.3730000000000002</v>
      </c>
      <c r="BL102">
        <v>27.625</v>
      </c>
      <c r="BM102">
        <v>-0.67200000000000004</v>
      </c>
      <c r="BN102">
        <v>51.606999999999999</v>
      </c>
      <c r="BO102">
        <v>20.885999999999999</v>
      </c>
      <c r="BP102">
        <v>0</v>
      </c>
      <c r="BQ102">
        <v>48.006999999999998</v>
      </c>
      <c r="BR102">
        <v>0.67200000000000004</v>
      </c>
      <c r="BS102">
        <v>92.626999999999995</v>
      </c>
      <c r="BT102">
        <v>31.379000000000001</v>
      </c>
      <c r="BU102">
        <v>72.375</v>
      </c>
      <c r="BV102">
        <v>2012</v>
      </c>
      <c r="BW102">
        <v>63.713000000000001</v>
      </c>
      <c r="BX102">
        <v>156.5</v>
      </c>
      <c r="BY102">
        <v>15</v>
      </c>
      <c r="BZ102">
        <v>327.625</v>
      </c>
      <c r="CA102">
        <v>6.2110000000000003</v>
      </c>
      <c r="CB102">
        <v>1254</v>
      </c>
      <c r="CC102">
        <v>143.625</v>
      </c>
      <c r="CD102">
        <v>5.1989999999999998</v>
      </c>
      <c r="CE102">
        <v>6</v>
      </c>
      <c r="CF102">
        <v>2542</v>
      </c>
      <c r="CG102">
        <v>9</v>
      </c>
      <c r="CH102">
        <v>184</v>
      </c>
      <c r="CI102">
        <v>9.7479999999999993</v>
      </c>
      <c r="CJ102">
        <v>6.2729999999999997</v>
      </c>
      <c r="CK102">
        <v>2.4169999999999998</v>
      </c>
      <c r="CL102">
        <v>1</v>
      </c>
      <c r="CM102">
        <v>11</v>
      </c>
      <c r="CN102">
        <v>0</v>
      </c>
      <c r="CO102">
        <v>100</v>
      </c>
      <c r="CP102">
        <v>100</v>
      </c>
      <c r="CQ102">
        <v>17</v>
      </c>
      <c r="CR102">
        <v>60</v>
      </c>
      <c r="CS102">
        <v>6.25</v>
      </c>
      <c r="CT102">
        <v>31</v>
      </c>
      <c r="CU102">
        <v>11</v>
      </c>
      <c r="CV102">
        <v>2</v>
      </c>
      <c r="CW102">
        <v>9</v>
      </c>
      <c r="CX102">
        <v>168</v>
      </c>
      <c r="CY102">
        <v>18.5</v>
      </c>
      <c r="CZ102">
        <v>52.631999999999998</v>
      </c>
      <c r="DA102">
        <v>34.905999999999999</v>
      </c>
      <c r="DB102">
        <v>69.17</v>
      </c>
      <c r="DC102">
        <v>-9</v>
      </c>
      <c r="DD102">
        <v>2241</v>
      </c>
      <c r="DE102">
        <v>62.451999999999998</v>
      </c>
      <c r="DF102">
        <v>179.5</v>
      </c>
      <c r="DG102">
        <v>19</v>
      </c>
      <c r="DH102">
        <v>334.5</v>
      </c>
      <c r="DI102">
        <v>6.0570000000000004</v>
      </c>
      <c r="DJ102">
        <v>1145</v>
      </c>
      <c r="DK102">
        <v>136.875</v>
      </c>
      <c r="DL102">
        <v>4.6399999999999997</v>
      </c>
      <c r="DM102">
        <v>4</v>
      </c>
      <c r="DN102">
        <v>2816</v>
      </c>
      <c r="DO102">
        <v>12</v>
      </c>
      <c r="DP102">
        <v>197.625</v>
      </c>
      <c r="DQ102">
        <v>9.6989999999999998</v>
      </c>
      <c r="DR102">
        <v>6.8460000000000001</v>
      </c>
      <c r="DS102">
        <v>4.75</v>
      </c>
      <c r="DT102">
        <v>1</v>
      </c>
      <c r="DU102">
        <v>13</v>
      </c>
      <c r="DV102">
        <v>0</v>
      </c>
      <c r="DW102">
        <v>86.667000000000002</v>
      </c>
      <c r="DX102">
        <v>86.667000000000002</v>
      </c>
      <c r="DY102">
        <v>13</v>
      </c>
      <c r="DZ102">
        <v>52</v>
      </c>
      <c r="EA102">
        <v>16.411999999999999</v>
      </c>
      <c r="EB102">
        <v>11</v>
      </c>
      <c r="EC102">
        <v>27</v>
      </c>
      <c r="ED102">
        <v>6</v>
      </c>
      <c r="EE102">
        <v>12</v>
      </c>
      <c r="EF102">
        <v>154</v>
      </c>
      <c r="EG102">
        <v>20.75</v>
      </c>
      <c r="EH102">
        <v>68.421000000000006</v>
      </c>
      <c r="EI102">
        <v>37.255000000000003</v>
      </c>
      <c r="EJ102">
        <v>70.83</v>
      </c>
      <c r="EK102">
        <v>-5</v>
      </c>
    </row>
    <row r="103" spans="1:141" x14ac:dyDescent="0.25">
      <c r="A103">
        <v>65</v>
      </c>
      <c r="B103">
        <v>1</v>
      </c>
      <c r="C103">
        <v>1</v>
      </c>
      <c r="D103">
        <v>2025</v>
      </c>
      <c r="E103">
        <v>7</v>
      </c>
      <c r="F103" t="str">
        <f>VLOOKUP(G103, Map!$A$1:$B$33, 2, FALSE)</f>
        <v>DEN</v>
      </c>
      <c r="G103" t="s">
        <v>159</v>
      </c>
      <c r="H103" t="str">
        <f>VLOOKUP(I103, Map!$A$1:$B$33, 2, FALSE)</f>
        <v>NYG</v>
      </c>
      <c r="I103" t="s">
        <v>149</v>
      </c>
      <c r="J103">
        <v>0</v>
      </c>
      <c r="K103">
        <v>0</v>
      </c>
      <c r="L103">
        <v>0</v>
      </c>
      <c r="M103">
        <v>1</v>
      </c>
      <c r="N103">
        <v>6</v>
      </c>
      <c r="O103">
        <v>2</v>
      </c>
      <c r="P103">
        <v>18.875</v>
      </c>
      <c r="Q103">
        <v>25.875</v>
      </c>
      <c r="R103">
        <v>56</v>
      </c>
      <c r="S103">
        <v>5</v>
      </c>
      <c r="T103">
        <v>0.75</v>
      </c>
      <c r="U103">
        <v>0</v>
      </c>
      <c r="V103">
        <v>1</v>
      </c>
      <c r="W103">
        <v>4</v>
      </c>
      <c r="X103">
        <v>0</v>
      </c>
      <c r="Y103">
        <v>2</v>
      </c>
      <c r="Z103">
        <v>2</v>
      </c>
      <c r="AA103">
        <v>3</v>
      </c>
      <c r="AB103">
        <v>2</v>
      </c>
      <c r="AC103">
        <v>4</v>
      </c>
      <c r="AD103">
        <v>12</v>
      </c>
      <c r="AE103">
        <v>7</v>
      </c>
      <c r="AF103">
        <v>9</v>
      </c>
      <c r="AG103">
        <v>63</v>
      </c>
      <c r="AH103">
        <v>0</v>
      </c>
      <c r="AI103">
        <v>2</v>
      </c>
      <c r="AJ103">
        <v>6</v>
      </c>
      <c r="AK103">
        <v>26.875</v>
      </c>
      <c r="AL103">
        <v>21.625</v>
      </c>
      <c r="AM103">
        <v>-42</v>
      </c>
      <c r="AN103">
        <v>-2</v>
      </c>
      <c r="AO103">
        <v>0.25</v>
      </c>
      <c r="AP103">
        <v>1</v>
      </c>
      <c r="AQ103">
        <v>3</v>
      </c>
      <c r="AR103">
        <v>2</v>
      </c>
      <c r="AS103">
        <v>1</v>
      </c>
      <c r="AT103">
        <v>0</v>
      </c>
      <c r="AU103">
        <v>5</v>
      </c>
      <c r="AV103">
        <v>1</v>
      </c>
      <c r="AW103">
        <v>4</v>
      </c>
      <c r="AX103">
        <v>10</v>
      </c>
      <c r="AY103">
        <v>7</v>
      </c>
      <c r="AZ103">
        <v>14</v>
      </c>
      <c r="BA103">
        <v>4</v>
      </c>
      <c r="BB103">
        <v>67</v>
      </c>
      <c r="BC103">
        <v>45</v>
      </c>
      <c r="BD103">
        <v>-3</v>
      </c>
      <c r="BE103">
        <v>0</v>
      </c>
      <c r="BF103">
        <v>0</v>
      </c>
      <c r="BG103">
        <v>66.132000000000005</v>
      </c>
      <c r="BH103">
        <v>53.252000000000002</v>
      </c>
      <c r="BI103">
        <v>33.597999999999999</v>
      </c>
      <c r="BJ103">
        <v>18.853000000000002</v>
      </c>
      <c r="BK103">
        <v>62.164999999999999</v>
      </c>
      <c r="BL103">
        <v>37.158000000000001</v>
      </c>
      <c r="BM103">
        <v>6.0990000000000002</v>
      </c>
      <c r="BN103">
        <v>33.597999999999999</v>
      </c>
      <c r="BO103">
        <v>53.252000000000002</v>
      </c>
      <c r="BP103">
        <v>0</v>
      </c>
      <c r="BQ103">
        <v>66.132000000000005</v>
      </c>
      <c r="BR103">
        <v>-6.0990000000000002</v>
      </c>
      <c r="BS103">
        <v>37.835000000000001</v>
      </c>
      <c r="BT103">
        <v>81.147000000000006</v>
      </c>
      <c r="BU103">
        <v>62.841999999999999</v>
      </c>
      <c r="BV103">
        <v>2703</v>
      </c>
      <c r="BW103">
        <v>62.807000000000002</v>
      </c>
      <c r="BX103">
        <v>219.125</v>
      </c>
      <c r="BY103">
        <v>22</v>
      </c>
      <c r="BZ103">
        <v>363.125</v>
      </c>
      <c r="CA103">
        <v>6.3259999999999996</v>
      </c>
      <c r="CB103">
        <v>1407</v>
      </c>
      <c r="CC103">
        <v>137.75</v>
      </c>
      <c r="CD103">
        <v>5.0090000000000003</v>
      </c>
      <c r="CE103">
        <v>10</v>
      </c>
      <c r="CF103">
        <v>3223</v>
      </c>
      <c r="CG103">
        <v>15</v>
      </c>
      <c r="CH103">
        <v>225.375</v>
      </c>
      <c r="CI103">
        <v>10.073</v>
      </c>
      <c r="CJ103">
        <v>6.0279999999999996</v>
      </c>
      <c r="CK103">
        <v>90.5</v>
      </c>
      <c r="CL103">
        <v>0</v>
      </c>
      <c r="CM103">
        <v>36</v>
      </c>
      <c r="CN103">
        <v>0</v>
      </c>
      <c r="CO103">
        <v>100</v>
      </c>
      <c r="CP103">
        <v>90.909000000000006</v>
      </c>
      <c r="CQ103">
        <v>10</v>
      </c>
      <c r="CR103">
        <v>51</v>
      </c>
      <c r="CS103">
        <v>10.467000000000001</v>
      </c>
      <c r="CT103">
        <v>38</v>
      </c>
      <c r="CU103">
        <v>18</v>
      </c>
      <c r="CV103">
        <v>0</v>
      </c>
      <c r="CW103">
        <v>15</v>
      </c>
      <c r="CX103">
        <v>207</v>
      </c>
      <c r="CY103">
        <v>20.75</v>
      </c>
      <c r="CZ103">
        <v>50</v>
      </c>
      <c r="DA103">
        <v>37.863999999999997</v>
      </c>
      <c r="DB103">
        <v>73.02</v>
      </c>
      <c r="DC103">
        <v>-1</v>
      </c>
      <c r="DD103">
        <v>2348</v>
      </c>
      <c r="DE103">
        <v>59.448999999999998</v>
      </c>
      <c r="DF103">
        <v>207.25</v>
      </c>
      <c r="DG103">
        <v>23</v>
      </c>
      <c r="DH103">
        <v>339.25</v>
      </c>
      <c r="DI103">
        <v>6.9210000000000003</v>
      </c>
      <c r="DJ103">
        <v>1249</v>
      </c>
      <c r="DK103">
        <v>118</v>
      </c>
      <c r="DL103">
        <v>4.0339999999999998</v>
      </c>
      <c r="DM103">
        <v>10</v>
      </c>
      <c r="DN103">
        <v>2910</v>
      </c>
      <c r="DO103">
        <v>11</v>
      </c>
      <c r="DP103">
        <v>221.25</v>
      </c>
      <c r="DQ103">
        <v>11.641999999999999</v>
      </c>
      <c r="DR103">
        <v>7.2629999999999999</v>
      </c>
      <c r="DS103">
        <v>5.1740000000000004</v>
      </c>
      <c r="DT103">
        <v>0</v>
      </c>
      <c r="DU103">
        <v>19</v>
      </c>
      <c r="DV103">
        <v>0</v>
      </c>
      <c r="DW103">
        <v>78.947000000000003</v>
      </c>
      <c r="DX103">
        <v>100</v>
      </c>
      <c r="DY103">
        <v>10</v>
      </c>
      <c r="DZ103">
        <v>45</v>
      </c>
      <c r="EA103">
        <v>7.1539999999999999</v>
      </c>
      <c r="EB103">
        <v>12</v>
      </c>
      <c r="EC103">
        <v>32</v>
      </c>
      <c r="ED103">
        <v>0</v>
      </c>
      <c r="EE103">
        <v>11</v>
      </c>
      <c r="EF103">
        <v>173</v>
      </c>
      <c r="EG103">
        <v>20.625</v>
      </c>
      <c r="EH103">
        <v>52.941000000000003</v>
      </c>
      <c r="EI103">
        <v>39.814999999999998</v>
      </c>
      <c r="EJ103">
        <v>59.26</v>
      </c>
      <c r="EK103">
        <v>-4</v>
      </c>
    </row>
    <row r="104" spans="1:141" x14ac:dyDescent="0.25">
      <c r="A104">
        <v>62</v>
      </c>
      <c r="B104">
        <v>-14</v>
      </c>
      <c r="C104">
        <v>0</v>
      </c>
      <c r="D104">
        <v>2025</v>
      </c>
      <c r="E104">
        <v>7</v>
      </c>
      <c r="F104" t="str">
        <f>VLOOKUP(G104, Map!$A$1:$B$33, 2, FALSE)</f>
        <v>LAC</v>
      </c>
      <c r="G104" t="s">
        <v>160</v>
      </c>
      <c r="H104" t="str">
        <f>VLOOKUP(I104, Map!$A$1:$B$33, 2, FALSE)</f>
        <v>IND</v>
      </c>
      <c r="I104" t="s">
        <v>138</v>
      </c>
      <c r="J104">
        <v>0</v>
      </c>
      <c r="K104">
        <v>0</v>
      </c>
      <c r="L104">
        <v>0</v>
      </c>
      <c r="M104">
        <v>0</v>
      </c>
      <c r="N104">
        <v>5</v>
      </c>
      <c r="O104">
        <v>3</v>
      </c>
      <c r="P104">
        <v>21.625</v>
      </c>
      <c r="Q104">
        <v>23.5</v>
      </c>
      <c r="R104">
        <v>15</v>
      </c>
      <c r="S104">
        <v>1</v>
      </c>
      <c r="T104">
        <v>0.625</v>
      </c>
      <c r="U104">
        <v>3</v>
      </c>
      <c r="V104">
        <v>0</v>
      </c>
      <c r="W104">
        <v>3</v>
      </c>
      <c r="X104">
        <v>2</v>
      </c>
      <c r="Y104">
        <v>2</v>
      </c>
      <c r="Z104">
        <v>1</v>
      </c>
      <c r="AA104">
        <v>4</v>
      </c>
      <c r="AB104">
        <v>1</v>
      </c>
      <c r="AC104">
        <v>10</v>
      </c>
      <c r="AD104">
        <v>7</v>
      </c>
      <c r="AE104">
        <v>11</v>
      </c>
      <c r="AF104">
        <v>5</v>
      </c>
      <c r="AG104">
        <v>65</v>
      </c>
      <c r="AH104">
        <v>1</v>
      </c>
      <c r="AI104">
        <v>7</v>
      </c>
      <c r="AJ104">
        <v>1</v>
      </c>
      <c r="AK104">
        <v>19.25</v>
      </c>
      <c r="AL104">
        <v>33.75</v>
      </c>
      <c r="AM104">
        <v>116</v>
      </c>
      <c r="AN104">
        <v>4</v>
      </c>
      <c r="AO104">
        <v>0.875</v>
      </c>
      <c r="AP104">
        <v>2</v>
      </c>
      <c r="AQ104">
        <v>0</v>
      </c>
      <c r="AR104">
        <v>5</v>
      </c>
      <c r="AS104">
        <v>0</v>
      </c>
      <c r="AT104">
        <v>2</v>
      </c>
      <c r="AU104">
        <v>1</v>
      </c>
      <c r="AV104">
        <v>6</v>
      </c>
      <c r="AW104">
        <v>0</v>
      </c>
      <c r="AX104">
        <v>4</v>
      </c>
      <c r="AY104">
        <v>12</v>
      </c>
      <c r="AZ104">
        <v>6</v>
      </c>
      <c r="BA104">
        <v>11</v>
      </c>
      <c r="BB104">
        <v>68</v>
      </c>
      <c r="BC104">
        <v>55.5</v>
      </c>
      <c r="BD104">
        <v>5.5</v>
      </c>
      <c r="BE104">
        <v>0</v>
      </c>
      <c r="BF104">
        <v>0</v>
      </c>
      <c r="BG104">
        <v>50.871000000000002</v>
      </c>
      <c r="BH104">
        <v>71.075000000000003</v>
      </c>
      <c r="BI104">
        <v>48.738</v>
      </c>
      <c r="BJ104">
        <v>2.931</v>
      </c>
      <c r="BK104">
        <v>47.603999999999999</v>
      </c>
      <c r="BL104">
        <v>8.141</v>
      </c>
      <c r="BM104">
        <v>0.48299999999999998</v>
      </c>
      <c r="BN104">
        <v>48.738</v>
      </c>
      <c r="BO104">
        <v>71.075000000000003</v>
      </c>
      <c r="BP104">
        <v>0</v>
      </c>
      <c r="BQ104">
        <v>50.871000000000002</v>
      </c>
      <c r="BR104">
        <v>-0.48299999999999998</v>
      </c>
      <c r="BS104">
        <v>52.396000000000001</v>
      </c>
      <c r="BT104">
        <v>97.069000000000003</v>
      </c>
      <c r="BU104">
        <v>91.858999999999995</v>
      </c>
      <c r="BV104">
        <v>3094</v>
      </c>
      <c r="BW104">
        <v>68</v>
      </c>
      <c r="BX104">
        <v>255.375</v>
      </c>
      <c r="BY104">
        <v>26</v>
      </c>
      <c r="BZ104">
        <v>396.125</v>
      </c>
      <c r="CA104">
        <v>7.28</v>
      </c>
      <c r="CB104">
        <v>1030</v>
      </c>
      <c r="CC104">
        <v>123.125</v>
      </c>
      <c r="CD104">
        <v>4.8520000000000003</v>
      </c>
      <c r="CE104">
        <v>3</v>
      </c>
      <c r="CF104">
        <v>3764</v>
      </c>
      <c r="CG104">
        <v>16</v>
      </c>
      <c r="CH104">
        <v>273</v>
      </c>
      <c r="CI104">
        <v>10.706</v>
      </c>
      <c r="CJ104">
        <v>5.5910000000000002</v>
      </c>
      <c r="CK104">
        <v>5.05</v>
      </c>
      <c r="CL104">
        <v>0</v>
      </c>
      <c r="CM104">
        <v>22</v>
      </c>
      <c r="CN104">
        <v>0</v>
      </c>
      <c r="CO104">
        <v>100</v>
      </c>
      <c r="CP104">
        <v>94.736999999999995</v>
      </c>
      <c r="CQ104">
        <v>18</v>
      </c>
      <c r="CR104">
        <v>72</v>
      </c>
      <c r="CS104">
        <v>12.5</v>
      </c>
      <c r="CT104">
        <v>20</v>
      </c>
      <c r="CU104">
        <v>8</v>
      </c>
      <c r="CV104">
        <v>0</v>
      </c>
      <c r="CW104">
        <v>16</v>
      </c>
      <c r="CX104">
        <v>188</v>
      </c>
      <c r="CY104">
        <v>21.875</v>
      </c>
      <c r="CZ104">
        <v>70</v>
      </c>
      <c r="DA104">
        <v>48.673000000000002</v>
      </c>
      <c r="DB104">
        <v>61.73</v>
      </c>
      <c r="DC104">
        <v>-3</v>
      </c>
      <c r="DD104">
        <v>2891</v>
      </c>
      <c r="DE104">
        <v>70.161000000000001</v>
      </c>
      <c r="DF104">
        <v>250.875</v>
      </c>
      <c r="DG104">
        <v>23</v>
      </c>
      <c r="DH104">
        <v>393.25</v>
      </c>
      <c r="DI104">
        <v>8.3510000000000009</v>
      </c>
      <c r="DJ104">
        <v>1690</v>
      </c>
      <c r="DK104">
        <v>134.375</v>
      </c>
      <c r="DL104">
        <v>5.0229999999999997</v>
      </c>
      <c r="DM104">
        <v>18</v>
      </c>
      <c r="DN104">
        <v>3396</v>
      </c>
      <c r="DO104">
        <v>13</v>
      </c>
      <c r="DP104">
        <v>258.875</v>
      </c>
      <c r="DQ104">
        <v>11.901999999999999</v>
      </c>
      <c r="DR104">
        <v>6.8259999999999996</v>
      </c>
      <c r="DS104">
        <v>6.0910000000000002</v>
      </c>
      <c r="DT104">
        <v>1</v>
      </c>
      <c r="DU104">
        <v>23</v>
      </c>
      <c r="DV104">
        <v>0</v>
      </c>
      <c r="DW104">
        <v>96.296000000000006</v>
      </c>
      <c r="DX104">
        <v>94.117999999999995</v>
      </c>
      <c r="DY104">
        <v>16</v>
      </c>
      <c r="DZ104">
        <v>74</v>
      </c>
      <c r="EA104">
        <v>4.25</v>
      </c>
      <c r="EB104">
        <v>8</v>
      </c>
      <c r="EC104">
        <v>16</v>
      </c>
      <c r="ED104">
        <v>6</v>
      </c>
      <c r="EE104">
        <v>13</v>
      </c>
      <c r="EF104">
        <v>270</v>
      </c>
      <c r="EG104">
        <v>23.25</v>
      </c>
      <c r="EH104">
        <v>83.332999999999998</v>
      </c>
      <c r="EI104">
        <v>45.348999999999997</v>
      </c>
      <c r="EJ104">
        <v>77.069999999999993</v>
      </c>
      <c r="EK104">
        <v>8</v>
      </c>
    </row>
    <row r="105" spans="1:141" x14ac:dyDescent="0.25">
      <c r="A105">
        <v>66</v>
      </c>
      <c r="B105">
        <v>22</v>
      </c>
      <c r="C105">
        <v>1</v>
      </c>
      <c r="D105">
        <v>2025</v>
      </c>
      <c r="E105">
        <v>7</v>
      </c>
      <c r="F105" t="str">
        <f>VLOOKUP(G105, Map!$A$1:$B$33, 2, FALSE)</f>
        <v>DAL</v>
      </c>
      <c r="G105" t="s">
        <v>150</v>
      </c>
      <c r="H105" t="str">
        <f>VLOOKUP(I105, Map!$A$1:$B$33, 2, FALSE)</f>
        <v>WAS</v>
      </c>
      <c r="I105" t="s">
        <v>148</v>
      </c>
      <c r="J105">
        <v>0</v>
      </c>
      <c r="K105">
        <v>0</v>
      </c>
      <c r="L105">
        <v>0</v>
      </c>
      <c r="M105">
        <v>1</v>
      </c>
      <c r="N105">
        <v>3</v>
      </c>
      <c r="O105">
        <v>4</v>
      </c>
      <c r="P105">
        <v>31.25</v>
      </c>
      <c r="Q105">
        <v>30.75</v>
      </c>
      <c r="R105">
        <v>-4</v>
      </c>
      <c r="S105">
        <v>-1</v>
      </c>
      <c r="T105">
        <v>0.4375</v>
      </c>
      <c r="U105">
        <v>2</v>
      </c>
      <c r="V105">
        <v>1</v>
      </c>
      <c r="W105">
        <v>2</v>
      </c>
      <c r="X105">
        <v>0</v>
      </c>
      <c r="Y105">
        <v>1</v>
      </c>
      <c r="Z105">
        <v>4</v>
      </c>
      <c r="AA105">
        <v>2</v>
      </c>
      <c r="AB105">
        <v>3</v>
      </c>
      <c r="AC105">
        <v>13</v>
      </c>
      <c r="AD105">
        <v>5</v>
      </c>
      <c r="AE105">
        <v>11</v>
      </c>
      <c r="AF105">
        <v>7</v>
      </c>
      <c r="AG105">
        <v>68</v>
      </c>
      <c r="AH105">
        <v>0</v>
      </c>
      <c r="AI105">
        <v>3</v>
      </c>
      <c r="AJ105">
        <v>5</v>
      </c>
      <c r="AK105">
        <v>24.75</v>
      </c>
      <c r="AL105">
        <v>23.375</v>
      </c>
      <c r="AM105">
        <v>-11</v>
      </c>
      <c r="AN105">
        <v>-3</v>
      </c>
      <c r="AO105">
        <v>0.375</v>
      </c>
      <c r="AP105">
        <v>1</v>
      </c>
      <c r="AQ105">
        <v>1</v>
      </c>
      <c r="AR105">
        <v>2</v>
      </c>
      <c r="AS105">
        <v>1</v>
      </c>
      <c r="AT105">
        <v>1</v>
      </c>
      <c r="AU105">
        <v>4</v>
      </c>
      <c r="AV105">
        <v>1</v>
      </c>
      <c r="AW105">
        <v>4</v>
      </c>
      <c r="AX105">
        <v>7</v>
      </c>
      <c r="AY105">
        <v>8</v>
      </c>
      <c r="AZ105">
        <v>7</v>
      </c>
      <c r="BA105">
        <v>8</v>
      </c>
      <c r="BB105">
        <v>65</v>
      </c>
      <c r="BC105">
        <v>61.5</v>
      </c>
      <c r="BD105">
        <v>-12.5</v>
      </c>
      <c r="BE105">
        <v>0</v>
      </c>
      <c r="BF105">
        <v>0</v>
      </c>
      <c r="BG105">
        <v>47.941000000000003</v>
      </c>
      <c r="BH105">
        <v>68.957999999999998</v>
      </c>
      <c r="BI105">
        <v>51.673999999999999</v>
      </c>
      <c r="BJ105">
        <v>75.251000000000005</v>
      </c>
      <c r="BK105">
        <v>88.331999999999994</v>
      </c>
      <c r="BL105">
        <v>91.593999999999994</v>
      </c>
      <c r="BM105">
        <v>-0.56599999999999995</v>
      </c>
      <c r="BN105">
        <v>51.673999999999999</v>
      </c>
      <c r="BO105">
        <v>68.957999999999998</v>
      </c>
      <c r="BP105">
        <v>0</v>
      </c>
      <c r="BQ105">
        <v>47.941000000000003</v>
      </c>
      <c r="BR105">
        <v>0.56599999999999995</v>
      </c>
      <c r="BS105">
        <v>11.667999999999999</v>
      </c>
      <c r="BT105">
        <v>24.748999999999999</v>
      </c>
      <c r="BU105">
        <v>8.4060000000000006</v>
      </c>
      <c r="BV105">
        <v>3160</v>
      </c>
      <c r="BW105">
        <v>70.233999999999995</v>
      </c>
      <c r="BX105">
        <v>263.75</v>
      </c>
      <c r="BY105">
        <v>25</v>
      </c>
      <c r="BZ105">
        <v>391.375</v>
      </c>
      <c r="CA105">
        <v>7.1909999999999998</v>
      </c>
      <c r="CB105">
        <v>1283</v>
      </c>
      <c r="CC105">
        <v>120.375</v>
      </c>
      <c r="CD105">
        <v>4.6749999999999998</v>
      </c>
      <c r="CE105">
        <v>10</v>
      </c>
      <c r="CF105">
        <v>3813</v>
      </c>
      <c r="CG105">
        <v>17</v>
      </c>
      <c r="CH105">
        <v>271</v>
      </c>
      <c r="CI105">
        <v>10.238</v>
      </c>
      <c r="CJ105">
        <v>7.7329999999999997</v>
      </c>
      <c r="CK105">
        <v>4.8099999999999996</v>
      </c>
      <c r="CL105">
        <v>1</v>
      </c>
      <c r="CM105">
        <v>15</v>
      </c>
      <c r="CN105">
        <v>0</v>
      </c>
      <c r="CO105">
        <v>96.296000000000006</v>
      </c>
      <c r="CP105">
        <v>100</v>
      </c>
      <c r="CQ105">
        <v>16</v>
      </c>
      <c r="CR105">
        <v>74</v>
      </c>
      <c r="CS105">
        <v>10</v>
      </c>
      <c r="CT105">
        <v>28</v>
      </c>
      <c r="CU105">
        <v>11</v>
      </c>
      <c r="CV105">
        <v>6</v>
      </c>
      <c r="CW105">
        <v>17</v>
      </c>
      <c r="CX105">
        <v>246</v>
      </c>
      <c r="CY105">
        <v>23.125</v>
      </c>
      <c r="CZ105">
        <v>77.778000000000006</v>
      </c>
      <c r="DA105">
        <v>43.158000000000001</v>
      </c>
      <c r="DB105">
        <v>74.19</v>
      </c>
      <c r="DC105">
        <v>-1</v>
      </c>
      <c r="DD105">
        <v>2360</v>
      </c>
      <c r="DE105">
        <v>61.966000000000001</v>
      </c>
      <c r="DF105">
        <v>196.625</v>
      </c>
      <c r="DG105">
        <v>20</v>
      </c>
      <c r="DH105">
        <v>346.5</v>
      </c>
      <c r="DI105">
        <v>7.1369999999999996</v>
      </c>
      <c r="DJ105">
        <v>1342</v>
      </c>
      <c r="DK105">
        <v>137.75</v>
      </c>
      <c r="DL105">
        <v>5.1980000000000004</v>
      </c>
      <c r="DM105">
        <v>9</v>
      </c>
      <c r="DN105">
        <v>2815</v>
      </c>
      <c r="DO105">
        <v>12</v>
      </c>
      <c r="DP105">
        <v>208.75</v>
      </c>
      <c r="DQ105">
        <v>11.516999999999999</v>
      </c>
      <c r="DR105">
        <v>6.1360000000000001</v>
      </c>
      <c r="DS105">
        <v>5.9470000000000001</v>
      </c>
      <c r="DT105">
        <v>1</v>
      </c>
      <c r="DU105">
        <v>22</v>
      </c>
      <c r="DV105">
        <v>0</v>
      </c>
      <c r="DW105">
        <v>100</v>
      </c>
      <c r="DX105">
        <v>71.429000000000002</v>
      </c>
      <c r="DY105">
        <v>10</v>
      </c>
      <c r="DZ105">
        <v>49</v>
      </c>
      <c r="EA105">
        <v>4</v>
      </c>
      <c r="EB105">
        <v>11</v>
      </c>
      <c r="EC105">
        <v>25</v>
      </c>
      <c r="ED105">
        <v>8</v>
      </c>
      <c r="EE105">
        <v>12</v>
      </c>
      <c r="EF105">
        <v>187</v>
      </c>
      <c r="EG105">
        <v>18.75</v>
      </c>
      <c r="EH105">
        <v>45.454999999999998</v>
      </c>
      <c r="EI105">
        <v>38.636000000000003</v>
      </c>
      <c r="EJ105">
        <v>79.290000000000006</v>
      </c>
      <c r="EK105">
        <v>-5</v>
      </c>
    </row>
    <row r="106" spans="1:141" x14ac:dyDescent="0.25">
      <c r="A106">
        <v>50</v>
      </c>
      <c r="B106">
        <v>-4</v>
      </c>
      <c r="C106">
        <v>0</v>
      </c>
      <c r="D106">
        <v>2025</v>
      </c>
      <c r="E106">
        <v>7</v>
      </c>
      <c r="F106" t="str">
        <f>VLOOKUP(G106, Map!$A$1:$B$33, 2, FALSE)</f>
        <v>ARI</v>
      </c>
      <c r="G106" t="s">
        <v>156</v>
      </c>
      <c r="H106" t="str">
        <f>VLOOKUP(I106, Map!$A$1:$B$33, 2, FALSE)</f>
        <v>GB</v>
      </c>
      <c r="I106" t="s">
        <v>154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5</v>
      </c>
      <c r="P106">
        <v>22</v>
      </c>
      <c r="Q106">
        <v>21.857143000000001</v>
      </c>
      <c r="R106">
        <v>-1</v>
      </c>
      <c r="S106">
        <v>-5</v>
      </c>
      <c r="T106">
        <v>0.28571429999999998</v>
      </c>
      <c r="U106">
        <v>0</v>
      </c>
      <c r="V106">
        <v>2</v>
      </c>
      <c r="W106">
        <v>1</v>
      </c>
      <c r="X106">
        <v>3</v>
      </c>
      <c r="Y106">
        <v>1</v>
      </c>
      <c r="Z106">
        <v>2</v>
      </c>
      <c r="AA106">
        <v>2</v>
      </c>
      <c r="AB106">
        <v>3</v>
      </c>
      <c r="AC106">
        <v>4</v>
      </c>
      <c r="AD106">
        <v>12</v>
      </c>
      <c r="AE106">
        <v>8</v>
      </c>
      <c r="AF106">
        <v>8</v>
      </c>
      <c r="AG106">
        <v>69</v>
      </c>
      <c r="AH106">
        <v>1</v>
      </c>
      <c r="AI106">
        <v>5</v>
      </c>
      <c r="AJ106">
        <v>1</v>
      </c>
      <c r="AK106">
        <v>21.428571999999999</v>
      </c>
      <c r="AL106">
        <v>27.571428000000001</v>
      </c>
      <c r="AM106">
        <v>43</v>
      </c>
      <c r="AN106">
        <v>3</v>
      </c>
      <c r="AO106">
        <v>0.78571427000000005</v>
      </c>
      <c r="AP106">
        <v>1</v>
      </c>
      <c r="AQ106">
        <v>0</v>
      </c>
      <c r="AR106">
        <v>3</v>
      </c>
      <c r="AS106">
        <v>0</v>
      </c>
      <c r="AT106">
        <v>2</v>
      </c>
      <c r="AU106">
        <v>1</v>
      </c>
      <c r="AV106">
        <v>3</v>
      </c>
      <c r="AW106">
        <v>0</v>
      </c>
      <c r="AX106">
        <v>8</v>
      </c>
      <c r="AY106">
        <v>8</v>
      </c>
      <c r="AZ106">
        <v>8</v>
      </c>
      <c r="BA106">
        <v>8</v>
      </c>
      <c r="BB106">
        <v>61</v>
      </c>
      <c r="BC106">
        <v>47</v>
      </c>
      <c r="BD106">
        <v>5</v>
      </c>
      <c r="BE106">
        <v>0</v>
      </c>
      <c r="BF106">
        <v>0</v>
      </c>
      <c r="BG106">
        <v>33.067</v>
      </c>
      <c r="BH106">
        <v>63.558999999999997</v>
      </c>
      <c r="BI106">
        <v>66.667000000000002</v>
      </c>
      <c r="BJ106">
        <v>35.186</v>
      </c>
      <c r="BK106">
        <v>49.866</v>
      </c>
      <c r="BL106">
        <v>42.56</v>
      </c>
      <c r="BM106">
        <v>-6.9740000000000002</v>
      </c>
      <c r="BN106">
        <v>66.667000000000002</v>
      </c>
      <c r="BO106">
        <v>63.558999999999997</v>
      </c>
      <c r="BP106">
        <v>0</v>
      </c>
      <c r="BQ106">
        <v>33.067</v>
      </c>
      <c r="BR106">
        <v>6.9740000000000002</v>
      </c>
      <c r="BS106">
        <v>50.134</v>
      </c>
      <c r="BT106">
        <v>64.813999999999993</v>
      </c>
      <c r="BU106">
        <v>57.44</v>
      </c>
      <c r="BV106">
        <v>2113</v>
      </c>
      <c r="BW106">
        <v>66.941999999999993</v>
      </c>
      <c r="BX106">
        <v>199.85714999999999</v>
      </c>
      <c r="BY106">
        <v>18</v>
      </c>
      <c r="BZ106">
        <v>333.42856</v>
      </c>
      <c r="CA106">
        <v>6.335</v>
      </c>
      <c r="CB106">
        <v>888</v>
      </c>
      <c r="CC106">
        <v>110.429</v>
      </c>
      <c r="CD106">
        <v>4.4169999999999998</v>
      </c>
      <c r="CE106">
        <v>5</v>
      </c>
      <c r="CF106">
        <v>2721</v>
      </c>
      <c r="CG106">
        <v>10</v>
      </c>
      <c r="CH106">
        <v>223</v>
      </c>
      <c r="CI106">
        <v>9.4629999999999992</v>
      </c>
      <c r="CJ106">
        <v>6.6669999999999998</v>
      </c>
      <c r="CK106">
        <v>3.238</v>
      </c>
      <c r="CL106">
        <v>1</v>
      </c>
      <c r="CM106">
        <v>12</v>
      </c>
      <c r="CN106">
        <v>0</v>
      </c>
      <c r="CO106">
        <v>100</v>
      </c>
      <c r="CP106">
        <v>86.667000000000002</v>
      </c>
      <c r="CQ106">
        <v>13</v>
      </c>
      <c r="CR106">
        <v>55</v>
      </c>
      <c r="CS106">
        <v>8.25</v>
      </c>
      <c r="CT106">
        <v>25</v>
      </c>
      <c r="CU106">
        <v>9</v>
      </c>
      <c r="CV106">
        <v>8</v>
      </c>
      <c r="CW106">
        <v>10</v>
      </c>
      <c r="CX106">
        <v>153</v>
      </c>
      <c r="CY106">
        <v>19</v>
      </c>
      <c r="CZ106">
        <v>57.143000000000001</v>
      </c>
      <c r="DA106">
        <v>44.792000000000002</v>
      </c>
      <c r="DB106">
        <v>63.49</v>
      </c>
      <c r="DC106">
        <v>-1</v>
      </c>
      <c r="DD106">
        <v>2648</v>
      </c>
      <c r="DE106">
        <v>70.891999999999996</v>
      </c>
      <c r="DF106">
        <v>245</v>
      </c>
      <c r="DG106">
        <v>26</v>
      </c>
      <c r="DH106">
        <v>371</v>
      </c>
      <c r="DI106">
        <v>8.4410000000000007</v>
      </c>
      <c r="DJ106">
        <v>1099</v>
      </c>
      <c r="DK106">
        <v>114.143</v>
      </c>
      <c r="DL106">
        <v>3.9359999999999999</v>
      </c>
      <c r="DM106">
        <v>9</v>
      </c>
      <c r="DN106">
        <v>3008</v>
      </c>
      <c r="DO106">
        <v>13</v>
      </c>
      <c r="DP106">
        <v>256.85700000000003</v>
      </c>
      <c r="DQ106">
        <v>11.907</v>
      </c>
      <c r="DR106">
        <v>6.1429999999999998</v>
      </c>
      <c r="DS106">
        <v>6.75</v>
      </c>
      <c r="DT106">
        <v>0</v>
      </c>
      <c r="DU106">
        <v>21</v>
      </c>
      <c r="DV106">
        <v>0</v>
      </c>
      <c r="DW106">
        <v>95.238</v>
      </c>
      <c r="DX106">
        <v>76.471000000000004</v>
      </c>
      <c r="DY106">
        <v>13</v>
      </c>
      <c r="DZ106">
        <v>59</v>
      </c>
      <c r="EA106">
        <v>11.909000000000001</v>
      </c>
      <c r="EB106">
        <v>6</v>
      </c>
      <c r="EC106">
        <v>22</v>
      </c>
      <c r="ED106">
        <v>0</v>
      </c>
      <c r="EE106">
        <v>13</v>
      </c>
      <c r="EF106">
        <v>193</v>
      </c>
      <c r="EG106">
        <v>21</v>
      </c>
      <c r="EH106">
        <v>75</v>
      </c>
      <c r="EI106">
        <v>48.276000000000003</v>
      </c>
      <c r="EJ106">
        <v>78.569999999999993</v>
      </c>
      <c r="EK106">
        <v>1</v>
      </c>
    </row>
    <row r="107" spans="1:141" x14ac:dyDescent="0.25">
      <c r="A107">
        <v>30</v>
      </c>
      <c r="B107">
        <v>10</v>
      </c>
      <c r="C107">
        <v>1</v>
      </c>
      <c r="D107">
        <v>2025</v>
      </c>
      <c r="E107">
        <v>7</v>
      </c>
      <c r="F107" t="str">
        <f>VLOOKUP(G107, Map!$A$1:$B$33, 2, FALSE)</f>
        <v>SF</v>
      </c>
      <c r="G107" t="s">
        <v>143</v>
      </c>
      <c r="H107" t="str">
        <f>VLOOKUP(I107, Map!$A$1:$B$33, 2, FALSE)</f>
        <v>ATL</v>
      </c>
      <c r="I107" t="s">
        <v>167</v>
      </c>
      <c r="J107">
        <v>0</v>
      </c>
      <c r="K107">
        <v>0</v>
      </c>
      <c r="L107">
        <v>0</v>
      </c>
      <c r="M107">
        <v>1</v>
      </c>
      <c r="N107">
        <v>5</v>
      </c>
      <c r="O107">
        <v>3</v>
      </c>
      <c r="P107">
        <v>20.5</v>
      </c>
      <c r="Q107">
        <v>20</v>
      </c>
      <c r="R107">
        <v>-4</v>
      </c>
      <c r="S107">
        <v>-1</v>
      </c>
      <c r="T107">
        <v>0.625</v>
      </c>
      <c r="U107">
        <v>3</v>
      </c>
      <c r="V107">
        <v>0</v>
      </c>
      <c r="W107">
        <v>2</v>
      </c>
      <c r="X107">
        <v>1</v>
      </c>
      <c r="Y107">
        <v>3</v>
      </c>
      <c r="Z107">
        <v>2</v>
      </c>
      <c r="AA107">
        <v>5</v>
      </c>
      <c r="AB107">
        <v>1</v>
      </c>
      <c r="AC107">
        <v>15</v>
      </c>
      <c r="AD107">
        <v>5</v>
      </c>
      <c r="AE107">
        <v>13</v>
      </c>
      <c r="AF107">
        <v>7</v>
      </c>
      <c r="AG107">
        <v>68</v>
      </c>
      <c r="AH107">
        <v>0</v>
      </c>
      <c r="AI107">
        <v>3</v>
      </c>
      <c r="AJ107">
        <v>4</v>
      </c>
      <c r="AK107">
        <v>22</v>
      </c>
      <c r="AL107">
        <v>17.142856999999999</v>
      </c>
      <c r="AM107">
        <v>-34</v>
      </c>
      <c r="AN107">
        <v>-2</v>
      </c>
      <c r="AO107">
        <v>0.42857142999999998</v>
      </c>
      <c r="AP107">
        <v>0</v>
      </c>
      <c r="AQ107">
        <v>2</v>
      </c>
      <c r="AR107">
        <v>2</v>
      </c>
      <c r="AS107">
        <v>2</v>
      </c>
      <c r="AT107">
        <v>1</v>
      </c>
      <c r="AU107">
        <v>2</v>
      </c>
      <c r="AV107">
        <v>2</v>
      </c>
      <c r="AW107">
        <v>3</v>
      </c>
      <c r="AX107">
        <v>7</v>
      </c>
      <c r="AY107">
        <v>10</v>
      </c>
      <c r="AZ107">
        <v>9</v>
      </c>
      <c r="BA107">
        <v>8</v>
      </c>
      <c r="BB107">
        <v>64</v>
      </c>
      <c r="BC107">
        <v>38.5</v>
      </c>
      <c r="BD107">
        <v>-3.5</v>
      </c>
      <c r="BE107">
        <v>0</v>
      </c>
      <c r="BF107">
        <v>0</v>
      </c>
      <c r="BG107">
        <v>47.475999999999999</v>
      </c>
      <c r="BH107">
        <v>57.533999999999999</v>
      </c>
      <c r="BI107">
        <v>52.143000000000001</v>
      </c>
      <c r="BJ107">
        <v>69.304000000000002</v>
      </c>
      <c r="BK107">
        <v>55.462000000000003</v>
      </c>
      <c r="BL107">
        <v>68.238</v>
      </c>
      <c r="BM107">
        <v>-1.121</v>
      </c>
      <c r="BN107">
        <v>52.143000000000001</v>
      </c>
      <c r="BO107">
        <v>57.533999999999999</v>
      </c>
      <c r="BP107">
        <v>0</v>
      </c>
      <c r="BQ107">
        <v>47.475999999999999</v>
      </c>
      <c r="BR107">
        <v>1.121</v>
      </c>
      <c r="BS107">
        <v>44.537999999999997</v>
      </c>
      <c r="BT107">
        <v>30.696000000000002</v>
      </c>
      <c r="BU107">
        <v>31.762</v>
      </c>
      <c r="BV107">
        <v>2753</v>
      </c>
      <c r="BW107">
        <v>65.885999999999996</v>
      </c>
      <c r="BX107">
        <v>259.25</v>
      </c>
      <c r="BY107">
        <v>23</v>
      </c>
      <c r="BZ107">
        <v>362.25</v>
      </c>
      <c r="CA107">
        <v>7.3010000000000002</v>
      </c>
      <c r="CB107">
        <v>775</v>
      </c>
      <c r="CC107">
        <v>89.375</v>
      </c>
      <c r="CD107">
        <v>3.4049999999999998</v>
      </c>
      <c r="CE107">
        <v>3</v>
      </c>
      <c r="CF107">
        <v>3588</v>
      </c>
      <c r="CG107">
        <v>12</v>
      </c>
      <c r="CH107">
        <v>272.875</v>
      </c>
      <c r="CI107">
        <v>11.081</v>
      </c>
      <c r="CJ107">
        <v>6.6669999999999998</v>
      </c>
      <c r="CK107">
        <v>1.889</v>
      </c>
      <c r="CL107">
        <v>0</v>
      </c>
      <c r="CM107">
        <v>9</v>
      </c>
      <c r="CN107">
        <v>0</v>
      </c>
      <c r="CO107">
        <v>92.308000000000007</v>
      </c>
      <c r="CP107">
        <v>90</v>
      </c>
      <c r="CQ107">
        <v>18</v>
      </c>
      <c r="CR107">
        <v>66</v>
      </c>
      <c r="CS107">
        <v>14.308</v>
      </c>
      <c r="CT107">
        <v>25</v>
      </c>
      <c r="CU107">
        <v>12</v>
      </c>
      <c r="CV107">
        <v>0</v>
      </c>
      <c r="CW107">
        <v>12</v>
      </c>
      <c r="CX107">
        <v>160</v>
      </c>
      <c r="CY107">
        <v>20.875</v>
      </c>
      <c r="CZ107">
        <v>54.545000000000002</v>
      </c>
      <c r="DA107">
        <v>46.363999999999997</v>
      </c>
      <c r="DB107">
        <v>65.709999999999994</v>
      </c>
      <c r="DC107">
        <v>-5</v>
      </c>
      <c r="DD107">
        <v>1871</v>
      </c>
      <c r="DE107">
        <v>62.231999999999999</v>
      </c>
      <c r="DF107">
        <v>219.42857000000001</v>
      </c>
      <c r="DG107">
        <v>19</v>
      </c>
      <c r="DH107">
        <v>353.42856</v>
      </c>
      <c r="DI107">
        <v>6.9139999999999997</v>
      </c>
      <c r="DJ107">
        <v>1048</v>
      </c>
      <c r="DK107">
        <v>123.286</v>
      </c>
      <c r="DL107">
        <v>4.4029999999999996</v>
      </c>
      <c r="DM107">
        <v>7</v>
      </c>
      <c r="DN107">
        <v>2511</v>
      </c>
      <c r="DO107">
        <v>5</v>
      </c>
      <c r="DP107">
        <v>230.143</v>
      </c>
      <c r="DQ107">
        <v>11.11</v>
      </c>
      <c r="DR107">
        <v>5.9379999999999997</v>
      </c>
      <c r="DS107">
        <v>5.6429999999999998</v>
      </c>
      <c r="DT107">
        <v>0</v>
      </c>
      <c r="DU107">
        <v>16</v>
      </c>
      <c r="DV107">
        <v>0</v>
      </c>
      <c r="DW107">
        <v>100</v>
      </c>
      <c r="DX107">
        <v>75</v>
      </c>
      <c r="DY107">
        <v>12</v>
      </c>
      <c r="DZ107">
        <v>48</v>
      </c>
      <c r="EA107">
        <v>7.5380000000000003</v>
      </c>
      <c r="EB107">
        <v>9</v>
      </c>
      <c r="EC107">
        <v>22</v>
      </c>
      <c r="ED107">
        <v>0</v>
      </c>
      <c r="EE107">
        <v>5</v>
      </c>
      <c r="EF107">
        <v>120</v>
      </c>
      <c r="EG107">
        <v>19.286000000000001</v>
      </c>
      <c r="EH107">
        <v>40</v>
      </c>
      <c r="EI107">
        <v>39.326000000000001</v>
      </c>
      <c r="EJ107">
        <v>57.86</v>
      </c>
      <c r="EK107">
        <v>2</v>
      </c>
    </row>
    <row r="108" spans="1:141" x14ac:dyDescent="0.25">
      <c r="A108">
        <v>33</v>
      </c>
      <c r="B108">
        <v>15</v>
      </c>
      <c r="C108">
        <v>1</v>
      </c>
      <c r="D108">
        <v>2025</v>
      </c>
      <c r="E108">
        <v>7</v>
      </c>
      <c r="F108" t="str">
        <f>VLOOKUP(G108, Map!$A$1:$B$33, 2, FALSE)</f>
        <v>DET</v>
      </c>
      <c r="G108" t="s">
        <v>164</v>
      </c>
      <c r="H108" t="str">
        <f>VLOOKUP(I108, Map!$A$1:$B$33, 2, FALSE)</f>
        <v>TB</v>
      </c>
      <c r="I108" t="s">
        <v>141</v>
      </c>
      <c r="J108">
        <v>0</v>
      </c>
      <c r="K108">
        <v>0</v>
      </c>
      <c r="L108">
        <v>0</v>
      </c>
      <c r="M108">
        <v>1</v>
      </c>
      <c r="N108">
        <v>5</v>
      </c>
      <c r="O108">
        <v>2</v>
      </c>
      <c r="P108">
        <v>21.571428000000001</v>
      </c>
      <c r="Q108">
        <v>30.714285</v>
      </c>
      <c r="R108">
        <v>64</v>
      </c>
      <c r="S108">
        <v>1</v>
      </c>
      <c r="T108">
        <v>0.71428572999999995</v>
      </c>
      <c r="U108">
        <v>1</v>
      </c>
      <c r="V108">
        <v>1</v>
      </c>
      <c r="W108">
        <v>3</v>
      </c>
      <c r="X108">
        <v>0</v>
      </c>
      <c r="Y108">
        <v>2</v>
      </c>
      <c r="Z108">
        <v>2</v>
      </c>
      <c r="AA108">
        <v>2</v>
      </c>
      <c r="AB108">
        <v>1</v>
      </c>
      <c r="AC108">
        <v>8</v>
      </c>
      <c r="AD108">
        <v>8</v>
      </c>
      <c r="AE108">
        <v>11</v>
      </c>
      <c r="AF108">
        <v>5</v>
      </c>
      <c r="AG108">
        <v>73</v>
      </c>
      <c r="AH108">
        <v>0</v>
      </c>
      <c r="AI108">
        <v>6</v>
      </c>
      <c r="AJ108">
        <v>2</v>
      </c>
      <c r="AK108">
        <v>22.25</v>
      </c>
      <c r="AL108">
        <v>24.625</v>
      </c>
      <c r="AM108">
        <v>19</v>
      </c>
      <c r="AN108">
        <v>1</v>
      </c>
      <c r="AO108">
        <v>0.75</v>
      </c>
      <c r="AP108">
        <v>2</v>
      </c>
      <c r="AQ108">
        <v>0</v>
      </c>
      <c r="AR108">
        <v>2</v>
      </c>
      <c r="AS108">
        <v>1</v>
      </c>
      <c r="AT108">
        <v>4</v>
      </c>
      <c r="AU108">
        <v>1</v>
      </c>
      <c r="AV108">
        <v>4</v>
      </c>
      <c r="AW108">
        <v>2</v>
      </c>
      <c r="AX108">
        <v>8</v>
      </c>
      <c r="AY108">
        <v>9</v>
      </c>
      <c r="AZ108">
        <v>4</v>
      </c>
      <c r="BA108">
        <v>12</v>
      </c>
      <c r="BB108">
        <v>59</v>
      </c>
      <c r="BC108">
        <v>45.5</v>
      </c>
      <c r="BD108">
        <v>-10.5</v>
      </c>
      <c r="BE108">
        <v>0</v>
      </c>
      <c r="BF108">
        <v>0</v>
      </c>
      <c r="BG108">
        <v>61.246000000000002</v>
      </c>
      <c r="BH108">
        <v>78.756</v>
      </c>
      <c r="BI108">
        <v>38.445999999999998</v>
      </c>
      <c r="BJ108">
        <v>89.978999999999999</v>
      </c>
      <c r="BK108">
        <v>62.851999999999997</v>
      </c>
      <c r="BL108">
        <v>85.659000000000006</v>
      </c>
      <c r="BM108">
        <v>4.7649999999999997</v>
      </c>
      <c r="BN108">
        <v>38.445999999999998</v>
      </c>
      <c r="BO108">
        <v>78.756</v>
      </c>
      <c r="BP108">
        <v>0</v>
      </c>
      <c r="BQ108">
        <v>61.246000000000002</v>
      </c>
      <c r="BR108">
        <v>-4.7649999999999997</v>
      </c>
      <c r="BS108">
        <v>37.148000000000003</v>
      </c>
      <c r="BT108">
        <v>10.021000000000001</v>
      </c>
      <c r="BU108">
        <v>14.340999999999999</v>
      </c>
      <c r="BV108">
        <v>2664</v>
      </c>
      <c r="BW108">
        <v>75</v>
      </c>
      <c r="BX108">
        <v>223.57142999999999</v>
      </c>
      <c r="BY108">
        <v>23</v>
      </c>
      <c r="BZ108">
        <v>367.14285000000001</v>
      </c>
      <c r="CA108">
        <v>8.01</v>
      </c>
      <c r="CB108">
        <v>1256</v>
      </c>
      <c r="CC108">
        <v>133.714</v>
      </c>
      <c r="CD108">
        <v>4.5220000000000002</v>
      </c>
      <c r="CE108">
        <v>10</v>
      </c>
      <c r="CF108">
        <v>2959</v>
      </c>
      <c r="CG108">
        <v>16</v>
      </c>
      <c r="CH108">
        <v>233.429</v>
      </c>
      <c r="CI108">
        <v>10.68</v>
      </c>
      <c r="CJ108">
        <v>6.2610000000000001</v>
      </c>
      <c r="CK108">
        <v>24.2</v>
      </c>
      <c r="CL108">
        <v>1</v>
      </c>
      <c r="CM108">
        <v>23</v>
      </c>
      <c r="CN108">
        <v>0</v>
      </c>
      <c r="CO108">
        <v>100</v>
      </c>
      <c r="CP108">
        <v>72.727000000000004</v>
      </c>
      <c r="CQ108">
        <v>8</v>
      </c>
      <c r="CR108">
        <v>51</v>
      </c>
      <c r="CS108">
        <v>10</v>
      </c>
      <c r="CT108">
        <v>27</v>
      </c>
      <c r="CU108">
        <v>14</v>
      </c>
      <c r="CV108">
        <v>8</v>
      </c>
      <c r="CW108">
        <v>16</v>
      </c>
      <c r="CX108">
        <v>215</v>
      </c>
      <c r="CY108">
        <v>19.856999999999999</v>
      </c>
      <c r="CZ108">
        <v>61.537999999999997</v>
      </c>
      <c r="DA108">
        <v>37.646999999999998</v>
      </c>
      <c r="DB108">
        <v>74.88</v>
      </c>
      <c r="DC108">
        <v>6</v>
      </c>
      <c r="DD108">
        <v>2769</v>
      </c>
      <c r="DE108">
        <v>63.941000000000003</v>
      </c>
      <c r="DF108">
        <v>224.875</v>
      </c>
      <c r="DG108">
        <v>29</v>
      </c>
      <c r="DH108">
        <v>338</v>
      </c>
      <c r="DI108">
        <v>7.1340000000000003</v>
      </c>
      <c r="DJ108">
        <v>950</v>
      </c>
      <c r="DK108">
        <v>98.125</v>
      </c>
      <c r="DL108">
        <v>3.8479999999999999</v>
      </c>
      <c r="DM108">
        <v>6</v>
      </c>
      <c r="DN108">
        <v>3234</v>
      </c>
      <c r="DO108">
        <v>13</v>
      </c>
      <c r="DP108">
        <v>239.875</v>
      </c>
      <c r="DQ108">
        <v>11.157</v>
      </c>
      <c r="DR108">
        <v>7.8</v>
      </c>
      <c r="DS108">
        <v>6.8</v>
      </c>
      <c r="DT108">
        <v>2</v>
      </c>
      <c r="DU108">
        <v>25</v>
      </c>
      <c r="DV108">
        <v>0</v>
      </c>
      <c r="DW108">
        <v>94.117999999999995</v>
      </c>
      <c r="DX108">
        <v>80.951999999999998</v>
      </c>
      <c r="DY108">
        <v>17</v>
      </c>
      <c r="DZ108">
        <v>67</v>
      </c>
      <c r="EA108">
        <v>14.667</v>
      </c>
      <c r="EB108">
        <v>12</v>
      </c>
      <c r="EC108">
        <v>32</v>
      </c>
      <c r="ED108">
        <v>14</v>
      </c>
      <c r="EE108">
        <v>13</v>
      </c>
      <c r="EF108">
        <v>197</v>
      </c>
      <c r="EG108">
        <v>18.875</v>
      </c>
      <c r="EH108">
        <v>50</v>
      </c>
      <c r="EI108">
        <v>36.274999999999999</v>
      </c>
      <c r="EJ108">
        <v>55.19</v>
      </c>
      <c r="EK108">
        <v>7</v>
      </c>
    </row>
    <row r="109" spans="1:141" x14ac:dyDescent="0.25">
      <c r="A109">
        <v>46</v>
      </c>
      <c r="B109">
        <v>8</v>
      </c>
      <c r="C109">
        <v>1</v>
      </c>
      <c r="D109">
        <v>2025</v>
      </c>
      <c r="E109">
        <v>7</v>
      </c>
      <c r="F109" t="str">
        <f>VLOOKUP(G109, Map!$A$1:$B$33, 2, FALSE)</f>
        <v>SEA</v>
      </c>
      <c r="G109" t="s">
        <v>144</v>
      </c>
      <c r="H109" t="str">
        <f>VLOOKUP(I109, Map!$A$1:$B$33, 2, FALSE)</f>
        <v>HOU</v>
      </c>
      <c r="I109" t="s">
        <v>137</v>
      </c>
      <c r="J109">
        <v>0</v>
      </c>
      <c r="K109">
        <v>0</v>
      </c>
      <c r="L109">
        <v>0</v>
      </c>
      <c r="M109">
        <v>1</v>
      </c>
      <c r="N109">
        <v>5</v>
      </c>
      <c r="O109">
        <v>2</v>
      </c>
      <c r="P109">
        <v>19.428571999999999</v>
      </c>
      <c r="Q109">
        <v>27.571428000000001</v>
      </c>
      <c r="R109">
        <v>57</v>
      </c>
      <c r="S109">
        <v>2</v>
      </c>
      <c r="T109">
        <v>0.71428572999999995</v>
      </c>
      <c r="U109">
        <v>1</v>
      </c>
      <c r="V109">
        <v>1</v>
      </c>
      <c r="W109">
        <v>2</v>
      </c>
      <c r="X109">
        <v>2</v>
      </c>
      <c r="Y109">
        <v>3</v>
      </c>
      <c r="Z109">
        <v>0</v>
      </c>
      <c r="AA109">
        <v>2</v>
      </c>
      <c r="AB109">
        <v>2</v>
      </c>
      <c r="AC109">
        <v>9</v>
      </c>
      <c r="AD109">
        <v>8</v>
      </c>
      <c r="AE109">
        <v>7</v>
      </c>
      <c r="AF109">
        <v>10</v>
      </c>
      <c r="AG109">
        <v>61</v>
      </c>
      <c r="AH109">
        <v>0</v>
      </c>
      <c r="AI109">
        <v>3</v>
      </c>
      <c r="AJ109">
        <v>4</v>
      </c>
      <c r="AK109">
        <v>14.714286</v>
      </c>
      <c r="AL109">
        <v>21.857143000000001</v>
      </c>
      <c r="AM109">
        <v>50</v>
      </c>
      <c r="AN109">
        <v>1</v>
      </c>
      <c r="AO109">
        <v>0.42857142999999998</v>
      </c>
      <c r="AP109">
        <v>1</v>
      </c>
      <c r="AQ109">
        <v>1</v>
      </c>
      <c r="AR109">
        <v>2</v>
      </c>
      <c r="AS109">
        <v>1</v>
      </c>
      <c r="AT109">
        <v>1</v>
      </c>
      <c r="AU109">
        <v>3</v>
      </c>
      <c r="AV109">
        <v>2</v>
      </c>
      <c r="AW109">
        <v>1</v>
      </c>
      <c r="AX109">
        <v>3</v>
      </c>
      <c r="AY109">
        <v>13</v>
      </c>
      <c r="AZ109">
        <v>8</v>
      </c>
      <c r="BA109">
        <v>8</v>
      </c>
      <c r="BB109">
        <v>69</v>
      </c>
      <c r="BC109">
        <v>40.5</v>
      </c>
      <c r="BD109">
        <v>-5</v>
      </c>
      <c r="BE109">
        <v>0</v>
      </c>
      <c r="BF109">
        <v>0</v>
      </c>
      <c r="BG109">
        <v>51.942</v>
      </c>
      <c r="BH109">
        <v>65.156000000000006</v>
      </c>
      <c r="BI109">
        <v>47.674999999999997</v>
      </c>
      <c r="BJ109">
        <v>96.007000000000005</v>
      </c>
      <c r="BK109">
        <v>31.43</v>
      </c>
      <c r="BL109">
        <v>81.869</v>
      </c>
      <c r="BM109">
        <v>0.79400000000000004</v>
      </c>
      <c r="BN109">
        <v>47.674999999999997</v>
      </c>
      <c r="BO109">
        <v>65.156000000000006</v>
      </c>
      <c r="BP109">
        <v>0</v>
      </c>
      <c r="BQ109">
        <v>51.942</v>
      </c>
      <c r="BR109">
        <v>-0.79400000000000004</v>
      </c>
      <c r="BS109">
        <v>68.569999999999993</v>
      </c>
      <c r="BT109">
        <v>3.9929999999999999</v>
      </c>
      <c r="BU109">
        <v>18.131</v>
      </c>
      <c r="BV109">
        <v>2459</v>
      </c>
      <c r="BW109">
        <v>67.856999999999999</v>
      </c>
      <c r="BX109">
        <v>244.42857000000001</v>
      </c>
      <c r="BY109">
        <v>27</v>
      </c>
      <c r="BZ109">
        <v>358.85714999999999</v>
      </c>
      <c r="CA109">
        <v>9.0259999999999998</v>
      </c>
      <c r="CB109">
        <v>918</v>
      </c>
      <c r="CC109">
        <v>106.143</v>
      </c>
      <c r="CD109">
        <v>3.6779999999999999</v>
      </c>
      <c r="CE109">
        <v>8</v>
      </c>
      <c r="CF109">
        <v>2854</v>
      </c>
      <c r="CG109">
        <v>12</v>
      </c>
      <c r="CH109">
        <v>252.714</v>
      </c>
      <c r="CI109">
        <v>13.301</v>
      </c>
      <c r="CJ109">
        <v>7.1740000000000004</v>
      </c>
      <c r="CK109">
        <v>7.8890000000000002</v>
      </c>
      <c r="CL109">
        <v>2</v>
      </c>
      <c r="CM109">
        <v>23</v>
      </c>
      <c r="CN109">
        <v>0</v>
      </c>
      <c r="CO109">
        <v>100</v>
      </c>
      <c r="CP109">
        <v>76.471000000000004</v>
      </c>
      <c r="CQ109">
        <v>13</v>
      </c>
      <c r="CR109">
        <v>61</v>
      </c>
      <c r="CS109">
        <v>11</v>
      </c>
      <c r="CT109">
        <v>26</v>
      </c>
      <c r="CU109">
        <v>10</v>
      </c>
      <c r="CV109">
        <v>6</v>
      </c>
      <c r="CW109">
        <v>12</v>
      </c>
      <c r="CX109">
        <v>193</v>
      </c>
      <c r="CY109">
        <v>19.428999999999998</v>
      </c>
      <c r="CZ109">
        <v>66.667000000000002</v>
      </c>
      <c r="DA109">
        <v>33.332999999999998</v>
      </c>
      <c r="DB109">
        <v>76.569999999999993</v>
      </c>
      <c r="DC109">
        <v>-4</v>
      </c>
      <c r="DD109">
        <v>2266</v>
      </c>
      <c r="DE109">
        <v>66.525000000000006</v>
      </c>
      <c r="DF109">
        <v>215.28572</v>
      </c>
      <c r="DG109">
        <v>22</v>
      </c>
      <c r="DH109">
        <v>348.57144</v>
      </c>
      <c r="DI109">
        <v>6.9749999999999996</v>
      </c>
      <c r="DJ109">
        <v>869</v>
      </c>
      <c r="DK109">
        <v>113.429</v>
      </c>
      <c r="DL109">
        <v>4.2690000000000001</v>
      </c>
      <c r="DM109">
        <v>3</v>
      </c>
      <c r="DN109">
        <v>2816</v>
      </c>
      <c r="DO109">
        <v>11</v>
      </c>
      <c r="DP109">
        <v>235.143</v>
      </c>
      <c r="DQ109">
        <v>10.484</v>
      </c>
      <c r="DR109">
        <v>7.875</v>
      </c>
      <c r="DS109">
        <v>6.1109999999999998</v>
      </c>
      <c r="DT109">
        <v>1</v>
      </c>
      <c r="DU109">
        <v>16</v>
      </c>
      <c r="DV109">
        <v>0</v>
      </c>
      <c r="DW109">
        <v>100</v>
      </c>
      <c r="DX109">
        <v>89.474000000000004</v>
      </c>
      <c r="DY109">
        <v>17</v>
      </c>
      <c r="DZ109">
        <v>63</v>
      </c>
      <c r="EA109">
        <v>11.545</v>
      </c>
      <c r="EB109">
        <v>9</v>
      </c>
      <c r="EC109">
        <v>27</v>
      </c>
      <c r="ED109">
        <v>6</v>
      </c>
      <c r="EE109">
        <v>11</v>
      </c>
      <c r="EF109">
        <v>153</v>
      </c>
      <c r="EG109">
        <v>18.713999999999999</v>
      </c>
      <c r="EH109">
        <v>66.667000000000002</v>
      </c>
      <c r="EI109">
        <v>35.164999999999999</v>
      </c>
      <c r="EJ109">
        <v>60.15</v>
      </c>
      <c r="EK109">
        <v>4</v>
      </c>
    </row>
    <row r="110" spans="1:141" x14ac:dyDescent="0.25">
      <c r="A110">
        <v>47</v>
      </c>
      <c r="B110">
        <v>27</v>
      </c>
      <c r="C110">
        <v>1</v>
      </c>
      <c r="D110">
        <v>2025</v>
      </c>
      <c r="E110">
        <v>8</v>
      </c>
      <c r="F110" t="str">
        <f>VLOOKUP(G110, Map!$A$1:$B$33, 2, FALSE)</f>
        <v>LAC</v>
      </c>
      <c r="G110" t="s">
        <v>160</v>
      </c>
      <c r="H110" t="str">
        <f>VLOOKUP(I110, Map!$A$1:$B$33, 2, FALSE)</f>
        <v>MIN</v>
      </c>
      <c r="I110" t="s">
        <v>153</v>
      </c>
      <c r="J110">
        <v>0</v>
      </c>
      <c r="K110">
        <v>0</v>
      </c>
      <c r="L110">
        <v>0</v>
      </c>
      <c r="M110">
        <v>1</v>
      </c>
      <c r="N110">
        <v>5</v>
      </c>
      <c r="O110">
        <v>3</v>
      </c>
      <c r="P110">
        <v>21.625</v>
      </c>
      <c r="Q110">
        <v>23.5</v>
      </c>
      <c r="R110">
        <v>15</v>
      </c>
      <c r="S110">
        <v>1</v>
      </c>
      <c r="T110">
        <v>0.625</v>
      </c>
      <c r="U110">
        <v>3</v>
      </c>
      <c r="V110">
        <v>0</v>
      </c>
      <c r="W110">
        <v>3</v>
      </c>
      <c r="X110">
        <v>2</v>
      </c>
      <c r="Y110">
        <v>2</v>
      </c>
      <c r="Z110">
        <v>1</v>
      </c>
      <c r="AA110">
        <v>4</v>
      </c>
      <c r="AB110">
        <v>1</v>
      </c>
      <c r="AC110">
        <v>10</v>
      </c>
      <c r="AD110">
        <v>7</v>
      </c>
      <c r="AE110">
        <v>11</v>
      </c>
      <c r="AF110">
        <v>5</v>
      </c>
      <c r="AG110">
        <v>65</v>
      </c>
      <c r="AH110">
        <v>0</v>
      </c>
      <c r="AI110">
        <v>3</v>
      </c>
      <c r="AJ110">
        <v>4</v>
      </c>
      <c r="AK110">
        <v>23.142856999999999</v>
      </c>
      <c r="AL110">
        <v>22.142856999999999</v>
      </c>
      <c r="AM110">
        <v>-7</v>
      </c>
      <c r="AN110">
        <v>-2</v>
      </c>
      <c r="AO110">
        <v>0.42857142999999998</v>
      </c>
      <c r="AP110">
        <v>1</v>
      </c>
      <c r="AQ110">
        <v>0</v>
      </c>
      <c r="AR110">
        <v>1</v>
      </c>
      <c r="AS110">
        <v>2</v>
      </c>
      <c r="AT110">
        <v>2</v>
      </c>
      <c r="AU110">
        <v>2</v>
      </c>
      <c r="AV110">
        <v>1</v>
      </c>
      <c r="AW110">
        <v>2</v>
      </c>
      <c r="AX110">
        <v>13</v>
      </c>
      <c r="AY110">
        <v>4</v>
      </c>
      <c r="AZ110">
        <v>7</v>
      </c>
      <c r="BA110">
        <v>9</v>
      </c>
      <c r="BB110">
        <v>61</v>
      </c>
      <c r="BC110">
        <v>46</v>
      </c>
      <c r="BD110">
        <v>-15</v>
      </c>
      <c r="BE110">
        <v>0</v>
      </c>
      <c r="BF110">
        <v>0</v>
      </c>
      <c r="BG110">
        <v>50.804000000000002</v>
      </c>
      <c r="BH110">
        <v>53.624000000000002</v>
      </c>
      <c r="BI110">
        <v>48.804000000000002</v>
      </c>
      <c r="BJ110">
        <v>88.334000000000003</v>
      </c>
      <c r="BK110">
        <v>92.337000000000003</v>
      </c>
      <c r="BL110">
        <v>96.366</v>
      </c>
      <c r="BM110">
        <v>0.33300000000000002</v>
      </c>
      <c r="BN110">
        <v>48.804000000000002</v>
      </c>
      <c r="BO110">
        <v>53.624000000000002</v>
      </c>
      <c r="BP110">
        <v>0</v>
      </c>
      <c r="BQ110">
        <v>50.804000000000002</v>
      </c>
      <c r="BR110">
        <v>-0.33300000000000002</v>
      </c>
      <c r="BS110">
        <v>7.6630000000000003</v>
      </c>
      <c r="BT110">
        <v>11.666</v>
      </c>
      <c r="BU110">
        <v>3.6339999999999999</v>
      </c>
      <c r="BV110">
        <v>3094</v>
      </c>
      <c r="BW110">
        <v>68</v>
      </c>
      <c r="BX110">
        <v>255.375</v>
      </c>
      <c r="BY110">
        <v>26</v>
      </c>
      <c r="BZ110">
        <v>396.125</v>
      </c>
      <c r="CA110">
        <v>7.28</v>
      </c>
      <c r="CB110">
        <v>1030</v>
      </c>
      <c r="CC110">
        <v>123.125</v>
      </c>
      <c r="CD110">
        <v>4.8520000000000003</v>
      </c>
      <c r="CE110">
        <v>3</v>
      </c>
      <c r="CF110">
        <v>3764</v>
      </c>
      <c r="CG110">
        <v>16</v>
      </c>
      <c r="CH110">
        <v>273</v>
      </c>
      <c r="CI110">
        <v>10.706</v>
      </c>
      <c r="CJ110">
        <v>5.5910000000000002</v>
      </c>
      <c r="CK110">
        <v>5.05</v>
      </c>
      <c r="CL110">
        <v>0</v>
      </c>
      <c r="CM110">
        <v>22</v>
      </c>
      <c r="CN110">
        <v>0</v>
      </c>
      <c r="CO110">
        <v>100</v>
      </c>
      <c r="CP110">
        <v>94.736999999999995</v>
      </c>
      <c r="CQ110">
        <v>18</v>
      </c>
      <c r="CR110">
        <v>72</v>
      </c>
      <c r="CS110">
        <v>12.5</v>
      </c>
      <c r="CT110">
        <v>20</v>
      </c>
      <c r="CU110">
        <v>8</v>
      </c>
      <c r="CV110">
        <v>0</v>
      </c>
      <c r="CW110">
        <v>16</v>
      </c>
      <c r="CX110">
        <v>188</v>
      </c>
      <c r="CY110">
        <v>21.875</v>
      </c>
      <c r="CZ110">
        <v>70</v>
      </c>
      <c r="DA110">
        <v>48.673000000000002</v>
      </c>
      <c r="DB110">
        <v>61.73</v>
      </c>
      <c r="DC110">
        <v>-3</v>
      </c>
      <c r="DD110">
        <v>1981</v>
      </c>
      <c r="DE110">
        <v>63.927</v>
      </c>
      <c r="DF110">
        <v>202.71428</v>
      </c>
      <c r="DG110">
        <v>21</v>
      </c>
      <c r="DH110">
        <v>321.14285000000001</v>
      </c>
      <c r="DI110">
        <v>7.2649999999999997</v>
      </c>
      <c r="DJ110">
        <v>772</v>
      </c>
      <c r="DK110">
        <v>93.856999999999999</v>
      </c>
      <c r="DL110">
        <v>4.2939999999999996</v>
      </c>
      <c r="DM110">
        <v>5</v>
      </c>
      <c r="DN110">
        <v>2606</v>
      </c>
      <c r="DO110">
        <v>9</v>
      </c>
      <c r="DP110">
        <v>227.286</v>
      </c>
      <c r="DQ110">
        <v>11.364000000000001</v>
      </c>
      <c r="DR110">
        <v>6.2220000000000004</v>
      </c>
      <c r="DS110">
        <v>3.3570000000000002</v>
      </c>
      <c r="DT110">
        <v>2</v>
      </c>
      <c r="DU110">
        <v>18</v>
      </c>
      <c r="DV110">
        <v>0</v>
      </c>
      <c r="DW110">
        <v>100</v>
      </c>
      <c r="DX110">
        <v>87.5</v>
      </c>
      <c r="DY110">
        <v>14</v>
      </c>
      <c r="DZ110">
        <v>55</v>
      </c>
      <c r="EA110">
        <v>7.8179999999999996</v>
      </c>
      <c r="EB110">
        <v>10</v>
      </c>
      <c r="EC110">
        <v>29</v>
      </c>
      <c r="ED110">
        <v>12</v>
      </c>
      <c r="EE110">
        <v>9</v>
      </c>
      <c r="EF110">
        <v>155</v>
      </c>
      <c r="EG110">
        <v>17.428999999999998</v>
      </c>
      <c r="EH110">
        <v>62.5</v>
      </c>
      <c r="EI110">
        <v>33.332999999999998</v>
      </c>
      <c r="EJ110">
        <v>70.13</v>
      </c>
      <c r="EK110">
        <v>-4</v>
      </c>
    </row>
    <row r="111" spans="1:141" x14ac:dyDescent="0.25">
      <c r="A111">
        <v>44</v>
      </c>
      <c r="B111">
        <v>-24</v>
      </c>
      <c r="C111">
        <v>0</v>
      </c>
      <c r="D111">
        <v>2025</v>
      </c>
      <c r="E111">
        <v>8</v>
      </c>
      <c r="F111" t="str">
        <f>VLOOKUP(G111, Map!$A$1:$B$33, 2, FALSE)</f>
        <v>ATL</v>
      </c>
      <c r="G111" t="s">
        <v>167</v>
      </c>
      <c r="H111" t="str">
        <f>VLOOKUP(I111, Map!$A$1:$B$33, 2, FALSE)</f>
        <v>MIA</v>
      </c>
      <c r="I111" t="s">
        <v>152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4</v>
      </c>
      <c r="P111">
        <v>22</v>
      </c>
      <c r="Q111">
        <v>17.142856999999999</v>
      </c>
      <c r="R111">
        <v>-34</v>
      </c>
      <c r="S111">
        <v>-2</v>
      </c>
      <c r="T111">
        <v>0.42857142999999998</v>
      </c>
      <c r="U111">
        <v>0</v>
      </c>
      <c r="V111">
        <v>2</v>
      </c>
      <c r="W111">
        <v>2</v>
      </c>
      <c r="X111">
        <v>2</v>
      </c>
      <c r="Y111">
        <v>1</v>
      </c>
      <c r="Z111">
        <v>2</v>
      </c>
      <c r="AA111">
        <v>2</v>
      </c>
      <c r="AB111">
        <v>3</v>
      </c>
      <c r="AC111">
        <v>7</v>
      </c>
      <c r="AD111">
        <v>10</v>
      </c>
      <c r="AE111">
        <v>9</v>
      </c>
      <c r="AF111">
        <v>8</v>
      </c>
      <c r="AG111">
        <v>64</v>
      </c>
      <c r="AH111">
        <v>1</v>
      </c>
      <c r="AI111">
        <v>2</v>
      </c>
      <c r="AJ111">
        <v>6</v>
      </c>
      <c r="AK111">
        <v>26.875</v>
      </c>
      <c r="AL111">
        <v>21.75</v>
      </c>
      <c r="AM111">
        <v>-41</v>
      </c>
      <c r="AN111">
        <v>1</v>
      </c>
      <c r="AO111">
        <v>0.25</v>
      </c>
      <c r="AP111">
        <v>1</v>
      </c>
      <c r="AQ111">
        <v>2</v>
      </c>
      <c r="AR111">
        <v>1</v>
      </c>
      <c r="AS111">
        <v>2</v>
      </c>
      <c r="AT111">
        <v>1</v>
      </c>
      <c r="AU111">
        <v>4</v>
      </c>
      <c r="AV111">
        <v>1</v>
      </c>
      <c r="AW111">
        <v>5</v>
      </c>
      <c r="AX111">
        <v>9</v>
      </c>
      <c r="AY111">
        <v>9</v>
      </c>
      <c r="AZ111">
        <v>10</v>
      </c>
      <c r="BA111">
        <v>8</v>
      </c>
      <c r="BB111">
        <v>68</v>
      </c>
      <c r="BC111">
        <v>44</v>
      </c>
      <c r="BD111">
        <v>9</v>
      </c>
      <c r="BE111">
        <v>0</v>
      </c>
      <c r="BF111">
        <v>0</v>
      </c>
      <c r="BG111">
        <v>65.528999999999996</v>
      </c>
      <c r="BH111">
        <v>31.457000000000001</v>
      </c>
      <c r="BI111">
        <v>34.195999999999998</v>
      </c>
      <c r="BJ111">
        <v>22.021000000000001</v>
      </c>
      <c r="BK111">
        <v>6.109</v>
      </c>
      <c r="BL111">
        <v>5.359</v>
      </c>
      <c r="BM111">
        <v>6.0679999999999996</v>
      </c>
      <c r="BN111">
        <v>34.195999999999998</v>
      </c>
      <c r="BO111">
        <v>31.457000000000001</v>
      </c>
      <c r="BP111">
        <v>0</v>
      </c>
      <c r="BQ111">
        <v>65.528999999999996</v>
      </c>
      <c r="BR111">
        <v>-6.0679999999999996</v>
      </c>
      <c r="BS111">
        <v>93.891000000000005</v>
      </c>
      <c r="BT111">
        <v>77.978999999999999</v>
      </c>
      <c r="BU111">
        <v>94.641000000000005</v>
      </c>
      <c r="BV111">
        <v>1871</v>
      </c>
      <c r="BW111">
        <v>62.231999999999999</v>
      </c>
      <c r="BX111">
        <v>219.42857000000001</v>
      </c>
      <c r="BY111">
        <v>19</v>
      </c>
      <c r="BZ111">
        <v>353.42856</v>
      </c>
      <c r="CA111">
        <v>6.9139999999999997</v>
      </c>
      <c r="CB111">
        <v>1048</v>
      </c>
      <c r="CC111">
        <v>123.286</v>
      </c>
      <c r="CD111">
        <v>4.4029999999999996</v>
      </c>
      <c r="CE111">
        <v>7</v>
      </c>
      <c r="CF111">
        <v>2511</v>
      </c>
      <c r="CG111">
        <v>5</v>
      </c>
      <c r="CH111">
        <v>230.143</v>
      </c>
      <c r="CI111">
        <v>11.11</v>
      </c>
      <c r="CJ111">
        <v>5.9379999999999997</v>
      </c>
      <c r="CK111">
        <v>5.6429999999999998</v>
      </c>
      <c r="CL111">
        <v>0</v>
      </c>
      <c r="CM111">
        <v>16</v>
      </c>
      <c r="CN111">
        <v>0</v>
      </c>
      <c r="CO111">
        <v>100</v>
      </c>
      <c r="CP111">
        <v>75</v>
      </c>
      <c r="CQ111">
        <v>12</v>
      </c>
      <c r="CR111">
        <v>48</v>
      </c>
      <c r="CS111">
        <v>7.5380000000000003</v>
      </c>
      <c r="CT111">
        <v>22</v>
      </c>
      <c r="CU111">
        <v>9</v>
      </c>
      <c r="CV111">
        <v>0</v>
      </c>
      <c r="CW111">
        <v>5</v>
      </c>
      <c r="CX111">
        <v>120</v>
      </c>
      <c r="CY111">
        <v>19.286000000000001</v>
      </c>
      <c r="CZ111">
        <v>40</v>
      </c>
      <c r="DA111">
        <v>39.326000000000001</v>
      </c>
      <c r="DB111">
        <v>57.86</v>
      </c>
      <c r="DC111">
        <v>2</v>
      </c>
      <c r="DD111">
        <v>2361</v>
      </c>
      <c r="DE111">
        <v>68.674999999999997</v>
      </c>
      <c r="DF111">
        <v>187.875</v>
      </c>
      <c r="DG111">
        <v>17</v>
      </c>
      <c r="DH111">
        <v>299.875</v>
      </c>
      <c r="DI111">
        <v>6.47</v>
      </c>
      <c r="DJ111">
        <v>898</v>
      </c>
      <c r="DK111">
        <v>98.5</v>
      </c>
      <c r="DL111">
        <v>4.452</v>
      </c>
      <c r="DM111">
        <v>4</v>
      </c>
      <c r="DN111">
        <v>2991</v>
      </c>
      <c r="DO111">
        <v>15</v>
      </c>
      <c r="DP111">
        <v>201.375</v>
      </c>
      <c r="DQ111">
        <v>9.4209999999999994</v>
      </c>
      <c r="DR111">
        <v>6.4669999999999996</v>
      </c>
      <c r="DS111">
        <v>4.8239999999999998</v>
      </c>
      <c r="DT111">
        <v>1</v>
      </c>
      <c r="DU111">
        <v>15</v>
      </c>
      <c r="DV111">
        <v>0</v>
      </c>
      <c r="DW111">
        <v>100</v>
      </c>
      <c r="DX111">
        <v>91.667000000000002</v>
      </c>
      <c r="DY111">
        <v>11</v>
      </c>
      <c r="DZ111">
        <v>52</v>
      </c>
      <c r="EA111">
        <v>7</v>
      </c>
      <c r="EB111">
        <v>11</v>
      </c>
      <c r="EC111">
        <v>26</v>
      </c>
      <c r="ED111">
        <v>6</v>
      </c>
      <c r="EE111">
        <v>15</v>
      </c>
      <c r="EF111">
        <v>174</v>
      </c>
      <c r="EG111">
        <v>17</v>
      </c>
      <c r="EH111">
        <v>53.845999999999997</v>
      </c>
      <c r="EI111">
        <v>41.237000000000002</v>
      </c>
      <c r="EJ111">
        <v>72.05</v>
      </c>
      <c r="EK111">
        <v>-5</v>
      </c>
    </row>
    <row r="112" spans="1:141" x14ac:dyDescent="0.25">
      <c r="A112">
        <v>77</v>
      </c>
      <c r="B112">
        <v>-1</v>
      </c>
      <c r="C112">
        <v>0</v>
      </c>
      <c r="D112">
        <v>2025</v>
      </c>
      <c r="E112">
        <v>8</v>
      </c>
      <c r="F112" t="str">
        <f>VLOOKUP(G112, Map!$A$1:$B$33, 2, FALSE)</f>
        <v>CIN</v>
      </c>
      <c r="G112" t="s">
        <v>161</v>
      </c>
      <c r="H112" t="str">
        <f>VLOOKUP(I112, Map!$A$1:$B$33, 2, FALSE)</f>
        <v>NYJ</v>
      </c>
      <c r="I112" t="s">
        <v>166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5</v>
      </c>
      <c r="P112">
        <v>31.625</v>
      </c>
      <c r="Q112">
        <v>21.75</v>
      </c>
      <c r="R112">
        <v>-79</v>
      </c>
      <c r="S112">
        <v>-1</v>
      </c>
      <c r="T112">
        <v>0.375</v>
      </c>
      <c r="U112">
        <v>2</v>
      </c>
      <c r="V112">
        <v>0</v>
      </c>
      <c r="W112">
        <v>2</v>
      </c>
      <c r="X112">
        <v>2</v>
      </c>
      <c r="Y112">
        <v>1</v>
      </c>
      <c r="Z112">
        <v>3</v>
      </c>
      <c r="AA112">
        <v>3</v>
      </c>
      <c r="AB112">
        <v>2</v>
      </c>
      <c r="AC112">
        <v>14</v>
      </c>
      <c r="AD112">
        <v>4</v>
      </c>
      <c r="AE112">
        <v>13</v>
      </c>
      <c r="AF112">
        <v>5</v>
      </c>
      <c r="AG112">
        <v>59</v>
      </c>
      <c r="AH112">
        <v>1</v>
      </c>
      <c r="AI112">
        <v>1</v>
      </c>
      <c r="AJ112">
        <v>7</v>
      </c>
      <c r="AK112">
        <v>27.625</v>
      </c>
      <c r="AL112">
        <v>21</v>
      </c>
      <c r="AM112">
        <v>-53</v>
      </c>
      <c r="AN112">
        <v>1</v>
      </c>
      <c r="AO112">
        <v>0.125</v>
      </c>
      <c r="AP112">
        <v>0</v>
      </c>
      <c r="AQ112">
        <v>2</v>
      </c>
      <c r="AR112">
        <v>0</v>
      </c>
      <c r="AS112">
        <v>5</v>
      </c>
      <c r="AT112">
        <v>1</v>
      </c>
      <c r="AU112">
        <v>2</v>
      </c>
      <c r="AV112">
        <v>1</v>
      </c>
      <c r="AW112">
        <v>4</v>
      </c>
      <c r="AX112">
        <v>7</v>
      </c>
      <c r="AY112">
        <v>10</v>
      </c>
      <c r="AZ112">
        <v>8</v>
      </c>
      <c r="BA112">
        <v>9</v>
      </c>
      <c r="BB112">
        <v>60</v>
      </c>
      <c r="BC112">
        <v>61</v>
      </c>
      <c r="BD112">
        <v>-3.5</v>
      </c>
      <c r="BE112">
        <v>0</v>
      </c>
      <c r="BF112">
        <v>0</v>
      </c>
      <c r="BG112">
        <v>56.962000000000003</v>
      </c>
      <c r="BH112">
        <v>31.937999999999999</v>
      </c>
      <c r="BI112">
        <v>42.695</v>
      </c>
      <c r="BJ112">
        <v>18.498999999999999</v>
      </c>
      <c r="BK112">
        <v>88.424999999999997</v>
      </c>
      <c r="BL112">
        <v>56.554000000000002</v>
      </c>
      <c r="BM112">
        <v>2.7890000000000001</v>
      </c>
      <c r="BN112">
        <v>42.695</v>
      </c>
      <c r="BO112">
        <v>31.937999999999999</v>
      </c>
      <c r="BP112">
        <v>0</v>
      </c>
      <c r="BQ112">
        <v>56.962000000000003</v>
      </c>
      <c r="BR112">
        <v>-2.7890000000000001</v>
      </c>
      <c r="BS112">
        <v>11.574999999999999</v>
      </c>
      <c r="BT112">
        <v>81.501000000000005</v>
      </c>
      <c r="BU112">
        <v>43.445999999999998</v>
      </c>
      <c r="BV112">
        <v>2540</v>
      </c>
      <c r="BW112">
        <v>63.636000000000003</v>
      </c>
      <c r="BX112">
        <v>202</v>
      </c>
      <c r="BY112">
        <v>15</v>
      </c>
      <c r="BZ112">
        <v>299.125</v>
      </c>
      <c r="CA112">
        <v>6.0490000000000004</v>
      </c>
      <c r="CB112">
        <v>793</v>
      </c>
      <c r="CC112">
        <v>82.875</v>
      </c>
      <c r="CD112">
        <v>4.3049999999999997</v>
      </c>
      <c r="CE112">
        <v>5</v>
      </c>
      <c r="CF112">
        <v>3165</v>
      </c>
      <c r="CG112">
        <v>15</v>
      </c>
      <c r="CH112">
        <v>216.25</v>
      </c>
      <c r="CI112">
        <v>9.5050000000000008</v>
      </c>
      <c r="CJ112">
        <v>5.2729999999999997</v>
      </c>
      <c r="CK112">
        <v>3.3570000000000002</v>
      </c>
      <c r="CL112">
        <v>0</v>
      </c>
      <c r="CM112">
        <v>11</v>
      </c>
      <c r="CN112">
        <v>0</v>
      </c>
      <c r="CO112">
        <v>100</v>
      </c>
      <c r="CP112">
        <v>84.614999999999995</v>
      </c>
      <c r="CQ112">
        <v>11</v>
      </c>
      <c r="CR112">
        <v>52</v>
      </c>
      <c r="CS112">
        <v>11.523999999999999</v>
      </c>
      <c r="CT112">
        <v>37</v>
      </c>
      <c r="CU112">
        <v>11</v>
      </c>
      <c r="CV112">
        <v>0</v>
      </c>
      <c r="CW112">
        <v>15</v>
      </c>
      <c r="CX112">
        <v>174</v>
      </c>
      <c r="CY112">
        <v>18.5</v>
      </c>
      <c r="CZ112">
        <v>80</v>
      </c>
      <c r="DA112">
        <v>39.393999999999998</v>
      </c>
      <c r="DB112">
        <v>79.87</v>
      </c>
      <c r="DC112">
        <v>-2</v>
      </c>
      <c r="DD112">
        <v>2012</v>
      </c>
      <c r="DE112">
        <v>63.713000000000001</v>
      </c>
      <c r="DF112">
        <v>156.5</v>
      </c>
      <c r="DG112">
        <v>15</v>
      </c>
      <c r="DH112">
        <v>327.625</v>
      </c>
      <c r="DI112">
        <v>6.2110000000000003</v>
      </c>
      <c r="DJ112">
        <v>1254</v>
      </c>
      <c r="DK112">
        <v>143.625</v>
      </c>
      <c r="DL112">
        <v>5.1989999999999998</v>
      </c>
      <c r="DM112">
        <v>6</v>
      </c>
      <c r="DN112">
        <v>2542</v>
      </c>
      <c r="DO112">
        <v>9</v>
      </c>
      <c r="DP112">
        <v>184</v>
      </c>
      <c r="DQ112">
        <v>9.7479999999999993</v>
      </c>
      <c r="DR112">
        <v>6.2729999999999997</v>
      </c>
      <c r="DS112">
        <v>2.4169999999999998</v>
      </c>
      <c r="DT112">
        <v>1</v>
      </c>
      <c r="DU112">
        <v>11</v>
      </c>
      <c r="DV112">
        <v>0</v>
      </c>
      <c r="DW112">
        <v>100</v>
      </c>
      <c r="DX112">
        <v>100</v>
      </c>
      <c r="DY112">
        <v>17</v>
      </c>
      <c r="DZ112">
        <v>60</v>
      </c>
      <c r="EA112">
        <v>6.25</v>
      </c>
      <c r="EB112">
        <v>11</v>
      </c>
      <c r="EC112">
        <v>31</v>
      </c>
      <c r="ED112">
        <v>2</v>
      </c>
      <c r="EE112">
        <v>9</v>
      </c>
      <c r="EF112">
        <v>168</v>
      </c>
      <c r="EG112">
        <v>18.5</v>
      </c>
      <c r="EH112">
        <v>52.631999999999998</v>
      </c>
      <c r="EI112">
        <v>34.905999999999999</v>
      </c>
      <c r="EJ112">
        <v>69.17</v>
      </c>
      <c r="EK112">
        <v>-9</v>
      </c>
    </row>
    <row r="113" spans="1:141" x14ac:dyDescent="0.25">
      <c r="A113">
        <v>45</v>
      </c>
      <c r="B113">
        <v>19</v>
      </c>
      <c r="C113">
        <v>1</v>
      </c>
      <c r="D113">
        <v>2025</v>
      </c>
      <c r="E113">
        <v>8</v>
      </c>
      <c r="F113" t="str">
        <f>VLOOKUP(G113, Map!$A$1:$B$33, 2, FALSE)</f>
        <v>NE</v>
      </c>
      <c r="G113" t="s">
        <v>151</v>
      </c>
      <c r="H113" t="str">
        <f>VLOOKUP(I113, Map!$A$1:$B$33, 2, FALSE)</f>
        <v>CLE</v>
      </c>
      <c r="I113" t="s">
        <v>162</v>
      </c>
      <c r="J113">
        <v>0</v>
      </c>
      <c r="K113">
        <v>0</v>
      </c>
      <c r="L113">
        <v>0</v>
      </c>
      <c r="M113">
        <v>1</v>
      </c>
      <c r="N113">
        <v>6</v>
      </c>
      <c r="O113">
        <v>2</v>
      </c>
      <c r="P113">
        <v>18.25</v>
      </c>
      <c r="Q113">
        <v>26.625</v>
      </c>
      <c r="R113">
        <v>67</v>
      </c>
      <c r="S113">
        <v>5</v>
      </c>
      <c r="T113">
        <v>0.75</v>
      </c>
      <c r="U113">
        <v>2</v>
      </c>
      <c r="V113">
        <v>0</v>
      </c>
      <c r="W113">
        <v>2</v>
      </c>
      <c r="X113">
        <v>2</v>
      </c>
      <c r="Y113">
        <v>4</v>
      </c>
      <c r="Z113">
        <v>0</v>
      </c>
      <c r="AA113">
        <v>4</v>
      </c>
      <c r="AB113">
        <v>2</v>
      </c>
      <c r="AC113">
        <v>8</v>
      </c>
      <c r="AD113">
        <v>9</v>
      </c>
      <c r="AE113">
        <v>7</v>
      </c>
      <c r="AF113">
        <v>9</v>
      </c>
      <c r="AG113">
        <v>61</v>
      </c>
      <c r="AH113">
        <v>0</v>
      </c>
      <c r="AI113">
        <v>2</v>
      </c>
      <c r="AJ113">
        <v>6</v>
      </c>
      <c r="AK113">
        <v>23</v>
      </c>
      <c r="AL113">
        <v>15.75</v>
      </c>
      <c r="AM113">
        <v>-58</v>
      </c>
      <c r="AN113">
        <v>-1</v>
      </c>
      <c r="AO113">
        <v>0.25</v>
      </c>
      <c r="AP113">
        <v>0</v>
      </c>
      <c r="AQ113">
        <v>3</v>
      </c>
      <c r="AR113">
        <v>2</v>
      </c>
      <c r="AS113">
        <v>2</v>
      </c>
      <c r="AT113">
        <v>0</v>
      </c>
      <c r="AU113">
        <v>4</v>
      </c>
      <c r="AV113">
        <v>1</v>
      </c>
      <c r="AW113">
        <v>4</v>
      </c>
      <c r="AX113">
        <v>7</v>
      </c>
      <c r="AY113">
        <v>10</v>
      </c>
      <c r="AZ113">
        <v>8</v>
      </c>
      <c r="BA113">
        <v>9</v>
      </c>
      <c r="BB113">
        <v>61</v>
      </c>
      <c r="BC113">
        <v>43</v>
      </c>
      <c r="BD113">
        <v>-13.5</v>
      </c>
      <c r="BE113">
        <v>0</v>
      </c>
      <c r="BF113">
        <v>0</v>
      </c>
      <c r="BG113">
        <v>69.344999999999999</v>
      </c>
      <c r="BH113">
        <v>39.776000000000003</v>
      </c>
      <c r="BI113">
        <v>30.411000000000001</v>
      </c>
      <c r="BJ113">
        <v>96.539000000000001</v>
      </c>
      <c r="BK113">
        <v>53.204999999999998</v>
      </c>
      <c r="BL113">
        <v>90.248999999999995</v>
      </c>
      <c r="BM113">
        <v>7.7629999999999999</v>
      </c>
      <c r="BN113">
        <v>30.411000000000001</v>
      </c>
      <c r="BO113">
        <v>39.776000000000003</v>
      </c>
      <c r="BP113">
        <v>0</v>
      </c>
      <c r="BQ113">
        <v>69.344999999999999</v>
      </c>
      <c r="BR113">
        <v>-7.7629999999999999</v>
      </c>
      <c r="BS113">
        <v>46.795000000000002</v>
      </c>
      <c r="BT113">
        <v>3.4609999999999999</v>
      </c>
      <c r="BU113">
        <v>9.7509999999999994</v>
      </c>
      <c r="BV113">
        <v>2965</v>
      </c>
      <c r="BW113">
        <v>75</v>
      </c>
      <c r="BX113">
        <v>240.5</v>
      </c>
      <c r="BY113">
        <v>29</v>
      </c>
      <c r="BZ113">
        <v>367.375</v>
      </c>
      <c r="CA113">
        <v>8.7940000000000005</v>
      </c>
      <c r="CB113">
        <v>1056</v>
      </c>
      <c r="CC113">
        <v>112.625</v>
      </c>
      <c r="CD113">
        <v>3.9340000000000002</v>
      </c>
      <c r="CE113">
        <v>7</v>
      </c>
      <c r="CF113">
        <v>3418</v>
      </c>
      <c r="CG113">
        <v>15</v>
      </c>
      <c r="CH113">
        <v>254.75</v>
      </c>
      <c r="CI113">
        <v>11.725</v>
      </c>
      <c r="CJ113">
        <v>6.3159999999999998</v>
      </c>
      <c r="CK113">
        <v>3.7410000000000001</v>
      </c>
      <c r="CL113">
        <v>4</v>
      </c>
      <c r="CM113">
        <v>19</v>
      </c>
      <c r="CN113">
        <v>0</v>
      </c>
      <c r="CO113">
        <v>91.304000000000002</v>
      </c>
      <c r="CP113">
        <v>92.308000000000007</v>
      </c>
      <c r="CQ113">
        <v>12</v>
      </c>
      <c r="CR113">
        <v>57</v>
      </c>
      <c r="CS113">
        <v>16.8</v>
      </c>
      <c r="CT113">
        <v>27</v>
      </c>
      <c r="CU113">
        <v>10</v>
      </c>
      <c r="CV113">
        <v>14</v>
      </c>
      <c r="CW113">
        <v>15</v>
      </c>
      <c r="CX113">
        <v>213</v>
      </c>
      <c r="CY113">
        <v>20.375</v>
      </c>
      <c r="CZ113">
        <v>83.332999999999998</v>
      </c>
      <c r="DA113">
        <v>39.784999999999997</v>
      </c>
      <c r="DB113">
        <v>67</v>
      </c>
      <c r="DC113">
        <v>2</v>
      </c>
      <c r="DD113">
        <v>1756</v>
      </c>
      <c r="DE113">
        <v>58.94</v>
      </c>
      <c r="DF113">
        <v>174.125</v>
      </c>
      <c r="DG113">
        <v>14</v>
      </c>
      <c r="DH113">
        <v>279.125</v>
      </c>
      <c r="DI113">
        <v>4.9870000000000001</v>
      </c>
      <c r="DJ113">
        <v>896</v>
      </c>
      <c r="DK113">
        <v>89.5</v>
      </c>
      <c r="DL113">
        <v>3.7679999999999998</v>
      </c>
      <c r="DM113">
        <v>6</v>
      </c>
      <c r="DN113">
        <v>2652</v>
      </c>
      <c r="DO113">
        <v>7</v>
      </c>
      <c r="DP113">
        <v>189.625</v>
      </c>
      <c r="DQ113">
        <v>8.4610000000000003</v>
      </c>
      <c r="DR113">
        <v>6.9169999999999998</v>
      </c>
      <c r="DS113">
        <v>4.3029999999999999</v>
      </c>
      <c r="DT113">
        <v>1</v>
      </c>
      <c r="DU113">
        <v>24</v>
      </c>
      <c r="DV113">
        <v>0</v>
      </c>
      <c r="DW113">
        <v>92.308000000000007</v>
      </c>
      <c r="DX113">
        <v>76.923000000000002</v>
      </c>
      <c r="DY113">
        <v>10</v>
      </c>
      <c r="DZ113">
        <v>42</v>
      </c>
      <c r="EA113">
        <v>11.412000000000001</v>
      </c>
      <c r="EB113">
        <v>16</v>
      </c>
      <c r="EC113">
        <v>42</v>
      </c>
      <c r="ED113">
        <v>6</v>
      </c>
      <c r="EE113">
        <v>7</v>
      </c>
      <c r="EF113">
        <v>126</v>
      </c>
      <c r="EG113">
        <v>16.75</v>
      </c>
      <c r="EH113">
        <v>57.895000000000003</v>
      </c>
      <c r="EI113">
        <v>33.042999999999999</v>
      </c>
      <c r="EJ113">
        <v>69.39</v>
      </c>
      <c r="EK113">
        <v>0</v>
      </c>
    </row>
    <row r="114" spans="1:141" x14ac:dyDescent="0.25">
      <c r="A114">
        <v>58</v>
      </c>
      <c r="B114">
        <v>18</v>
      </c>
      <c r="C114">
        <v>1</v>
      </c>
      <c r="D114">
        <v>2025</v>
      </c>
      <c r="E114">
        <v>8</v>
      </c>
      <c r="F114" t="str">
        <f>VLOOKUP(G114, Map!$A$1:$B$33, 2, FALSE)</f>
        <v>PHI</v>
      </c>
      <c r="G114" t="s">
        <v>147</v>
      </c>
      <c r="H114" t="str">
        <f>VLOOKUP(I114, Map!$A$1:$B$33, 2, FALSE)</f>
        <v>NYG</v>
      </c>
      <c r="I114" t="s">
        <v>149</v>
      </c>
      <c r="J114">
        <v>0</v>
      </c>
      <c r="K114">
        <v>0</v>
      </c>
      <c r="L114">
        <v>0</v>
      </c>
      <c r="M114">
        <v>1</v>
      </c>
      <c r="N114">
        <v>6</v>
      </c>
      <c r="O114">
        <v>2</v>
      </c>
      <c r="P114">
        <v>23.125</v>
      </c>
      <c r="Q114">
        <v>26</v>
      </c>
      <c r="R114">
        <v>23</v>
      </c>
      <c r="S114">
        <v>2</v>
      </c>
      <c r="T114">
        <v>0.75</v>
      </c>
      <c r="U114">
        <v>2</v>
      </c>
      <c r="V114">
        <v>1</v>
      </c>
      <c r="W114">
        <v>3</v>
      </c>
      <c r="X114">
        <v>1</v>
      </c>
      <c r="Y114">
        <v>3</v>
      </c>
      <c r="Z114">
        <v>1</v>
      </c>
      <c r="AA114">
        <v>5</v>
      </c>
      <c r="AB114">
        <v>1</v>
      </c>
      <c r="AC114">
        <v>16</v>
      </c>
      <c r="AD114">
        <v>3</v>
      </c>
      <c r="AE114">
        <v>10</v>
      </c>
      <c r="AF114">
        <v>9</v>
      </c>
      <c r="AG114">
        <v>63</v>
      </c>
      <c r="AH114">
        <v>0</v>
      </c>
      <c r="AI114">
        <v>2</v>
      </c>
      <c r="AJ114">
        <v>6</v>
      </c>
      <c r="AK114">
        <v>26.875</v>
      </c>
      <c r="AL114">
        <v>21.625</v>
      </c>
      <c r="AM114">
        <v>-42</v>
      </c>
      <c r="AN114">
        <v>-2</v>
      </c>
      <c r="AO114">
        <v>0.25</v>
      </c>
      <c r="AP114">
        <v>1</v>
      </c>
      <c r="AQ114">
        <v>3</v>
      </c>
      <c r="AR114">
        <v>2</v>
      </c>
      <c r="AS114">
        <v>1</v>
      </c>
      <c r="AT114">
        <v>0</v>
      </c>
      <c r="AU114">
        <v>5</v>
      </c>
      <c r="AV114">
        <v>1</v>
      </c>
      <c r="AW114">
        <v>4</v>
      </c>
      <c r="AX114">
        <v>10</v>
      </c>
      <c r="AY114">
        <v>7</v>
      </c>
      <c r="AZ114">
        <v>14</v>
      </c>
      <c r="BA114">
        <v>4</v>
      </c>
      <c r="BB114">
        <v>67</v>
      </c>
      <c r="BC114">
        <v>50.5</v>
      </c>
      <c r="BD114">
        <v>-14</v>
      </c>
      <c r="BE114">
        <v>0</v>
      </c>
      <c r="BF114">
        <v>0</v>
      </c>
      <c r="BG114">
        <v>64.793000000000006</v>
      </c>
      <c r="BH114">
        <v>59.078000000000003</v>
      </c>
      <c r="BI114">
        <v>34.926000000000002</v>
      </c>
      <c r="BJ114">
        <v>58.15</v>
      </c>
      <c r="BK114">
        <v>94.251000000000005</v>
      </c>
      <c r="BL114">
        <v>88.85</v>
      </c>
      <c r="BM114">
        <v>5.7140000000000004</v>
      </c>
      <c r="BN114">
        <v>34.926000000000002</v>
      </c>
      <c r="BO114">
        <v>59.078000000000003</v>
      </c>
      <c r="BP114">
        <v>0</v>
      </c>
      <c r="BQ114">
        <v>64.793000000000006</v>
      </c>
      <c r="BR114">
        <v>-5.7140000000000004</v>
      </c>
      <c r="BS114">
        <v>5.7489999999999997</v>
      </c>
      <c r="BT114">
        <v>41.85</v>
      </c>
      <c r="BU114">
        <v>11.15</v>
      </c>
      <c r="BV114">
        <v>2679</v>
      </c>
      <c r="BW114">
        <v>70.233000000000004</v>
      </c>
      <c r="BX114">
        <v>192.75</v>
      </c>
      <c r="BY114">
        <v>23</v>
      </c>
      <c r="BZ114">
        <v>321.25</v>
      </c>
      <c r="CA114">
        <v>7.7160000000000002</v>
      </c>
      <c r="CB114">
        <v>1178</v>
      </c>
      <c r="CC114">
        <v>111.625</v>
      </c>
      <c r="CD114">
        <v>4.0960000000000001</v>
      </c>
      <c r="CE114">
        <v>9</v>
      </c>
      <c r="CF114">
        <v>2957</v>
      </c>
      <c r="CG114">
        <v>15</v>
      </c>
      <c r="CH114">
        <v>209.625</v>
      </c>
      <c r="CI114">
        <v>10.987</v>
      </c>
      <c r="CJ114">
        <v>4.75</v>
      </c>
      <c r="CK114">
        <v>3.75</v>
      </c>
      <c r="CL114">
        <v>3</v>
      </c>
      <c r="CM114">
        <v>16</v>
      </c>
      <c r="CN114">
        <v>0</v>
      </c>
      <c r="CO114">
        <v>100</v>
      </c>
      <c r="CP114">
        <v>77.778000000000006</v>
      </c>
      <c r="CQ114">
        <v>7</v>
      </c>
      <c r="CR114">
        <v>46</v>
      </c>
      <c r="CS114">
        <v>13.55</v>
      </c>
      <c r="CT114">
        <v>34</v>
      </c>
      <c r="CU114">
        <v>7</v>
      </c>
      <c r="CV114">
        <v>6</v>
      </c>
      <c r="CW114">
        <v>15</v>
      </c>
      <c r="CX114">
        <v>208</v>
      </c>
      <c r="CY114">
        <v>17.875</v>
      </c>
      <c r="CZ114">
        <v>78.570999999999998</v>
      </c>
      <c r="DA114">
        <v>33.332999999999998</v>
      </c>
      <c r="DB114">
        <v>87.14</v>
      </c>
      <c r="DC114">
        <v>4</v>
      </c>
      <c r="DD114">
        <v>2348</v>
      </c>
      <c r="DE114">
        <v>59.448999999999998</v>
      </c>
      <c r="DF114">
        <v>207.25</v>
      </c>
      <c r="DG114">
        <v>23</v>
      </c>
      <c r="DH114">
        <v>339.25</v>
      </c>
      <c r="DI114">
        <v>6.9210000000000003</v>
      </c>
      <c r="DJ114">
        <v>1249</v>
      </c>
      <c r="DK114">
        <v>118</v>
      </c>
      <c r="DL114">
        <v>4.0339999999999998</v>
      </c>
      <c r="DM114">
        <v>10</v>
      </c>
      <c r="DN114">
        <v>2910</v>
      </c>
      <c r="DO114">
        <v>11</v>
      </c>
      <c r="DP114">
        <v>221.25</v>
      </c>
      <c r="DQ114">
        <v>11.641999999999999</v>
      </c>
      <c r="DR114">
        <v>7.2629999999999999</v>
      </c>
      <c r="DS114">
        <v>5.1740000000000004</v>
      </c>
      <c r="DT114">
        <v>0</v>
      </c>
      <c r="DU114">
        <v>19</v>
      </c>
      <c r="DV114">
        <v>0</v>
      </c>
      <c r="DW114">
        <v>78.947000000000003</v>
      </c>
      <c r="DX114">
        <v>100</v>
      </c>
      <c r="DY114">
        <v>10</v>
      </c>
      <c r="DZ114">
        <v>45</v>
      </c>
      <c r="EA114">
        <v>7.1539999999999999</v>
      </c>
      <c r="EB114">
        <v>12</v>
      </c>
      <c r="EC114">
        <v>32</v>
      </c>
      <c r="ED114">
        <v>0</v>
      </c>
      <c r="EE114">
        <v>11</v>
      </c>
      <c r="EF114">
        <v>173</v>
      </c>
      <c r="EG114">
        <v>20.625</v>
      </c>
      <c r="EH114">
        <v>52.941000000000003</v>
      </c>
      <c r="EI114">
        <v>39.814999999999998</v>
      </c>
      <c r="EJ114">
        <v>59.26</v>
      </c>
      <c r="EK114">
        <v>-4</v>
      </c>
    </row>
    <row r="115" spans="1:141" x14ac:dyDescent="0.25">
      <c r="A115">
        <v>49</v>
      </c>
      <c r="B115">
        <v>-31</v>
      </c>
      <c r="C115">
        <v>0</v>
      </c>
      <c r="D115">
        <v>2025</v>
      </c>
      <c r="E115">
        <v>8</v>
      </c>
      <c r="F115" t="str">
        <f>VLOOKUP(G115, Map!$A$1:$B$33, 2, FALSE)</f>
        <v>CAR</v>
      </c>
      <c r="G115" t="s">
        <v>142</v>
      </c>
      <c r="H115" t="str">
        <f>VLOOKUP(I115, Map!$A$1:$B$33, 2, FALSE)</f>
        <v>BUF</v>
      </c>
      <c r="I115" t="s">
        <v>165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4</v>
      </c>
      <c r="P115">
        <v>24</v>
      </c>
      <c r="Q115">
        <v>19.25</v>
      </c>
      <c r="R115">
        <v>-38</v>
      </c>
      <c r="S115">
        <v>-1</v>
      </c>
      <c r="T115">
        <v>0.5</v>
      </c>
      <c r="U115">
        <v>1</v>
      </c>
      <c r="V115">
        <v>0</v>
      </c>
      <c r="W115">
        <v>3</v>
      </c>
      <c r="X115">
        <v>1</v>
      </c>
      <c r="Y115">
        <v>1</v>
      </c>
      <c r="Z115">
        <v>3</v>
      </c>
      <c r="AA115">
        <v>2</v>
      </c>
      <c r="AB115">
        <v>1</v>
      </c>
      <c r="AC115">
        <v>7</v>
      </c>
      <c r="AD115">
        <v>10</v>
      </c>
      <c r="AE115">
        <v>9</v>
      </c>
      <c r="AF115">
        <v>8</v>
      </c>
      <c r="AG115">
        <v>58</v>
      </c>
      <c r="AH115">
        <v>1</v>
      </c>
      <c r="AI115">
        <v>5</v>
      </c>
      <c r="AJ115">
        <v>2</v>
      </c>
      <c r="AK115">
        <v>20.857143000000001</v>
      </c>
      <c r="AL115">
        <v>29.571428000000001</v>
      </c>
      <c r="AM115">
        <v>61</v>
      </c>
      <c r="AN115">
        <v>1</v>
      </c>
      <c r="AO115">
        <v>0.71428572999999995</v>
      </c>
      <c r="AP115">
        <v>2</v>
      </c>
      <c r="AQ115">
        <v>1</v>
      </c>
      <c r="AR115">
        <v>3</v>
      </c>
      <c r="AS115">
        <v>1</v>
      </c>
      <c r="AT115">
        <v>2</v>
      </c>
      <c r="AU115">
        <v>1</v>
      </c>
      <c r="AV115">
        <v>3</v>
      </c>
      <c r="AW115">
        <v>1</v>
      </c>
      <c r="AX115">
        <v>14</v>
      </c>
      <c r="AY115">
        <v>4</v>
      </c>
      <c r="AZ115">
        <v>8</v>
      </c>
      <c r="BA115">
        <v>9</v>
      </c>
      <c r="BB115">
        <v>68</v>
      </c>
      <c r="BC115">
        <v>49</v>
      </c>
      <c r="BD115">
        <v>16.5</v>
      </c>
      <c r="BE115">
        <v>0</v>
      </c>
      <c r="BF115">
        <v>0</v>
      </c>
      <c r="BG115">
        <v>44.554000000000002</v>
      </c>
      <c r="BH115">
        <v>52.698</v>
      </c>
      <c r="BI115">
        <v>55.088000000000001</v>
      </c>
      <c r="BJ115">
        <v>10.611000000000001</v>
      </c>
      <c r="BK115">
        <v>5.6609999999999996</v>
      </c>
      <c r="BL115">
        <v>3.194</v>
      </c>
      <c r="BM115">
        <v>-1.833</v>
      </c>
      <c r="BN115">
        <v>55.088000000000001</v>
      </c>
      <c r="BO115">
        <v>52.698</v>
      </c>
      <c r="BP115">
        <v>0</v>
      </c>
      <c r="BQ115">
        <v>44.554000000000002</v>
      </c>
      <c r="BR115">
        <v>1.833</v>
      </c>
      <c r="BS115">
        <v>94.338999999999999</v>
      </c>
      <c r="BT115">
        <v>89.388999999999996</v>
      </c>
      <c r="BU115">
        <v>96.805999999999997</v>
      </c>
      <c r="BV115">
        <v>2241</v>
      </c>
      <c r="BW115">
        <v>62.451999999999998</v>
      </c>
      <c r="BX115">
        <v>179.5</v>
      </c>
      <c r="BY115">
        <v>19</v>
      </c>
      <c r="BZ115">
        <v>334.5</v>
      </c>
      <c r="CA115">
        <v>6.0570000000000004</v>
      </c>
      <c r="CB115">
        <v>1145</v>
      </c>
      <c r="CC115">
        <v>136.875</v>
      </c>
      <c r="CD115">
        <v>4.6399999999999997</v>
      </c>
      <c r="CE115">
        <v>4</v>
      </c>
      <c r="CF115">
        <v>2816</v>
      </c>
      <c r="CG115">
        <v>12</v>
      </c>
      <c r="CH115">
        <v>197.625</v>
      </c>
      <c r="CI115">
        <v>9.6989999999999998</v>
      </c>
      <c r="CJ115">
        <v>6.8460000000000001</v>
      </c>
      <c r="CK115">
        <v>4.75</v>
      </c>
      <c r="CL115">
        <v>1</v>
      </c>
      <c r="CM115">
        <v>13</v>
      </c>
      <c r="CN115">
        <v>0</v>
      </c>
      <c r="CO115">
        <v>86.667000000000002</v>
      </c>
      <c r="CP115">
        <v>86.667000000000002</v>
      </c>
      <c r="CQ115">
        <v>13</v>
      </c>
      <c r="CR115">
        <v>52</v>
      </c>
      <c r="CS115">
        <v>16.411999999999999</v>
      </c>
      <c r="CT115">
        <v>27</v>
      </c>
      <c r="CU115">
        <v>11</v>
      </c>
      <c r="CV115">
        <v>6</v>
      </c>
      <c r="CW115">
        <v>12</v>
      </c>
      <c r="CX115">
        <v>154</v>
      </c>
      <c r="CY115">
        <v>20.75</v>
      </c>
      <c r="CZ115">
        <v>68.421000000000006</v>
      </c>
      <c r="DA115">
        <v>37.255000000000003</v>
      </c>
      <c r="DB115">
        <v>70.83</v>
      </c>
      <c r="DC115">
        <v>-5</v>
      </c>
      <c r="DD115">
        <v>2334</v>
      </c>
      <c r="DE115">
        <v>67.488</v>
      </c>
      <c r="DF115">
        <v>218.42857000000001</v>
      </c>
      <c r="DG115">
        <v>22</v>
      </c>
      <c r="DH115">
        <v>395</v>
      </c>
      <c r="DI115">
        <v>7.9509999999999996</v>
      </c>
      <c r="DJ115">
        <v>1576</v>
      </c>
      <c r="DK115">
        <v>164.429</v>
      </c>
      <c r="DL115">
        <v>5.2080000000000002</v>
      </c>
      <c r="DM115">
        <v>13</v>
      </c>
      <c r="DN115">
        <v>2719</v>
      </c>
      <c r="DO115">
        <v>12</v>
      </c>
      <c r="DP115">
        <v>230.571</v>
      </c>
      <c r="DQ115">
        <v>11.781000000000001</v>
      </c>
      <c r="DR115">
        <v>5.8639999999999999</v>
      </c>
      <c r="DS115">
        <v>5.35</v>
      </c>
      <c r="DT115">
        <v>0</v>
      </c>
      <c r="DU115">
        <v>22</v>
      </c>
      <c r="DV115">
        <v>0</v>
      </c>
      <c r="DW115">
        <v>95.454999999999998</v>
      </c>
      <c r="DX115">
        <v>92.308000000000007</v>
      </c>
      <c r="DY115">
        <v>12</v>
      </c>
      <c r="DZ115">
        <v>57</v>
      </c>
      <c r="EA115">
        <v>8</v>
      </c>
      <c r="EB115">
        <v>10</v>
      </c>
      <c r="EC115">
        <v>22</v>
      </c>
      <c r="ED115">
        <v>0</v>
      </c>
      <c r="EE115">
        <v>12</v>
      </c>
      <c r="EF115">
        <v>207</v>
      </c>
      <c r="EG115">
        <v>23.143000000000001</v>
      </c>
      <c r="EH115">
        <v>60</v>
      </c>
      <c r="EI115">
        <v>43.75</v>
      </c>
      <c r="EJ115">
        <v>73.47</v>
      </c>
      <c r="EK115">
        <v>2</v>
      </c>
    </row>
    <row r="116" spans="1:141" x14ac:dyDescent="0.25">
      <c r="A116">
        <v>46</v>
      </c>
      <c r="B116">
        <v>14</v>
      </c>
      <c r="C116">
        <v>1</v>
      </c>
      <c r="D116">
        <v>2025</v>
      </c>
      <c r="E116">
        <v>8</v>
      </c>
      <c r="F116" t="str">
        <f>VLOOKUP(G116, Map!$A$1:$B$33, 2, FALSE)</f>
        <v>BAL</v>
      </c>
      <c r="G116" t="s">
        <v>146</v>
      </c>
      <c r="H116" t="str">
        <f>VLOOKUP(I116, Map!$A$1:$B$33, 2, FALSE)</f>
        <v>CHI</v>
      </c>
      <c r="I116" t="s">
        <v>163</v>
      </c>
      <c r="J116">
        <v>0</v>
      </c>
      <c r="K116">
        <v>0</v>
      </c>
      <c r="L116">
        <v>0</v>
      </c>
      <c r="M116">
        <v>1</v>
      </c>
      <c r="N116">
        <v>2</v>
      </c>
      <c r="O116">
        <v>5</v>
      </c>
      <c r="P116">
        <v>30</v>
      </c>
      <c r="Q116">
        <v>24.857143000000001</v>
      </c>
      <c r="R116">
        <v>-36</v>
      </c>
      <c r="S116">
        <v>1</v>
      </c>
      <c r="T116">
        <v>0.28571429999999998</v>
      </c>
      <c r="U116">
        <v>1</v>
      </c>
      <c r="V116">
        <v>0</v>
      </c>
      <c r="W116">
        <v>2</v>
      </c>
      <c r="X116">
        <v>3</v>
      </c>
      <c r="Y116">
        <v>0</v>
      </c>
      <c r="Z116">
        <v>2</v>
      </c>
      <c r="AA116">
        <v>1</v>
      </c>
      <c r="AB116">
        <v>3</v>
      </c>
      <c r="AC116">
        <v>10</v>
      </c>
      <c r="AD116">
        <v>7</v>
      </c>
      <c r="AE116">
        <v>7</v>
      </c>
      <c r="AF116">
        <v>9</v>
      </c>
      <c r="AG116">
        <v>61</v>
      </c>
      <c r="AH116">
        <v>0</v>
      </c>
      <c r="AI116">
        <v>4</v>
      </c>
      <c r="AJ116">
        <v>3</v>
      </c>
      <c r="AK116">
        <v>26.428571999999999</v>
      </c>
      <c r="AL116">
        <v>24</v>
      </c>
      <c r="AM116">
        <v>-17</v>
      </c>
      <c r="AN116">
        <v>-1</v>
      </c>
      <c r="AO116">
        <v>0.57142859999999995</v>
      </c>
      <c r="AP116">
        <v>0</v>
      </c>
      <c r="AQ116">
        <v>2</v>
      </c>
      <c r="AR116">
        <v>2</v>
      </c>
      <c r="AS116">
        <v>1</v>
      </c>
      <c r="AT116">
        <v>2</v>
      </c>
      <c r="AU116">
        <v>2</v>
      </c>
      <c r="AV116">
        <v>3</v>
      </c>
      <c r="AW116">
        <v>2</v>
      </c>
      <c r="AX116">
        <v>3</v>
      </c>
      <c r="AY116">
        <v>14</v>
      </c>
      <c r="AZ116">
        <v>5</v>
      </c>
      <c r="BA116">
        <v>11</v>
      </c>
      <c r="BB116">
        <v>61</v>
      </c>
      <c r="BC116">
        <v>43</v>
      </c>
      <c r="BD116">
        <v>-4.5</v>
      </c>
      <c r="BE116">
        <v>0</v>
      </c>
      <c r="BF116">
        <v>0</v>
      </c>
      <c r="BG116">
        <v>48.006999999999998</v>
      </c>
      <c r="BH116">
        <v>57.106999999999999</v>
      </c>
      <c r="BI116">
        <v>51.606999999999999</v>
      </c>
      <c r="BJ116">
        <v>59.914999999999999</v>
      </c>
      <c r="BK116">
        <v>72.131</v>
      </c>
      <c r="BL116">
        <v>74.587999999999994</v>
      </c>
      <c r="BM116">
        <v>-0.44500000000000001</v>
      </c>
      <c r="BN116">
        <v>51.606999999999999</v>
      </c>
      <c r="BO116">
        <v>57.106999999999999</v>
      </c>
      <c r="BP116">
        <v>0</v>
      </c>
      <c r="BQ116">
        <v>48.006999999999998</v>
      </c>
      <c r="BR116">
        <v>0.44500000000000001</v>
      </c>
      <c r="BS116">
        <v>27.869</v>
      </c>
      <c r="BT116">
        <v>40.085000000000001</v>
      </c>
      <c r="BU116">
        <v>25.411999999999999</v>
      </c>
      <c r="BV116">
        <v>2046</v>
      </c>
      <c r="BW116">
        <v>69.73</v>
      </c>
      <c r="BX116">
        <v>182.28572</v>
      </c>
      <c r="BY116">
        <v>19</v>
      </c>
      <c r="BZ116">
        <v>337.14285000000001</v>
      </c>
      <c r="CA116">
        <v>7.7080000000000002</v>
      </c>
      <c r="CB116">
        <v>1139</v>
      </c>
      <c r="CC116">
        <v>133.429</v>
      </c>
      <c r="CD116">
        <v>5.2770000000000001</v>
      </c>
      <c r="CE116">
        <v>8</v>
      </c>
      <c r="CF116">
        <v>2456</v>
      </c>
      <c r="CG116">
        <v>11</v>
      </c>
      <c r="CH116">
        <v>203.714</v>
      </c>
      <c r="CI116">
        <v>11.054</v>
      </c>
      <c r="CJ116">
        <v>6.8890000000000002</v>
      </c>
      <c r="CK116">
        <v>2.4089999999999998</v>
      </c>
      <c r="CL116">
        <v>1</v>
      </c>
      <c r="CM116">
        <v>9</v>
      </c>
      <c r="CN116">
        <v>0</v>
      </c>
      <c r="CO116">
        <v>94.736999999999995</v>
      </c>
      <c r="CP116">
        <v>92.308000000000007</v>
      </c>
      <c r="CQ116">
        <v>12</v>
      </c>
      <c r="CR116">
        <v>54</v>
      </c>
      <c r="CS116">
        <v>5.8330000000000002</v>
      </c>
      <c r="CT116">
        <v>19</v>
      </c>
      <c r="CU116">
        <v>8</v>
      </c>
      <c r="CV116">
        <v>6</v>
      </c>
      <c r="CW116">
        <v>11</v>
      </c>
      <c r="CX116">
        <v>174</v>
      </c>
      <c r="CY116">
        <v>18.143000000000001</v>
      </c>
      <c r="CZ116">
        <v>38.462000000000003</v>
      </c>
      <c r="DA116">
        <v>40.506</v>
      </c>
      <c r="DB116">
        <v>52.38</v>
      </c>
      <c r="DC116">
        <v>-6</v>
      </c>
      <c r="DD116">
        <v>2157</v>
      </c>
      <c r="DE116">
        <v>61.947000000000003</v>
      </c>
      <c r="DF116">
        <v>225.57142999999999</v>
      </c>
      <c r="DG116">
        <v>26</v>
      </c>
      <c r="DH116">
        <v>362.14285000000001</v>
      </c>
      <c r="DI116">
        <v>7.2880000000000003</v>
      </c>
      <c r="DJ116">
        <v>1087</v>
      </c>
      <c r="DK116">
        <v>124.571</v>
      </c>
      <c r="DL116">
        <v>4.4039999999999999</v>
      </c>
      <c r="DM116">
        <v>7</v>
      </c>
      <c r="DN116">
        <v>2678</v>
      </c>
      <c r="DO116">
        <v>9</v>
      </c>
      <c r="DP116">
        <v>237.571</v>
      </c>
      <c r="DQ116">
        <v>11.763999999999999</v>
      </c>
      <c r="DR116">
        <v>4.5709999999999997</v>
      </c>
      <c r="DS116">
        <v>2.9409999999999998</v>
      </c>
      <c r="DT116">
        <v>1</v>
      </c>
      <c r="DU116">
        <v>14</v>
      </c>
      <c r="DV116">
        <v>0</v>
      </c>
      <c r="DW116">
        <v>100</v>
      </c>
      <c r="DX116">
        <v>85</v>
      </c>
      <c r="DY116">
        <v>17</v>
      </c>
      <c r="DZ116">
        <v>66</v>
      </c>
      <c r="EA116">
        <v>11.909000000000001</v>
      </c>
      <c r="EB116">
        <v>7</v>
      </c>
      <c r="EC116">
        <v>24</v>
      </c>
      <c r="ED116">
        <v>6</v>
      </c>
      <c r="EE116">
        <v>9</v>
      </c>
      <c r="EF116">
        <v>168</v>
      </c>
      <c r="EG116">
        <v>19.286000000000001</v>
      </c>
      <c r="EH116">
        <v>37.5</v>
      </c>
      <c r="EI116">
        <v>41.110999999999997</v>
      </c>
      <c r="EJ116">
        <v>57.14</v>
      </c>
      <c r="EK116">
        <v>10</v>
      </c>
    </row>
    <row r="117" spans="1:141" x14ac:dyDescent="0.25">
      <c r="A117">
        <v>41</v>
      </c>
      <c r="B117">
        <v>11</v>
      </c>
      <c r="C117">
        <v>1</v>
      </c>
      <c r="D117">
        <v>2025</v>
      </c>
      <c r="E117">
        <v>8</v>
      </c>
      <c r="F117" t="str">
        <f>VLOOKUP(G117, Map!$A$1:$B$33, 2, FALSE)</f>
        <v>HOU</v>
      </c>
      <c r="G117" t="s">
        <v>137</v>
      </c>
      <c r="H117" t="str">
        <f>VLOOKUP(I117, Map!$A$1:$B$33, 2, FALSE)</f>
        <v>SF</v>
      </c>
      <c r="I117" t="s">
        <v>143</v>
      </c>
      <c r="J117">
        <v>0</v>
      </c>
      <c r="K117">
        <v>0</v>
      </c>
      <c r="L117">
        <v>0</v>
      </c>
      <c r="M117">
        <v>1</v>
      </c>
      <c r="N117">
        <v>3</v>
      </c>
      <c r="O117">
        <v>4</v>
      </c>
      <c r="P117">
        <v>14.714286</v>
      </c>
      <c r="Q117">
        <v>21.857143000000001</v>
      </c>
      <c r="R117">
        <v>50</v>
      </c>
      <c r="S117">
        <v>1</v>
      </c>
      <c r="T117">
        <v>0.42857142999999998</v>
      </c>
      <c r="U117">
        <v>1</v>
      </c>
      <c r="V117">
        <v>1</v>
      </c>
      <c r="W117">
        <v>2</v>
      </c>
      <c r="X117">
        <v>1</v>
      </c>
      <c r="Y117">
        <v>1</v>
      </c>
      <c r="Z117">
        <v>3</v>
      </c>
      <c r="AA117">
        <v>2</v>
      </c>
      <c r="AB117">
        <v>1</v>
      </c>
      <c r="AC117">
        <v>3</v>
      </c>
      <c r="AD117">
        <v>13</v>
      </c>
      <c r="AE117">
        <v>8</v>
      </c>
      <c r="AF117">
        <v>8</v>
      </c>
      <c r="AG117">
        <v>69</v>
      </c>
      <c r="AH117">
        <v>0</v>
      </c>
      <c r="AI117">
        <v>5</v>
      </c>
      <c r="AJ117">
        <v>3</v>
      </c>
      <c r="AK117">
        <v>20.5</v>
      </c>
      <c r="AL117">
        <v>20</v>
      </c>
      <c r="AM117">
        <v>-4</v>
      </c>
      <c r="AN117">
        <v>-1</v>
      </c>
      <c r="AO117">
        <v>0.625</v>
      </c>
      <c r="AP117">
        <v>3</v>
      </c>
      <c r="AQ117">
        <v>0</v>
      </c>
      <c r="AR117">
        <v>2</v>
      </c>
      <c r="AS117">
        <v>1</v>
      </c>
      <c r="AT117">
        <v>3</v>
      </c>
      <c r="AU117">
        <v>2</v>
      </c>
      <c r="AV117">
        <v>5</v>
      </c>
      <c r="AW117">
        <v>1</v>
      </c>
      <c r="AX117">
        <v>15</v>
      </c>
      <c r="AY117">
        <v>5</v>
      </c>
      <c r="AZ117">
        <v>13</v>
      </c>
      <c r="BA117">
        <v>7</v>
      </c>
      <c r="BB117">
        <v>68</v>
      </c>
      <c r="BC117">
        <v>41.5</v>
      </c>
      <c r="BD117">
        <v>-7</v>
      </c>
      <c r="BE117">
        <v>0</v>
      </c>
      <c r="BF117">
        <v>0</v>
      </c>
      <c r="BG117">
        <v>64.257999999999996</v>
      </c>
      <c r="BH117">
        <v>66.584000000000003</v>
      </c>
      <c r="BI117">
        <v>35.457999999999998</v>
      </c>
      <c r="BJ117">
        <v>59.372</v>
      </c>
      <c r="BK117">
        <v>84.784000000000006</v>
      </c>
      <c r="BL117">
        <v>83.796999999999997</v>
      </c>
      <c r="BM117">
        <v>5.4690000000000003</v>
      </c>
      <c r="BN117">
        <v>35.457999999999998</v>
      </c>
      <c r="BO117">
        <v>66.584000000000003</v>
      </c>
      <c r="BP117">
        <v>0</v>
      </c>
      <c r="BQ117">
        <v>64.257999999999996</v>
      </c>
      <c r="BR117">
        <v>-5.4690000000000003</v>
      </c>
      <c r="BS117">
        <v>15.215999999999999</v>
      </c>
      <c r="BT117">
        <v>40.628</v>
      </c>
      <c r="BU117">
        <v>16.202999999999999</v>
      </c>
      <c r="BV117">
        <v>2266</v>
      </c>
      <c r="BW117">
        <v>66.525000000000006</v>
      </c>
      <c r="BX117">
        <v>215.28572</v>
      </c>
      <c r="BY117">
        <v>22</v>
      </c>
      <c r="BZ117">
        <v>348.57144</v>
      </c>
      <c r="CA117">
        <v>6.9749999999999996</v>
      </c>
      <c r="CB117">
        <v>869</v>
      </c>
      <c r="CC117">
        <v>113.429</v>
      </c>
      <c r="CD117">
        <v>4.2690000000000001</v>
      </c>
      <c r="CE117">
        <v>3</v>
      </c>
      <c r="CF117">
        <v>2816</v>
      </c>
      <c r="CG117">
        <v>11</v>
      </c>
      <c r="CH117">
        <v>235.143</v>
      </c>
      <c r="CI117">
        <v>10.484</v>
      </c>
      <c r="CJ117">
        <v>7.875</v>
      </c>
      <c r="CK117">
        <v>6.1109999999999998</v>
      </c>
      <c r="CL117">
        <v>1</v>
      </c>
      <c r="CM117">
        <v>16</v>
      </c>
      <c r="CN117">
        <v>0</v>
      </c>
      <c r="CO117">
        <v>100</v>
      </c>
      <c r="CP117">
        <v>89.474000000000004</v>
      </c>
      <c r="CQ117">
        <v>17</v>
      </c>
      <c r="CR117">
        <v>63</v>
      </c>
      <c r="CS117">
        <v>11.545</v>
      </c>
      <c r="CT117">
        <v>27</v>
      </c>
      <c r="CU117">
        <v>9</v>
      </c>
      <c r="CV117">
        <v>6</v>
      </c>
      <c r="CW117">
        <v>11</v>
      </c>
      <c r="CX117">
        <v>153</v>
      </c>
      <c r="CY117">
        <v>18.713999999999999</v>
      </c>
      <c r="CZ117">
        <v>66.667000000000002</v>
      </c>
      <c r="DA117">
        <v>35.164999999999999</v>
      </c>
      <c r="DB117">
        <v>60.15</v>
      </c>
      <c r="DC117">
        <v>4</v>
      </c>
      <c r="DD117">
        <v>2753</v>
      </c>
      <c r="DE117">
        <v>65.885999999999996</v>
      </c>
      <c r="DF117">
        <v>259.25</v>
      </c>
      <c r="DG117">
        <v>23</v>
      </c>
      <c r="DH117">
        <v>362.25</v>
      </c>
      <c r="DI117">
        <v>7.3010000000000002</v>
      </c>
      <c r="DJ117">
        <v>775</v>
      </c>
      <c r="DK117">
        <v>89.375</v>
      </c>
      <c r="DL117">
        <v>3.4049999999999998</v>
      </c>
      <c r="DM117">
        <v>3</v>
      </c>
      <c r="DN117">
        <v>3588</v>
      </c>
      <c r="DO117">
        <v>12</v>
      </c>
      <c r="DP117">
        <v>272.875</v>
      </c>
      <c r="DQ117">
        <v>11.081</v>
      </c>
      <c r="DR117">
        <v>6.6669999999999998</v>
      </c>
      <c r="DS117">
        <v>1.889</v>
      </c>
      <c r="DT117">
        <v>0</v>
      </c>
      <c r="DU117">
        <v>9</v>
      </c>
      <c r="DV117">
        <v>0</v>
      </c>
      <c r="DW117">
        <v>92.308000000000007</v>
      </c>
      <c r="DX117">
        <v>90</v>
      </c>
      <c r="DY117">
        <v>18</v>
      </c>
      <c r="DZ117">
        <v>66</v>
      </c>
      <c r="EA117">
        <v>14.308</v>
      </c>
      <c r="EB117">
        <v>12</v>
      </c>
      <c r="EC117">
        <v>25</v>
      </c>
      <c r="ED117">
        <v>0</v>
      </c>
      <c r="EE117">
        <v>12</v>
      </c>
      <c r="EF117">
        <v>160</v>
      </c>
      <c r="EG117">
        <v>20.875</v>
      </c>
      <c r="EH117">
        <v>54.545000000000002</v>
      </c>
      <c r="EI117">
        <v>46.363999999999997</v>
      </c>
      <c r="EJ117">
        <v>65.709999999999994</v>
      </c>
      <c r="EK117">
        <v>-5</v>
      </c>
    </row>
    <row r="118" spans="1:141" x14ac:dyDescent="0.25">
      <c r="A118">
        <v>26</v>
      </c>
      <c r="B118">
        <v>-20</v>
      </c>
      <c r="C118">
        <v>0</v>
      </c>
      <c r="D118">
        <v>2025</v>
      </c>
      <c r="E118">
        <v>8</v>
      </c>
      <c r="F118" t="str">
        <f>VLOOKUP(G118, Map!$A$1:$B$33, 2, FALSE)</f>
        <v>NO</v>
      </c>
      <c r="G118" t="s">
        <v>168</v>
      </c>
      <c r="H118" t="str">
        <f>VLOOKUP(I118, Map!$A$1:$B$33, 2, FALSE)</f>
        <v>TB</v>
      </c>
      <c r="I118" t="s">
        <v>141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7</v>
      </c>
      <c r="P118">
        <v>26.125</v>
      </c>
      <c r="Q118">
        <v>16</v>
      </c>
      <c r="R118">
        <v>-81</v>
      </c>
      <c r="S118">
        <v>-3</v>
      </c>
      <c r="T118">
        <v>0.125</v>
      </c>
      <c r="U118">
        <v>0</v>
      </c>
      <c r="V118">
        <v>1</v>
      </c>
      <c r="W118">
        <v>1</v>
      </c>
      <c r="X118">
        <v>4</v>
      </c>
      <c r="Y118">
        <v>0</v>
      </c>
      <c r="Z118">
        <v>3</v>
      </c>
      <c r="AA118">
        <v>1</v>
      </c>
      <c r="AB118">
        <v>5</v>
      </c>
      <c r="AC118">
        <v>7</v>
      </c>
      <c r="AD118">
        <v>10</v>
      </c>
      <c r="AE118">
        <v>7</v>
      </c>
      <c r="AF118">
        <v>10</v>
      </c>
      <c r="AG118">
        <v>64</v>
      </c>
      <c r="AH118">
        <v>1</v>
      </c>
      <c r="AI118">
        <v>6</v>
      </c>
      <c r="AJ118">
        <v>2</v>
      </c>
      <c r="AK118">
        <v>22.25</v>
      </c>
      <c r="AL118">
        <v>24.625</v>
      </c>
      <c r="AM118">
        <v>19</v>
      </c>
      <c r="AN118">
        <v>1</v>
      </c>
      <c r="AO118">
        <v>0.75</v>
      </c>
      <c r="AP118">
        <v>2</v>
      </c>
      <c r="AQ118">
        <v>0</v>
      </c>
      <c r="AR118">
        <v>2</v>
      </c>
      <c r="AS118">
        <v>1</v>
      </c>
      <c r="AT118">
        <v>4</v>
      </c>
      <c r="AU118">
        <v>1</v>
      </c>
      <c r="AV118">
        <v>4</v>
      </c>
      <c r="AW118">
        <v>2</v>
      </c>
      <c r="AX118">
        <v>8</v>
      </c>
      <c r="AY118">
        <v>9</v>
      </c>
      <c r="AZ118">
        <v>4</v>
      </c>
      <c r="BA118">
        <v>12</v>
      </c>
      <c r="BB118">
        <v>59</v>
      </c>
      <c r="BC118">
        <v>36</v>
      </c>
      <c r="BD118">
        <v>9</v>
      </c>
      <c r="BE118">
        <v>0</v>
      </c>
      <c r="BF118">
        <v>0</v>
      </c>
      <c r="BG118">
        <v>34.329000000000001</v>
      </c>
      <c r="BH118">
        <v>37.619</v>
      </c>
      <c r="BI118">
        <v>65.394999999999996</v>
      </c>
      <c r="BJ118">
        <v>65.971000000000004</v>
      </c>
      <c r="BK118">
        <v>2.2389999999999999</v>
      </c>
      <c r="BL118">
        <v>13.162000000000001</v>
      </c>
      <c r="BM118">
        <v>-5.7160000000000002</v>
      </c>
      <c r="BN118">
        <v>65.394999999999996</v>
      </c>
      <c r="BO118">
        <v>37.619</v>
      </c>
      <c r="BP118">
        <v>0</v>
      </c>
      <c r="BQ118">
        <v>34.329000000000001</v>
      </c>
      <c r="BR118">
        <v>5.7160000000000002</v>
      </c>
      <c r="BS118">
        <v>97.760999999999996</v>
      </c>
      <c r="BT118">
        <v>34.029000000000003</v>
      </c>
      <c r="BU118">
        <v>86.837999999999994</v>
      </c>
      <c r="BV118">
        <v>2083</v>
      </c>
      <c r="BW118">
        <v>66.206999999999994</v>
      </c>
      <c r="BX118">
        <v>201.375</v>
      </c>
      <c r="BY118">
        <v>13</v>
      </c>
      <c r="BZ118">
        <v>310.25</v>
      </c>
      <c r="CA118">
        <v>5.976</v>
      </c>
      <c r="CB118">
        <v>779</v>
      </c>
      <c r="CC118">
        <v>93.625</v>
      </c>
      <c r="CD118">
        <v>3.7829999999999999</v>
      </c>
      <c r="CE118">
        <v>3</v>
      </c>
      <c r="CF118">
        <v>2973</v>
      </c>
      <c r="CG118">
        <v>8</v>
      </c>
      <c r="CH118">
        <v>216.625</v>
      </c>
      <c r="CI118">
        <v>9.0259999999999998</v>
      </c>
      <c r="CJ118">
        <v>6.0590000000000002</v>
      </c>
      <c r="CK118">
        <v>4.7779999999999996</v>
      </c>
      <c r="CL118">
        <v>1</v>
      </c>
      <c r="CM118">
        <v>17</v>
      </c>
      <c r="CN118">
        <v>0</v>
      </c>
      <c r="CO118">
        <v>100</v>
      </c>
      <c r="CP118">
        <v>71.429000000000002</v>
      </c>
      <c r="CQ118">
        <v>15</v>
      </c>
      <c r="CR118">
        <v>56</v>
      </c>
      <c r="CS118">
        <v>15.25</v>
      </c>
      <c r="CT118">
        <v>27</v>
      </c>
      <c r="CU118">
        <v>7</v>
      </c>
      <c r="CV118">
        <v>6</v>
      </c>
      <c r="CW118">
        <v>8</v>
      </c>
      <c r="CX118">
        <v>128</v>
      </c>
      <c r="CY118">
        <v>19.125</v>
      </c>
      <c r="CZ118">
        <v>33.332999999999998</v>
      </c>
      <c r="DA118">
        <v>38.835000000000001</v>
      </c>
      <c r="DB118">
        <v>61.22</v>
      </c>
      <c r="DC118">
        <v>-2</v>
      </c>
      <c r="DD118">
        <v>2769</v>
      </c>
      <c r="DE118">
        <v>63.941000000000003</v>
      </c>
      <c r="DF118">
        <v>224.875</v>
      </c>
      <c r="DG118">
        <v>29</v>
      </c>
      <c r="DH118">
        <v>338</v>
      </c>
      <c r="DI118">
        <v>7.1340000000000003</v>
      </c>
      <c r="DJ118">
        <v>950</v>
      </c>
      <c r="DK118">
        <v>98.125</v>
      </c>
      <c r="DL118">
        <v>3.8479999999999999</v>
      </c>
      <c r="DM118">
        <v>6</v>
      </c>
      <c r="DN118">
        <v>3234</v>
      </c>
      <c r="DO118">
        <v>13</v>
      </c>
      <c r="DP118">
        <v>239.875</v>
      </c>
      <c r="DQ118">
        <v>11.157</v>
      </c>
      <c r="DR118">
        <v>7.8</v>
      </c>
      <c r="DS118">
        <v>6.8</v>
      </c>
      <c r="DT118">
        <v>2</v>
      </c>
      <c r="DU118">
        <v>25</v>
      </c>
      <c r="DV118">
        <v>0</v>
      </c>
      <c r="DW118">
        <v>94.117999999999995</v>
      </c>
      <c r="DX118">
        <v>80.951999999999998</v>
      </c>
      <c r="DY118">
        <v>17</v>
      </c>
      <c r="DZ118">
        <v>67</v>
      </c>
      <c r="EA118">
        <v>14.667</v>
      </c>
      <c r="EB118">
        <v>12</v>
      </c>
      <c r="EC118">
        <v>32</v>
      </c>
      <c r="ED118">
        <v>14</v>
      </c>
      <c r="EE118">
        <v>13</v>
      </c>
      <c r="EF118">
        <v>197</v>
      </c>
      <c r="EG118">
        <v>18.875</v>
      </c>
      <c r="EH118">
        <v>50</v>
      </c>
      <c r="EI118">
        <v>36.274999999999999</v>
      </c>
      <c r="EJ118">
        <v>55.19</v>
      </c>
      <c r="EK118">
        <v>7</v>
      </c>
    </row>
    <row r="119" spans="1:141" x14ac:dyDescent="0.25">
      <c r="A119">
        <v>68</v>
      </c>
      <c r="B119">
        <v>20</v>
      </c>
      <c r="C119">
        <v>1</v>
      </c>
      <c r="D119">
        <v>2025</v>
      </c>
      <c r="E119">
        <v>8</v>
      </c>
      <c r="F119" t="str">
        <f>VLOOKUP(G119, Map!$A$1:$B$33, 2, FALSE)</f>
        <v>DEN</v>
      </c>
      <c r="G119" t="s">
        <v>159</v>
      </c>
      <c r="H119" t="str">
        <f>VLOOKUP(I119, Map!$A$1:$B$33, 2, FALSE)</f>
        <v>DAL</v>
      </c>
      <c r="I119" t="s">
        <v>150</v>
      </c>
      <c r="J119">
        <v>0</v>
      </c>
      <c r="K119">
        <v>0</v>
      </c>
      <c r="L119">
        <v>0</v>
      </c>
      <c r="M119">
        <v>1</v>
      </c>
      <c r="N119">
        <v>6</v>
      </c>
      <c r="O119">
        <v>2</v>
      </c>
      <c r="P119">
        <v>18.875</v>
      </c>
      <c r="Q119">
        <v>25.875</v>
      </c>
      <c r="R119">
        <v>56</v>
      </c>
      <c r="S119">
        <v>5</v>
      </c>
      <c r="T119">
        <v>0.75</v>
      </c>
      <c r="U119">
        <v>0</v>
      </c>
      <c r="V119">
        <v>1</v>
      </c>
      <c r="W119">
        <v>4</v>
      </c>
      <c r="X119">
        <v>0</v>
      </c>
      <c r="Y119">
        <v>2</v>
      </c>
      <c r="Z119">
        <v>2</v>
      </c>
      <c r="AA119">
        <v>3</v>
      </c>
      <c r="AB119">
        <v>2</v>
      </c>
      <c r="AC119">
        <v>4</v>
      </c>
      <c r="AD119">
        <v>12</v>
      </c>
      <c r="AE119">
        <v>7</v>
      </c>
      <c r="AF119">
        <v>9</v>
      </c>
      <c r="AG119">
        <v>63</v>
      </c>
      <c r="AH119">
        <v>0</v>
      </c>
      <c r="AI119">
        <v>3</v>
      </c>
      <c r="AJ119">
        <v>4</v>
      </c>
      <c r="AK119">
        <v>31.25</v>
      </c>
      <c r="AL119">
        <v>30.75</v>
      </c>
      <c r="AM119">
        <v>-4</v>
      </c>
      <c r="AN119">
        <v>-1</v>
      </c>
      <c r="AO119">
        <v>0.4375</v>
      </c>
      <c r="AP119">
        <v>2</v>
      </c>
      <c r="AQ119">
        <v>1</v>
      </c>
      <c r="AR119">
        <v>2</v>
      </c>
      <c r="AS119">
        <v>0</v>
      </c>
      <c r="AT119">
        <v>1</v>
      </c>
      <c r="AU119">
        <v>4</v>
      </c>
      <c r="AV119">
        <v>2</v>
      </c>
      <c r="AW119">
        <v>3</v>
      </c>
      <c r="AX119">
        <v>13</v>
      </c>
      <c r="AY119">
        <v>5</v>
      </c>
      <c r="AZ119">
        <v>11</v>
      </c>
      <c r="BA119">
        <v>7</v>
      </c>
      <c r="BB119">
        <v>68</v>
      </c>
      <c r="BC119">
        <v>60</v>
      </c>
      <c r="BD119">
        <v>-12.5</v>
      </c>
      <c r="BE119">
        <v>0</v>
      </c>
      <c r="BF119">
        <v>0</v>
      </c>
      <c r="BG119">
        <v>55.488999999999997</v>
      </c>
      <c r="BH119">
        <v>67.995999999999995</v>
      </c>
      <c r="BI119">
        <v>44.155999999999999</v>
      </c>
      <c r="BJ119">
        <v>55.058999999999997</v>
      </c>
      <c r="BK119">
        <v>96.003</v>
      </c>
      <c r="BL119">
        <v>89.688000000000002</v>
      </c>
      <c r="BM119">
        <v>2.141</v>
      </c>
      <c r="BN119">
        <v>44.155999999999999</v>
      </c>
      <c r="BO119">
        <v>67.995999999999995</v>
      </c>
      <c r="BP119">
        <v>0</v>
      </c>
      <c r="BQ119">
        <v>55.488999999999997</v>
      </c>
      <c r="BR119">
        <v>-2.141</v>
      </c>
      <c r="BS119">
        <v>3.9969999999999999</v>
      </c>
      <c r="BT119">
        <v>44.941000000000003</v>
      </c>
      <c r="BU119">
        <v>10.311999999999999</v>
      </c>
      <c r="BV119">
        <v>2703</v>
      </c>
      <c r="BW119">
        <v>62.807000000000002</v>
      </c>
      <c r="BX119">
        <v>219.125</v>
      </c>
      <c r="BY119">
        <v>22</v>
      </c>
      <c r="BZ119">
        <v>363.125</v>
      </c>
      <c r="CA119">
        <v>6.3259999999999996</v>
      </c>
      <c r="CB119">
        <v>1407</v>
      </c>
      <c r="CC119">
        <v>137.75</v>
      </c>
      <c r="CD119">
        <v>5.0090000000000003</v>
      </c>
      <c r="CE119">
        <v>10</v>
      </c>
      <c r="CF119">
        <v>3223</v>
      </c>
      <c r="CG119">
        <v>15</v>
      </c>
      <c r="CH119">
        <v>225.375</v>
      </c>
      <c r="CI119">
        <v>10.073</v>
      </c>
      <c r="CJ119">
        <v>6.0279999999999996</v>
      </c>
      <c r="CK119">
        <v>90.5</v>
      </c>
      <c r="CL119">
        <v>0</v>
      </c>
      <c r="CM119">
        <v>36</v>
      </c>
      <c r="CN119">
        <v>0</v>
      </c>
      <c r="CO119">
        <v>100</v>
      </c>
      <c r="CP119">
        <v>90.909000000000006</v>
      </c>
      <c r="CQ119">
        <v>10</v>
      </c>
      <c r="CR119">
        <v>51</v>
      </c>
      <c r="CS119">
        <v>10.467000000000001</v>
      </c>
      <c r="CT119">
        <v>38</v>
      </c>
      <c r="CU119">
        <v>18</v>
      </c>
      <c r="CV119">
        <v>0</v>
      </c>
      <c r="CW119">
        <v>15</v>
      </c>
      <c r="CX119">
        <v>207</v>
      </c>
      <c r="CY119">
        <v>20.75</v>
      </c>
      <c r="CZ119">
        <v>50</v>
      </c>
      <c r="DA119">
        <v>37.863999999999997</v>
      </c>
      <c r="DB119">
        <v>73.02</v>
      </c>
      <c r="DC119">
        <v>-1</v>
      </c>
      <c r="DD119">
        <v>3160</v>
      </c>
      <c r="DE119">
        <v>70.233999999999995</v>
      </c>
      <c r="DF119">
        <v>263.75</v>
      </c>
      <c r="DG119">
        <v>25</v>
      </c>
      <c r="DH119">
        <v>391.375</v>
      </c>
      <c r="DI119">
        <v>7.1909999999999998</v>
      </c>
      <c r="DJ119">
        <v>1283</v>
      </c>
      <c r="DK119">
        <v>120.375</v>
      </c>
      <c r="DL119">
        <v>4.6749999999999998</v>
      </c>
      <c r="DM119">
        <v>10</v>
      </c>
      <c r="DN119">
        <v>3813</v>
      </c>
      <c r="DO119">
        <v>17</v>
      </c>
      <c r="DP119">
        <v>271</v>
      </c>
      <c r="DQ119">
        <v>10.238</v>
      </c>
      <c r="DR119">
        <v>7.7329999999999997</v>
      </c>
      <c r="DS119">
        <v>4.8099999999999996</v>
      </c>
      <c r="DT119">
        <v>1</v>
      </c>
      <c r="DU119">
        <v>15</v>
      </c>
      <c r="DV119">
        <v>0</v>
      </c>
      <c r="DW119">
        <v>96.296000000000006</v>
      </c>
      <c r="DX119">
        <v>100</v>
      </c>
      <c r="DY119">
        <v>16</v>
      </c>
      <c r="DZ119">
        <v>74</v>
      </c>
      <c r="EA119">
        <v>10</v>
      </c>
      <c r="EB119">
        <v>11</v>
      </c>
      <c r="EC119">
        <v>28</v>
      </c>
      <c r="ED119">
        <v>6</v>
      </c>
      <c r="EE119">
        <v>17</v>
      </c>
      <c r="EF119">
        <v>246</v>
      </c>
      <c r="EG119">
        <v>23.125</v>
      </c>
      <c r="EH119">
        <v>77.778000000000006</v>
      </c>
      <c r="EI119">
        <v>43.158000000000001</v>
      </c>
      <c r="EJ119">
        <v>74.19</v>
      </c>
      <c r="EK119">
        <v>-1</v>
      </c>
    </row>
    <row r="120" spans="1:141" x14ac:dyDescent="0.25">
      <c r="A120">
        <v>52</v>
      </c>
      <c r="B120">
        <v>24</v>
      </c>
      <c r="C120">
        <v>1</v>
      </c>
      <c r="D120">
        <v>2025</v>
      </c>
      <c r="E120">
        <v>8</v>
      </c>
      <c r="F120" t="str">
        <f>VLOOKUP(G120, Map!$A$1:$B$33, 2, FALSE)</f>
        <v>IND</v>
      </c>
      <c r="G120" t="s">
        <v>138</v>
      </c>
      <c r="H120" t="str">
        <f>VLOOKUP(I120, Map!$A$1:$B$33, 2, FALSE)</f>
        <v>TEN</v>
      </c>
      <c r="I120" t="s">
        <v>140</v>
      </c>
      <c r="J120">
        <v>0</v>
      </c>
      <c r="K120">
        <v>0</v>
      </c>
      <c r="L120">
        <v>0</v>
      </c>
      <c r="M120">
        <v>1</v>
      </c>
      <c r="N120">
        <v>7</v>
      </c>
      <c r="O120">
        <v>1</v>
      </c>
      <c r="P120">
        <v>19.25</v>
      </c>
      <c r="Q120">
        <v>33.75</v>
      </c>
      <c r="R120">
        <v>116</v>
      </c>
      <c r="S120">
        <v>4</v>
      </c>
      <c r="T120">
        <v>0.875</v>
      </c>
      <c r="U120">
        <v>2</v>
      </c>
      <c r="V120">
        <v>0</v>
      </c>
      <c r="W120">
        <v>5</v>
      </c>
      <c r="X120">
        <v>0</v>
      </c>
      <c r="Y120">
        <v>2</v>
      </c>
      <c r="Z120">
        <v>1</v>
      </c>
      <c r="AA120">
        <v>6</v>
      </c>
      <c r="AB120">
        <v>0</v>
      </c>
      <c r="AC120">
        <v>4</v>
      </c>
      <c r="AD120">
        <v>12</v>
      </c>
      <c r="AE120">
        <v>6</v>
      </c>
      <c r="AF120">
        <v>11</v>
      </c>
      <c r="AG120">
        <v>68</v>
      </c>
      <c r="AH120">
        <v>0</v>
      </c>
      <c r="AI120">
        <v>1</v>
      </c>
      <c r="AJ120">
        <v>7</v>
      </c>
      <c r="AK120">
        <v>28.75</v>
      </c>
      <c r="AL120">
        <v>13.75</v>
      </c>
      <c r="AM120">
        <v>-120</v>
      </c>
      <c r="AN120">
        <v>-3</v>
      </c>
      <c r="AO120">
        <v>0.125</v>
      </c>
      <c r="AP120">
        <v>0</v>
      </c>
      <c r="AQ120">
        <v>3</v>
      </c>
      <c r="AR120">
        <v>0</v>
      </c>
      <c r="AS120">
        <v>3</v>
      </c>
      <c r="AT120">
        <v>1</v>
      </c>
      <c r="AU120">
        <v>4</v>
      </c>
      <c r="AV120">
        <v>0</v>
      </c>
      <c r="AW120">
        <v>6</v>
      </c>
      <c r="AX120">
        <v>7</v>
      </c>
      <c r="AY120">
        <v>9</v>
      </c>
      <c r="AZ120">
        <v>8</v>
      </c>
      <c r="BA120">
        <v>7</v>
      </c>
      <c r="BB120">
        <v>59</v>
      </c>
      <c r="BC120">
        <v>48</v>
      </c>
      <c r="BD120">
        <v>-19.5</v>
      </c>
      <c r="BE120">
        <v>0</v>
      </c>
      <c r="BF120">
        <v>0</v>
      </c>
      <c r="BG120">
        <v>83.802000000000007</v>
      </c>
      <c r="BH120">
        <v>42.889000000000003</v>
      </c>
      <c r="BI120">
        <v>16.068999999999999</v>
      </c>
      <c r="BJ120">
        <v>58.154000000000003</v>
      </c>
      <c r="BK120">
        <v>97.269000000000005</v>
      </c>
      <c r="BL120">
        <v>95.061999999999998</v>
      </c>
      <c r="BM120">
        <v>14.522</v>
      </c>
      <c r="BN120">
        <v>16.068999999999999</v>
      </c>
      <c r="BO120">
        <v>42.889000000000003</v>
      </c>
      <c r="BP120">
        <v>0</v>
      </c>
      <c r="BQ120">
        <v>83.802000000000007</v>
      </c>
      <c r="BR120">
        <v>-14.522</v>
      </c>
      <c r="BS120">
        <v>2.7309999999999999</v>
      </c>
      <c r="BT120">
        <v>41.845999999999997</v>
      </c>
      <c r="BU120">
        <v>4.9379999999999997</v>
      </c>
      <c r="BV120">
        <v>2891</v>
      </c>
      <c r="BW120">
        <v>70.161000000000001</v>
      </c>
      <c r="BX120">
        <v>250.875</v>
      </c>
      <c r="BY120">
        <v>23</v>
      </c>
      <c r="BZ120">
        <v>393.25</v>
      </c>
      <c r="CA120">
        <v>8.3510000000000009</v>
      </c>
      <c r="CB120">
        <v>1690</v>
      </c>
      <c r="CC120">
        <v>134.375</v>
      </c>
      <c r="CD120">
        <v>5.0229999999999997</v>
      </c>
      <c r="CE120">
        <v>18</v>
      </c>
      <c r="CF120">
        <v>3396</v>
      </c>
      <c r="CG120">
        <v>13</v>
      </c>
      <c r="CH120">
        <v>258.875</v>
      </c>
      <c r="CI120">
        <v>11.901999999999999</v>
      </c>
      <c r="CJ120">
        <v>6.8259999999999996</v>
      </c>
      <c r="CK120">
        <v>6.0910000000000002</v>
      </c>
      <c r="CL120">
        <v>1</v>
      </c>
      <c r="CM120">
        <v>23</v>
      </c>
      <c r="CN120">
        <v>0</v>
      </c>
      <c r="CO120">
        <v>96.296000000000006</v>
      </c>
      <c r="CP120">
        <v>94.117999999999995</v>
      </c>
      <c r="CQ120">
        <v>16</v>
      </c>
      <c r="CR120">
        <v>74</v>
      </c>
      <c r="CS120">
        <v>4.25</v>
      </c>
      <c r="CT120">
        <v>16</v>
      </c>
      <c r="CU120">
        <v>8</v>
      </c>
      <c r="CV120">
        <v>6</v>
      </c>
      <c r="CW120">
        <v>13</v>
      </c>
      <c r="CX120">
        <v>270</v>
      </c>
      <c r="CY120">
        <v>23.25</v>
      </c>
      <c r="CZ120">
        <v>83.332999999999998</v>
      </c>
      <c r="DA120">
        <v>45.348999999999997</v>
      </c>
      <c r="DB120">
        <v>77.069999999999993</v>
      </c>
      <c r="DC120">
        <v>8</v>
      </c>
      <c r="DD120">
        <v>1785</v>
      </c>
      <c r="DE120">
        <v>57.664000000000001</v>
      </c>
      <c r="DF120">
        <v>168.375</v>
      </c>
      <c r="DG120">
        <v>21</v>
      </c>
      <c r="DH120">
        <v>282.25</v>
      </c>
      <c r="DI120">
        <v>5.8940000000000001</v>
      </c>
      <c r="DJ120">
        <v>643</v>
      </c>
      <c r="DK120">
        <v>80.375</v>
      </c>
      <c r="DL120">
        <v>3.9209999999999998</v>
      </c>
      <c r="DM120">
        <v>3</v>
      </c>
      <c r="DN120">
        <v>2580</v>
      </c>
      <c r="DO120">
        <v>5</v>
      </c>
      <c r="DP120">
        <v>201.875</v>
      </c>
      <c r="DQ120">
        <v>10.222</v>
      </c>
      <c r="DR120">
        <v>6.8129999999999997</v>
      </c>
      <c r="DS120">
        <v>4.8949999999999996</v>
      </c>
      <c r="DT120">
        <v>0</v>
      </c>
      <c r="DU120">
        <v>16</v>
      </c>
      <c r="DV120">
        <v>0</v>
      </c>
      <c r="DW120">
        <v>88.888999999999996</v>
      </c>
      <c r="DX120">
        <v>76.19</v>
      </c>
      <c r="DY120">
        <v>16</v>
      </c>
      <c r="DZ120">
        <v>56</v>
      </c>
      <c r="EA120">
        <v>10.75</v>
      </c>
      <c r="EB120">
        <v>12</v>
      </c>
      <c r="EC120">
        <v>37</v>
      </c>
      <c r="ED120">
        <v>6</v>
      </c>
      <c r="EE120">
        <v>5</v>
      </c>
      <c r="EF120">
        <v>110</v>
      </c>
      <c r="EG120">
        <v>15.875</v>
      </c>
      <c r="EH120">
        <v>38.462000000000003</v>
      </c>
      <c r="EI120">
        <v>29.907</v>
      </c>
      <c r="EJ120">
        <v>65.31</v>
      </c>
      <c r="EK120">
        <v>-4</v>
      </c>
    </row>
    <row r="121" spans="1:141" x14ac:dyDescent="0.25">
      <c r="A121">
        <v>60</v>
      </c>
      <c r="B121">
        <v>-10</v>
      </c>
      <c r="C121">
        <v>0</v>
      </c>
      <c r="D121">
        <v>2025</v>
      </c>
      <c r="E121">
        <v>8</v>
      </c>
      <c r="F121" t="str">
        <f>VLOOKUP(G121, Map!$A$1:$B$33, 2, FALSE)</f>
        <v>PIT</v>
      </c>
      <c r="G121" t="s">
        <v>145</v>
      </c>
      <c r="H121" t="str">
        <f>VLOOKUP(I121, Map!$A$1:$B$33, 2, FALSE)</f>
        <v>GB</v>
      </c>
      <c r="I121" t="s">
        <v>154</v>
      </c>
      <c r="J121">
        <v>0</v>
      </c>
      <c r="K121">
        <v>0</v>
      </c>
      <c r="L121">
        <v>0</v>
      </c>
      <c r="M121">
        <v>0</v>
      </c>
      <c r="N121">
        <v>4</v>
      </c>
      <c r="O121">
        <v>3</v>
      </c>
      <c r="P121">
        <v>25</v>
      </c>
      <c r="Q121">
        <v>25</v>
      </c>
      <c r="R121">
        <v>0</v>
      </c>
      <c r="S121">
        <v>-2</v>
      </c>
      <c r="T121">
        <v>0.57142859999999995</v>
      </c>
      <c r="U121">
        <v>1</v>
      </c>
      <c r="V121">
        <v>1</v>
      </c>
      <c r="W121">
        <v>2</v>
      </c>
      <c r="X121">
        <v>2</v>
      </c>
      <c r="Y121">
        <v>2</v>
      </c>
      <c r="Z121">
        <v>1</v>
      </c>
      <c r="AA121">
        <v>3</v>
      </c>
      <c r="AB121">
        <v>1</v>
      </c>
      <c r="AC121">
        <v>9</v>
      </c>
      <c r="AD121">
        <v>8</v>
      </c>
      <c r="AE121">
        <v>10</v>
      </c>
      <c r="AF121">
        <v>6</v>
      </c>
      <c r="AG121">
        <v>66</v>
      </c>
      <c r="AH121">
        <v>1</v>
      </c>
      <c r="AI121">
        <v>5</v>
      </c>
      <c r="AJ121">
        <v>1</v>
      </c>
      <c r="AK121">
        <v>21.428571999999999</v>
      </c>
      <c r="AL121">
        <v>27.571428000000001</v>
      </c>
      <c r="AM121">
        <v>43</v>
      </c>
      <c r="AN121">
        <v>3</v>
      </c>
      <c r="AO121">
        <v>0.78571427000000005</v>
      </c>
      <c r="AP121">
        <v>1</v>
      </c>
      <c r="AQ121">
        <v>0</v>
      </c>
      <c r="AR121">
        <v>3</v>
      </c>
      <c r="AS121">
        <v>0</v>
      </c>
      <c r="AT121">
        <v>2</v>
      </c>
      <c r="AU121">
        <v>1</v>
      </c>
      <c r="AV121">
        <v>3</v>
      </c>
      <c r="AW121">
        <v>0</v>
      </c>
      <c r="AX121">
        <v>8</v>
      </c>
      <c r="AY121">
        <v>8</v>
      </c>
      <c r="AZ121">
        <v>8</v>
      </c>
      <c r="BA121">
        <v>8</v>
      </c>
      <c r="BB121">
        <v>61</v>
      </c>
      <c r="BC121">
        <v>50</v>
      </c>
      <c r="BD121">
        <v>7</v>
      </c>
      <c r="BE121">
        <v>0</v>
      </c>
      <c r="BF121">
        <v>0</v>
      </c>
      <c r="BG121">
        <v>43.359000000000002</v>
      </c>
      <c r="BH121">
        <v>71.543999999999997</v>
      </c>
      <c r="BI121">
        <v>56.292999999999999</v>
      </c>
      <c r="BJ121">
        <v>6.9690000000000003</v>
      </c>
      <c r="BK121">
        <v>33.174999999999997</v>
      </c>
      <c r="BL121">
        <v>23.527000000000001</v>
      </c>
      <c r="BM121">
        <v>-1.9650000000000001</v>
      </c>
      <c r="BN121">
        <v>56.292999999999999</v>
      </c>
      <c r="BO121">
        <v>71.543999999999997</v>
      </c>
      <c r="BP121">
        <v>0</v>
      </c>
      <c r="BQ121">
        <v>43.359000000000002</v>
      </c>
      <c r="BR121">
        <v>1.9650000000000001</v>
      </c>
      <c r="BS121">
        <v>66.825000000000003</v>
      </c>
      <c r="BT121">
        <v>93.031000000000006</v>
      </c>
      <c r="BU121">
        <v>76.472999999999999</v>
      </c>
      <c r="BV121">
        <v>2471</v>
      </c>
      <c r="BW121">
        <v>68.570999999999998</v>
      </c>
      <c r="BX121">
        <v>202.85714999999999</v>
      </c>
      <c r="BY121">
        <v>20</v>
      </c>
      <c r="BZ121">
        <v>308.71429999999998</v>
      </c>
      <c r="CA121">
        <v>7.1479999999999997</v>
      </c>
      <c r="CB121">
        <v>750</v>
      </c>
      <c r="CC121">
        <v>94.286000000000001</v>
      </c>
      <c r="CD121">
        <v>4.0739999999999998</v>
      </c>
      <c r="CE121">
        <v>3</v>
      </c>
      <c r="CF121">
        <v>2781</v>
      </c>
      <c r="CG121">
        <v>16</v>
      </c>
      <c r="CH121">
        <v>214.429</v>
      </c>
      <c r="CI121">
        <v>10.423999999999999</v>
      </c>
      <c r="CJ121">
        <v>6.4089999999999998</v>
      </c>
      <c r="CK121">
        <v>7.4379999999999997</v>
      </c>
      <c r="CL121">
        <v>0</v>
      </c>
      <c r="CM121">
        <v>22</v>
      </c>
      <c r="CN121">
        <v>0</v>
      </c>
      <c r="CO121">
        <v>100</v>
      </c>
      <c r="CP121">
        <v>87.5</v>
      </c>
      <c r="CQ121">
        <v>14</v>
      </c>
      <c r="CR121">
        <v>59</v>
      </c>
      <c r="CS121">
        <v>8.25</v>
      </c>
      <c r="CT121">
        <v>23</v>
      </c>
      <c r="CU121">
        <v>8</v>
      </c>
      <c r="CV121">
        <v>0</v>
      </c>
      <c r="CW121">
        <v>16</v>
      </c>
      <c r="CX121">
        <v>175</v>
      </c>
      <c r="CY121">
        <v>17.428999999999998</v>
      </c>
      <c r="CZ121">
        <v>50</v>
      </c>
      <c r="DA121">
        <v>38.960999999999999</v>
      </c>
      <c r="DB121">
        <v>75.94</v>
      </c>
      <c r="DC121">
        <v>4</v>
      </c>
      <c r="DD121">
        <v>2648</v>
      </c>
      <c r="DE121">
        <v>70.891999999999996</v>
      </c>
      <c r="DF121">
        <v>245</v>
      </c>
      <c r="DG121">
        <v>26</v>
      </c>
      <c r="DH121">
        <v>371</v>
      </c>
      <c r="DI121">
        <v>8.4410000000000007</v>
      </c>
      <c r="DJ121">
        <v>1099</v>
      </c>
      <c r="DK121">
        <v>114.143</v>
      </c>
      <c r="DL121">
        <v>3.9359999999999999</v>
      </c>
      <c r="DM121">
        <v>9</v>
      </c>
      <c r="DN121">
        <v>3008</v>
      </c>
      <c r="DO121">
        <v>13</v>
      </c>
      <c r="DP121">
        <v>256.85700000000003</v>
      </c>
      <c r="DQ121">
        <v>11.907</v>
      </c>
      <c r="DR121">
        <v>6.1429999999999998</v>
      </c>
      <c r="DS121">
        <v>6.75</v>
      </c>
      <c r="DT121">
        <v>0</v>
      </c>
      <c r="DU121">
        <v>21</v>
      </c>
      <c r="DV121">
        <v>0</v>
      </c>
      <c r="DW121">
        <v>95.238</v>
      </c>
      <c r="DX121">
        <v>76.471000000000004</v>
      </c>
      <c r="DY121">
        <v>13</v>
      </c>
      <c r="DZ121">
        <v>59</v>
      </c>
      <c r="EA121">
        <v>11.909000000000001</v>
      </c>
      <c r="EB121">
        <v>6</v>
      </c>
      <c r="EC121">
        <v>22</v>
      </c>
      <c r="ED121">
        <v>0</v>
      </c>
      <c r="EE121">
        <v>13</v>
      </c>
      <c r="EF121">
        <v>193</v>
      </c>
      <c r="EG121">
        <v>21</v>
      </c>
      <c r="EH121">
        <v>75</v>
      </c>
      <c r="EI121">
        <v>48.276000000000003</v>
      </c>
      <c r="EJ121">
        <v>78.569999999999993</v>
      </c>
      <c r="EK121">
        <v>1</v>
      </c>
    </row>
    <row r="122" spans="1:141" x14ac:dyDescent="0.25">
      <c r="A122">
        <v>35</v>
      </c>
      <c r="B122">
        <v>21</v>
      </c>
      <c r="C122">
        <v>1</v>
      </c>
      <c r="D122">
        <v>2025</v>
      </c>
      <c r="E122">
        <v>8</v>
      </c>
      <c r="F122" t="str">
        <f>VLOOKUP(G122, Map!$A$1:$B$33, 2, FALSE)</f>
        <v>KC</v>
      </c>
      <c r="G122" t="s">
        <v>158</v>
      </c>
      <c r="H122" t="str">
        <f>VLOOKUP(I122, Map!$A$1:$B$33, 2, FALSE)</f>
        <v>WAS</v>
      </c>
      <c r="I122" t="s">
        <v>148</v>
      </c>
      <c r="J122">
        <v>0</v>
      </c>
      <c r="K122">
        <v>0</v>
      </c>
      <c r="L122">
        <v>0</v>
      </c>
      <c r="M122">
        <v>1</v>
      </c>
      <c r="N122">
        <v>5</v>
      </c>
      <c r="O122">
        <v>3</v>
      </c>
      <c r="P122">
        <v>16.375</v>
      </c>
      <c r="Q122">
        <v>26.75</v>
      </c>
      <c r="R122">
        <v>83</v>
      </c>
      <c r="S122">
        <v>3</v>
      </c>
      <c r="T122">
        <v>0.625</v>
      </c>
      <c r="U122">
        <v>1</v>
      </c>
      <c r="V122">
        <v>1</v>
      </c>
      <c r="W122">
        <v>4</v>
      </c>
      <c r="X122">
        <v>1</v>
      </c>
      <c r="Y122">
        <v>1</v>
      </c>
      <c r="Z122">
        <v>2</v>
      </c>
      <c r="AA122">
        <v>2</v>
      </c>
      <c r="AB122">
        <v>2</v>
      </c>
      <c r="AC122">
        <v>16</v>
      </c>
      <c r="AD122">
        <v>3</v>
      </c>
      <c r="AE122">
        <v>7</v>
      </c>
      <c r="AF122">
        <v>11</v>
      </c>
      <c r="AG122">
        <v>65</v>
      </c>
      <c r="AH122">
        <v>0</v>
      </c>
      <c r="AI122">
        <v>3</v>
      </c>
      <c r="AJ122">
        <v>5</v>
      </c>
      <c r="AK122">
        <v>24.75</v>
      </c>
      <c r="AL122">
        <v>23.375</v>
      </c>
      <c r="AM122">
        <v>-11</v>
      </c>
      <c r="AN122">
        <v>-3</v>
      </c>
      <c r="AO122">
        <v>0.375</v>
      </c>
      <c r="AP122">
        <v>1</v>
      </c>
      <c r="AQ122">
        <v>1</v>
      </c>
      <c r="AR122">
        <v>2</v>
      </c>
      <c r="AS122">
        <v>1</v>
      </c>
      <c r="AT122">
        <v>1</v>
      </c>
      <c r="AU122">
        <v>4</v>
      </c>
      <c r="AV122">
        <v>1</v>
      </c>
      <c r="AW122">
        <v>4</v>
      </c>
      <c r="AX122">
        <v>7</v>
      </c>
      <c r="AY122">
        <v>8</v>
      </c>
      <c r="AZ122">
        <v>7</v>
      </c>
      <c r="BA122">
        <v>8</v>
      </c>
      <c r="BB122">
        <v>65</v>
      </c>
      <c r="BC122">
        <v>42</v>
      </c>
      <c r="BD122">
        <v>-16.5</v>
      </c>
      <c r="BE122">
        <v>0</v>
      </c>
      <c r="BF122">
        <v>0</v>
      </c>
      <c r="BG122">
        <v>74.430999999999997</v>
      </c>
      <c r="BH122">
        <v>83.331999999999994</v>
      </c>
      <c r="BI122">
        <v>25.364999999999998</v>
      </c>
      <c r="BJ122">
        <v>75.373999999999995</v>
      </c>
      <c r="BK122">
        <v>83.734999999999999</v>
      </c>
      <c r="BL122">
        <v>88.021000000000001</v>
      </c>
      <c r="BM122">
        <v>10.061999999999999</v>
      </c>
      <c r="BN122">
        <v>25.364999999999998</v>
      </c>
      <c r="BO122">
        <v>83.331999999999994</v>
      </c>
      <c r="BP122">
        <v>0</v>
      </c>
      <c r="BQ122">
        <v>74.430999999999997</v>
      </c>
      <c r="BR122">
        <v>-10.061999999999999</v>
      </c>
      <c r="BS122">
        <v>16.265000000000001</v>
      </c>
      <c r="BT122">
        <v>24.626000000000001</v>
      </c>
      <c r="BU122">
        <v>11.978999999999999</v>
      </c>
      <c r="BV122">
        <v>3149</v>
      </c>
      <c r="BW122">
        <v>67.021000000000001</v>
      </c>
      <c r="BX122">
        <v>251.75</v>
      </c>
      <c r="BY122">
        <v>25</v>
      </c>
      <c r="BZ122">
        <v>388.875</v>
      </c>
      <c r="CA122">
        <v>7.3719999999999999</v>
      </c>
      <c r="CB122">
        <v>1327</v>
      </c>
      <c r="CC122">
        <v>126.5</v>
      </c>
      <c r="CD122">
        <v>4.4980000000000002</v>
      </c>
      <c r="CE122">
        <v>9</v>
      </c>
      <c r="CF122">
        <v>3639</v>
      </c>
      <c r="CG122">
        <v>17</v>
      </c>
      <c r="CH122">
        <v>262.375</v>
      </c>
      <c r="CI122">
        <v>11</v>
      </c>
      <c r="CJ122">
        <v>4</v>
      </c>
      <c r="CK122">
        <v>3.4</v>
      </c>
      <c r="CL122">
        <v>0</v>
      </c>
      <c r="CM122">
        <v>17</v>
      </c>
      <c r="CN122">
        <v>0</v>
      </c>
      <c r="CO122">
        <v>88</v>
      </c>
      <c r="CP122">
        <v>80</v>
      </c>
      <c r="CQ122">
        <v>12</v>
      </c>
      <c r="CR122">
        <v>58</v>
      </c>
      <c r="CS122">
        <v>8.3330000000000002</v>
      </c>
      <c r="CT122">
        <v>19</v>
      </c>
      <c r="CU122">
        <v>11</v>
      </c>
      <c r="CV122">
        <v>0</v>
      </c>
      <c r="CW122">
        <v>17</v>
      </c>
      <c r="CX122">
        <v>214</v>
      </c>
      <c r="CY122">
        <v>23.625</v>
      </c>
      <c r="CZ122">
        <v>82.352999999999994</v>
      </c>
      <c r="DA122">
        <v>44</v>
      </c>
      <c r="DB122">
        <v>78.150000000000006</v>
      </c>
      <c r="DC122">
        <v>5</v>
      </c>
      <c r="DD122">
        <v>2360</v>
      </c>
      <c r="DE122">
        <v>61.966000000000001</v>
      </c>
      <c r="DF122">
        <v>196.625</v>
      </c>
      <c r="DG122">
        <v>20</v>
      </c>
      <c r="DH122">
        <v>346.5</v>
      </c>
      <c r="DI122">
        <v>7.1369999999999996</v>
      </c>
      <c r="DJ122">
        <v>1342</v>
      </c>
      <c r="DK122">
        <v>137.75</v>
      </c>
      <c r="DL122">
        <v>5.1980000000000004</v>
      </c>
      <c r="DM122">
        <v>9</v>
      </c>
      <c r="DN122">
        <v>2815</v>
      </c>
      <c r="DO122">
        <v>12</v>
      </c>
      <c r="DP122">
        <v>208.75</v>
      </c>
      <c r="DQ122">
        <v>11.516999999999999</v>
      </c>
      <c r="DR122">
        <v>6.1360000000000001</v>
      </c>
      <c r="DS122">
        <v>5.9470000000000001</v>
      </c>
      <c r="DT122">
        <v>1</v>
      </c>
      <c r="DU122">
        <v>22</v>
      </c>
      <c r="DV122">
        <v>0</v>
      </c>
      <c r="DW122">
        <v>100</v>
      </c>
      <c r="DX122">
        <v>71.429000000000002</v>
      </c>
      <c r="DY122">
        <v>10</v>
      </c>
      <c r="DZ122">
        <v>49</v>
      </c>
      <c r="EA122">
        <v>4</v>
      </c>
      <c r="EB122">
        <v>11</v>
      </c>
      <c r="EC122">
        <v>25</v>
      </c>
      <c r="ED122">
        <v>8</v>
      </c>
      <c r="EE122">
        <v>12</v>
      </c>
      <c r="EF122">
        <v>187</v>
      </c>
      <c r="EG122">
        <v>18.75</v>
      </c>
      <c r="EH122">
        <v>45.454999999999998</v>
      </c>
      <c r="EI122">
        <v>38.636000000000003</v>
      </c>
      <c r="EJ122">
        <v>79.290000000000006</v>
      </c>
      <c r="EK122">
        <v>-5</v>
      </c>
    </row>
    <row r="123" spans="1:141" x14ac:dyDescent="0.25">
      <c r="A123">
        <v>0</v>
      </c>
      <c r="B123">
        <v>0</v>
      </c>
      <c r="C123">
        <v>0</v>
      </c>
      <c r="D123">
        <v>2025</v>
      </c>
      <c r="E123">
        <v>9</v>
      </c>
      <c r="F123" t="str">
        <f>VLOOKUP(G123, Map!$A$1:$B$33, 2, FALSE)</f>
        <v>MIA</v>
      </c>
      <c r="G123" t="s">
        <v>152</v>
      </c>
      <c r="H123" t="str">
        <f>VLOOKUP(I123, Map!$A$1:$B$33, 2, FALSE)</f>
        <v>BAL</v>
      </c>
      <c r="I123" t="s">
        <v>146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6</v>
      </c>
      <c r="P123">
        <v>26.875</v>
      </c>
      <c r="Q123">
        <v>21.75</v>
      </c>
      <c r="R123">
        <v>-41</v>
      </c>
      <c r="S123">
        <v>1</v>
      </c>
      <c r="T123">
        <v>0.25</v>
      </c>
      <c r="U123">
        <v>1</v>
      </c>
      <c r="V123">
        <v>2</v>
      </c>
      <c r="W123">
        <v>1</v>
      </c>
      <c r="X123">
        <v>2</v>
      </c>
      <c r="Y123">
        <v>1</v>
      </c>
      <c r="Z123">
        <v>4</v>
      </c>
      <c r="AA123">
        <v>1</v>
      </c>
      <c r="AB123">
        <v>5</v>
      </c>
      <c r="AC123">
        <v>9</v>
      </c>
      <c r="AD123">
        <v>9</v>
      </c>
      <c r="AE123">
        <v>10</v>
      </c>
      <c r="AF123">
        <v>8</v>
      </c>
      <c r="AG123">
        <v>68</v>
      </c>
      <c r="AH123">
        <v>0</v>
      </c>
      <c r="AI123">
        <v>2</v>
      </c>
      <c r="AJ123">
        <v>5</v>
      </c>
      <c r="AK123">
        <v>30</v>
      </c>
      <c r="AL123">
        <v>24.857143000000001</v>
      </c>
      <c r="AM123">
        <v>-36</v>
      </c>
      <c r="AN123">
        <v>1</v>
      </c>
      <c r="AO123">
        <v>0.28571429999999998</v>
      </c>
      <c r="AP123">
        <v>1</v>
      </c>
      <c r="AQ123">
        <v>0</v>
      </c>
      <c r="AR123">
        <v>2</v>
      </c>
      <c r="AS123">
        <v>3</v>
      </c>
      <c r="AT123">
        <v>0</v>
      </c>
      <c r="AU123">
        <v>2</v>
      </c>
      <c r="AV123">
        <v>1</v>
      </c>
      <c r="AW123">
        <v>3</v>
      </c>
      <c r="AX123">
        <v>10</v>
      </c>
      <c r="AY123">
        <v>7</v>
      </c>
      <c r="AZ123">
        <v>7</v>
      </c>
      <c r="BA123">
        <v>9</v>
      </c>
      <c r="BB123">
        <v>61</v>
      </c>
      <c r="BC123">
        <v>51.5</v>
      </c>
      <c r="BD123">
        <v>7.5</v>
      </c>
      <c r="BE123">
        <v>0</v>
      </c>
      <c r="BF123">
        <v>0</v>
      </c>
      <c r="BG123">
        <v>37.715000000000003</v>
      </c>
      <c r="BH123">
        <v>51.953000000000003</v>
      </c>
      <c r="BI123">
        <v>61.981999999999999</v>
      </c>
      <c r="BJ123">
        <v>0</v>
      </c>
      <c r="BK123">
        <v>0</v>
      </c>
      <c r="BL123">
        <v>0</v>
      </c>
      <c r="BM123">
        <v>-4.8520000000000003</v>
      </c>
      <c r="BN123">
        <v>61.981999999999999</v>
      </c>
      <c r="BO123">
        <v>51.953000000000003</v>
      </c>
      <c r="BP123">
        <v>0</v>
      </c>
      <c r="BQ123">
        <v>37.715000000000003</v>
      </c>
      <c r="BR123">
        <v>4.8520000000000003</v>
      </c>
      <c r="BS123">
        <v>0</v>
      </c>
      <c r="BT123">
        <v>0</v>
      </c>
      <c r="BU123">
        <v>0</v>
      </c>
      <c r="BV123">
        <v>2361</v>
      </c>
      <c r="BW123">
        <v>68.674999999999997</v>
      </c>
      <c r="BX123">
        <v>187.875</v>
      </c>
      <c r="BY123">
        <v>17</v>
      </c>
      <c r="BZ123">
        <v>299.875</v>
      </c>
      <c r="CA123">
        <v>6.47</v>
      </c>
      <c r="CB123">
        <v>898</v>
      </c>
      <c r="CC123">
        <v>98.5</v>
      </c>
      <c r="CD123">
        <v>4.452</v>
      </c>
      <c r="CE123">
        <v>4</v>
      </c>
      <c r="CF123">
        <v>2991</v>
      </c>
      <c r="CG123">
        <v>15</v>
      </c>
      <c r="CH123">
        <v>201.375</v>
      </c>
      <c r="CI123">
        <v>9.4209999999999994</v>
      </c>
      <c r="CJ123">
        <v>6.4669999999999996</v>
      </c>
      <c r="CK123">
        <v>4.8239999999999998</v>
      </c>
      <c r="CL123">
        <v>1</v>
      </c>
      <c r="CM123">
        <v>15</v>
      </c>
      <c r="CN123">
        <v>0</v>
      </c>
      <c r="CO123">
        <v>100</v>
      </c>
      <c r="CP123">
        <v>91.667000000000002</v>
      </c>
      <c r="CQ123">
        <v>11</v>
      </c>
      <c r="CR123">
        <v>52</v>
      </c>
      <c r="CS123">
        <v>7</v>
      </c>
      <c r="CT123">
        <v>26</v>
      </c>
      <c r="CU123">
        <v>11</v>
      </c>
      <c r="CV123">
        <v>6</v>
      </c>
      <c r="CW123">
        <v>15</v>
      </c>
      <c r="CX123">
        <v>174</v>
      </c>
      <c r="CY123">
        <v>17</v>
      </c>
      <c r="CZ123">
        <v>53.845999999999997</v>
      </c>
      <c r="DA123">
        <v>41.237000000000002</v>
      </c>
      <c r="DB123">
        <v>72.05</v>
      </c>
      <c r="DC123">
        <v>-5</v>
      </c>
      <c r="DD123">
        <v>2046</v>
      </c>
      <c r="DE123">
        <v>69.73</v>
      </c>
      <c r="DF123">
        <v>182.28572</v>
      </c>
      <c r="DG123">
        <v>19</v>
      </c>
      <c r="DH123">
        <v>337.14285000000001</v>
      </c>
      <c r="DI123">
        <v>7.7080000000000002</v>
      </c>
      <c r="DJ123">
        <v>1139</v>
      </c>
      <c r="DK123">
        <v>133.429</v>
      </c>
      <c r="DL123">
        <v>5.2770000000000001</v>
      </c>
      <c r="DM123">
        <v>8</v>
      </c>
      <c r="DN123">
        <v>2456</v>
      </c>
      <c r="DO123">
        <v>11</v>
      </c>
      <c r="DP123">
        <v>203.714</v>
      </c>
      <c r="DQ123">
        <v>11.054</v>
      </c>
      <c r="DR123">
        <v>6.8890000000000002</v>
      </c>
      <c r="DS123">
        <v>2.4089999999999998</v>
      </c>
      <c r="DT123">
        <v>1</v>
      </c>
      <c r="DU123">
        <v>9</v>
      </c>
      <c r="DV123">
        <v>0</v>
      </c>
      <c r="DW123">
        <v>94.736999999999995</v>
      </c>
      <c r="DX123">
        <v>92.308000000000007</v>
      </c>
      <c r="DY123">
        <v>12</v>
      </c>
      <c r="DZ123">
        <v>54</v>
      </c>
      <c r="EA123">
        <v>5.8330000000000002</v>
      </c>
      <c r="EB123">
        <v>8</v>
      </c>
      <c r="EC123">
        <v>19</v>
      </c>
      <c r="ED123">
        <v>6</v>
      </c>
      <c r="EE123">
        <v>11</v>
      </c>
      <c r="EF123">
        <v>174</v>
      </c>
      <c r="EG123">
        <v>18.143000000000001</v>
      </c>
      <c r="EH123">
        <v>38.462000000000003</v>
      </c>
      <c r="EI123">
        <v>40.506</v>
      </c>
      <c r="EJ123">
        <v>52.38</v>
      </c>
      <c r="EK123">
        <v>-6</v>
      </c>
    </row>
    <row r="124" spans="1:141" x14ac:dyDescent="0.25">
      <c r="A124">
        <v>0</v>
      </c>
      <c r="B124">
        <v>0</v>
      </c>
      <c r="C124">
        <v>0</v>
      </c>
      <c r="D124">
        <v>2025</v>
      </c>
      <c r="E124">
        <v>9</v>
      </c>
      <c r="F124" t="str">
        <f>VLOOKUP(G124, Map!$A$1:$B$33, 2, FALSE)</f>
        <v>CIN</v>
      </c>
      <c r="G124" t="s">
        <v>161</v>
      </c>
      <c r="H124" t="str">
        <f>VLOOKUP(I124, Map!$A$1:$B$33, 2, FALSE)</f>
        <v>CHI</v>
      </c>
      <c r="I124" t="s">
        <v>163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5</v>
      </c>
      <c r="P124">
        <v>31.625</v>
      </c>
      <c r="Q124">
        <v>21.75</v>
      </c>
      <c r="R124">
        <v>-79</v>
      </c>
      <c r="S124">
        <v>-1</v>
      </c>
      <c r="T124">
        <v>0.375</v>
      </c>
      <c r="U124">
        <v>2</v>
      </c>
      <c r="V124">
        <v>0</v>
      </c>
      <c r="W124">
        <v>2</v>
      </c>
      <c r="X124">
        <v>2</v>
      </c>
      <c r="Y124">
        <v>1</v>
      </c>
      <c r="Z124">
        <v>3</v>
      </c>
      <c r="AA124">
        <v>3</v>
      </c>
      <c r="AB124">
        <v>2</v>
      </c>
      <c r="AC124">
        <v>14</v>
      </c>
      <c r="AD124">
        <v>4</v>
      </c>
      <c r="AE124">
        <v>13</v>
      </c>
      <c r="AF124">
        <v>5</v>
      </c>
      <c r="AG124">
        <v>59</v>
      </c>
      <c r="AH124">
        <v>0</v>
      </c>
      <c r="AI124">
        <v>4</v>
      </c>
      <c r="AJ124">
        <v>3</v>
      </c>
      <c r="AK124">
        <v>26.428571999999999</v>
      </c>
      <c r="AL124">
        <v>24</v>
      </c>
      <c r="AM124">
        <v>-17</v>
      </c>
      <c r="AN124">
        <v>-1</v>
      </c>
      <c r="AO124">
        <v>0.57142859999999995</v>
      </c>
      <c r="AP124">
        <v>0</v>
      </c>
      <c r="AQ124">
        <v>2</v>
      </c>
      <c r="AR124">
        <v>2</v>
      </c>
      <c r="AS124">
        <v>1</v>
      </c>
      <c r="AT124">
        <v>2</v>
      </c>
      <c r="AU124">
        <v>2</v>
      </c>
      <c r="AV124">
        <v>3</v>
      </c>
      <c r="AW124">
        <v>2</v>
      </c>
      <c r="AX124">
        <v>3</v>
      </c>
      <c r="AY124">
        <v>14</v>
      </c>
      <c r="AZ124">
        <v>5</v>
      </c>
      <c r="BA124">
        <v>11</v>
      </c>
      <c r="BB124">
        <v>61</v>
      </c>
      <c r="BC124">
        <v>51.5</v>
      </c>
      <c r="BD124">
        <v>2.5</v>
      </c>
      <c r="BE124">
        <v>0</v>
      </c>
      <c r="BF124">
        <v>0</v>
      </c>
      <c r="BG124">
        <v>45.052</v>
      </c>
      <c r="BH124">
        <v>48.91</v>
      </c>
      <c r="BI124">
        <v>54.585999999999999</v>
      </c>
      <c r="BJ124">
        <v>0</v>
      </c>
      <c r="BK124">
        <v>0</v>
      </c>
      <c r="BL124">
        <v>0</v>
      </c>
      <c r="BM124">
        <v>-1.6559999999999999</v>
      </c>
      <c r="BN124">
        <v>54.585999999999999</v>
      </c>
      <c r="BO124">
        <v>48.91</v>
      </c>
      <c r="BP124">
        <v>0</v>
      </c>
      <c r="BQ124">
        <v>45.052</v>
      </c>
      <c r="BR124">
        <v>1.6559999999999999</v>
      </c>
      <c r="BS124">
        <v>0</v>
      </c>
      <c r="BT124">
        <v>0</v>
      </c>
      <c r="BU124">
        <v>0</v>
      </c>
      <c r="BV124">
        <v>2540</v>
      </c>
      <c r="BW124">
        <v>63.636000000000003</v>
      </c>
      <c r="BX124">
        <v>202</v>
      </c>
      <c r="BY124">
        <v>15</v>
      </c>
      <c r="BZ124">
        <v>299.125</v>
      </c>
      <c r="CA124">
        <v>6.0490000000000004</v>
      </c>
      <c r="CB124">
        <v>793</v>
      </c>
      <c r="CC124">
        <v>82.875</v>
      </c>
      <c r="CD124">
        <v>4.3049999999999997</v>
      </c>
      <c r="CE124">
        <v>5</v>
      </c>
      <c r="CF124">
        <v>3165</v>
      </c>
      <c r="CG124">
        <v>15</v>
      </c>
      <c r="CH124">
        <v>216.25</v>
      </c>
      <c r="CI124">
        <v>9.5050000000000008</v>
      </c>
      <c r="CJ124">
        <v>5.2729999999999997</v>
      </c>
      <c r="CK124">
        <v>3.3570000000000002</v>
      </c>
      <c r="CL124">
        <v>0</v>
      </c>
      <c r="CM124">
        <v>11</v>
      </c>
      <c r="CN124">
        <v>0</v>
      </c>
      <c r="CO124">
        <v>100</v>
      </c>
      <c r="CP124">
        <v>84.614999999999995</v>
      </c>
      <c r="CQ124">
        <v>11</v>
      </c>
      <c r="CR124">
        <v>52</v>
      </c>
      <c r="CS124">
        <v>11.523999999999999</v>
      </c>
      <c r="CT124">
        <v>37</v>
      </c>
      <c r="CU124">
        <v>11</v>
      </c>
      <c r="CV124">
        <v>0</v>
      </c>
      <c r="CW124">
        <v>15</v>
      </c>
      <c r="CX124">
        <v>174</v>
      </c>
      <c r="CY124">
        <v>18.5</v>
      </c>
      <c r="CZ124">
        <v>80</v>
      </c>
      <c r="DA124">
        <v>39.393999999999998</v>
      </c>
      <c r="DB124">
        <v>79.87</v>
      </c>
      <c r="DC124">
        <v>-2</v>
      </c>
      <c r="DD124">
        <v>2157</v>
      </c>
      <c r="DE124">
        <v>61.947000000000003</v>
      </c>
      <c r="DF124">
        <v>225.57142999999999</v>
      </c>
      <c r="DG124">
        <v>26</v>
      </c>
      <c r="DH124">
        <v>362.14285000000001</v>
      </c>
      <c r="DI124">
        <v>7.2880000000000003</v>
      </c>
      <c r="DJ124">
        <v>1087</v>
      </c>
      <c r="DK124">
        <v>124.571</v>
      </c>
      <c r="DL124">
        <v>4.4039999999999999</v>
      </c>
      <c r="DM124">
        <v>7</v>
      </c>
      <c r="DN124">
        <v>2678</v>
      </c>
      <c r="DO124">
        <v>9</v>
      </c>
      <c r="DP124">
        <v>237.571</v>
      </c>
      <c r="DQ124">
        <v>11.763999999999999</v>
      </c>
      <c r="DR124">
        <v>4.5709999999999997</v>
      </c>
      <c r="DS124">
        <v>2.9409999999999998</v>
      </c>
      <c r="DT124">
        <v>1</v>
      </c>
      <c r="DU124">
        <v>14</v>
      </c>
      <c r="DV124">
        <v>0</v>
      </c>
      <c r="DW124">
        <v>100</v>
      </c>
      <c r="DX124">
        <v>85</v>
      </c>
      <c r="DY124">
        <v>17</v>
      </c>
      <c r="DZ124">
        <v>66</v>
      </c>
      <c r="EA124">
        <v>11.909000000000001</v>
      </c>
      <c r="EB124">
        <v>7</v>
      </c>
      <c r="EC124">
        <v>24</v>
      </c>
      <c r="ED124">
        <v>6</v>
      </c>
      <c r="EE124">
        <v>9</v>
      </c>
      <c r="EF124">
        <v>168</v>
      </c>
      <c r="EG124">
        <v>19.286000000000001</v>
      </c>
      <c r="EH124">
        <v>37.5</v>
      </c>
      <c r="EI124">
        <v>41.110999999999997</v>
      </c>
      <c r="EJ124">
        <v>57.14</v>
      </c>
      <c r="EK124">
        <v>10</v>
      </c>
    </row>
    <row r="125" spans="1:141" x14ac:dyDescent="0.25">
      <c r="A125">
        <v>0</v>
      </c>
      <c r="B125">
        <v>0</v>
      </c>
      <c r="C125">
        <v>0</v>
      </c>
      <c r="D125">
        <v>2025</v>
      </c>
      <c r="E125">
        <v>9</v>
      </c>
      <c r="F125" t="str">
        <f>VLOOKUP(G125, Map!$A$1:$B$33, 2, FALSE)</f>
        <v>DET</v>
      </c>
      <c r="G125" t="s">
        <v>164</v>
      </c>
      <c r="H125" t="str">
        <f>VLOOKUP(I125, Map!$A$1:$B$33, 2, FALSE)</f>
        <v>MIN</v>
      </c>
      <c r="I125" t="s">
        <v>153</v>
      </c>
      <c r="J125">
        <v>0</v>
      </c>
      <c r="K125">
        <v>0</v>
      </c>
      <c r="L125">
        <v>0</v>
      </c>
      <c r="M125">
        <v>0</v>
      </c>
      <c r="N125">
        <v>5</v>
      </c>
      <c r="O125">
        <v>2</v>
      </c>
      <c r="P125">
        <v>21.571428000000001</v>
      </c>
      <c r="Q125">
        <v>30.714285</v>
      </c>
      <c r="R125">
        <v>64</v>
      </c>
      <c r="S125">
        <v>1</v>
      </c>
      <c r="T125">
        <v>0.71428572999999995</v>
      </c>
      <c r="U125">
        <v>1</v>
      </c>
      <c r="V125">
        <v>1</v>
      </c>
      <c r="W125">
        <v>3</v>
      </c>
      <c r="X125">
        <v>0</v>
      </c>
      <c r="Y125">
        <v>2</v>
      </c>
      <c r="Z125">
        <v>2</v>
      </c>
      <c r="AA125">
        <v>2</v>
      </c>
      <c r="AB125">
        <v>1</v>
      </c>
      <c r="AC125">
        <v>8</v>
      </c>
      <c r="AD125">
        <v>8</v>
      </c>
      <c r="AE125">
        <v>11</v>
      </c>
      <c r="AF125">
        <v>5</v>
      </c>
      <c r="AG125">
        <v>73</v>
      </c>
      <c r="AH125">
        <v>0</v>
      </c>
      <c r="AI125">
        <v>3</v>
      </c>
      <c r="AJ125">
        <v>4</v>
      </c>
      <c r="AK125">
        <v>23.142856999999999</v>
      </c>
      <c r="AL125">
        <v>22.142856999999999</v>
      </c>
      <c r="AM125">
        <v>-7</v>
      </c>
      <c r="AN125">
        <v>-2</v>
      </c>
      <c r="AO125">
        <v>0.42857142999999998</v>
      </c>
      <c r="AP125">
        <v>1</v>
      </c>
      <c r="AQ125">
        <v>0</v>
      </c>
      <c r="AR125">
        <v>1</v>
      </c>
      <c r="AS125">
        <v>2</v>
      </c>
      <c r="AT125">
        <v>2</v>
      </c>
      <c r="AU125">
        <v>2</v>
      </c>
      <c r="AV125">
        <v>1</v>
      </c>
      <c r="AW125">
        <v>2</v>
      </c>
      <c r="AX125">
        <v>13</v>
      </c>
      <c r="AY125">
        <v>4</v>
      </c>
      <c r="AZ125">
        <v>7</v>
      </c>
      <c r="BA125">
        <v>9</v>
      </c>
      <c r="BB125">
        <v>61</v>
      </c>
      <c r="BC125">
        <v>48.5</v>
      </c>
      <c r="BD125">
        <v>-8.5</v>
      </c>
      <c r="BE125">
        <v>0</v>
      </c>
      <c r="BF125">
        <v>0</v>
      </c>
      <c r="BG125">
        <v>74.900000000000006</v>
      </c>
      <c r="BH125">
        <v>60.279000000000003</v>
      </c>
      <c r="BI125">
        <v>24.9</v>
      </c>
      <c r="BJ125">
        <v>0</v>
      </c>
      <c r="BK125">
        <v>0</v>
      </c>
      <c r="BL125">
        <v>0</v>
      </c>
      <c r="BM125">
        <v>10.33</v>
      </c>
      <c r="BN125">
        <v>24.9</v>
      </c>
      <c r="BO125">
        <v>60.279000000000003</v>
      </c>
      <c r="BP125">
        <v>0</v>
      </c>
      <c r="BQ125">
        <v>74.900000000000006</v>
      </c>
      <c r="BR125">
        <v>-10.33</v>
      </c>
      <c r="BS125">
        <v>0</v>
      </c>
      <c r="BT125">
        <v>0</v>
      </c>
      <c r="BU125">
        <v>0</v>
      </c>
      <c r="BV125">
        <v>2664</v>
      </c>
      <c r="BW125">
        <v>75</v>
      </c>
      <c r="BX125">
        <v>223.57142999999999</v>
      </c>
      <c r="BY125">
        <v>23</v>
      </c>
      <c r="BZ125">
        <v>367.14285000000001</v>
      </c>
      <c r="CA125">
        <v>8.01</v>
      </c>
      <c r="CB125">
        <v>1256</v>
      </c>
      <c r="CC125">
        <v>133.714</v>
      </c>
      <c r="CD125">
        <v>4.5220000000000002</v>
      </c>
      <c r="CE125">
        <v>10</v>
      </c>
      <c r="CF125">
        <v>2959</v>
      </c>
      <c r="CG125">
        <v>16</v>
      </c>
      <c r="CH125">
        <v>233.429</v>
      </c>
      <c r="CI125">
        <v>10.68</v>
      </c>
      <c r="CJ125">
        <v>6.2610000000000001</v>
      </c>
      <c r="CK125">
        <v>24.2</v>
      </c>
      <c r="CL125">
        <v>1</v>
      </c>
      <c r="CM125">
        <v>23</v>
      </c>
      <c r="CN125">
        <v>0</v>
      </c>
      <c r="CO125">
        <v>100</v>
      </c>
      <c r="CP125">
        <v>72.727000000000004</v>
      </c>
      <c r="CQ125">
        <v>8</v>
      </c>
      <c r="CR125">
        <v>51</v>
      </c>
      <c r="CS125">
        <v>10</v>
      </c>
      <c r="CT125">
        <v>27</v>
      </c>
      <c r="CU125">
        <v>14</v>
      </c>
      <c r="CV125">
        <v>8</v>
      </c>
      <c r="CW125">
        <v>16</v>
      </c>
      <c r="CX125">
        <v>215</v>
      </c>
      <c r="CY125">
        <v>19.856999999999999</v>
      </c>
      <c r="CZ125">
        <v>61.537999999999997</v>
      </c>
      <c r="DA125">
        <v>37.646999999999998</v>
      </c>
      <c r="DB125">
        <v>74.88</v>
      </c>
      <c r="DC125">
        <v>6</v>
      </c>
      <c r="DD125">
        <v>1981</v>
      </c>
      <c r="DE125">
        <v>63.927</v>
      </c>
      <c r="DF125">
        <v>202.71428</v>
      </c>
      <c r="DG125">
        <v>21</v>
      </c>
      <c r="DH125">
        <v>321.14285000000001</v>
      </c>
      <c r="DI125">
        <v>7.2649999999999997</v>
      </c>
      <c r="DJ125">
        <v>772</v>
      </c>
      <c r="DK125">
        <v>93.856999999999999</v>
      </c>
      <c r="DL125">
        <v>4.2939999999999996</v>
      </c>
      <c r="DM125">
        <v>5</v>
      </c>
      <c r="DN125">
        <v>2606</v>
      </c>
      <c r="DO125">
        <v>9</v>
      </c>
      <c r="DP125">
        <v>227.286</v>
      </c>
      <c r="DQ125">
        <v>11.364000000000001</v>
      </c>
      <c r="DR125">
        <v>6.2220000000000004</v>
      </c>
      <c r="DS125">
        <v>3.3570000000000002</v>
      </c>
      <c r="DT125">
        <v>2</v>
      </c>
      <c r="DU125">
        <v>18</v>
      </c>
      <c r="DV125">
        <v>0</v>
      </c>
      <c r="DW125">
        <v>100</v>
      </c>
      <c r="DX125">
        <v>87.5</v>
      </c>
      <c r="DY125">
        <v>14</v>
      </c>
      <c r="DZ125">
        <v>55</v>
      </c>
      <c r="EA125">
        <v>7.8179999999999996</v>
      </c>
      <c r="EB125">
        <v>10</v>
      </c>
      <c r="EC125">
        <v>29</v>
      </c>
      <c r="ED125">
        <v>12</v>
      </c>
      <c r="EE125">
        <v>9</v>
      </c>
      <c r="EF125">
        <v>155</v>
      </c>
      <c r="EG125">
        <v>17.428999999999998</v>
      </c>
      <c r="EH125">
        <v>62.5</v>
      </c>
      <c r="EI125">
        <v>33.332999999999998</v>
      </c>
      <c r="EJ125">
        <v>70.13</v>
      </c>
      <c r="EK125">
        <v>-4</v>
      </c>
    </row>
    <row r="126" spans="1:141" x14ac:dyDescent="0.25">
      <c r="A126">
        <v>0</v>
      </c>
      <c r="B126">
        <v>0</v>
      </c>
      <c r="C126">
        <v>0</v>
      </c>
      <c r="D126">
        <v>2025</v>
      </c>
      <c r="E126">
        <v>9</v>
      </c>
      <c r="F126" t="str">
        <f>VLOOKUP(G126, Map!$A$1:$B$33, 2, FALSE)</f>
        <v>GB</v>
      </c>
      <c r="G126" t="s">
        <v>154</v>
      </c>
      <c r="H126" t="str">
        <f>VLOOKUP(I126, Map!$A$1:$B$33, 2, FALSE)</f>
        <v>CAR</v>
      </c>
      <c r="I126" t="s">
        <v>142</v>
      </c>
      <c r="J126">
        <v>0</v>
      </c>
      <c r="K126">
        <v>0</v>
      </c>
      <c r="L126">
        <v>0</v>
      </c>
      <c r="M126">
        <v>0</v>
      </c>
      <c r="N126">
        <v>5</v>
      </c>
      <c r="O126">
        <v>1</v>
      </c>
      <c r="P126">
        <v>21.428571999999999</v>
      </c>
      <c r="Q126">
        <v>27.571428000000001</v>
      </c>
      <c r="R126">
        <v>43</v>
      </c>
      <c r="S126">
        <v>3</v>
      </c>
      <c r="T126">
        <v>0.78571427000000005</v>
      </c>
      <c r="U126">
        <v>1</v>
      </c>
      <c r="V126">
        <v>0</v>
      </c>
      <c r="W126">
        <v>3</v>
      </c>
      <c r="X126">
        <v>0</v>
      </c>
      <c r="Y126">
        <v>2</v>
      </c>
      <c r="Z126">
        <v>1</v>
      </c>
      <c r="AA126">
        <v>3</v>
      </c>
      <c r="AB126">
        <v>0</v>
      </c>
      <c r="AC126">
        <v>8</v>
      </c>
      <c r="AD126">
        <v>8</v>
      </c>
      <c r="AE126">
        <v>8</v>
      </c>
      <c r="AF126">
        <v>8</v>
      </c>
      <c r="AG126">
        <v>61</v>
      </c>
      <c r="AH126">
        <v>0</v>
      </c>
      <c r="AI126">
        <v>4</v>
      </c>
      <c r="AJ126">
        <v>4</v>
      </c>
      <c r="AK126">
        <v>24</v>
      </c>
      <c r="AL126">
        <v>19.25</v>
      </c>
      <c r="AM126">
        <v>-38</v>
      </c>
      <c r="AN126">
        <v>-1</v>
      </c>
      <c r="AO126">
        <v>0.5</v>
      </c>
      <c r="AP126">
        <v>1</v>
      </c>
      <c r="AQ126">
        <v>0</v>
      </c>
      <c r="AR126">
        <v>3</v>
      </c>
      <c r="AS126">
        <v>1</v>
      </c>
      <c r="AT126">
        <v>1</v>
      </c>
      <c r="AU126">
        <v>3</v>
      </c>
      <c r="AV126">
        <v>2</v>
      </c>
      <c r="AW126">
        <v>1</v>
      </c>
      <c r="AX126">
        <v>7</v>
      </c>
      <c r="AY126">
        <v>10</v>
      </c>
      <c r="AZ126">
        <v>9</v>
      </c>
      <c r="BA126">
        <v>8</v>
      </c>
      <c r="BB126">
        <v>58</v>
      </c>
      <c r="BC126">
        <v>44.5</v>
      </c>
      <c r="BD126">
        <v>-13.5</v>
      </c>
      <c r="BE126">
        <v>0</v>
      </c>
      <c r="BF126">
        <v>0</v>
      </c>
      <c r="BG126">
        <v>77.108999999999995</v>
      </c>
      <c r="BH126">
        <v>55.776000000000003</v>
      </c>
      <c r="BI126">
        <v>22.709</v>
      </c>
      <c r="BJ126">
        <v>0</v>
      </c>
      <c r="BK126">
        <v>0</v>
      </c>
      <c r="BL126">
        <v>0</v>
      </c>
      <c r="BM126">
        <v>11.523999999999999</v>
      </c>
      <c r="BN126">
        <v>22.709</v>
      </c>
      <c r="BO126">
        <v>55.776000000000003</v>
      </c>
      <c r="BP126">
        <v>0</v>
      </c>
      <c r="BQ126">
        <v>77.108999999999995</v>
      </c>
      <c r="BR126">
        <v>-11.523999999999999</v>
      </c>
      <c r="BS126">
        <v>0</v>
      </c>
      <c r="BT126">
        <v>0</v>
      </c>
      <c r="BU126">
        <v>0</v>
      </c>
      <c r="BV126">
        <v>2648</v>
      </c>
      <c r="BW126">
        <v>70.891999999999996</v>
      </c>
      <c r="BX126">
        <v>245</v>
      </c>
      <c r="BY126">
        <v>26</v>
      </c>
      <c r="BZ126">
        <v>371</v>
      </c>
      <c r="CA126">
        <v>8.4410000000000007</v>
      </c>
      <c r="CB126">
        <v>1099</v>
      </c>
      <c r="CC126">
        <v>114.143</v>
      </c>
      <c r="CD126">
        <v>3.9359999999999999</v>
      </c>
      <c r="CE126">
        <v>9</v>
      </c>
      <c r="CF126">
        <v>3008</v>
      </c>
      <c r="CG126">
        <v>13</v>
      </c>
      <c r="CH126">
        <v>256.85700000000003</v>
      </c>
      <c r="CI126">
        <v>11.907</v>
      </c>
      <c r="CJ126">
        <v>6.1429999999999998</v>
      </c>
      <c r="CK126">
        <v>6.75</v>
      </c>
      <c r="CL126">
        <v>0</v>
      </c>
      <c r="CM126">
        <v>21</v>
      </c>
      <c r="CN126">
        <v>0</v>
      </c>
      <c r="CO126">
        <v>95.238</v>
      </c>
      <c r="CP126">
        <v>76.471000000000004</v>
      </c>
      <c r="CQ126">
        <v>13</v>
      </c>
      <c r="CR126">
        <v>59</v>
      </c>
      <c r="CS126">
        <v>11.909000000000001</v>
      </c>
      <c r="CT126">
        <v>22</v>
      </c>
      <c r="CU126">
        <v>6</v>
      </c>
      <c r="CV126">
        <v>0</v>
      </c>
      <c r="CW126">
        <v>13</v>
      </c>
      <c r="CX126">
        <v>193</v>
      </c>
      <c r="CY126">
        <v>21</v>
      </c>
      <c r="CZ126">
        <v>75</v>
      </c>
      <c r="DA126">
        <v>48.276000000000003</v>
      </c>
      <c r="DB126">
        <v>78.569999999999993</v>
      </c>
      <c r="DC126">
        <v>1</v>
      </c>
      <c r="DD126">
        <v>2241</v>
      </c>
      <c r="DE126">
        <v>62.451999999999998</v>
      </c>
      <c r="DF126">
        <v>179.5</v>
      </c>
      <c r="DG126">
        <v>19</v>
      </c>
      <c r="DH126">
        <v>334.5</v>
      </c>
      <c r="DI126">
        <v>6.0570000000000004</v>
      </c>
      <c r="DJ126">
        <v>1145</v>
      </c>
      <c r="DK126">
        <v>136.875</v>
      </c>
      <c r="DL126">
        <v>4.6399999999999997</v>
      </c>
      <c r="DM126">
        <v>4</v>
      </c>
      <c r="DN126">
        <v>2816</v>
      </c>
      <c r="DO126">
        <v>12</v>
      </c>
      <c r="DP126">
        <v>197.625</v>
      </c>
      <c r="DQ126">
        <v>9.6989999999999998</v>
      </c>
      <c r="DR126">
        <v>6.8460000000000001</v>
      </c>
      <c r="DS126">
        <v>4.75</v>
      </c>
      <c r="DT126">
        <v>1</v>
      </c>
      <c r="DU126">
        <v>13</v>
      </c>
      <c r="DV126">
        <v>0</v>
      </c>
      <c r="DW126">
        <v>86.667000000000002</v>
      </c>
      <c r="DX126">
        <v>86.667000000000002</v>
      </c>
      <c r="DY126">
        <v>13</v>
      </c>
      <c r="DZ126">
        <v>52</v>
      </c>
      <c r="EA126">
        <v>16.411999999999999</v>
      </c>
      <c r="EB126">
        <v>11</v>
      </c>
      <c r="EC126">
        <v>27</v>
      </c>
      <c r="ED126">
        <v>6</v>
      </c>
      <c r="EE126">
        <v>12</v>
      </c>
      <c r="EF126">
        <v>154</v>
      </c>
      <c r="EG126">
        <v>20.75</v>
      </c>
      <c r="EH126">
        <v>68.421000000000006</v>
      </c>
      <c r="EI126">
        <v>37.255000000000003</v>
      </c>
      <c r="EJ126">
        <v>70.83</v>
      </c>
      <c r="EK126">
        <v>-5</v>
      </c>
    </row>
    <row r="127" spans="1:141" x14ac:dyDescent="0.25">
      <c r="A127">
        <v>0</v>
      </c>
      <c r="B127">
        <v>0</v>
      </c>
      <c r="C127">
        <v>0</v>
      </c>
      <c r="D127">
        <v>2025</v>
      </c>
      <c r="E127">
        <v>9</v>
      </c>
      <c r="F127" t="str">
        <f>VLOOKUP(G127, Map!$A$1:$B$33, 2, FALSE)</f>
        <v>TEN</v>
      </c>
      <c r="G127" t="s">
        <v>140</v>
      </c>
      <c r="H127" t="str">
        <f>VLOOKUP(I127, Map!$A$1:$B$33, 2, FALSE)</f>
        <v>LAC</v>
      </c>
      <c r="I127" t="s">
        <v>160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7</v>
      </c>
      <c r="P127">
        <v>28.75</v>
      </c>
      <c r="Q127">
        <v>13.75</v>
      </c>
      <c r="R127">
        <v>-120</v>
      </c>
      <c r="S127">
        <v>-3</v>
      </c>
      <c r="T127">
        <v>0.125</v>
      </c>
      <c r="U127">
        <v>0</v>
      </c>
      <c r="V127">
        <v>3</v>
      </c>
      <c r="W127">
        <v>0</v>
      </c>
      <c r="X127">
        <v>3</v>
      </c>
      <c r="Y127">
        <v>1</v>
      </c>
      <c r="Z127">
        <v>4</v>
      </c>
      <c r="AA127">
        <v>0</v>
      </c>
      <c r="AB127">
        <v>6</v>
      </c>
      <c r="AC127">
        <v>7</v>
      </c>
      <c r="AD127">
        <v>9</v>
      </c>
      <c r="AE127">
        <v>8</v>
      </c>
      <c r="AF127">
        <v>7</v>
      </c>
      <c r="AG127">
        <v>59</v>
      </c>
      <c r="AH127">
        <v>0</v>
      </c>
      <c r="AI127">
        <v>5</v>
      </c>
      <c r="AJ127">
        <v>3</v>
      </c>
      <c r="AK127">
        <v>21.625</v>
      </c>
      <c r="AL127">
        <v>23.5</v>
      </c>
      <c r="AM127">
        <v>15</v>
      </c>
      <c r="AN127">
        <v>1</v>
      </c>
      <c r="AO127">
        <v>0.625</v>
      </c>
      <c r="AP127">
        <v>3</v>
      </c>
      <c r="AQ127">
        <v>0</v>
      </c>
      <c r="AR127">
        <v>3</v>
      </c>
      <c r="AS127">
        <v>2</v>
      </c>
      <c r="AT127">
        <v>2</v>
      </c>
      <c r="AU127">
        <v>1</v>
      </c>
      <c r="AV127">
        <v>4</v>
      </c>
      <c r="AW127">
        <v>1</v>
      </c>
      <c r="AX127">
        <v>10</v>
      </c>
      <c r="AY127">
        <v>7</v>
      </c>
      <c r="AZ127">
        <v>11</v>
      </c>
      <c r="BA127">
        <v>5</v>
      </c>
      <c r="BB127">
        <v>65</v>
      </c>
      <c r="BC127">
        <v>43.5</v>
      </c>
      <c r="BD127">
        <v>9.5</v>
      </c>
      <c r="BE127">
        <v>0</v>
      </c>
      <c r="BF127">
        <v>0</v>
      </c>
      <c r="BG127">
        <v>25.83</v>
      </c>
      <c r="BH127">
        <v>39.523000000000003</v>
      </c>
      <c r="BI127">
        <v>73.962999999999994</v>
      </c>
      <c r="BJ127">
        <v>0</v>
      </c>
      <c r="BK127">
        <v>0</v>
      </c>
      <c r="BL127">
        <v>0</v>
      </c>
      <c r="BM127">
        <v>-9.9329999999999998</v>
      </c>
      <c r="BN127">
        <v>73.962999999999994</v>
      </c>
      <c r="BO127">
        <v>39.523000000000003</v>
      </c>
      <c r="BP127">
        <v>0</v>
      </c>
      <c r="BQ127">
        <v>25.83</v>
      </c>
      <c r="BR127">
        <v>9.9329999999999998</v>
      </c>
      <c r="BS127">
        <v>0</v>
      </c>
      <c r="BT127">
        <v>0</v>
      </c>
      <c r="BU127">
        <v>0</v>
      </c>
      <c r="BV127">
        <v>1785</v>
      </c>
      <c r="BW127">
        <v>57.664000000000001</v>
      </c>
      <c r="BX127">
        <v>168.375</v>
      </c>
      <c r="BY127">
        <v>21</v>
      </c>
      <c r="BZ127">
        <v>282.25</v>
      </c>
      <c r="CA127">
        <v>5.8940000000000001</v>
      </c>
      <c r="CB127">
        <v>643</v>
      </c>
      <c r="CC127">
        <v>80.375</v>
      </c>
      <c r="CD127">
        <v>3.9209999999999998</v>
      </c>
      <c r="CE127">
        <v>3</v>
      </c>
      <c r="CF127">
        <v>2580</v>
      </c>
      <c r="CG127">
        <v>5</v>
      </c>
      <c r="CH127">
        <v>201.875</v>
      </c>
      <c r="CI127">
        <v>10.222</v>
      </c>
      <c r="CJ127">
        <v>6.8129999999999997</v>
      </c>
      <c r="CK127">
        <v>4.8949999999999996</v>
      </c>
      <c r="CL127">
        <v>0</v>
      </c>
      <c r="CM127">
        <v>16</v>
      </c>
      <c r="CN127">
        <v>0</v>
      </c>
      <c r="CO127">
        <v>88.888999999999996</v>
      </c>
      <c r="CP127">
        <v>76.19</v>
      </c>
      <c r="CQ127">
        <v>16</v>
      </c>
      <c r="CR127">
        <v>56</v>
      </c>
      <c r="CS127">
        <v>10.75</v>
      </c>
      <c r="CT127">
        <v>37</v>
      </c>
      <c r="CU127">
        <v>12</v>
      </c>
      <c r="CV127">
        <v>6</v>
      </c>
      <c r="CW127">
        <v>5</v>
      </c>
      <c r="CX127">
        <v>110</v>
      </c>
      <c r="CY127">
        <v>15.875</v>
      </c>
      <c r="CZ127">
        <v>38.462000000000003</v>
      </c>
      <c r="DA127">
        <v>29.907</v>
      </c>
      <c r="DB127">
        <v>65.31</v>
      </c>
      <c r="DC127">
        <v>-4</v>
      </c>
      <c r="DD127">
        <v>3094</v>
      </c>
      <c r="DE127">
        <v>68</v>
      </c>
      <c r="DF127">
        <v>255.375</v>
      </c>
      <c r="DG127">
        <v>26</v>
      </c>
      <c r="DH127">
        <v>396.125</v>
      </c>
      <c r="DI127">
        <v>7.28</v>
      </c>
      <c r="DJ127">
        <v>1030</v>
      </c>
      <c r="DK127">
        <v>123.125</v>
      </c>
      <c r="DL127">
        <v>4.8520000000000003</v>
      </c>
      <c r="DM127">
        <v>3</v>
      </c>
      <c r="DN127">
        <v>3764</v>
      </c>
      <c r="DO127">
        <v>16</v>
      </c>
      <c r="DP127">
        <v>273</v>
      </c>
      <c r="DQ127">
        <v>10.706</v>
      </c>
      <c r="DR127">
        <v>5.5910000000000002</v>
      </c>
      <c r="DS127">
        <v>5.05</v>
      </c>
      <c r="DT127">
        <v>0</v>
      </c>
      <c r="DU127">
        <v>22</v>
      </c>
      <c r="DV127">
        <v>0</v>
      </c>
      <c r="DW127">
        <v>100</v>
      </c>
      <c r="DX127">
        <v>94.736999999999995</v>
      </c>
      <c r="DY127">
        <v>18</v>
      </c>
      <c r="DZ127">
        <v>72</v>
      </c>
      <c r="EA127">
        <v>12.5</v>
      </c>
      <c r="EB127">
        <v>8</v>
      </c>
      <c r="EC127">
        <v>20</v>
      </c>
      <c r="ED127">
        <v>0</v>
      </c>
      <c r="EE127">
        <v>16</v>
      </c>
      <c r="EF127">
        <v>188</v>
      </c>
      <c r="EG127">
        <v>21.875</v>
      </c>
      <c r="EH127">
        <v>70</v>
      </c>
      <c r="EI127">
        <v>48.673000000000002</v>
      </c>
      <c r="EJ127">
        <v>61.73</v>
      </c>
      <c r="EK127">
        <v>-3</v>
      </c>
    </row>
    <row r="128" spans="1:141" x14ac:dyDescent="0.25">
      <c r="A128">
        <v>0</v>
      </c>
      <c r="B128">
        <v>0</v>
      </c>
      <c r="C128">
        <v>0</v>
      </c>
      <c r="D128">
        <v>2025</v>
      </c>
      <c r="E128">
        <v>9</v>
      </c>
      <c r="F128" t="str">
        <f>VLOOKUP(G128, Map!$A$1:$B$33, 2, FALSE)</f>
        <v>NE</v>
      </c>
      <c r="G128" t="s">
        <v>151</v>
      </c>
      <c r="H128" t="str">
        <f>VLOOKUP(I128, Map!$A$1:$B$33, 2, FALSE)</f>
        <v>ATL</v>
      </c>
      <c r="I128" t="s">
        <v>167</v>
      </c>
      <c r="J128">
        <v>0</v>
      </c>
      <c r="K128">
        <v>0</v>
      </c>
      <c r="L128">
        <v>0</v>
      </c>
      <c r="M128">
        <v>0</v>
      </c>
      <c r="N128">
        <v>6</v>
      </c>
      <c r="O128">
        <v>2</v>
      </c>
      <c r="P128">
        <v>18.25</v>
      </c>
      <c r="Q128">
        <v>26.625</v>
      </c>
      <c r="R128">
        <v>67</v>
      </c>
      <c r="S128">
        <v>5</v>
      </c>
      <c r="T128">
        <v>0.75</v>
      </c>
      <c r="U128">
        <v>2</v>
      </c>
      <c r="V128">
        <v>0</v>
      </c>
      <c r="W128">
        <v>2</v>
      </c>
      <c r="X128">
        <v>2</v>
      </c>
      <c r="Y128">
        <v>4</v>
      </c>
      <c r="Z128">
        <v>0</v>
      </c>
      <c r="AA128">
        <v>4</v>
      </c>
      <c r="AB128">
        <v>2</v>
      </c>
      <c r="AC128">
        <v>8</v>
      </c>
      <c r="AD128">
        <v>9</v>
      </c>
      <c r="AE128">
        <v>7</v>
      </c>
      <c r="AF128">
        <v>9</v>
      </c>
      <c r="AG128">
        <v>61</v>
      </c>
      <c r="AH128">
        <v>0</v>
      </c>
      <c r="AI128">
        <v>3</v>
      </c>
      <c r="AJ128">
        <v>4</v>
      </c>
      <c r="AK128">
        <v>22</v>
      </c>
      <c r="AL128">
        <v>17.142856999999999</v>
      </c>
      <c r="AM128">
        <v>-34</v>
      </c>
      <c r="AN128">
        <v>-2</v>
      </c>
      <c r="AO128">
        <v>0.42857142999999998</v>
      </c>
      <c r="AP128">
        <v>0</v>
      </c>
      <c r="AQ128">
        <v>2</v>
      </c>
      <c r="AR128">
        <v>2</v>
      </c>
      <c r="AS128">
        <v>2</v>
      </c>
      <c r="AT128">
        <v>1</v>
      </c>
      <c r="AU128">
        <v>2</v>
      </c>
      <c r="AV128">
        <v>2</v>
      </c>
      <c r="AW128">
        <v>3</v>
      </c>
      <c r="AX128">
        <v>7</v>
      </c>
      <c r="AY128">
        <v>10</v>
      </c>
      <c r="AZ128">
        <v>9</v>
      </c>
      <c r="BA128">
        <v>8</v>
      </c>
      <c r="BB128">
        <v>64</v>
      </c>
      <c r="BC128">
        <v>44.5</v>
      </c>
      <c r="BD128">
        <v>-5.5</v>
      </c>
      <c r="BE128">
        <v>0</v>
      </c>
      <c r="BF128">
        <v>0</v>
      </c>
      <c r="BG128">
        <v>64.86</v>
      </c>
      <c r="BH128">
        <v>42.171999999999997</v>
      </c>
      <c r="BI128">
        <v>34.86</v>
      </c>
      <c r="BJ128">
        <v>0</v>
      </c>
      <c r="BK128">
        <v>0</v>
      </c>
      <c r="BL128">
        <v>0</v>
      </c>
      <c r="BM128">
        <v>5.7969999999999997</v>
      </c>
      <c r="BN128">
        <v>34.86</v>
      </c>
      <c r="BO128">
        <v>42.171999999999997</v>
      </c>
      <c r="BP128">
        <v>0</v>
      </c>
      <c r="BQ128">
        <v>64.86</v>
      </c>
      <c r="BR128">
        <v>-5.7969999999999997</v>
      </c>
      <c r="BS128">
        <v>0</v>
      </c>
      <c r="BT128">
        <v>0</v>
      </c>
      <c r="BU128">
        <v>0</v>
      </c>
      <c r="BV128">
        <v>2965</v>
      </c>
      <c r="BW128">
        <v>75</v>
      </c>
      <c r="BX128">
        <v>240.5</v>
      </c>
      <c r="BY128">
        <v>29</v>
      </c>
      <c r="BZ128">
        <v>367.375</v>
      </c>
      <c r="CA128">
        <v>8.7940000000000005</v>
      </c>
      <c r="CB128">
        <v>1056</v>
      </c>
      <c r="CC128">
        <v>112.625</v>
      </c>
      <c r="CD128">
        <v>3.9340000000000002</v>
      </c>
      <c r="CE128">
        <v>7</v>
      </c>
      <c r="CF128">
        <v>3418</v>
      </c>
      <c r="CG128">
        <v>15</v>
      </c>
      <c r="CH128">
        <v>254.75</v>
      </c>
      <c r="CI128">
        <v>11.725</v>
      </c>
      <c r="CJ128">
        <v>6.3159999999999998</v>
      </c>
      <c r="CK128">
        <v>3.7410000000000001</v>
      </c>
      <c r="CL128">
        <v>4</v>
      </c>
      <c r="CM128">
        <v>19</v>
      </c>
      <c r="CN128">
        <v>0</v>
      </c>
      <c r="CO128">
        <v>91.304000000000002</v>
      </c>
      <c r="CP128">
        <v>92.308000000000007</v>
      </c>
      <c r="CQ128">
        <v>12</v>
      </c>
      <c r="CR128">
        <v>57</v>
      </c>
      <c r="CS128">
        <v>16.8</v>
      </c>
      <c r="CT128">
        <v>27</v>
      </c>
      <c r="CU128">
        <v>10</v>
      </c>
      <c r="CV128">
        <v>14</v>
      </c>
      <c r="CW128">
        <v>15</v>
      </c>
      <c r="CX128">
        <v>213</v>
      </c>
      <c r="CY128">
        <v>20.375</v>
      </c>
      <c r="CZ128">
        <v>83.332999999999998</v>
      </c>
      <c r="DA128">
        <v>39.784999999999997</v>
      </c>
      <c r="DB128">
        <v>67</v>
      </c>
      <c r="DC128">
        <v>2</v>
      </c>
      <c r="DD128">
        <v>1871</v>
      </c>
      <c r="DE128">
        <v>62.231999999999999</v>
      </c>
      <c r="DF128">
        <v>219.42857000000001</v>
      </c>
      <c r="DG128">
        <v>19</v>
      </c>
      <c r="DH128">
        <v>353.42856</v>
      </c>
      <c r="DI128">
        <v>6.9139999999999997</v>
      </c>
      <c r="DJ128">
        <v>1048</v>
      </c>
      <c r="DK128">
        <v>123.286</v>
      </c>
      <c r="DL128">
        <v>4.4029999999999996</v>
      </c>
      <c r="DM128">
        <v>7</v>
      </c>
      <c r="DN128">
        <v>2511</v>
      </c>
      <c r="DO128">
        <v>5</v>
      </c>
      <c r="DP128">
        <v>230.143</v>
      </c>
      <c r="DQ128">
        <v>11.11</v>
      </c>
      <c r="DR128">
        <v>5.9379999999999997</v>
      </c>
      <c r="DS128">
        <v>5.6429999999999998</v>
      </c>
      <c r="DT128">
        <v>0</v>
      </c>
      <c r="DU128">
        <v>16</v>
      </c>
      <c r="DV128">
        <v>0</v>
      </c>
      <c r="DW128">
        <v>100</v>
      </c>
      <c r="DX128">
        <v>75</v>
      </c>
      <c r="DY128">
        <v>12</v>
      </c>
      <c r="DZ128">
        <v>48</v>
      </c>
      <c r="EA128">
        <v>7.5380000000000003</v>
      </c>
      <c r="EB128">
        <v>9</v>
      </c>
      <c r="EC128">
        <v>22</v>
      </c>
      <c r="ED128">
        <v>0</v>
      </c>
      <c r="EE128">
        <v>5</v>
      </c>
      <c r="EF128">
        <v>120</v>
      </c>
      <c r="EG128">
        <v>19.286000000000001</v>
      </c>
      <c r="EH128">
        <v>40</v>
      </c>
      <c r="EI128">
        <v>39.326000000000001</v>
      </c>
      <c r="EJ128">
        <v>57.86</v>
      </c>
      <c r="EK128">
        <v>2</v>
      </c>
    </row>
    <row r="129" spans="1:141" x14ac:dyDescent="0.25">
      <c r="A129">
        <v>0</v>
      </c>
      <c r="B129">
        <v>0</v>
      </c>
      <c r="C129">
        <v>0</v>
      </c>
      <c r="D129">
        <v>2025</v>
      </c>
      <c r="E129">
        <v>9</v>
      </c>
      <c r="F129" t="str">
        <f>VLOOKUP(G129, Map!$A$1:$B$33, 2, FALSE)</f>
        <v>NYG</v>
      </c>
      <c r="G129" t="s">
        <v>149</v>
      </c>
      <c r="H129" t="str">
        <f>VLOOKUP(I129, Map!$A$1:$B$33, 2, FALSE)</f>
        <v>SF</v>
      </c>
      <c r="I129" t="s">
        <v>143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6</v>
      </c>
      <c r="P129">
        <v>26.875</v>
      </c>
      <c r="Q129">
        <v>21.625</v>
      </c>
      <c r="R129">
        <v>-42</v>
      </c>
      <c r="S129">
        <v>-2</v>
      </c>
      <c r="T129">
        <v>0.25</v>
      </c>
      <c r="U129">
        <v>1</v>
      </c>
      <c r="V129">
        <v>3</v>
      </c>
      <c r="W129">
        <v>2</v>
      </c>
      <c r="X129">
        <v>1</v>
      </c>
      <c r="Y129">
        <v>0</v>
      </c>
      <c r="Z129">
        <v>5</v>
      </c>
      <c r="AA129">
        <v>1</v>
      </c>
      <c r="AB129">
        <v>4</v>
      </c>
      <c r="AC129">
        <v>10</v>
      </c>
      <c r="AD129">
        <v>7</v>
      </c>
      <c r="AE129">
        <v>14</v>
      </c>
      <c r="AF129">
        <v>4</v>
      </c>
      <c r="AG129">
        <v>67</v>
      </c>
      <c r="AH129">
        <v>0</v>
      </c>
      <c r="AI129">
        <v>5</v>
      </c>
      <c r="AJ129">
        <v>3</v>
      </c>
      <c r="AK129">
        <v>20.5</v>
      </c>
      <c r="AL129">
        <v>20</v>
      </c>
      <c r="AM129">
        <v>-4</v>
      </c>
      <c r="AN129">
        <v>-1</v>
      </c>
      <c r="AO129">
        <v>0.625</v>
      </c>
      <c r="AP129">
        <v>3</v>
      </c>
      <c r="AQ129">
        <v>0</v>
      </c>
      <c r="AR129">
        <v>2</v>
      </c>
      <c r="AS129">
        <v>1</v>
      </c>
      <c r="AT129">
        <v>3</v>
      </c>
      <c r="AU129">
        <v>2</v>
      </c>
      <c r="AV129">
        <v>5</v>
      </c>
      <c r="AW129">
        <v>1</v>
      </c>
      <c r="AX129">
        <v>15</v>
      </c>
      <c r="AY129">
        <v>5</v>
      </c>
      <c r="AZ129">
        <v>13</v>
      </c>
      <c r="BA129">
        <v>7</v>
      </c>
      <c r="BB129">
        <v>68</v>
      </c>
      <c r="BC129">
        <v>48.5</v>
      </c>
      <c r="BD129">
        <v>2.5</v>
      </c>
      <c r="BE129">
        <v>0</v>
      </c>
      <c r="BF129">
        <v>0</v>
      </c>
      <c r="BG129">
        <v>56.192</v>
      </c>
      <c r="BH129">
        <v>55.362000000000002</v>
      </c>
      <c r="BI129">
        <v>43.459000000000003</v>
      </c>
      <c r="BJ129">
        <v>0</v>
      </c>
      <c r="BK129">
        <v>0</v>
      </c>
      <c r="BL129">
        <v>0</v>
      </c>
      <c r="BM129">
        <v>2.468</v>
      </c>
      <c r="BN129">
        <v>43.459000000000003</v>
      </c>
      <c r="BO129">
        <v>55.362000000000002</v>
      </c>
      <c r="BP129">
        <v>0</v>
      </c>
      <c r="BQ129">
        <v>56.192</v>
      </c>
      <c r="BR129">
        <v>-2.468</v>
      </c>
      <c r="BS129">
        <v>0</v>
      </c>
      <c r="BT129">
        <v>0</v>
      </c>
      <c r="BU129">
        <v>0</v>
      </c>
      <c r="BV129">
        <v>2348</v>
      </c>
      <c r="BW129">
        <v>59.448999999999998</v>
      </c>
      <c r="BX129">
        <v>207.25</v>
      </c>
      <c r="BY129">
        <v>23</v>
      </c>
      <c r="BZ129">
        <v>339.25</v>
      </c>
      <c r="CA129">
        <v>6.9210000000000003</v>
      </c>
      <c r="CB129">
        <v>1249</v>
      </c>
      <c r="CC129">
        <v>118</v>
      </c>
      <c r="CD129">
        <v>4.0339999999999998</v>
      </c>
      <c r="CE129">
        <v>10</v>
      </c>
      <c r="CF129">
        <v>2910</v>
      </c>
      <c r="CG129">
        <v>11</v>
      </c>
      <c r="CH129">
        <v>221.25</v>
      </c>
      <c r="CI129">
        <v>11.641999999999999</v>
      </c>
      <c r="CJ129">
        <v>7.2629999999999999</v>
      </c>
      <c r="CK129">
        <v>5.1740000000000004</v>
      </c>
      <c r="CL129">
        <v>0</v>
      </c>
      <c r="CM129">
        <v>19</v>
      </c>
      <c r="CN129">
        <v>0</v>
      </c>
      <c r="CO129">
        <v>78.947000000000003</v>
      </c>
      <c r="CP129">
        <v>100</v>
      </c>
      <c r="CQ129">
        <v>10</v>
      </c>
      <c r="CR129">
        <v>45</v>
      </c>
      <c r="CS129">
        <v>7.1539999999999999</v>
      </c>
      <c r="CT129">
        <v>32</v>
      </c>
      <c r="CU129">
        <v>12</v>
      </c>
      <c r="CV129">
        <v>0</v>
      </c>
      <c r="CW129">
        <v>11</v>
      </c>
      <c r="CX129">
        <v>173</v>
      </c>
      <c r="CY129">
        <v>20.625</v>
      </c>
      <c r="CZ129">
        <v>52.941000000000003</v>
      </c>
      <c r="DA129">
        <v>39.814999999999998</v>
      </c>
      <c r="DB129">
        <v>59.26</v>
      </c>
      <c r="DC129">
        <v>-4</v>
      </c>
      <c r="DD129">
        <v>2753</v>
      </c>
      <c r="DE129">
        <v>65.885999999999996</v>
      </c>
      <c r="DF129">
        <v>259.25</v>
      </c>
      <c r="DG129">
        <v>23</v>
      </c>
      <c r="DH129">
        <v>362.25</v>
      </c>
      <c r="DI129">
        <v>7.3010000000000002</v>
      </c>
      <c r="DJ129">
        <v>775</v>
      </c>
      <c r="DK129">
        <v>89.375</v>
      </c>
      <c r="DL129">
        <v>3.4049999999999998</v>
      </c>
      <c r="DM129">
        <v>3</v>
      </c>
      <c r="DN129">
        <v>3588</v>
      </c>
      <c r="DO129">
        <v>12</v>
      </c>
      <c r="DP129">
        <v>272.875</v>
      </c>
      <c r="DQ129">
        <v>11.081</v>
      </c>
      <c r="DR129">
        <v>6.6669999999999998</v>
      </c>
      <c r="DS129">
        <v>1.889</v>
      </c>
      <c r="DT129">
        <v>0</v>
      </c>
      <c r="DU129">
        <v>9</v>
      </c>
      <c r="DV129">
        <v>0</v>
      </c>
      <c r="DW129">
        <v>92.308000000000007</v>
      </c>
      <c r="DX129">
        <v>90</v>
      </c>
      <c r="DY129">
        <v>18</v>
      </c>
      <c r="DZ129">
        <v>66</v>
      </c>
      <c r="EA129">
        <v>14.308</v>
      </c>
      <c r="EB129">
        <v>12</v>
      </c>
      <c r="EC129">
        <v>25</v>
      </c>
      <c r="ED129">
        <v>0</v>
      </c>
      <c r="EE129">
        <v>12</v>
      </c>
      <c r="EF129">
        <v>160</v>
      </c>
      <c r="EG129">
        <v>20.875</v>
      </c>
      <c r="EH129">
        <v>54.545000000000002</v>
      </c>
      <c r="EI129">
        <v>46.363999999999997</v>
      </c>
      <c r="EJ129">
        <v>65.709999999999994</v>
      </c>
      <c r="EK129">
        <v>-5</v>
      </c>
    </row>
    <row r="130" spans="1:141" x14ac:dyDescent="0.25">
      <c r="A130">
        <v>0</v>
      </c>
      <c r="B130">
        <v>0</v>
      </c>
      <c r="C130">
        <v>0</v>
      </c>
      <c r="D130">
        <v>2025</v>
      </c>
      <c r="E130">
        <v>9</v>
      </c>
      <c r="F130" t="str">
        <f>VLOOKUP(G130, Map!$A$1:$B$33, 2, FALSE)</f>
        <v>PIT</v>
      </c>
      <c r="G130" t="s">
        <v>145</v>
      </c>
      <c r="H130" t="str">
        <f>VLOOKUP(I130, Map!$A$1:$B$33, 2, FALSE)</f>
        <v>IND</v>
      </c>
      <c r="I130" t="s">
        <v>138</v>
      </c>
      <c r="J130">
        <v>0</v>
      </c>
      <c r="K130">
        <v>0</v>
      </c>
      <c r="L130">
        <v>0</v>
      </c>
      <c r="M130">
        <v>0</v>
      </c>
      <c r="N130">
        <v>4</v>
      </c>
      <c r="O130">
        <v>3</v>
      </c>
      <c r="P130">
        <v>25</v>
      </c>
      <c r="Q130">
        <v>25</v>
      </c>
      <c r="R130">
        <v>0</v>
      </c>
      <c r="S130">
        <v>-2</v>
      </c>
      <c r="T130">
        <v>0.57142859999999995</v>
      </c>
      <c r="U130">
        <v>1</v>
      </c>
      <c r="V130">
        <v>1</v>
      </c>
      <c r="W130">
        <v>2</v>
      </c>
      <c r="X130">
        <v>2</v>
      </c>
      <c r="Y130">
        <v>2</v>
      </c>
      <c r="Z130">
        <v>1</v>
      </c>
      <c r="AA130">
        <v>3</v>
      </c>
      <c r="AB130">
        <v>1</v>
      </c>
      <c r="AC130">
        <v>9</v>
      </c>
      <c r="AD130">
        <v>8</v>
      </c>
      <c r="AE130">
        <v>10</v>
      </c>
      <c r="AF130">
        <v>6</v>
      </c>
      <c r="AG130">
        <v>66</v>
      </c>
      <c r="AH130">
        <v>0</v>
      </c>
      <c r="AI130">
        <v>7</v>
      </c>
      <c r="AJ130">
        <v>1</v>
      </c>
      <c r="AK130">
        <v>19.25</v>
      </c>
      <c r="AL130">
        <v>33.75</v>
      </c>
      <c r="AM130">
        <v>116</v>
      </c>
      <c r="AN130">
        <v>4</v>
      </c>
      <c r="AO130">
        <v>0.875</v>
      </c>
      <c r="AP130">
        <v>2</v>
      </c>
      <c r="AQ130">
        <v>0</v>
      </c>
      <c r="AR130">
        <v>5</v>
      </c>
      <c r="AS130">
        <v>0</v>
      </c>
      <c r="AT130">
        <v>2</v>
      </c>
      <c r="AU130">
        <v>1</v>
      </c>
      <c r="AV130">
        <v>6</v>
      </c>
      <c r="AW130">
        <v>0</v>
      </c>
      <c r="AX130">
        <v>4</v>
      </c>
      <c r="AY130">
        <v>12</v>
      </c>
      <c r="AZ130">
        <v>6</v>
      </c>
      <c r="BA130">
        <v>11</v>
      </c>
      <c r="BB130">
        <v>68</v>
      </c>
      <c r="BC130">
        <v>50.5</v>
      </c>
      <c r="BD130">
        <v>3.5</v>
      </c>
      <c r="BE130">
        <v>0</v>
      </c>
      <c r="BF130">
        <v>0</v>
      </c>
      <c r="BG130">
        <v>42.164000000000001</v>
      </c>
      <c r="BH130">
        <v>67.478999999999999</v>
      </c>
      <c r="BI130">
        <v>57.497</v>
      </c>
      <c r="BJ130">
        <v>0</v>
      </c>
      <c r="BK130">
        <v>0</v>
      </c>
      <c r="BL130">
        <v>0</v>
      </c>
      <c r="BM130">
        <v>-3.1040000000000001</v>
      </c>
      <c r="BN130">
        <v>57.497</v>
      </c>
      <c r="BO130">
        <v>67.478999999999999</v>
      </c>
      <c r="BP130">
        <v>0</v>
      </c>
      <c r="BQ130">
        <v>42.164000000000001</v>
      </c>
      <c r="BR130">
        <v>3.1040000000000001</v>
      </c>
      <c r="BS130">
        <v>0</v>
      </c>
      <c r="BT130">
        <v>0</v>
      </c>
      <c r="BU130">
        <v>0</v>
      </c>
      <c r="BV130">
        <v>2471</v>
      </c>
      <c r="BW130">
        <v>68.570999999999998</v>
      </c>
      <c r="BX130">
        <v>202.85714999999999</v>
      </c>
      <c r="BY130">
        <v>20</v>
      </c>
      <c r="BZ130">
        <v>308.71429999999998</v>
      </c>
      <c r="CA130">
        <v>7.1479999999999997</v>
      </c>
      <c r="CB130">
        <v>750</v>
      </c>
      <c r="CC130">
        <v>94.286000000000001</v>
      </c>
      <c r="CD130">
        <v>4.0739999999999998</v>
      </c>
      <c r="CE130">
        <v>3</v>
      </c>
      <c r="CF130">
        <v>2781</v>
      </c>
      <c r="CG130">
        <v>16</v>
      </c>
      <c r="CH130">
        <v>214.429</v>
      </c>
      <c r="CI130">
        <v>10.423999999999999</v>
      </c>
      <c r="CJ130">
        <v>6.4089999999999998</v>
      </c>
      <c r="CK130">
        <v>7.4379999999999997</v>
      </c>
      <c r="CL130">
        <v>0</v>
      </c>
      <c r="CM130">
        <v>22</v>
      </c>
      <c r="CN130">
        <v>0</v>
      </c>
      <c r="CO130">
        <v>100</v>
      </c>
      <c r="CP130">
        <v>87.5</v>
      </c>
      <c r="CQ130">
        <v>14</v>
      </c>
      <c r="CR130">
        <v>59</v>
      </c>
      <c r="CS130">
        <v>8.25</v>
      </c>
      <c r="CT130">
        <v>23</v>
      </c>
      <c r="CU130">
        <v>8</v>
      </c>
      <c r="CV130">
        <v>0</v>
      </c>
      <c r="CW130">
        <v>16</v>
      </c>
      <c r="CX130">
        <v>175</v>
      </c>
      <c r="CY130">
        <v>17.428999999999998</v>
      </c>
      <c r="CZ130">
        <v>50</v>
      </c>
      <c r="DA130">
        <v>38.960999999999999</v>
      </c>
      <c r="DB130">
        <v>75.94</v>
      </c>
      <c r="DC130">
        <v>4</v>
      </c>
      <c r="DD130">
        <v>2891</v>
      </c>
      <c r="DE130">
        <v>70.161000000000001</v>
      </c>
      <c r="DF130">
        <v>250.875</v>
      </c>
      <c r="DG130">
        <v>23</v>
      </c>
      <c r="DH130">
        <v>393.25</v>
      </c>
      <c r="DI130">
        <v>8.3510000000000009</v>
      </c>
      <c r="DJ130">
        <v>1690</v>
      </c>
      <c r="DK130">
        <v>134.375</v>
      </c>
      <c r="DL130">
        <v>5.0229999999999997</v>
      </c>
      <c r="DM130">
        <v>18</v>
      </c>
      <c r="DN130">
        <v>3396</v>
      </c>
      <c r="DO130">
        <v>13</v>
      </c>
      <c r="DP130">
        <v>258.875</v>
      </c>
      <c r="DQ130">
        <v>11.901999999999999</v>
      </c>
      <c r="DR130">
        <v>6.8259999999999996</v>
      </c>
      <c r="DS130">
        <v>6.0910000000000002</v>
      </c>
      <c r="DT130">
        <v>1</v>
      </c>
      <c r="DU130">
        <v>23</v>
      </c>
      <c r="DV130">
        <v>0</v>
      </c>
      <c r="DW130">
        <v>96.296000000000006</v>
      </c>
      <c r="DX130">
        <v>94.117999999999995</v>
      </c>
      <c r="DY130">
        <v>16</v>
      </c>
      <c r="DZ130">
        <v>74</v>
      </c>
      <c r="EA130">
        <v>4.25</v>
      </c>
      <c r="EB130">
        <v>8</v>
      </c>
      <c r="EC130">
        <v>16</v>
      </c>
      <c r="ED130">
        <v>6</v>
      </c>
      <c r="EE130">
        <v>13</v>
      </c>
      <c r="EF130">
        <v>270</v>
      </c>
      <c r="EG130">
        <v>23.25</v>
      </c>
      <c r="EH130">
        <v>83.332999999999998</v>
      </c>
      <c r="EI130">
        <v>45.348999999999997</v>
      </c>
      <c r="EJ130">
        <v>77.069999999999993</v>
      </c>
      <c r="EK130">
        <v>8</v>
      </c>
    </row>
    <row r="131" spans="1:141" x14ac:dyDescent="0.25">
      <c r="A131">
        <v>0</v>
      </c>
      <c r="B131">
        <v>0</v>
      </c>
      <c r="C131">
        <v>0</v>
      </c>
      <c r="D131">
        <v>2025</v>
      </c>
      <c r="E131">
        <v>9</v>
      </c>
      <c r="F131" t="str">
        <f>VLOOKUP(G131, Map!$A$1:$B$33, 2, FALSE)</f>
        <v>HOU</v>
      </c>
      <c r="G131" t="s">
        <v>137</v>
      </c>
      <c r="H131" t="str">
        <f>VLOOKUP(I131, Map!$A$1:$B$33, 2, FALSE)</f>
        <v>DEN</v>
      </c>
      <c r="I131" t="s">
        <v>159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4</v>
      </c>
      <c r="P131">
        <v>14.714286</v>
      </c>
      <c r="Q131">
        <v>21.857143000000001</v>
      </c>
      <c r="R131">
        <v>50</v>
      </c>
      <c r="S131">
        <v>1</v>
      </c>
      <c r="T131">
        <v>0.42857142999999998</v>
      </c>
      <c r="U131">
        <v>1</v>
      </c>
      <c r="V131">
        <v>1</v>
      </c>
      <c r="W131">
        <v>2</v>
      </c>
      <c r="X131">
        <v>1</v>
      </c>
      <c r="Y131">
        <v>1</v>
      </c>
      <c r="Z131">
        <v>3</v>
      </c>
      <c r="AA131">
        <v>2</v>
      </c>
      <c r="AB131">
        <v>1</v>
      </c>
      <c r="AC131">
        <v>3</v>
      </c>
      <c r="AD131">
        <v>13</v>
      </c>
      <c r="AE131">
        <v>8</v>
      </c>
      <c r="AF131">
        <v>8</v>
      </c>
      <c r="AG131">
        <v>69</v>
      </c>
      <c r="AH131">
        <v>0</v>
      </c>
      <c r="AI131">
        <v>6</v>
      </c>
      <c r="AJ131">
        <v>2</v>
      </c>
      <c r="AK131">
        <v>18.875</v>
      </c>
      <c r="AL131">
        <v>25.875</v>
      </c>
      <c r="AM131">
        <v>56</v>
      </c>
      <c r="AN131">
        <v>5</v>
      </c>
      <c r="AO131">
        <v>0.75</v>
      </c>
      <c r="AP131">
        <v>0</v>
      </c>
      <c r="AQ131">
        <v>1</v>
      </c>
      <c r="AR131">
        <v>4</v>
      </c>
      <c r="AS131">
        <v>0</v>
      </c>
      <c r="AT131">
        <v>2</v>
      </c>
      <c r="AU131">
        <v>2</v>
      </c>
      <c r="AV131">
        <v>3</v>
      </c>
      <c r="AW131">
        <v>2</v>
      </c>
      <c r="AX131">
        <v>4</v>
      </c>
      <c r="AY131">
        <v>12</v>
      </c>
      <c r="AZ131">
        <v>7</v>
      </c>
      <c r="BA131">
        <v>9</v>
      </c>
      <c r="BB131">
        <v>63</v>
      </c>
      <c r="BC131">
        <v>39.5</v>
      </c>
      <c r="BD131">
        <v>-1.5</v>
      </c>
      <c r="BE131">
        <v>0</v>
      </c>
      <c r="BF131">
        <v>0</v>
      </c>
      <c r="BG131">
        <v>49.468000000000004</v>
      </c>
      <c r="BH131">
        <v>70.489999999999995</v>
      </c>
      <c r="BI131">
        <v>50.134999999999998</v>
      </c>
      <c r="BJ131">
        <v>0</v>
      </c>
      <c r="BK131">
        <v>0</v>
      </c>
      <c r="BL131">
        <v>0</v>
      </c>
      <c r="BM131">
        <v>-0.28399999999999997</v>
      </c>
      <c r="BN131">
        <v>50.134999999999998</v>
      </c>
      <c r="BO131">
        <v>70.489999999999995</v>
      </c>
      <c r="BP131">
        <v>0</v>
      </c>
      <c r="BQ131">
        <v>49.468000000000004</v>
      </c>
      <c r="BR131">
        <v>0.28399999999999997</v>
      </c>
      <c r="BS131">
        <v>0</v>
      </c>
      <c r="BT131">
        <v>0</v>
      </c>
      <c r="BU131">
        <v>0</v>
      </c>
      <c r="BV131">
        <v>2266</v>
      </c>
      <c r="BW131">
        <v>66.525000000000006</v>
      </c>
      <c r="BX131">
        <v>215.28572</v>
      </c>
      <c r="BY131">
        <v>22</v>
      </c>
      <c r="BZ131">
        <v>348.57144</v>
      </c>
      <c r="CA131">
        <v>6.9749999999999996</v>
      </c>
      <c r="CB131">
        <v>869</v>
      </c>
      <c r="CC131">
        <v>113.429</v>
      </c>
      <c r="CD131">
        <v>4.2690000000000001</v>
      </c>
      <c r="CE131">
        <v>3</v>
      </c>
      <c r="CF131">
        <v>2816</v>
      </c>
      <c r="CG131">
        <v>11</v>
      </c>
      <c r="CH131">
        <v>235.143</v>
      </c>
      <c r="CI131">
        <v>10.484</v>
      </c>
      <c r="CJ131">
        <v>7.875</v>
      </c>
      <c r="CK131">
        <v>6.1109999999999998</v>
      </c>
      <c r="CL131">
        <v>1</v>
      </c>
      <c r="CM131">
        <v>16</v>
      </c>
      <c r="CN131">
        <v>0</v>
      </c>
      <c r="CO131">
        <v>100</v>
      </c>
      <c r="CP131">
        <v>89.474000000000004</v>
      </c>
      <c r="CQ131">
        <v>17</v>
      </c>
      <c r="CR131">
        <v>63</v>
      </c>
      <c r="CS131">
        <v>11.545</v>
      </c>
      <c r="CT131">
        <v>27</v>
      </c>
      <c r="CU131">
        <v>9</v>
      </c>
      <c r="CV131">
        <v>6</v>
      </c>
      <c r="CW131">
        <v>11</v>
      </c>
      <c r="CX131">
        <v>153</v>
      </c>
      <c r="CY131">
        <v>18.713999999999999</v>
      </c>
      <c r="CZ131">
        <v>66.667000000000002</v>
      </c>
      <c r="DA131">
        <v>35.164999999999999</v>
      </c>
      <c r="DB131">
        <v>60.15</v>
      </c>
      <c r="DC131">
        <v>4</v>
      </c>
      <c r="DD131">
        <v>2703</v>
      </c>
      <c r="DE131">
        <v>62.807000000000002</v>
      </c>
      <c r="DF131">
        <v>219.125</v>
      </c>
      <c r="DG131">
        <v>22</v>
      </c>
      <c r="DH131">
        <v>363.125</v>
      </c>
      <c r="DI131">
        <v>6.3259999999999996</v>
      </c>
      <c r="DJ131">
        <v>1407</v>
      </c>
      <c r="DK131">
        <v>137.75</v>
      </c>
      <c r="DL131">
        <v>5.0090000000000003</v>
      </c>
      <c r="DM131">
        <v>10</v>
      </c>
      <c r="DN131">
        <v>3223</v>
      </c>
      <c r="DO131">
        <v>15</v>
      </c>
      <c r="DP131">
        <v>225.375</v>
      </c>
      <c r="DQ131">
        <v>10.073</v>
      </c>
      <c r="DR131">
        <v>6.0279999999999996</v>
      </c>
      <c r="DS131">
        <v>90.5</v>
      </c>
      <c r="DT131">
        <v>0</v>
      </c>
      <c r="DU131">
        <v>36</v>
      </c>
      <c r="DV131">
        <v>0</v>
      </c>
      <c r="DW131">
        <v>100</v>
      </c>
      <c r="DX131">
        <v>90.909000000000006</v>
      </c>
      <c r="DY131">
        <v>10</v>
      </c>
      <c r="DZ131">
        <v>51</v>
      </c>
      <c r="EA131">
        <v>10.467000000000001</v>
      </c>
      <c r="EB131">
        <v>18</v>
      </c>
      <c r="EC131">
        <v>38</v>
      </c>
      <c r="ED131">
        <v>0</v>
      </c>
      <c r="EE131">
        <v>15</v>
      </c>
      <c r="EF131">
        <v>207</v>
      </c>
      <c r="EG131">
        <v>20.75</v>
      </c>
      <c r="EH131">
        <v>50</v>
      </c>
      <c r="EI131">
        <v>37.863999999999997</v>
      </c>
      <c r="EJ131">
        <v>73.02</v>
      </c>
      <c r="EK131">
        <v>-1</v>
      </c>
    </row>
    <row r="132" spans="1:141" x14ac:dyDescent="0.25">
      <c r="A132">
        <v>0</v>
      </c>
      <c r="B132">
        <v>0</v>
      </c>
      <c r="C132">
        <v>0</v>
      </c>
      <c r="D132">
        <v>2025</v>
      </c>
      <c r="E132">
        <v>9</v>
      </c>
      <c r="F132" t="str">
        <f>VLOOKUP(G132, Map!$A$1:$B$33, 2, FALSE)</f>
        <v>LV</v>
      </c>
      <c r="G132" t="s">
        <v>157</v>
      </c>
      <c r="H132" t="str">
        <f>VLOOKUP(I132, Map!$A$1:$B$33, 2, FALSE)</f>
        <v>JAX</v>
      </c>
      <c r="I132" t="s">
        <v>139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5</v>
      </c>
      <c r="P132">
        <v>25.714285</v>
      </c>
      <c r="Q132">
        <v>14.714286</v>
      </c>
      <c r="R132">
        <v>-77</v>
      </c>
      <c r="S132">
        <v>-1</v>
      </c>
      <c r="T132">
        <v>0.28571429999999998</v>
      </c>
      <c r="U132">
        <v>0</v>
      </c>
      <c r="V132">
        <v>2</v>
      </c>
      <c r="W132">
        <v>1</v>
      </c>
      <c r="X132">
        <v>2</v>
      </c>
      <c r="Y132">
        <v>1</v>
      </c>
      <c r="Z132">
        <v>3</v>
      </c>
      <c r="AA132">
        <v>2</v>
      </c>
      <c r="AB132">
        <v>3</v>
      </c>
      <c r="AC132">
        <v>6</v>
      </c>
      <c r="AD132">
        <v>10</v>
      </c>
      <c r="AE132">
        <v>8</v>
      </c>
      <c r="AF132">
        <v>8</v>
      </c>
      <c r="AG132">
        <v>56</v>
      </c>
      <c r="AH132">
        <v>0</v>
      </c>
      <c r="AI132">
        <v>4</v>
      </c>
      <c r="AJ132">
        <v>3</v>
      </c>
      <c r="AK132">
        <v>22.142856999999999</v>
      </c>
      <c r="AL132">
        <v>20.857143000000001</v>
      </c>
      <c r="AM132">
        <v>-9</v>
      </c>
      <c r="AN132">
        <v>-2</v>
      </c>
      <c r="AO132">
        <v>0.57142859999999995</v>
      </c>
      <c r="AP132">
        <v>1</v>
      </c>
      <c r="AQ132">
        <v>0</v>
      </c>
      <c r="AR132">
        <v>3</v>
      </c>
      <c r="AS132">
        <v>2</v>
      </c>
      <c r="AT132">
        <v>1</v>
      </c>
      <c r="AU132">
        <v>1</v>
      </c>
      <c r="AV132">
        <v>2</v>
      </c>
      <c r="AW132">
        <v>1</v>
      </c>
      <c r="AX132">
        <v>10</v>
      </c>
      <c r="AY132">
        <v>8</v>
      </c>
      <c r="AZ132">
        <v>9</v>
      </c>
      <c r="BA132">
        <v>9</v>
      </c>
      <c r="BB132">
        <v>58</v>
      </c>
      <c r="BC132">
        <v>44.5</v>
      </c>
      <c r="BD132">
        <v>2.5</v>
      </c>
      <c r="BE132">
        <v>0</v>
      </c>
      <c r="BF132">
        <v>0</v>
      </c>
      <c r="BG132">
        <v>45.085999999999999</v>
      </c>
      <c r="BH132">
        <v>30.771000000000001</v>
      </c>
      <c r="BI132">
        <v>54.552</v>
      </c>
      <c r="BJ132">
        <v>0</v>
      </c>
      <c r="BK132">
        <v>0</v>
      </c>
      <c r="BL132">
        <v>0</v>
      </c>
      <c r="BM132">
        <v>-2.4460000000000002</v>
      </c>
      <c r="BN132">
        <v>54.552</v>
      </c>
      <c r="BO132">
        <v>30.771000000000001</v>
      </c>
      <c r="BP132">
        <v>0</v>
      </c>
      <c r="BQ132">
        <v>45.085999999999999</v>
      </c>
      <c r="BR132">
        <v>2.4460000000000002</v>
      </c>
      <c r="BS132">
        <v>0</v>
      </c>
      <c r="BT132">
        <v>0</v>
      </c>
      <c r="BU132">
        <v>0</v>
      </c>
      <c r="BV132">
        <v>1570</v>
      </c>
      <c r="BW132">
        <v>66.176000000000002</v>
      </c>
      <c r="BX132">
        <v>182.71428</v>
      </c>
      <c r="BY132">
        <v>19</v>
      </c>
      <c r="BZ132">
        <v>297.28570000000002</v>
      </c>
      <c r="CA132">
        <v>6.7649999999999997</v>
      </c>
      <c r="CB132">
        <v>731</v>
      </c>
      <c r="CC132">
        <v>93.713999999999999</v>
      </c>
      <c r="CD132">
        <v>3.859</v>
      </c>
      <c r="CE132">
        <v>3</v>
      </c>
      <c r="CF132">
        <v>2345</v>
      </c>
      <c r="CG132">
        <v>7</v>
      </c>
      <c r="CH132">
        <v>203.571</v>
      </c>
      <c r="CI132">
        <v>10.222</v>
      </c>
      <c r="CJ132">
        <v>6.7329999999999997</v>
      </c>
      <c r="CK132">
        <v>3.0710000000000002</v>
      </c>
      <c r="CL132">
        <v>0</v>
      </c>
      <c r="CM132">
        <v>15</v>
      </c>
      <c r="CN132">
        <v>0</v>
      </c>
      <c r="CO132">
        <v>100</v>
      </c>
      <c r="CP132">
        <v>78.570999999999998</v>
      </c>
      <c r="CQ132">
        <v>11</v>
      </c>
      <c r="CR132">
        <v>41</v>
      </c>
      <c r="CS132">
        <v>15.333</v>
      </c>
      <c r="CT132">
        <v>26</v>
      </c>
      <c r="CU132">
        <v>8</v>
      </c>
      <c r="CV132">
        <v>0</v>
      </c>
      <c r="CW132">
        <v>7</v>
      </c>
      <c r="CX132">
        <v>103</v>
      </c>
      <c r="CY132">
        <v>15.856999999999999</v>
      </c>
      <c r="CZ132">
        <v>45.454999999999998</v>
      </c>
      <c r="DA132">
        <v>37.930999999999997</v>
      </c>
      <c r="DB132">
        <v>53.17</v>
      </c>
      <c r="DC132">
        <v>-5</v>
      </c>
      <c r="DD132">
        <v>2100</v>
      </c>
      <c r="DE132">
        <v>58.686999999999998</v>
      </c>
      <c r="DF132">
        <v>215.14285000000001</v>
      </c>
      <c r="DG132">
        <v>21</v>
      </c>
      <c r="DH132">
        <v>351.14285000000001</v>
      </c>
      <c r="DI132">
        <v>6.2549999999999999</v>
      </c>
      <c r="DJ132">
        <v>1033</v>
      </c>
      <c r="DK132">
        <v>119.714</v>
      </c>
      <c r="DL132">
        <v>4.6820000000000004</v>
      </c>
      <c r="DM132">
        <v>6</v>
      </c>
      <c r="DN132">
        <v>2695</v>
      </c>
      <c r="DO132">
        <v>9</v>
      </c>
      <c r="DP132">
        <v>231.429</v>
      </c>
      <c r="DQ132">
        <v>10.657999999999999</v>
      </c>
      <c r="DR132">
        <v>7.375</v>
      </c>
      <c r="DS132">
        <v>3.1880000000000002</v>
      </c>
      <c r="DT132">
        <v>2</v>
      </c>
      <c r="DU132">
        <v>8</v>
      </c>
      <c r="DV132">
        <v>0</v>
      </c>
      <c r="DW132">
        <v>93.332999999999998</v>
      </c>
      <c r="DX132">
        <v>71.429000000000002</v>
      </c>
      <c r="DY132">
        <v>10</v>
      </c>
      <c r="DZ132">
        <v>44</v>
      </c>
      <c r="EA132">
        <v>4.4290000000000003</v>
      </c>
      <c r="EB132">
        <v>10</v>
      </c>
      <c r="EC132">
        <v>30</v>
      </c>
      <c r="ED132">
        <v>12</v>
      </c>
      <c r="EE132">
        <v>9</v>
      </c>
      <c r="EF132">
        <v>146</v>
      </c>
      <c r="EG132">
        <v>19.143000000000001</v>
      </c>
      <c r="EH132">
        <v>53.332999999999998</v>
      </c>
      <c r="EI132">
        <v>32.978999999999999</v>
      </c>
      <c r="EJ132">
        <v>59.74</v>
      </c>
      <c r="EK132">
        <v>8</v>
      </c>
    </row>
    <row r="133" spans="1:141" x14ac:dyDescent="0.25">
      <c r="A133">
        <v>0</v>
      </c>
      <c r="B133">
        <v>0</v>
      </c>
      <c r="C133">
        <v>0</v>
      </c>
      <c r="D133">
        <v>2025</v>
      </c>
      <c r="E133">
        <v>9</v>
      </c>
      <c r="F133" t="str">
        <f>VLOOKUP(G133, Map!$A$1:$B$33, 2, FALSE)</f>
        <v>LA</v>
      </c>
      <c r="G133" t="s">
        <v>155</v>
      </c>
      <c r="H133" t="str">
        <f>VLOOKUP(I133, Map!$A$1:$B$33, 2, FALSE)</f>
        <v>NO</v>
      </c>
      <c r="I133" t="s">
        <v>168</v>
      </c>
      <c r="J133">
        <v>0</v>
      </c>
      <c r="K133">
        <v>0</v>
      </c>
      <c r="L133">
        <v>0</v>
      </c>
      <c r="M133">
        <v>0</v>
      </c>
      <c r="N133">
        <v>5</v>
      </c>
      <c r="O133">
        <v>2</v>
      </c>
      <c r="P133">
        <v>16.714285</v>
      </c>
      <c r="Q133">
        <v>25</v>
      </c>
      <c r="R133">
        <v>58</v>
      </c>
      <c r="S133">
        <v>2</v>
      </c>
      <c r="T133">
        <v>0.71428572999999995</v>
      </c>
      <c r="U133">
        <v>0</v>
      </c>
      <c r="V133">
        <v>1</v>
      </c>
      <c r="W133">
        <v>2</v>
      </c>
      <c r="X133">
        <v>1</v>
      </c>
      <c r="Y133">
        <v>3</v>
      </c>
      <c r="Z133">
        <v>1</v>
      </c>
      <c r="AA133">
        <v>0</v>
      </c>
      <c r="AB133">
        <v>2</v>
      </c>
      <c r="AC133">
        <v>5</v>
      </c>
      <c r="AD133">
        <v>11</v>
      </c>
      <c r="AE133">
        <v>5</v>
      </c>
      <c r="AF133">
        <v>9</v>
      </c>
      <c r="AG133">
        <v>57</v>
      </c>
      <c r="AH133">
        <v>0</v>
      </c>
      <c r="AI133">
        <v>1</v>
      </c>
      <c r="AJ133">
        <v>7</v>
      </c>
      <c r="AK133">
        <v>26.125</v>
      </c>
      <c r="AL133">
        <v>16</v>
      </c>
      <c r="AM133">
        <v>-81</v>
      </c>
      <c r="AN133">
        <v>-3</v>
      </c>
      <c r="AO133">
        <v>0.125</v>
      </c>
      <c r="AP133">
        <v>0</v>
      </c>
      <c r="AQ133">
        <v>1</v>
      </c>
      <c r="AR133">
        <v>1</v>
      </c>
      <c r="AS133">
        <v>4</v>
      </c>
      <c r="AT133">
        <v>0</v>
      </c>
      <c r="AU133">
        <v>3</v>
      </c>
      <c r="AV133">
        <v>1</v>
      </c>
      <c r="AW133">
        <v>5</v>
      </c>
      <c r="AX133">
        <v>7</v>
      </c>
      <c r="AY133">
        <v>10</v>
      </c>
      <c r="AZ133">
        <v>7</v>
      </c>
      <c r="BA133">
        <v>10</v>
      </c>
      <c r="BB133">
        <v>64</v>
      </c>
      <c r="BC133">
        <v>43.5</v>
      </c>
      <c r="BD133">
        <v>-14.5</v>
      </c>
      <c r="BE133">
        <v>0</v>
      </c>
      <c r="BF133">
        <v>0</v>
      </c>
      <c r="BG133">
        <v>86.010999999999996</v>
      </c>
      <c r="BH133">
        <v>46.334000000000003</v>
      </c>
      <c r="BI133">
        <v>13.878</v>
      </c>
      <c r="BJ133">
        <v>0</v>
      </c>
      <c r="BK133">
        <v>0</v>
      </c>
      <c r="BL133">
        <v>0</v>
      </c>
      <c r="BM133">
        <v>16.298999999999999</v>
      </c>
      <c r="BN133">
        <v>13.878</v>
      </c>
      <c r="BO133">
        <v>46.334000000000003</v>
      </c>
      <c r="BP133">
        <v>0</v>
      </c>
      <c r="BQ133">
        <v>86.010999999999996</v>
      </c>
      <c r="BR133">
        <v>-16.298999999999999</v>
      </c>
      <c r="BS133">
        <v>0</v>
      </c>
      <c r="BT133">
        <v>0</v>
      </c>
      <c r="BU133">
        <v>0</v>
      </c>
      <c r="BV133">
        <v>2996</v>
      </c>
      <c r="BW133">
        <v>65.843999999999994</v>
      </c>
      <c r="BX133">
        <v>256.71429999999998</v>
      </c>
      <c r="BY133">
        <v>30</v>
      </c>
      <c r="BZ133">
        <v>370</v>
      </c>
      <c r="CA133">
        <v>7.6790000000000003</v>
      </c>
      <c r="CB133">
        <v>789</v>
      </c>
      <c r="CC133">
        <v>103.429</v>
      </c>
      <c r="CD133">
        <v>4.1369999999999996</v>
      </c>
      <c r="CE133">
        <v>4</v>
      </c>
      <c r="CF133">
        <v>3261</v>
      </c>
      <c r="CG133">
        <v>17</v>
      </c>
      <c r="CH133">
        <v>266.57100000000003</v>
      </c>
      <c r="CI133">
        <v>11.663</v>
      </c>
      <c r="CJ133">
        <v>6.577</v>
      </c>
      <c r="CK133">
        <v>16.111000000000001</v>
      </c>
      <c r="CL133">
        <v>0</v>
      </c>
      <c r="CM133">
        <v>26</v>
      </c>
      <c r="CN133">
        <v>0</v>
      </c>
      <c r="CO133">
        <v>90.475999999999999</v>
      </c>
      <c r="CP133">
        <v>71.429000000000002</v>
      </c>
      <c r="CQ133">
        <v>10</v>
      </c>
      <c r="CR133">
        <v>49</v>
      </c>
      <c r="CS133">
        <v>14.2</v>
      </c>
      <c r="CT133">
        <v>22</v>
      </c>
      <c r="CU133">
        <v>11</v>
      </c>
      <c r="CV133">
        <v>0</v>
      </c>
      <c r="CW133">
        <v>17</v>
      </c>
      <c r="CX133">
        <v>175</v>
      </c>
      <c r="CY133">
        <v>22</v>
      </c>
      <c r="CZ133">
        <v>66.667000000000002</v>
      </c>
      <c r="DA133">
        <v>37.661999999999999</v>
      </c>
      <c r="DB133">
        <v>65.239999999999995</v>
      </c>
      <c r="DC133">
        <v>3</v>
      </c>
      <c r="DD133">
        <v>2083</v>
      </c>
      <c r="DE133">
        <v>66.206999999999994</v>
      </c>
      <c r="DF133">
        <v>201.375</v>
      </c>
      <c r="DG133">
        <v>13</v>
      </c>
      <c r="DH133">
        <v>310.25</v>
      </c>
      <c r="DI133">
        <v>5.976</v>
      </c>
      <c r="DJ133">
        <v>779</v>
      </c>
      <c r="DK133">
        <v>93.625</v>
      </c>
      <c r="DL133">
        <v>3.7829999999999999</v>
      </c>
      <c r="DM133">
        <v>3</v>
      </c>
      <c r="DN133">
        <v>2973</v>
      </c>
      <c r="DO133">
        <v>8</v>
      </c>
      <c r="DP133">
        <v>216.625</v>
      </c>
      <c r="DQ133">
        <v>9.0259999999999998</v>
      </c>
      <c r="DR133">
        <v>6.0590000000000002</v>
      </c>
      <c r="DS133">
        <v>4.7779999999999996</v>
      </c>
      <c r="DT133">
        <v>1</v>
      </c>
      <c r="DU133">
        <v>17</v>
      </c>
      <c r="DV133">
        <v>0</v>
      </c>
      <c r="DW133">
        <v>100</v>
      </c>
      <c r="DX133">
        <v>71.429000000000002</v>
      </c>
      <c r="DY133">
        <v>15</v>
      </c>
      <c r="DZ133">
        <v>56</v>
      </c>
      <c r="EA133">
        <v>15.25</v>
      </c>
      <c r="EB133">
        <v>7</v>
      </c>
      <c r="EC133">
        <v>27</v>
      </c>
      <c r="ED133">
        <v>6</v>
      </c>
      <c r="EE133">
        <v>8</v>
      </c>
      <c r="EF133">
        <v>128</v>
      </c>
      <c r="EG133">
        <v>19.125</v>
      </c>
      <c r="EH133">
        <v>33.332999999999998</v>
      </c>
      <c r="EI133">
        <v>38.835000000000001</v>
      </c>
      <c r="EJ133">
        <v>61.22</v>
      </c>
      <c r="EK133">
        <v>-2</v>
      </c>
    </row>
    <row r="134" spans="1:141" x14ac:dyDescent="0.25">
      <c r="A134">
        <v>0</v>
      </c>
      <c r="B134">
        <v>0</v>
      </c>
      <c r="C134">
        <v>0</v>
      </c>
      <c r="D134">
        <v>2025</v>
      </c>
      <c r="E134">
        <v>9</v>
      </c>
      <c r="F134" t="str">
        <f>VLOOKUP(G134, Map!$A$1:$B$33, 2, FALSE)</f>
        <v>BUF</v>
      </c>
      <c r="G134" t="s">
        <v>165</v>
      </c>
      <c r="H134" t="str">
        <f>VLOOKUP(I134, Map!$A$1:$B$33, 2, FALSE)</f>
        <v>KC</v>
      </c>
      <c r="I134" t="s">
        <v>158</v>
      </c>
      <c r="J134">
        <v>0</v>
      </c>
      <c r="K134">
        <v>0</v>
      </c>
      <c r="L134">
        <v>0</v>
      </c>
      <c r="M134">
        <v>0</v>
      </c>
      <c r="N134">
        <v>5</v>
      </c>
      <c r="O134">
        <v>2</v>
      </c>
      <c r="P134">
        <v>20.857143000000001</v>
      </c>
      <c r="Q134">
        <v>29.571428000000001</v>
      </c>
      <c r="R134">
        <v>61</v>
      </c>
      <c r="S134">
        <v>1</v>
      </c>
      <c r="T134">
        <v>0.71428572999999995</v>
      </c>
      <c r="U134">
        <v>2</v>
      </c>
      <c r="V134">
        <v>1</v>
      </c>
      <c r="W134">
        <v>3</v>
      </c>
      <c r="X134">
        <v>1</v>
      </c>
      <c r="Y134">
        <v>2</v>
      </c>
      <c r="Z134">
        <v>1</v>
      </c>
      <c r="AA134">
        <v>3</v>
      </c>
      <c r="AB134">
        <v>1</v>
      </c>
      <c r="AC134">
        <v>14</v>
      </c>
      <c r="AD134">
        <v>4</v>
      </c>
      <c r="AE134">
        <v>8</v>
      </c>
      <c r="AF134">
        <v>9</v>
      </c>
      <c r="AG134">
        <v>68</v>
      </c>
      <c r="AH134">
        <v>0</v>
      </c>
      <c r="AI134">
        <v>5</v>
      </c>
      <c r="AJ134">
        <v>3</v>
      </c>
      <c r="AK134">
        <v>16.375</v>
      </c>
      <c r="AL134">
        <v>26.75</v>
      </c>
      <c r="AM134">
        <v>83</v>
      </c>
      <c r="AN134">
        <v>3</v>
      </c>
      <c r="AO134">
        <v>0.625</v>
      </c>
      <c r="AP134">
        <v>1</v>
      </c>
      <c r="AQ134">
        <v>1</v>
      </c>
      <c r="AR134">
        <v>4</v>
      </c>
      <c r="AS134">
        <v>1</v>
      </c>
      <c r="AT134">
        <v>1</v>
      </c>
      <c r="AU134">
        <v>2</v>
      </c>
      <c r="AV134">
        <v>2</v>
      </c>
      <c r="AW134">
        <v>2</v>
      </c>
      <c r="AX134">
        <v>16</v>
      </c>
      <c r="AY134">
        <v>3</v>
      </c>
      <c r="AZ134">
        <v>7</v>
      </c>
      <c r="BA134">
        <v>11</v>
      </c>
      <c r="BB134">
        <v>65</v>
      </c>
      <c r="BC134">
        <v>52.5</v>
      </c>
      <c r="BD134">
        <v>2.5</v>
      </c>
      <c r="BE134">
        <v>0</v>
      </c>
      <c r="BF134">
        <v>0</v>
      </c>
      <c r="BG134">
        <v>41.433999999999997</v>
      </c>
      <c r="BH134">
        <v>88.965999999999994</v>
      </c>
      <c r="BI134">
        <v>58.234000000000002</v>
      </c>
      <c r="BJ134">
        <v>0</v>
      </c>
      <c r="BK134">
        <v>0</v>
      </c>
      <c r="BL134">
        <v>0</v>
      </c>
      <c r="BM134">
        <v>-2.64</v>
      </c>
      <c r="BN134">
        <v>58.234000000000002</v>
      </c>
      <c r="BO134">
        <v>88.965999999999994</v>
      </c>
      <c r="BP134">
        <v>0</v>
      </c>
      <c r="BQ134">
        <v>41.433999999999997</v>
      </c>
      <c r="BR134">
        <v>2.64</v>
      </c>
      <c r="BS134">
        <v>0</v>
      </c>
      <c r="BT134">
        <v>0</v>
      </c>
      <c r="BU134">
        <v>0</v>
      </c>
      <c r="BV134">
        <v>2334</v>
      </c>
      <c r="BW134">
        <v>67.488</v>
      </c>
      <c r="BX134">
        <v>218.42857000000001</v>
      </c>
      <c r="BY134">
        <v>22</v>
      </c>
      <c r="BZ134">
        <v>395</v>
      </c>
      <c r="CA134">
        <v>7.9509999999999996</v>
      </c>
      <c r="CB134">
        <v>1576</v>
      </c>
      <c r="CC134">
        <v>164.429</v>
      </c>
      <c r="CD134">
        <v>5.2080000000000002</v>
      </c>
      <c r="CE134">
        <v>13</v>
      </c>
      <c r="CF134">
        <v>2719</v>
      </c>
      <c r="CG134">
        <v>12</v>
      </c>
      <c r="CH134">
        <v>230.571</v>
      </c>
      <c r="CI134">
        <v>11.781000000000001</v>
      </c>
      <c r="CJ134">
        <v>5.8639999999999999</v>
      </c>
      <c r="CK134">
        <v>5.35</v>
      </c>
      <c r="CL134">
        <v>0</v>
      </c>
      <c r="CM134">
        <v>22</v>
      </c>
      <c r="CN134">
        <v>0</v>
      </c>
      <c r="CO134">
        <v>95.454999999999998</v>
      </c>
      <c r="CP134">
        <v>92.308000000000007</v>
      </c>
      <c r="CQ134">
        <v>12</v>
      </c>
      <c r="CR134">
        <v>57</v>
      </c>
      <c r="CS134">
        <v>8</v>
      </c>
      <c r="CT134">
        <v>22</v>
      </c>
      <c r="CU134">
        <v>10</v>
      </c>
      <c r="CV134">
        <v>0</v>
      </c>
      <c r="CW134">
        <v>12</v>
      </c>
      <c r="CX134">
        <v>207</v>
      </c>
      <c r="CY134">
        <v>23.143000000000001</v>
      </c>
      <c r="CZ134">
        <v>60</v>
      </c>
      <c r="DA134">
        <v>43.75</v>
      </c>
      <c r="DB134">
        <v>73.47</v>
      </c>
      <c r="DC134">
        <v>2</v>
      </c>
      <c r="DD134">
        <v>3149</v>
      </c>
      <c r="DE134">
        <v>67.021000000000001</v>
      </c>
      <c r="DF134">
        <v>251.75</v>
      </c>
      <c r="DG134">
        <v>25</v>
      </c>
      <c r="DH134">
        <v>388.875</v>
      </c>
      <c r="DI134">
        <v>7.3719999999999999</v>
      </c>
      <c r="DJ134">
        <v>1327</v>
      </c>
      <c r="DK134">
        <v>126.5</v>
      </c>
      <c r="DL134">
        <v>4.4980000000000002</v>
      </c>
      <c r="DM134">
        <v>9</v>
      </c>
      <c r="DN134">
        <v>3639</v>
      </c>
      <c r="DO134">
        <v>17</v>
      </c>
      <c r="DP134">
        <v>262.375</v>
      </c>
      <c r="DQ134">
        <v>11</v>
      </c>
      <c r="DR134">
        <v>4</v>
      </c>
      <c r="DS134">
        <v>3.4</v>
      </c>
      <c r="DT134">
        <v>0</v>
      </c>
      <c r="DU134">
        <v>17</v>
      </c>
      <c r="DV134">
        <v>0</v>
      </c>
      <c r="DW134">
        <v>88</v>
      </c>
      <c r="DX134">
        <v>80</v>
      </c>
      <c r="DY134">
        <v>12</v>
      </c>
      <c r="DZ134">
        <v>58</v>
      </c>
      <c r="EA134">
        <v>8.3330000000000002</v>
      </c>
      <c r="EB134">
        <v>11</v>
      </c>
      <c r="EC134">
        <v>19</v>
      </c>
      <c r="ED134">
        <v>0</v>
      </c>
      <c r="EE134">
        <v>17</v>
      </c>
      <c r="EF134">
        <v>214</v>
      </c>
      <c r="EG134">
        <v>23.625</v>
      </c>
      <c r="EH134">
        <v>82.352999999999994</v>
      </c>
      <c r="EI134">
        <v>44</v>
      </c>
      <c r="EJ134">
        <v>78.150000000000006</v>
      </c>
      <c r="EK134">
        <v>5</v>
      </c>
    </row>
    <row r="135" spans="1:141" x14ac:dyDescent="0.25">
      <c r="A135">
        <v>0</v>
      </c>
      <c r="B135">
        <v>0</v>
      </c>
      <c r="C135">
        <v>0</v>
      </c>
      <c r="D135">
        <v>2025</v>
      </c>
      <c r="E135">
        <v>9</v>
      </c>
      <c r="F135" t="str">
        <f>VLOOKUP(G135, Map!$A$1:$B$33, 2, FALSE)</f>
        <v>WAS</v>
      </c>
      <c r="G135" t="s">
        <v>148</v>
      </c>
      <c r="H135" t="str">
        <f>VLOOKUP(I135, Map!$A$1:$B$33, 2, FALSE)</f>
        <v>SEA</v>
      </c>
      <c r="I135" t="s">
        <v>144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5</v>
      </c>
      <c r="P135">
        <v>24.75</v>
      </c>
      <c r="Q135">
        <v>23.375</v>
      </c>
      <c r="R135">
        <v>-11</v>
      </c>
      <c r="S135">
        <v>-3</v>
      </c>
      <c r="T135">
        <v>0.375</v>
      </c>
      <c r="U135">
        <v>1</v>
      </c>
      <c r="V135">
        <v>1</v>
      </c>
      <c r="W135">
        <v>2</v>
      </c>
      <c r="X135">
        <v>1</v>
      </c>
      <c r="Y135">
        <v>1</v>
      </c>
      <c r="Z135">
        <v>4</v>
      </c>
      <c r="AA135">
        <v>1</v>
      </c>
      <c r="AB135">
        <v>4</v>
      </c>
      <c r="AC135">
        <v>7</v>
      </c>
      <c r="AD135">
        <v>8</v>
      </c>
      <c r="AE135">
        <v>7</v>
      </c>
      <c r="AF135">
        <v>8</v>
      </c>
      <c r="AG135">
        <v>65</v>
      </c>
      <c r="AH135">
        <v>0</v>
      </c>
      <c r="AI135">
        <v>5</v>
      </c>
      <c r="AJ135">
        <v>2</v>
      </c>
      <c r="AK135">
        <v>19.428571999999999</v>
      </c>
      <c r="AL135">
        <v>27.571428000000001</v>
      </c>
      <c r="AM135">
        <v>57</v>
      </c>
      <c r="AN135">
        <v>2</v>
      </c>
      <c r="AO135">
        <v>0.71428572999999995</v>
      </c>
      <c r="AP135">
        <v>1</v>
      </c>
      <c r="AQ135">
        <v>1</v>
      </c>
      <c r="AR135">
        <v>2</v>
      </c>
      <c r="AS135">
        <v>2</v>
      </c>
      <c r="AT135">
        <v>3</v>
      </c>
      <c r="AU135">
        <v>0</v>
      </c>
      <c r="AV135">
        <v>2</v>
      </c>
      <c r="AW135">
        <v>2</v>
      </c>
      <c r="AX135">
        <v>9</v>
      </c>
      <c r="AY135">
        <v>8</v>
      </c>
      <c r="AZ135">
        <v>7</v>
      </c>
      <c r="BA135">
        <v>10</v>
      </c>
      <c r="BB135">
        <v>61</v>
      </c>
      <c r="BC135">
        <v>47.5</v>
      </c>
      <c r="BD135">
        <v>2.5</v>
      </c>
      <c r="BE135">
        <v>0</v>
      </c>
      <c r="BF135">
        <v>0</v>
      </c>
      <c r="BG135">
        <v>56.761000000000003</v>
      </c>
      <c r="BH135">
        <v>63.622999999999998</v>
      </c>
      <c r="BI135">
        <v>42.893999999999998</v>
      </c>
      <c r="BJ135">
        <v>0</v>
      </c>
      <c r="BK135">
        <v>0</v>
      </c>
      <c r="BL135">
        <v>0</v>
      </c>
      <c r="BM135">
        <v>2.3340000000000001</v>
      </c>
      <c r="BN135">
        <v>42.893999999999998</v>
      </c>
      <c r="BO135">
        <v>63.622999999999998</v>
      </c>
      <c r="BP135">
        <v>0</v>
      </c>
      <c r="BQ135">
        <v>56.761000000000003</v>
      </c>
      <c r="BR135">
        <v>-2.3340000000000001</v>
      </c>
      <c r="BS135">
        <v>0</v>
      </c>
      <c r="BT135">
        <v>0</v>
      </c>
      <c r="BU135">
        <v>0</v>
      </c>
      <c r="BV135">
        <v>2360</v>
      </c>
      <c r="BW135">
        <v>61.966000000000001</v>
      </c>
      <c r="BX135">
        <v>196.625</v>
      </c>
      <c r="BY135">
        <v>20</v>
      </c>
      <c r="BZ135">
        <v>346.5</v>
      </c>
      <c r="CA135">
        <v>7.1369999999999996</v>
      </c>
      <c r="CB135">
        <v>1342</v>
      </c>
      <c r="CC135">
        <v>137.75</v>
      </c>
      <c r="CD135">
        <v>5.1980000000000004</v>
      </c>
      <c r="CE135">
        <v>9</v>
      </c>
      <c r="CF135">
        <v>2815</v>
      </c>
      <c r="CG135">
        <v>12</v>
      </c>
      <c r="CH135">
        <v>208.75</v>
      </c>
      <c r="CI135">
        <v>11.516999999999999</v>
      </c>
      <c r="CJ135">
        <v>6.1360000000000001</v>
      </c>
      <c r="CK135">
        <v>5.9470000000000001</v>
      </c>
      <c r="CL135">
        <v>1</v>
      </c>
      <c r="CM135">
        <v>22</v>
      </c>
      <c r="CN135">
        <v>0</v>
      </c>
      <c r="CO135">
        <v>100</v>
      </c>
      <c r="CP135">
        <v>71.429000000000002</v>
      </c>
      <c r="CQ135">
        <v>10</v>
      </c>
      <c r="CR135">
        <v>49</v>
      </c>
      <c r="CS135">
        <v>4</v>
      </c>
      <c r="CT135">
        <v>25</v>
      </c>
      <c r="CU135">
        <v>11</v>
      </c>
      <c r="CV135">
        <v>8</v>
      </c>
      <c r="CW135">
        <v>12</v>
      </c>
      <c r="CX135">
        <v>187</v>
      </c>
      <c r="CY135">
        <v>18.75</v>
      </c>
      <c r="CZ135">
        <v>45.454999999999998</v>
      </c>
      <c r="DA135">
        <v>38.636000000000003</v>
      </c>
      <c r="DB135">
        <v>79.290000000000006</v>
      </c>
      <c r="DC135">
        <v>-5</v>
      </c>
      <c r="DD135">
        <v>2459</v>
      </c>
      <c r="DE135">
        <v>67.856999999999999</v>
      </c>
      <c r="DF135">
        <v>244.42857000000001</v>
      </c>
      <c r="DG135">
        <v>27</v>
      </c>
      <c r="DH135">
        <v>358.85714999999999</v>
      </c>
      <c r="DI135">
        <v>9.0259999999999998</v>
      </c>
      <c r="DJ135">
        <v>918</v>
      </c>
      <c r="DK135">
        <v>106.143</v>
      </c>
      <c r="DL135">
        <v>3.6779999999999999</v>
      </c>
      <c r="DM135">
        <v>8</v>
      </c>
      <c r="DN135">
        <v>2854</v>
      </c>
      <c r="DO135">
        <v>12</v>
      </c>
      <c r="DP135">
        <v>252.714</v>
      </c>
      <c r="DQ135">
        <v>13.301</v>
      </c>
      <c r="DR135">
        <v>7.1740000000000004</v>
      </c>
      <c r="DS135">
        <v>7.8890000000000002</v>
      </c>
      <c r="DT135">
        <v>2</v>
      </c>
      <c r="DU135">
        <v>23</v>
      </c>
      <c r="DV135">
        <v>0</v>
      </c>
      <c r="DW135">
        <v>100</v>
      </c>
      <c r="DX135">
        <v>76.471000000000004</v>
      </c>
      <c r="DY135">
        <v>13</v>
      </c>
      <c r="DZ135">
        <v>61</v>
      </c>
      <c r="EA135">
        <v>11</v>
      </c>
      <c r="EB135">
        <v>10</v>
      </c>
      <c r="EC135">
        <v>26</v>
      </c>
      <c r="ED135">
        <v>6</v>
      </c>
      <c r="EE135">
        <v>12</v>
      </c>
      <c r="EF135">
        <v>193</v>
      </c>
      <c r="EG135">
        <v>19.428999999999998</v>
      </c>
      <c r="EH135">
        <v>66.667000000000002</v>
      </c>
      <c r="EI135">
        <v>33.332999999999998</v>
      </c>
      <c r="EJ135">
        <v>76.569999999999993</v>
      </c>
      <c r="EK135">
        <v>-4</v>
      </c>
    </row>
    <row r="136" spans="1:141" x14ac:dyDescent="0.25">
      <c r="A136">
        <v>0</v>
      </c>
      <c r="B136">
        <v>0</v>
      </c>
      <c r="C136">
        <v>0</v>
      </c>
      <c r="D136">
        <v>2025</v>
      </c>
      <c r="E136">
        <v>9</v>
      </c>
      <c r="F136" t="str">
        <f>VLOOKUP(G136, Map!$A$1:$B$33, 2, FALSE)</f>
        <v>DAL</v>
      </c>
      <c r="G136" t="s">
        <v>150</v>
      </c>
      <c r="H136" t="str">
        <f>VLOOKUP(I136, Map!$A$1:$B$33, 2, FALSE)</f>
        <v>ARI</v>
      </c>
      <c r="I136" t="s">
        <v>156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4</v>
      </c>
      <c r="P136">
        <v>31.25</v>
      </c>
      <c r="Q136">
        <v>30.75</v>
      </c>
      <c r="R136">
        <v>-4</v>
      </c>
      <c r="S136">
        <v>-1</v>
      </c>
      <c r="T136">
        <v>0.4375</v>
      </c>
      <c r="U136">
        <v>2</v>
      </c>
      <c r="V136">
        <v>1</v>
      </c>
      <c r="W136">
        <v>2</v>
      </c>
      <c r="X136">
        <v>0</v>
      </c>
      <c r="Y136">
        <v>1</v>
      </c>
      <c r="Z136">
        <v>4</v>
      </c>
      <c r="AA136">
        <v>2</v>
      </c>
      <c r="AB136">
        <v>3</v>
      </c>
      <c r="AC136">
        <v>13</v>
      </c>
      <c r="AD136">
        <v>5</v>
      </c>
      <c r="AE136">
        <v>11</v>
      </c>
      <c r="AF136">
        <v>7</v>
      </c>
      <c r="AG136">
        <v>68</v>
      </c>
      <c r="AH136">
        <v>0</v>
      </c>
      <c r="AI136">
        <v>2</v>
      </c>
      <c r="AJ136">
        <v>5</v>
      </c>
      <c r="AK136">
        <v>22</v>
      </c>
      <c r="AL136">
        <v>21.857143000000001</v>
      </c>
      <c r="AM136">
        <v>-1</v>
      </c>
      <c r="AN136">
        <v>-5</v>
      </c>
      <c r="AO136">
        <v>0.28571429999999998</v>
      </c>
      <c r="AP136">
        <v>0</v>
      </c>
      <c r="AQ136">
        <v>2</v>
      </c>
      <c r="AR136">
        <v>1</v>
      </c>
      <c r="AS136">
        <v>3</v>
      </c>
      <c r="AT136">
        <v>1</v>
      </c>
      <c r="AU136">
        <v>2</v>
      </c>
      <c r="AV136">
        <v>2</v>
      </c>
      <c r="AW136">
        <v>3</v>
      </c>
      <c r="AX136">
        <v>4</v>
      </c>
      <c r="AY136">
        <v>12</v>
      </c>
      <c r="AZ136">
        <v>8</v>
      </c>
      <c r="BA136">
        <v>8</v>
      </c>
      <c r="BB136">
        <v>69</v>
      </c>
      <c r="BC136">
        <v>53.5</v>
      </c>
      <c r="BD136">
        <v>-2.5</v>
      </c>
      <c r="BE136">
        <v>0</v>
      </c>
      <c r="BF136">
        <v>0</v>
      </c>
      <c r="BG136">
        <v>61.112000000000002</v>
      </c>
      <c r="BH136">
        <v>54.183</v>
      </c>
      <c r="BI136">
        <v>38.578000000000003</v>
      </c>
      <c r="BJ136">
        <v>0</v>
      </c>
      <c r="BK136">
        <v>0</v>
      </c>
      <c r="BL136">
        <v>0</v>
      </c>
      <c r="BM136">
        <v>4.2149999999999999</v>
      </c>
      <c r="BN136">
        <v>38.578000000000003</v>
      </c>
      <c r="BO136">
        <v>54.183</v>
      </c>
      <c r="BP136">
        <v>0</v>
      </c>
      <c r="BQ136">
        <v>61.112000000000002</v>
      </c>
      <c r="BR136">
        <v>-4.2149999999999999</v>
      </c>
      <c r="BS136">
        <v>0</v>
      </c>
      <c r="BT136">
        <v>0</v>
      </c>
      <c r="BU136">
        <v>0</v>
      </c>
      <c r="BV136">
        <v>3160</v>
      </c>
      <c r="BW136">
        <v>70.233999999999995</v>
      </c>
      <c r="BX136">
        <v>263.75</v>
      </c>
      <c r="BY136">
        <v>25</v>
      </c>
      <c r="BZ136">
        <v>391.375</v>
      </c>
      <c r="CA136">
        <v>7.1909999999999998</v>
      </c>
      <c r="CB136">
        <v>1283</v>
      </c>
      <c r="CC136">
        <v>120.375</v>
      </c>
      <c r="CD136">
        <v>4.6749999999999998</v>
      </c>
      <c r="CE136">
        <v>10</v>
      </c>
      <c r="CF136">
        <v>3813</v>
      </c>
      <c r="CG136">
        <v>17</v>
      </c>
      <c r="CH136">
        <v>271</v>
      </c>
      <c r="CI136">
        <v>10.238</v>
      </c>
      <c r="CJ136">
        <v>7.7329999999999997</v>
      </c>
      <c r="CK136">
        <v>4.8099999999999996</v>
      </c>
      <c r="CL136">
        <v>1</v>
      </c>
      <c r="CM136">
        <v>15</v>
      </c>
      <c r="CN136">
        <v>0</v>
      </c>
      <c r="CO136">
        <v>96.296000000000006</v>
      </c>
      <c r="CP136">
        <v>100</v>
      </c>
      <c r="CQ136">
        <v>16</v>
      </c>
      <c r="CR136">
        <v>74</v>
      </c>
      <c r="CS136">
        <v>10</v>
      </c>
      <c r="CT136">
        <v>28</v>
      </c>
      <c r="CU136">
        <v>11</v>
      </c>
      <c r="CV136">
        <v>6</v>
      </c>
      <c r="CW136">
        <v>17</v>
      </c>
      <c r="CX136">
        <v>246</v>
      </c>
      <c r="CY136">
        <v>23.125</v>
      </c>
      <c r="CZ136">
        <v>77.778000000000006</v>
      </c>
      <c r="DA136">
        <v>43.158000000000001</v>
      </c>
      <c r="DB136">
        <v>74.19</v>
      </c>
      <c r="DC136">
        <v>-1</v>
      </c>
      <c r="DD136">
        <v>2113</v>
      </c>
      <c r="DE136">
        <v>66.941999999999993</v>
      </c>
      <c r="DF136">
        <v>199.85714999999999</v>
      </c>
      <c r="DG136">
        <v>18</v>
      </c>
      <c r="DH136">
        <v>333.42856</v>
      </c>
      <c r="DI136">
        <v>6.335</v>
      </c>
      <c r="DJ136">
        <v>888</v>
      </c>
      <c r="DK136">
        <v>110.429</v>
      </c>
      <c r="DL136">
        <v>4.4169999999999998</v>
      </c>
      <c r="DM136">
        <v>5</v>
      </c>
      <c r="DN136">
        <v>2721</v>
      </c>
      <c r="DO136">
        <v>10</v>
      </c>
      <c r="DP136">
        <v>223</v>
      </c>
      <c r="DQ136">
        <v>9.4629999999999992</v>
      </c>
      <c r="DR136">
        <v>6.6669999999999998</v>
      </c>
      <c r="DS136">
        <v>3.238</v>
      </c>
      <c r="DT136">
        <v>1</v>
      </c>
      <c r="DU136">
        <v>12</v>
      </c>
      <c r="DV136">
        <v>0</v>
      </c>
      <c r="DW136">
        <v>100</v>
      </c>
      <c r="DX136">
        <v>86.667000000000002</v>
      </c>
      <c r="DY136">
        <v>13</v>
      </c>
      <c r="DZ136">
        <v>55</v>
      </c>
      <c r="EA136">
        <v>8.25</v>
      </c>
      <c r="EB136">
        <v>9</v>
      </c>
      <c r="EC136">
        <v>25</v>
      </c>
      <c r="ED136">
        <v>8</v>
      </c>
      <c r="EE136">
        <v>10</v>
      </c>
      <c r="EF136">
        <v>153</v>
      </c>
      <c r="EG136">
        <v>19</v>
      </c>
      <c r="EH136">
        <v>57.143000000000001</v>
      </c>
      <c r="EI136">
        <v>44.792000000000002</v>
      </c>
      <c r="EJ136">
        <v>63.49</v>
      </c>
      <c r="EK136">
        <v>-1</v>
      </c>
    </row>
    <row r="137" spans="1:141" x14ac:dyDescent="0.25">
      <c r="A137">
        <v>0</v>
      </c>
      <c r="B137">
        <v>0</v>
      </c>
      <c r="C137">
        <v>0</v>
      </c>
      <c r="D137">
        <v>2025</v>
      </c>
      <c r="E137">
        <v>10</v>
      </c>
      <c r="F137" t="str">
        <f>VLOOKUP(G137, Map!$A$1:$B$33, 2, FALSE)</f>
        <v>DEN</v>
      </c>
      <c r="G137" t="s">
        <v>159</v>
      </c>
      <c r="H137" t="str">
        <f>VLOOKUP(I137, Map!$A$1:$B$33, 2, FALSE)</f>
        <v>LV</v>
      </c>
      <c r="I137" t="s">
        <v>157</v>
      </c>
      <c r="J137">
        <v>0</v>
      </c>
      <c r="K137">
        <v>0</v>
      </c>
      <c r="L137">
        <v>0</v>
      </c>
      <c r="M137">
        <v>0</v>
      </c>
      <c r="N137">
        <v>6</v>
      </c>
      <c r="O137">
        <v>2</v>
      </c>
      <c r="P137">
        <v>18.875</v>
      </c>
      <c r="Q137">
        <v>25.875</v>
      </c>
      <c r="R137">
        <v>56</v>
      </c>
      <c r="S137">
        <v>5</v>
      </c>
      <c r="T137">
        <v>0.75</v>
      </c>
      <c r="U137">
        <v>0</v>
      </c>
      <c r="V137">
        <v>1</v>
      </c>
      <c r="W137">
        <v>4</v>
      </c>
      <c r="X137">
        <v>0</v>
      </c>
      <c r="Y137">
        <v>2</v>
      </c>
      <c r="Z137">
        <v>2</v>
      </c>
      <c r="AA137">
        <v>3</v>
      </c>
      <c r="AB137">
        <v>2</v>
      </c>
      <c r="AC137">
        <v>4</v>
      </c>
      <c r="AD137">
        <v>12</v>
      </c>
      <c r="AE137">
        <v>7</v>
      </c>
      <c r="AF137">
        <v>9</v>
      </c>
      <c r="AG137">
        <v>63</v>
      </c>
      <c r="AH137">
        <v>0</v>
      </c>
      <c r="AI137">
        <v>2</v>
      </c>
      <c r="AJ137">
        <v>5</v>
      </c>
      <c r="AK137">
        <v>25.714285</v>
      </c>
      <c r="AL137">
        <v>14.714286</v>
      </c>
      <c r="AM137">
        <v>-77</v>
      </c>
      <c r="AN137">
        <v>-1</v>
      </c>
      <c r="AO137">
        <v>0.28571429999999998</v>
      </c>
      <c r="AP137">
        <v>0</v>
      </c>
      <c r="AQ137">
        <v>2</v>
      </c>
      <c r="AR137">
        <v>1</v>
      </c>
      <c r="AS137">
        <v>2</v>
      </c>
      <c r="AT137">
        <v>1</v>
      </c>
      <c r="AU137">
        <v>3</v>
      </c>
      <c r="AV137">
        <v>2</v>
      </c>
      <c r="AW137">
        <v>3</v>
      </c>
      <c r="AX137">
        <v>6</v>
      </c>
      <c r="AY137">
        <v>10</v>
      </c>
      <c r="AZ137">
        <v>8</v>
      </c>
      <c r="BA137">
        <v>8</v>
      </c>
      <c r="BB137">
        <v>56</v>
      </c>
      <c r="BC137">
        <v>0</v>
      </c>
      <c r="BD137">
        <v>0</v>
      </c>
      <c r="BE137">
        <v>0</v>
      </c>
      <c r="BF137">
        <v>0</v>
      </c>
      <c r="BG137">
        <v>76.084999999999994</v>
      </c>
      <c r="BH137">
        <v>47.697000000000003</v>
      </c>
      <c r="BI137">
        <v>23.725000000000001</v>
      </c>
      <c r="BJ137">
        <v>0</v>
      </c>
      <c r="BK137">
        <v>0</v>
      </c>
      <c r="BL137">
        <v>0</v>
      </c>
      <c r="BM137">
        <v>10.449</v>
      </c>
      <c r="BN137">
        <v>23.725000000000001</v>
      </c>
      <c r="BO137">
        <v>47.697000000000003</v>
      </c>
      <c r="BP137">
        <v>0</v>
      </c>
      <c r="BQ137">
        <v>76.084999999999994</v>
      </c>
      <c r="BR137">
        <v>-10.449</v>
      </c>
      <c r="BS137">
        <v>0</v>
      </c>
      <c r="BT137">
        <v>0</v>
      </c>
      <c r="BU137">
        <v>0</v>
      </c>
      <c r="BV137">
        <v>2703</v>
      </c>
      <c r="BW137">
        <v>62.807000000000002</v>
      </c>
      <c r="BX137">
        <v>219.125</v>
      </c>
      <c r="BY137">
        <v>22</v>
      </c>
      <c r="BZ137">
        <v>363.125</v>
      </c>
      <c r="CA137">
        <v>6.3259999999999996</v>
      </c>
      <c r="CB137">
        <v>1407</v>
      </c>
      <c r="CC137">
        <v>137.75</v>
      </c>
      <c r="CD137">
        <v>5.0090000000000003</v>
      </c>
      <c r="CE137">
        <v>10</v>
      </c>
      <c r="CF137">
        <v>3223</v>
      </c>
      <c r="CG137">
        <v>15</v>
      </c>
      <c r="CH137">
        <v>225.375</v>
      </c>
      <c r="CI137">
        <v>10.073</v>
      </c>
      <c r="CJ137">
        <v>6.0279999999999996</v>
      </c>
      <c r="CK137">
        <v>90.5</v>
      </c>
      <c r="CL137">
        <v>0</v>
      </c>
      <c r="CM137">
        <v>36</v>
      </c>
      <c r="CN137">
        <v>0</v>
      </c>
      <c r="CO137">
        <v>100</v>
      </c>
      <c r="CP137">
        <v>90.909000000000006</v>
      </c>
      <c r="CQ137">
        <v>10</v>
      </c>
      <c r="CR137">
        <v>51</v>
      </c>
      <c r="CS137">
        <v>10.467000000000001</v>
      </c>
      <c r="CT137">
        <v>38</v>
      </c>
      <c r="CU137">
        <v>18</v>
      </c>
      <c r="CV137">
        <v>0</v>
      </c>
      <c r="CW137">
        <v>15</v>
      </c>
      <c r="CX137">
        <v>207</v>
      </c>
      <c r="CY137">
        <v>20.75</v>
      </c>
      <c r="CZ137">
        <v>50</v>
      </c>
      <c r="DA137">
        <v>37.863999999999997</v>
      </c>
      <c r="DB137">
        <v>73.02</v>
      </c>
      <c r="DC137">
        <v>-1</v>
      </c>
      <c r="DD137">
        <v>1570</v>
      </c>
      <c r="DE137">
        <v>66.176000000000002</v>
      </c>
      <c r="DF137">
        <v>182.71428</v>
      </c>
      <c r="DG137">
        <v>19</v>
      </c>
      <c r="DH137">
        <v>297.28570000000002</v>
      </c>
      <c r="DI137">
        <v>6.7649999999999997</v>
      </c>
      <c r="DJ137">
        <v>731</v>
      </c>
      <c r="DK137">
        <v>93.713999999999999</v>
      </c>
      <c r="DL137">
        <v>3.859</v>
      </c>
      <c r="DM137">
        <v>3</v>
      </c>
      <c r="DN137">
        <v>2345</v>
      </c>
      <c r="DO137">
        <v>7</v>
      </c>
      <c r="DP137">
        <v>203.571</v>
      </c>
      <c r="DQ137">
        <v>10.222</v>
      </c>
      <c r="DR137">
        <v>6.7329999999999997</v>
      </c>
      <c r="DS137">
        <v>3.0710000000000002</v>
      </c>
      <c r="DT137">
        <v>0</v>
      </c>
      <c r="DU137">
        <v>15</v>
      </c>
      <c r="DV137">
        <v>0</v>
      </c>
      <c r="DW137">
        <v>100</v>
      </c>
      <c r="DX137">
        <v>78.570999999999998</v>
      </c>
      <c r="DY137">
        <v>11</v>
      </c>
      <c r="DZ137">
        <v>41</v>
      </c>
      <c r="EA137">
        <v>15.333</v>
      </c>
      <c r="EB137">
        <v>8</v>
      </c>
      <c r="EC137">
        <v>26</v>
      </c>
      <c r="ED137">
        <v>0</v>
      </c>
      <c r="EE137">
        <v>7</v>
      </c>
      <c r="EF137">
        <v>103</v>
      </c>
      <c r="EG137">
        <v>15.856999999999999</v>
      </c>
      <c r="EH137">
        <v>45.454999999999998</v>
      </c>
      <c r="EI137">
        <v>37.930999999999997</v>
      </c>
      <c r="EJ137">
        <v>53.17</v>
      </c>
      <c r="EK137">
        <v>-5</v>
      </c>
    </row>
    <row r="138" spans="1:141" x14ac:dyDescent="0.25">
      <c r="A138">
        <v>0</v>
      </c>
      <c r="B138">
        <v>0</v>
      </c>
      <c r="C138">
        <v>0</v>
      </c>
      <c r="D138">
        <v>2025</v>
      </c>
      <c r="E138">
        <v>10</v>
      </c>
      <c r="F138" t="str">
        <f>VLOOKUP(G138, Map!$A$1:$B$33, 2, FALSE)</f>
        <v>IND</v>
      </c>
      <c r="G138" t="s">
        <v>138</v>
      </c>
      <c r="H138" t="str">
        <f>VLOOKUP(I138, Map!$A$1:$B$33, 2, FALSE)</f>
        <v>ATL</v>
      </c>
      <c r="I138" t="s">
        <v>167</v>
      </c>
      <c r="J138">
        <v>0</v>
      </c>
      <c r="K138">
        <v>0</v>
      </c>
      <c r="L138">
        <v>0</v>
      </c>
      <c r="M138">
        <v>0</v>
      </c>
      <c r="N138">
        <v>7</v>
      </c>
      <c r="O138">
        <v>1</v>
      </c>
      <c r="P138">
        <v>19.25</v>
      </c>
      <c r="Q138">
        <v>33.75</v>
      </c>
      <c r="R138">
        <v>116</v>
      </c>
      <c r="S138">
        <v>4</v>
      </c>
      <c r="T138">
        <v>0.875</v>
      </c>
      <c r="U138">
        <v>2</v>
      </c>
      <c r="V138">
        <v>0</v>
      </c>
      <c r="W138">
        <v>5</v>
      </c>
      <c r="X138">
        <v>0</v>
      </c>
      <c r="Y138">
        <v>2</v>
      </c>
      <c r="Z138">
        <v>1</v>
      </c>
      <c r="AA138">
        <v>6</v>
      </c>
      <c r="AB138">
        <v>0</v>
      </c>
      <c r="AC138">
        <v>4</v>
      </c>
      <c r="AD138">
        <v>12</v>
      </c>
      <c r="AE138">
        <v>6</v>
      </c>
      <c r="AF138">
        <v>11</v>
      </c>
      <c r="AG138">
        <v>68</v>
      </c>
      <c r="AH138">
        <v>0</v>
      </c>
      <c r="AI138">
        <v>3</v>
      </c>
      <c r="AJ138">
        <v>4</v>
      </c>
      <c r="AK138">
        <v>22</v>
      </c>
      <c r="AL138">
        <v>17.142856999999999</v>
      </c>
      <c r="AM138">
        <v>-34</v>
      </c>
      <c r="AN138">
        <v>-2</v>
      </c>
      <c r="AO138">
        <v>0.42857142999999998</v>
      </c>
      <c r="AP138">
        <v>0</v>
      </c>
      <c r="AQ138">
        <v>2</v>
      </c>
      <c r="AR138">
        <v>2</v>
      </c>
      <c r="AS138">
        <v>2</v>
      </c>
      <c r="AT138">
        <v>1</v>
      </c>
      <c r="AU138">
        <v>2</v>
      </c>
      <c r="AV138">
        <v>2</v>
      </c>
      <c r="AW138">
        <v>3</v>
      </c>
      <c r="AX138">
        <v>7</v>
      </c>
      <c r="AY138">
        <v>10</v>
      </c>
      <c r="AZ138">
        <v>9</v>
      </c>
      <c r="BA138">
        <v>8</v>
      </c>
      <c r="BB138">
        <v>64</v>
      </c>
      <c r="BC138">
        <v>0</v>
      </c>
      <c r="BD138">
        <v>0</v>
      </c>
      <c r="BE138">
        <v>0</v>
      </c>
      <c r="BF138">
        <v>0</v>
      </c>
      <c r="BG138">
        <v>70.382000000000005</v>
      </c>
      <c r="BH138">
        <v>56.865000000000002</v>
      </c>
      <c r="BI138">
        <v>29.382000000000001</v>
      </c>
      <c r="BJ138">
        <v>0</v>
      </c>
      <c r="BK138">
        <v>0</v>
      </c>
      <c r="BL138">
        <v>0</v>
      </c>
      <c r="BM138">
        <v>8.1890000000000001</v>
      </c>
      <c r="BN138">
        <v>29.382000000000001</v>
      </c>
      <c r="BO138">
        <v>56.865000000000002</v>
      </c>
      <c r="BP138">
        <v>0</v>
      </c>
      <c r="BQ138">
        <v>70.382000000000005</v>
      </c>
      <c r="BR138">
        <v>-8.1890000000000001</v>
      </c>
      <c r="BS138">
        <v>0</v>
      </c>
      <c r="BT138">
        <v>0</v>
      </c>
      <c r="BU138">
        <v>0</v>
      </c>
      <c r="BV138">
        <v>2891</v>
      </c>
      <c r="BW138">
        <v>70.161000000000001</v>
      </c>
      <c r="BX138">
        <v>250.875</v>
      </c>
      <c r="BY138">
        <v>23</v>
      </c>
      <c r="BZ138">
        <v>393.25</v>
      </c>
      <c r="CA138">
        <v>8.3510000000000009</v>
      </c>
      <c r="CB138">
        <v>1690</v>
      </c>
      <c r="CC138">
        <v>134.375</v>
      </c>
      <c r="CD138">
        <v>5.0229999999999997</v>
      </c>
      <c r="CE138">
        <v>18</v>
      </c>
      <c r="CF138">
        <v>3396</v>
      </c>
      <c r="CG138">
        <v>13</v>
      </c>
      <c r="CH138">
        <v>258.875</v>
      </c>
      <c r="CI138">
        <v>11.901999999999999</v>
      </c>
      <c r="CJ138">
        <v>6.8259999999999996</v>
      </c>
      <c r="CK138">
        <v>6.0910000000000002</v>
      </c>
      <c r="CL138">
        <v>1</v>
      </c>
      <c r="CM138">
        <v>23</v>
      </c>
      <c r="CN138">
        <v>0</v>
      </c>
      <c r="CO138">
        <v>96.296000000000006</v>
      </c>
      <c r="CP138">
        <v>94.117999999999995</v>
      </c>
      <c r="CQ138">
        <v>16</v>
      </c>
      <c r="CR138">
        <v>74</v>
      </c>
      <c r="CS138">
        <v>4.25</v>
      </c>
      <c r="CT138">
        <v>16</v>
      </c>
      <c r="CU138">
        <v>8</v>
      </c>
      <c r="CV138">
        <v>6</v>
      </c>
      <c r="CW138">
        <v>13</v>
      </c>
      <c r="CX138">
        <v>270</v>
      </c>
      <c r="CY138">
        <v>23.25</v>
      </c>
      <c r="CZ138">
        <v>83.332999999999998</v>
      </c>
      <c r="DA138">
        <v>45.348999999999997</v>
      </c>
      <c r="DB138">
        <v>77.069999999999993</v>
      </c>
      <c r="DC138">
        <v>8</v>
      </c>
      <c r="DD138">
        <v>1871</v>
      </c>
      <c r="DE138">
        <v>62.231999999999999</v>
      </c>
      <c r="DF138">
        <v>219.42857000000001</v>
      </c>
      <c r="DG138">
        <v>19</v>
      </c>
      <c r="DH138">
        <v>353.42856</v>
      </c>
      <c r="DI138">
        <v>6.9139999999999997</v>
      </c>
      <c r="DJ138">
        <v>1048</v>
      </c>
      <c r="DK138">
        <v>123.286</v>
      </c>
      <c r="DL138">
        <v>4.4029999999999996</v>
      </c>
      <c r="DM138">
        <v>7</v>
      </c>
      <c r="DN138">
        <v>2511</v>
      </c>
      <c r="DO138">
        <v>5</v>
      </c>
      <c r="DP138">
        <v>230.143</v>
      </c>
      <c r="DQ138">
        <v>11.11</v>
      </c>
      <c r="DR138">
        <v>5.9379999999999997</v>
      </c>
      <c r="DS138">
        <v>5.6429999999999998</v>
      </c>
      <c r="DT138">
        <v>0</v>
      </c>
      <c r="DU138">
        <v>16</v>
      </c>
      <c r="DV138">
        <v>0</v>
      </c>
      <c r="DW138">
        <v>100</v>
      </c>
      <c r="DX138">
        <v>75</v>
      </c>
      <c r="DY138">
        <v>12</v>
      </c>
      <c r="DZ138">
        <v>48</v>
      </c>
      <c r="EA138">
        <v>7.5380000000000003</v>
      </c>
      <c r="EB138">
        <v>9</v>
      </c>
      <c r="EC138">
        <v>22</v>
      </c>
      <c r="ED138">
        <v>0</v>
      </c>
      <c r="EE138">
        <v>5</v>
      </c>
      <c r="EF138">
        <v>120</v>
      </c>
      <c r="EG138">
        <v>19.286000000000001</v>
      </c>
      <c r="EH138">
        <v>40</v>
      </c>
      <c r="EI138">
        <v>39.326000000000001</v>
      </c>
      <c r="EJ138">
        <v>57.86</v>
      </c>
      <c r="EK138">
        <v>2</v>
      </c>
    </row>
    <row r="139" spans="1:141" x14ac:dyDescent="0.25">
      <c r="A139">
        <v>0</v>
      </c>
      <c r="B139">
        <v>0</v>
      </c>
      <c r="C139">
        <v>0</v>
      </c>
      <c r="D139">
        <v>2025</v>
      </c>
      <c r="E139">
        <v>10</v>
      </c>
      <c r="F139" t="str">
        <f>VLOOKUP(G139, Map!$A$1:$B$33, 2, FALSE)</f>
        <v>CHI</v>
      </c>
      <c r="G139" t="s">
        <v>163</v>
      </c>
      <c r="H139" t="str">
        <f>VLOOKUP(I139, Map!$A$1:$B$33, 2, FALSE)</f>
        <v>NYG</v>
      </c>
      <c r="I139" t="s">
        <v>149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3</v>
      </c>
      <c r="P139">
        <v>26.428571999999999</v>
      </c>
      <c r="Q139">
        <v>24</v>
      </c>
      <c r="R139">
        <v>-17</v>
      </c>
      <c r="S139">
        <v>-1</v>
      </c>
      <c r="T139">
        <v>0.57142859999999995</v>
      </c>
      <c r="U139">
        <v>0</v>
      </c>
      <c r="V139">
        <v>2</v>
      </c>
      <c r="W139">
        <v>2</v>
      </c>
      <c r="X139">
        <v>1</v>
      </c>
      <c r="Y139">
        <v>2</v>
      </c>
      <c r="Z139">
        <v>2</v>
      </c>
      <c r="AA139">
        <v>3</v>
      </c>
      <c r="AB139">
        <v>2</v>
      </c>
      <c r="AC139">
        <v>3</v>
      </c>
      <c r="AD139">
        <v>14</v>
      </c>
      <c r="AE139">
        <v>5</v>
      </c>
      <c r="AF139">
        <v>11</v>
      </c>
      <c r="AG139">
        <v>61</v>
      </c>
      <c r="AH139">
        <v>0</v>
      </c>
      <c r="AI139">
        <v>2</v>
      </c>
      <c r="AJ139">
        <v>6</v>
      </c>
      <c r="AK139">
        <v>26.875</v>
      </c>
      <c r="AL139">
        <v>21.625</v>
      </c>
      <c r="AM139">
        <v>-42</v>
      </c>
      <c r="AN139">
        <v>-2</v>
      </c>
      <c r="AO139">
        <v>0.25</v>
      </c>
      <c r="AP139">
        <v>1</v>
      </c>
      <c r="AQ139">
        <v>3</v>
      </c>
      <c r="AR139">
        <v>2</v>
      </c>
      <c r="AS139">
        <v>1</v>
      </c>
      <c r="AT139">
        <v>0</v>
      </c>
      <c r="AU139">
        <v>5</v>
      </c>
      <c r="AV139">
        <v>1</v>
      </c>
      <c r="AW139">
        <v>4</v>
      </c>
      <c r="AX139">
        <v>10</v>
      </c>
      <c r="AY139">
        <v>7</v>
      </c>
      <c r="AZ139">
        <v>14</v>
      </c>
      <c r="BA139">
        <v>4</v>
      </c>
      <c r="BB139">
        <v>67</v>
      </c>
      <c r="BC139">
        <v>0</v>
      </c>
      <c r="BD139">
        <v>0</v>
      </c>
      <c r="BE139">
        <v>0</v>
      </c>
      <c r="BF139">
        <v>0</v>
      </c>
      <c r="BG139">
        <v>48.697000000000003</v>
      </c>
      <c r="BH139">
        <v>39.329000000000001</v>
      </c>
      <c r="BI139">
        <v>50.911000000000001</v>
      </c>
      <c r="BJ139">
        <v>0</v>
      </c>
      <c r="BK139">
        <v>0</v>
      </c>
      <c r="BL139">
        <v>0</v>
      </c>
      <c r="BM139">
        <v>-0.51900000000000002</v>
      </c>
      <c r="BN139">
        <v>50.911000000000001</v>
      </c>
      <c r="BO139">
        <v>39.329000000000001</v>
      </c>
      <c r="BP139">
        <v>0</v>
      </c>
      <c r="BQ139">
        <v>48.697000000000003</v>
      </c>
      <c r="BR139">
        <v>0.51900000000000002</v>
      </c>
      <c r="BS139">
        <v>0</v>
      </c>
      <c r="BT139">
        <v>0</v>
      </c>
      <c r="BU139">
        <v>0</v>
      </c>
      <c r="BV139">
        <v>2157</v>
      </c>
      <c r="BW139">
        <v>61.947000000000003</v>
      </c>
      <c r="BX139">
        <v>225.57142999999999</v>
      </c>
      <c r="BY139">
        <v>26</v>
      </c>
      <c r="BZ139">
        <v>362.14285000000001</v>
      </c>
      <c r="CA139">
        <v>7.2880000000000003</v>
      </c>
      <c r="CB139">
        <v>1087</v>
      </c>
      <c r="CC139">
        <v>124.571</v>
      </c>
      <c r="CD139">
        <v>4.4039999999999999</v>
      </c>
      <c r="CE139">
        <v>7</v>
      </c>
      <c r="CF139">
        <v>2678</v>
      </c>
      <c r="CG139">
        <v>9</v>
      </c>
      <c r="CH139">
        <v>237.571</v>
      </c>
      <c r="CI139">
        <v>11.763999999999999</v>
      </c>
      <c r="CJ139">
        <v>4.5709999999999997</v>
      </c>
      <c r="CK139">
        <v>2.9409999999999998</v>
      </c>
      <c r="CL139">
        <v>1</v>
      </c>
      <c r="CM139">
        <v>14</v>
      </c>
      <c r="CN139">
        <v>0</v>
      </c>
      <c r="CO139">
        <v>100</v>
      </c>
      <c r="CP139">
        <v>85</v>
      </c>
      <c r="CQ139">
        <v>17</v>
      </c>
      <c r="CR139">
        <v>66</v>
      </c>
      <c r="CS139">
        <v>11.909000000000001</v>
      </c>
      <c r="CT139">
        <v>24</v>
      </c>
      <c r="CU139">
        <v>7</v>
      </c>
      <c r="CV139">
        <v>6</v>
      </c>
      <c r="CW139">
        <v>9</v>
      </c>
      <c r="CX139">
        <v>168</v>
      </c>
      <c r="CY139">
        <v>19.286000000000001</v>
      </c>
      <c r="CZ139">
        <v>37.5</v>
      </c>
      <c r="DA139">
        <v>41.110999999999997</v>
      </c>
      <c r="DB139">
        <v>57.14</v>
      </c>
      <c r="DC139">
        <v>10</v>
      </c>
      <c r="DD139">
        <v>2348</v>
      </c>
      <c r="DE139">
        <v>59.448999999999998</v>
      </c>
      <c r="DF139">
        <v>207.25</v>
      </c>
      <c r="DG139">
        <v>23</v>
      </c>
      <c r="DH139">
        <v>339.25</v>
      </c>
      <c r="DI139">
        <v>6.9210000000000003</v>
      </c>
      <c r="DJ139">
        <v>1249</v>
      </c>
      <c r="DK139">
        <v>118</v>
      </c>
      <c r="DL139">
        <v>4.0339999999999998</v>
      </c>
      <c r="DM139">
        <v>10</v>
      </c>
      <c r="DN139">
        <v>2910</v>
      </c>
      <c r="DO139">
        <v>11</v>
      </c>
      <c r="DP139">
        <v>221.25</v>
      </c>
      <c r="DQ139">
        <v>11.641999999999999</v>
      </c>
      <c r="DR139">
        <v>7.2629999999999999</v>
      </c>
      <c r="DS139">
        <v>5.1740000000000004</v>
      </c>
      <c r="DT139">
        <v>0</v>
      </c>
      <c r="DU139">
        <v>19</v>
      </c>
      <c r="DV139">
        <v>0</v>
      </c>
      <c r="DW139">
        <v>78.947000000000003</v>
      </c>
      <c r="DX139">
        <v>100</v>
      </c>
      <c r="DY139">
        <v>10</v>
      </c>
      <c r="DZ139">
        <v>45</v>
      </c>
      <c r="EA139">
        <v>7.1539999999999999</v>
      </c>
      <c r="EB139">
        <v>12</v>
      </c>
      <c r="EC139">
        <v>32</v>
      </c>
      <c r="ED139">
        <v>0</v>
      </c>
      <c r="EE139">
        <v>11</v>
      </c>
      <c r="EF139">
        <v>173</v>
      </c>
      <c r="EG139">
        <v>20.625</v>
      </c>
      <c r="EH139">
        <v>52.941000000000003</v>
      </c>
      <c r="EI139">
        <v>39.814999999999998</v>
      </c>
      <c r="EJ139">
        <v>59.26</v>
      </c>
      <c r="EK139">
        <v>-4</v>
      </c>
    </row>
    <row r="140" spans="1:141" x14ac:dyDescent="0.25">
      <c r="A140">
        <v>0</v>
      </c>
      <c r="B140">
        <v>0</v>
      </c>
      <c r="C140">
        <v>0</v>
      </c>
      <c r="D140">
        <v>2025</v>
      </c>
      <c r="E140">
        <v>10</v>
      </c>
      <c r="F140" t="str">
        <f>VLOOKUP(G140, Map!$A$1:$B$33, 2, FALSE)</f>
        <v>MIA</v>
      </c>
      <c r="G140" t="s">
        <v>152</v>
      </c>
      <c r="H140" t="str">
        <f>VLOOKUP(I140, Map!$A$1:$B$33, 2, FALSE)</f>
        <v>BUF</v>
      </c>
      <c r="I140" t="s">
        <v>165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6</v>
      </c>
      <c r="P140">
        <v>26.875</v>
      </c>
      <c r="Q140">
        <v>21.75</v>
      </c>
      <c r="R140">
        <v>-41</v>
      </c>
      <c r="S140">
        <v>1</v>
      </c>
      <c r="T140">
        <v>0.25</v>
      </c>
      <c r="U140">
        <v>1</v>
      </c>
      <c r="V140">
        <v>2</v>
      </c>
      <c r="W140">
        <v>1</v>
      </c>
      <c r="X140">
        <v>2</v>
      </c>
      <c r="Y140">
        <v>1</v>
      </c>
      <c r="Z140">
        <v>4</v>
      </c>
      <c r="AA140">
        <v>1</v>
      </c>
      <c r="AB140">
        <v>5</v>
      </c>
      <c r="AC140">
        <v>9</v>
      </c>
      <c r="AD140">
        <v>9</v>
      </c>
      <c r="AE140">
        <v>10</v>
      </c>
      <c r="AF140">
        <v>8</v>
      </c>
      <c r="AG140">
        <v>68</v>
      </c>
      <c r="AH140">
        <v>0</v>
      </c>
      <c r="AI140">
        <v>5</v>
      </c>
      <c r="AJ140">
        <v>2</v>
      </c>
      <c r="AK140">
        <v>20.857143000000001</v>
      </c>
      <c r="AL140">
        <v>29.571428000000001</v>
      </c>
      <c r="AM140">
        <v>61</v>
      </c>
      <c r="AN140">
        <v>1</v>
      </c>
      <c r="AO140">
        <v>0.71428572999999995</v>
      </c>
      <c r="AP140">
        <v>2</v>
      </c>
      <c r="AQ140">
        <v>1</v>
      </c>
      <c r="AR140">
        <v>3</v>
      </c>
      <c r="AS140">
        <v>1</v>
      </c>
      <c r="AT140">
        <v>2</v>
      </c>
      <c r="AU140">
        <v>1</v>
      </c>
      <c r="AV140">
        <v>3</v>
      </c>
      <c r="AW140">
        <v>1</v>
      </c>
      <c r="AX140">
        <v>14</v>
      </c>
      <c r="AY140">
        <v>4</v>
      </c>
      <c r="AZ140">
        <v>8</v>
      </c>
      <c r="BA140">
        <v>9</v>
      </c>
      <c r="BB140">
        <v>68</v>
      </c>
      <c r="BC140">
        <v>0</v>
      </c>
      <c r="BD140">
        <v>0</v>
      </c>
      <c r="BE140">
        <v>0</v>
      </c>
      <c r="BF140">
        <v>0</v>
      </c>
      <c r="BG140">
        <v>35.289000000000001</v>
      </c>
      <c r="BH140">
        <v>55.094999999999999</v>
      </c>
      <c r="BI140">
        <v>64.427000000000007</v>
      </c>
      <c r="BJ140">
        <v>0</v>
      </c>
      <c r="BK140">
        <v>0</v>
      </c>
      <c r="BL140">
        <v>0</v>
      </c>
      <c r="BM140">
        <v>-5.65</v>
      </c>
      <c r="BN140">
        <v>64.427000000000007</v>
      </c>
      <c r="BO140">
        <v>55.094999999999999</v>
      </c>
      <c r="BP140">
        <v>0</v>
      </c>
      <c r="BQ140">
        <v>35.289000000000001</v>
      </c>
      <c r="BR140">
        <v>5.65</v>
      </c>
      <c r="BS140">
        <v>0</v>
      </c>
      <c r="BT140">
        <v>0</v>
      </c>
      <c r="BU140">
        <v>0</v>
      </c>
      <c r="BV140">
        <v>2361</v>
      </c>
      <c r="BW140">
        <v>68.674999999999997</v>
      </c>
      <c r="BX140">
        <v>187.875</v>
      </c>
      <c r="BY140">
        <v>17</v>
      </c>
      <c r="BZ140">
        <v>299.875</v>
      </c>
      <c r="CA140">
        <v>6.47</v>
      </c>
      <c r="CB140">
        <v>898</v>
      </c>
      <c r="CC140">
        <v>98.5</v>
      </c>
      <c r="CD140">
        <v>4.452</v>
      </c>
      <c r="CE140">
        <v>4</v>
      </c>
      <c r="CF140">
        <v>2991</v>
      </c>
      <c r="CG140">
        <v>15</v>
      </c>
      <c r="CH140">
        <v>201.375</v>
      </c>
      <c r="CI140">
        <v>9.4209999999999994</v>
      </c>
      <c r="CJ140">
        <v>6.4669999999999996</v>
      </c>
      <c r="CK140">
        <v>4.8239999999999998</v>
      </c>
      <c r="CL140">
        <v>1</v>
      </c>
      <c r="CM140">
        <v>15</v>
      </c>
      <c r="CN140">
        <v>0</v>
      </c>
      <c r="CO140">
        <v>100</v>
      </c>
      <c r="CP140">
        <v>91.667000000000002</v>
      </c>
      <c r="CQ140">
        <v>11</v>
      </c>
      <c r="CR140">
        <v>52</v>
      </c>
      <c r="CS140">
        <v>7</v>
      </c>
      <c r="CT140">
        <v>26</v>
      </c>
      <c r="CU140">
        <v>11</v>
      </c>
      <c r="CV140">
        <v>6</v>
      </c>
      <c r="CW140">
        <v>15</v>
      </c>
      <c r="CX140">
        <v>174</v>
      </c>
      <c r="CY140">
        <v>17</v>
      </c>
      <c r="CZ140">
        <v>53.845999999999997</v>
      </c>
      <c r="DA140">
        <v>41.237000000000002</v>
      </c>
      <c r="DB140">
        <v>72.05</v>
      </c>
      <c r="DC140">
        <v>-5</v>
      </c>
      <c r="DD140">
        <v>2334</v>
      </c>
      <c r="DE140">
        <v>67.488</v>
      </c>
      <c r="DF140">
        <v>218.42857000000001</v>
      </c>
      <c r="DG140">
        <v>22</v>
      </c>
      <c r="DH140">
        <v>395</v>
      </c>
      <c r="DI140">
        <v>7.9509999999999996</v>
      </c>
      <c r="DJ140">
        <v>1576</v>
      </c>
      <c r="DK140">
        <v>164.429</v>
      </c>
      <c r="DL140">
        <v>5.2080000000000002</v>
      </c>
      <c r="DM140">
        <v>13</v>
      </c>
      <c r="DN140">
        <v>2719</v>
      </c>
      <c r="DO140">
        <v>12</v>
      </c>
      <c r="DP140">
        <v>230.571</v>
      </c>
      <c r="DQ140">
        <v>11.781000000000001</v>
      </c>
      <c r="DR140">
        <v>5.8639999999999999</v>
      </c>
      <c r="DS140">
        <v>5.35</v>
      </c>
      <c r="DT140">
        <v>0</v>
      </c>
      <c r="DU140">
        <v>22</v>
      </c>
      <c r="DV140">
        <v>0</v>
      </c>
      <c r="DW140">
        <v>95.454999999999998</v>
      </c>
      <c r="DX140">
        <v>92.308000000000007</v>
      </c>
      <c r="DY140">
        <v>12</v>
      </c>
      <c r="DZ140">
        <v>57</v>
      </c>
      <c r="EA140">
        <v>8</v>
      </c>
      <c r="EB140">
        <v>10</v>
      </c>
      <c r="EC140">
        <v>22</v>
      </c>
      <c r="ED140">
        <v>0</v>
      </c>
      <c r="EE140">
        <v>12</v>
      </c>
      <c r="EF140">
        <v>207</v>
      </c>
      <c r="EG140">
        <v>23.143000000000001</v>
      </c>
      <c r="EH140">
        <v>60</v>
      </c>
      <c r="EI140">
        <v>43.75</v>
      </c>
      <c r="EJ140">
        <v>73.47</v>
      </c>
      <c r="EK140">
        <v>2</v>
      </c>
    </row>
    <row r="141" spans="1:141" x14ac:dyDescent="0.25">
      <c r="A141">
        <v>0</v>
      </c>
      <c r="B141">
        <v>0</v>
      </c>
      <c r="C141">
        <v>0</v>
      </c>
      <c r="D141">
        <v>2025</v>
      </c>
      <c r="E141">
        <v>10</v>
      </c>
      <c r="F141" t="str">
        <f>VLOOKUP(G141, Map!$A$1:$B$33, 2, FALSE)</f>
        <v>MIN</v>
      </c>
      <c r="G141" t="s">
        <v>153</v>
      </c>
      <c r="H141" t="str">
        <f>VLOOKUP(I141, Map!$A$1:$B$33, 2, FALSE)</f>
        <v>BAL</v>
      </c>
      <c r="I141" t="s">
        <v>146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4</v>
      </c>
      <c r="P141">
        <v>23.142856999999999</v>
      </c>
      <c r="Q141">
        <v>22.142856999999999</v>
      </c>
      <c r="R141">
        <v>-7</v>
      </c>
      <c r="S141">
        <v>-2</v>
      </c>
      <c r="T141">
        <v>0.42857142999999998</v>
      </c>
      <c r="U141">
        <v>1</v>
      </c>
      <c r="V141">
        <v>0</v>
      </c>
      <c r="W141">
        <v>1</v>
      </c>
      <c r="X141">
        <v>2</v>
      </c>
      <c r="Y141">
        <v>2</v>
      </c>
      <c r="Z141">
        <v>2</v>
      </c>
      <c r="AA141">
        <v>1</v>
      </c>
      <c r="AB141">
        <v>2</v>
      </c>
      <c r="AC141">
        <v>13</v>
      </c>
      <c r="AD141">
        <v>4</v>
      </c>
      <c r="AE141">
        <v>7</v>
      </c>
      <c r="AF141">
        <v>9</v>
      </c>
      <c r="AG141">
        <v>61</v>
      </c>
      <c r="AH141">
        <v>0</v>
      </c>
      <c r="AI141">
        <v>2</v>
      </c>
      <c r="AJ141">
        <v>5</v>
      </c>
      <c r="AK141">
        <v>30</v>
      </c>
      <c r="AL141">
        <v>24.857143000000001</v>
      </c>
      <c r="AM141">
        <v>-36</v>
      </c>
      <c r="AN141">
        <v>1</v>
      </c>
      <c r="AO141">
        <v>0.28571429999999998</v>
      </c>
      <c r="AP141">
        <v>1</v>
      </c>
      <c r="AQ141">
        <v>0</v>
      </c>
      <c r="AR141">
        <v>2</v>
      </c>
      <c r="AS141">
        <v>3</v>
      </c>
      <c r="AT141">
        <v>0</v>
      </c>
      <c r="AU141">
        <v>2</v>
      </c>
      <c r="AV141">
        <v>1</v>
      </c>
      <c r="AW141">
        <v>3</v>
      </c>
      <c r="AX141">
        <v>10</v>
      </c>
      <c r="AY141">
        <v>7</v>
      </c>
      <c r="AZ141">
        <v>7</v>
      </c>
      <c r="BA141">
        <v>9</v>
      </c>
      <c r="BB141">
        <v>61</v>
      </c>
      <c r="BC141">
        <v>0</v>
      </c>
      <c r="BD141">
        <v>0</v>
      </c>
      <c r="BE141">
        <v>0</v>
      </c>
      <c r="BF141">
        <v>0</v>
      </c>
      <c r="BG141">
        <v>38.625999999999998</v>
      </c>
      <c r="BH141">
        <v>53.796999999999997</v>
      </c>
      <c r="BI141">
        <v>61.064</v>
      </c>
      <c r="BJ141">
        <v>0</v>
      </c>
      <c r="BK141">
        <v>0</v>
      </c>
      <c r="BL141">
        <v>0</v>
      </c>
      <c r="BM141">
        <v>-4.49</v>
      </c>
      <c r="BN141">
        <v>61.064</v>
      </c>
      <c r="BO141">
        <v>53.796999999999997</v>
      </c>
      <c r="BP141">
        <v>0</v>
      </c>
      <c r="BQ141">
        <v>38.625999999999998</v>
      </c>
      <c r="BR141">
        <v>4.49</v>
      </c>
      <c r="BS141">
        <v>0</v>
      </c>
      <c r="BT141">
        <v>0</v>
      </c>
      <c r="BU141">
        <v>0</v>
      </c>
      <c r="BV141">
        <v>1981</v>
      </c>
      <c r="BW141">
        <v>63.927</v>
      </c>
      <c r="BX141">
        <v>202.71428</v>
      </c>
      <c r="BY141">
        <v>21</v>
      </c>
      <c r="BZ141">
        <v>321.14285000000001</v>
      </c>
      <c r="CA141">
        <v>7.2649999999999997</v>
      </c>
      <c r="CB141">
        <v>772</v>
      </c>
      <c r="CC141">
        <v>93.856999999999999</v>
      </c>
      <c r="CD141">
        <v>4.2939999999999996</v>
      </c>
      <c r="CE141">
        <v>5</v>
      </c>
      <c r="CF141">
        <v>2606</v>
      </c>
      <c r="CG141">
        <v>9</v>
      </c>
      <c r="CH141">
        <v>227.286</v>
      </c>
      <c r="CI141">
        <v>11.364000000000001</v>
      </c>
      <c r="CJ141">
        <v>6.2220000000000004</v>
      </c>
      <c r="CK141">
        <v>3.3570000000000002</v>
      </c>
      <c r="CL141">
        <v>2</v>
      </c>
      <c r="CM141">
        <v>18</v>
      </c>
      <c r="CN141">
        <v>0</v>
      </c>
      <c r="CO141">
        <v>100</v>
      </c>
      <c r="CP141">
        <v>87.5</v>
      </c>
      <c r="CQ141">
        <v>14</v>
      </c>
      <c r="CR141">
        <v>55</v>
      </c>
      <c r="CS141">
        <v>7.8179999999999996</v>
      </c>
      <c r="CT141">
        <v>29</v>
      </c>
      <c r="CU141">
        <v>10</v>
      </c>
      <c r="CV141">
        <v>12</v>
      </c>
      <c r="CW141">
        <v>9</v>
      </c>
      <c r="CX141">
        <v>155</v>
      </c>
      <c r="CY141">
        <v>17.428999999999998</v>
      </c>
      <c r="CZ141">
        <v>62.5</v>
      </c>
      <c r="DA141">
        <v>33.332999999999998</v>
      </c>
      <c r="DB141">
        <v>70.13</v>
      </c>
      <c r="DC141">
        <v>-4</v>
      </c>
      <c r="DD141">
        <v>2046</v>
      </c>
      <c r="DE141">
        <v>69.73</v>
      </c>
      <c r="DF141">
        <v>182.28572</v>
      </c>
      <c r="DG141">
        <v>19</v>
      </c>
      <c r="DH141">
        <v>337.14285000000001</v>
      </c>
      <c r="DI141">
        <v>7.7080000000000002</v>
      </c>
      <c r="DJ141">
        <v>1139</v>
      </c>
      <c r="DK141">
        <v>133.429</v>
      </c>
      <c r="DL141">
        <v>5.2770000000000001</v>
      </c>
      <c r="DM141">
        <v>8</v>
      </c>
      <c r="DN141">
        <v>2456</v>
      </c>
      <c r="DO141">
        <v>11</v>
      </c>
      <c r="DP141">
        <v>203.714</v>
      </c>
      <c r="DQ141">
        <v>11.054</v>
      </c>
      <c r="DR141">
        <v>6.8890000000000002</v>
      </c>
      <c r="DS141">
        <v>2.4089999999999998</v>
      </c>
      <c r="DT141">
        <v>1</v>
      </c>
      <c r="DU141">
        <v>9</v>
      </c>
      <c r="DV141">
        <v>0</v>
      </c>
      <c r="DW141">
        <v>94.736999999999995</v>
      </c>
      <c r="DX141">
        <v>92.308000000000007</v>
      </c>
      <c r="DY141">
        <v>12</v>
      </c>
      <c r="DZ141">
        <v>54</v>
      </c>
      <c r="EA141">
        <v>5.8330000000000002</v>
      </c>
      <c r="EB141">
        <v>8</v>
      </c>
      <c r="EC141">
        <v>19</v>
      </c>
      <c r="ED141">
        <v>6</v>
      </c>
      <c r="EE141">
        <v>11</v>
      </c>
      <c r="EF141">
        <v>174</v>
      </c>
      <c r="EG141">
        <v>18.143000000000001</v>
      </c>
      <c r="EH141">
        <v>38.462000000000003</v>
      </c>
      <c r="EI141">
        <v>40.506</v>
      </c>
      <c r="EJ141">
        <v>52.38</v>
      </c>
      <c r="EK141">
        <v>-6</v>
      </c>
    </row>
    <row r="142" spans="1:141" x14ac:dyDescent="0.25">
      <c r="A142">
        <v>0</v>
      </c>
      <c r="B142">
        <v>0</v>
      </c>
      <c r="C142">
        <v>0</v>
      </c>
      <c r="D142">
        <v>2025</v>
      </c>
      <c r="E142">
        <v>10</v>
      </c>
      <c r="F142" t="str">
        <f>VLOOKUP(G142, Map!$A$1:$B$33, 2, FALSE)</f>
        <v>NYJ</v>
      </c>
      <c r="G142" t="s">
        <v>166</v>
      </c>
      <c r="H142" t="str">
        <f>VLOOKUP(I142, Map!$A$1:$B$33, 2, FALSE)</f>
        <v>CLE</v>
      </c>
      <c r="I142" t="s">
        <v>162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7</v>
      </c>
      <c r="P142">
        <v>27.625</v>
      </c>
      <c r="Q142">
        <v>21</v>
      </c>
      <c r="R142">
        <v>-53</v>
      </c>
      <c r="S142">
        <v>1</v>
      </c>
      <c r="T142">
        <v>0.125</v>
      </c>
      <c r="U142">
        <v>0</v>
      </c>
      <c r="V142">
        <v>2</v>
      </c>
      <c r="W142">
        <v>0</v>
      </c>
      <c r="X142">
        <v>5</v>
      </c>
      <c r="Y142">
        <v>1</v>
      </c>
      <c r="Z142">
        <v>2</v>
      </c>
      <c r="AA142">
        <v>1</v>
      </c>
      <c r="AB142">
        <v>4</v>
      </c>
      <c r="AC142">
        <v>7</v>
      </c>
      <c r="AD142">
        <v>10</v>
      </c>
      <c r="AE142">
        <v>8</v>
      </c>
      <c r="AF142">
        <v>9</v>
      </c>
      <c r="AG142">
        <v>60</v>
      </c>
      <c r="AH142">
        <v>0</v>
      </c>
      <c r="AI142">
        <v>2</v>
      </c>
      <c r="AJ142">
        <v>6</v>
      </c>
      <c r="AK142">
        <v>23</v>
      </c>
      <c r="AL142">
        <v>15.75</v>
      </c>
      <c r="AM142">
        <v>-58</v>
      </c>
      <c r="AN142">
        <v>-1</v>
      </c>
      <c r="AO142">
        <v>0.25</v>
      </c>
      <c r="AP142">
        <v>0</v>
      </c>
      <c r="AQ142">
        <v>3</v>
      </c>
      <c r="AR142">
        <v>2</v>
      </c>
      <c r="AS142">
        <v>2</v>
      </c>
      <c r="AT142">
        <v>0</v>
      </c>
      <c r="AU142">
        <v>4</v>
      </c>
      <c r="AV142">
        <v>1</v>
      </c>
      <c r="AW142">
        <v>4</v>
      </c>
      <c r="AX142">
        <v>7</v>
      </c>
      <c r="AY142">
        <v>10</v>
      </c>
      <c r="AZ142">
        <v>8</v>
      </c>
      <c r="BA142">
        <v>9</v>
      </c>
      <c r="BB142">
        <v>61</v>
      </c>
      <c r="BC142">
        <v>0</v>
      </c>
      <c r="BD142">
        <v>0</v>
      </c>
      <c r="BE142">
        <v>0</v>
      </c>
      <c r="BF142">
        <v>0</v>
      </c>
      <c r="BG142">
        <v>63.12</v>
      </c>
      <c r="BH142">
        <v>18.672000000000001</v>
      </c>
      <c r="BI142">
        <v>36.585999999999999</v>
      </c>
      <c r="BJ142">
        <v>0</v>
      </c>
      <c r="BK142">
        <v>0</v>
      </c>
      <c r="BL142">
        <v>0</v>
      </c>
      <c r="BM142">
        <v>5.4589999999999996</v>
      </c>
      <c r="BN142">
        <v>36.585999999999999</v>
      </c>
      <c r="BO142">
        <v>18.672000000000001</v>
      </c>
      <c r="BP142">
        <v>0</v>
      </c>
      <c r="BQ142">
        <v>63.12</v>
      </c>
      <c r="BR142">
        <v>-5.4589999999999996</v>
      </c>
      <c r="BS142">
        <v>0</v>
      </c>
      <c r="BT142">
        <v>0</v>
      </c>
      <c r="BU142">
        <v>0</v>
      </c>
      <c r="BV142">
        <v>2012</v>
      </c>
      <c r="BW142">
        <v>63.713000000000001</v>
      </c>
      <c r="BX142">
        <v>156.5</v>
      </c>
      <c r="BY142">
        <v>15</v>
      </c>
      <c r="BZ142">
        <v>327.625</v>
      </c>
      <c r="CA142">
        <v>6.2110000000000003</v>
      </c>
      <c r="CB142">
        <v>1254</v>
      </c>
      <c r="CC142">
        <v>143.625</v>
      </c>
      <c r="CD142">
        <v>5.1989999999999998</v>
      </c>
      <c r="CE142">
        <v>6</v>
      </c>
      <c r="CF142">
        <v>2542</v>
      </c>
      <c r="CG142">
        <v>9</v>
      </c>
      <c r="CH142">
        <v>184</v>
      </c>
      <c r="CI142">
        <v>9.7479999999999993</v>
      </c>
      <c r="CJ142">
        <v>6.2729999999999997</v>
      </c>
      <c r="CK142">
        <v>2.4169999999999998</v>
      </c>
      <c r="CL142">
        <v>1</v>
      </c>
      <c r="CM142">
        <v>11</v>
      </c>
      <c r="CN142">
        <v>0</v>
      </c>
      <c r="CO142">
        <v>100</v>
      </c>
      <c r="CP142">
        <v>100</v>
      </c>
      <c r="CQ142">
        <v>17</v>
      </c>
      <c r="CR142">
        <v>60</v>
      </c>
      <c r="CS142">
        <v>6.25</v>
      </c>
      <c r="CT142">
        <v>31</v>
      </c>
      <c r="CU142">
        <v>11</v>
      </c>
      <c r="CV142">
        <v>2</v>
      </c>
      <c r="CW142">
        <v>9</v>
      </c>
      <c r="CX142">
        <v>168</v>
      </c>
      <c r="CY142">
        <v>18.5</v>
      </c>
      <c r="CZ142">
        <v>52.631999999999998</v>
      </c>
      <c r="DA142">
        <v>34.905999999999999</v>
      </c>
      <c r="DB142">
        <v>69.17</v>
      </c>
      <c r="DC142">
        <v>-9</v>
      </c>
      <c r="DD142">
        <v>1756</v>
      </c>
      <c r="DE142">
        <v>58.94</v>
      </c>
      <c r="DF142">
        <v>174.125</v>
      </c>
      <c r="DG142">
        <v>14</v>
      </c>
      <c r="DH142">
        <v>279.125</v>
      </c>
      <c r="DI142">
        <v>4.9870000000000001</v>
      </c>
      <c r="DJ142">
        <v>896</v>
      </c>
      <c r="DK142">
        <v>89.5</v>
      </c>
      <c r="DL142">
        <v>3.7679999999999998</v>
      </c>
      <c r="DM142">
        <v>6</v>
      </c>
      <c r="DN142">
        <v>2652</v>
      </c>
      <c r="DO142">
        <v>7</v>
      </c>
      <c r="DP142">
        <v>189.625</v>
      </c>
      <c r="DQ142">
        <v>8.4610000000000003</v>
      </c>
      <c r="DR142">
        <v>6.9169999999999998</v>
      </c>
      <c r="DS142">
        <v>4.3029999999999999</v>
      </c>
      <c r="DT142">
        <v>1</v>
      </c>
      <c r="DU142">
        <v>24</v>
      </c>
      <c r="DV142">
        <v>0</v>
      </c>
      <c r="DW142">
        <v>92.308000000000007</v>
      </c>
      <c r="DX142">
        <v>76.923000000000002</v>
      </c>
      <c r="DY142">
        <v>10</v>
      </c>
      <c r="DZ142">
        <v>42</v>
      </c>
      <c r="EA142">
        <v>11.412000000000001</v>
      </c>
      <c r="EB142">
        <v>16</v>
      </c>
      <c r="EC142">
        <v>42</v>
      </c>
      <c r="ED142">
        <v>6</v>
      </c>
      <c r="EE142">
        <v>7</v>
      </c>
      <c r="EF142">
        <v>126</v>
      </c>
      <c r="EG142">
        <v>16.75</v>
      </c>
      <c r="EH142">
        <v>57.895000000000003</v>
      </c>
      <c r="EI142">
        <v>33.042999999999999</v>
      </c>
      <c r="EJ142">
        <v>69.39</v>
      </c>
      <c r="EK142">
        <v>0</v>
      </c>
    </row>
    <row r="143" spans="1:141" x14ac:dyDescent="0.25">
      <c r="A143">
        <v>0</v>
      </c>
      <c r="B143">
        <v>0</v>
      </c>
      <c r="C143">
        <v>0</v>
      </c>
      <c r="D143">
        <v>2025</v>
      </c>
      <c r="E143">
        <v>10</v>
      </c>
      <c r="F143" t="str">
        <f>VLOOKUP(G143, Map!$A$1:$B$33, 2, FALSE)</f>
        <v>TB</v>
      </c>
      <c r="G143" t="s">
        <v>141</v>
      </c>
      <c r="H143" t="str">
        <f>VLOOKUP(I143, Map!$A$1:$B$33, 2, FALSE)</f>
        <v>NE</v>
      </c>
      <c r="I143" t="s">
        <v>151</v>
      </c>
      <c r="J143">
        <v>0</v>
      </c>
      <c r="K143">
        <v>0</v>
      </c>
      <c r="L143">
        <v>0</v>
      </c>
      <c r="M143">
        <v>0</v>
      </c>
      <c r="N143">
        <v>6</v>
      </c>
      <c r="O143">
        <v>2</v>
      </c>
      <c r="P143">
        <v>22.25</v>
      </c>
      <c r="Q143">
        <v>24.625</v>
      </c>
      <c r="R143">
        <v>19</v>
      </c>
      <c r="S143">
        <v>1</v>
      </c>
      <c r="T143">
        <v>0.75</v>
      </c>
      <c r="U143">
        <v>2</v>
      </c>
      <c r="V143">
        <v>0</v>
      </c>
      <c r="W143">
        <v>2</v>
      </c>
      <c r="X143">
        <v>1</v>
      </c>
      <c r="Y143">
        <v>4</v>
      </c>
      <c r="Z143">
        <v>1</v>
      </c>
      <c r="AA143">
        <v>4</v>
      </c>
      <c r="AB143">
        <v>2</v>
      </c>
      <c r="AC143">
        <v>8</v>
      </c>
      <c r="AD143">
        <v>9</v>
      </c>
      <c r="AE143">
        <v>4</v>
      </c>
      <c r="AF143">
        <v>12</v>
      </c>
      <c r="AG143">
        <v>59</v>
      </c>
      <c r="AH143">
        <v>0</v>
      </c>
      <c r="AI143">
        <v>6</v>
      </c>
      <c r="AJ143">
        <v>2</v>
      </c>
      <c r="AK143">
        <v>18.25</v>
      </c>
      <c r="AL143">
        <v>26.625</v>
      </c>
      <c r="AM143">
        <v>67</v>
      </c>
      <c r="AN143">
        <v>5</v>
      </c>
      <c r="AO143">
        <v>0.75</v>
      </c>
      <c r="AP143">
        <v>2</v>
      </c>
      <c r="AQ143">
        <v>0</v>
      </c>
      <c r="AR143">
        <v>2</v>
      </c>
      <c r="AS143">
        <v>2</v>
      </c>
      <c r="AT143">
        <v>4</v>
      </c>
      <c r="AU143">
        <v>0</v>
      </c>
      <c r="AV143">
        <v>4</v>
      </c>
      <c r="AW143">
        <v>2</v>
      </c>
      <c r="AX143">
        <v>8</v>
      </c>
      <c r="AY143">
        <v>9</v>
      </c>
      <c r="AZ143">
        <v>7</v>
      </c>
      <c r="BA143">
        <v>9</v>
      </c>
      <c r="BB143">
        <v>61</v>
      </c>
      <c r="BC143">
        <v>0</v>
      </c>
      <c r="BD143">
        <v>0</v>
      </c>
      <c r="BE143">
        <v>0</v>
      </c>
      <c r="BF143">
        <v>0</v>
      </c>
      <c r="BG143">
        <v>56.515999999999998</v>
      </c>
      <c r="BH143">
        <v>58.034999999999997</v>
      </c>
      <c r="BI143">
        <v>43.137</v>
      </c>
      <c r="BJ143">
        <v>0</v>
      </c>
      <c r="BK143">
        <v>0</v>
      </c>
      <c r="BL143">
        <v>0</v>
      </c>
      <c r="BM143">
        <v>2.5880000000000001</v>
      </c>
      <c r="BN143">
        <v>43.137</v>
      </c>
      <c r="BO143">
        <v>58.034999999999997</v>
      </c>
      <c r="BP143">
        <v>0</v>
      </c>
      <c r="BQ143">
        <v>56.515999999999998</v>
      </c>
      <c r="BR143">
        <v>-2.5880000000000001</v>
      </c>
      <c r="BS143">
        <v>0</v>
      </c>
      <c r="BT143">
        <v>0</v>
      </c>
      <c r="BU143">
        <v>0</v>
      </c>
      <c r="BV143">
        <v>2769</v>
      </c>
      <c r="BW143">
        <v>63.941000000000003</v>
      </c>
      <c r="BX143">
        <v>224.875</v>
      </c>
      <c r="BY143">
        <v>29</v>
      </c>
      <c r="BZ143">
        <v>338</v>
      </c>
      <c r="CA143">
        <v>7.1340000000000003</v>
      </c>
      <c r="CB143">
        <v>950</v>
      </c>
      <c r="CC143">
        <v>98.125</v>
      </c>
      <c r="CD143">
        <v>3.8479999999999999</v>
      </c>
      <c r="CE143">
        <v>6</v>
      </c>
      <c r="CF143">
        <v>3234</v>
      </c>
      <c r="CG143">
        <v>13</v>
      </c>
      <c r="CH143">
        <v>239.875</v>
      </c>
      <c r="CI143">
        <v>11.157</v>
      </c>
      <c r="CJ143">
        <v>7.8</v>
      </c>
      <c r="CK143">
        <v>6.8</v>
      </c>
      <c r="CL143">
        <v>2</v>
      </c>
      <c r="CM143">
        <v>25</v>
      </c>
      <c r="CN143">
        <v>0</v>
      </c>
      <c r="CO143">
        <v>94.117999999999995</v>
      </c>
      <c r="CP143">
        <v>80.951999999999998</v>
      </c>
      <c r="CQ143">
        <v>17</v>
      </c>
      <c r="CR143">
        <v>67</v>
      </c>
      <c r="CS143">
        <v>14.667</v>
      </c>
      <c r="CT143">
        <v>32</v>
      </c>
      <c r="CU143">
        <v>12</v>
      </c>
      <c r="CV143">
        <v>14</v>
      </c>
      <c r="CW143">
        <v>13</v>
      </c>
      <c r="CX143">
        <v>197</v>
      </c>
      <c r="CY143">
        <v>18.875</v>
      </c>
      <c r="CZ143">
        <v>50</v>
      </c>
      <c r="DA143">
        <v>36.274999999999999</v>
      </c>
      <c r="DB143">
        <v>55.19</v>
      </c>
      <c r="DC143">
        <v>7</v>
      </c>
      <c r="DD143">
        <v>2965</v>
      </c>
      <c r="DE143">
        <v>75</v>
      </c>
      <c r="DF143">
        <v>240.5</v>
      </c>
      <c r="DG143">
        <v>29</v>
      </c>
      <c r="DH143">
        <v>367.375</v>
      </c>
      <c r="DI143">
        <v>8.7940000000000005</v>
      </c>
      <c r="DJ143">
        <v>1056</v>
      </c>
      <c r="DK143">
        <v>112.625</v>
      </c>
      <c r="DL143">
        <v>3.9340000000000002</v>
      </c>
      <c r="DM143">
        <v>7</v>
      </c>
      <c r="DN143">
        <v>3418</v>
      </c>
      <c r="DO143">
        <v>15</v>
      </c>
      <c r="DP143">
        <v>254.75</v>
      </c>
      <c r="DQ143">
        <v>11.725</v>
      </c>
      <c r="DR143">
        <v>6.3159999999999998</v>
      </c>
      <c r="DS143">
        <v>3.7410000000000001</v>
      </c>
      <c r="DT143">
        <v>4</v>
      </c>
      <c r="DU143">
        <v>19</v>
      </c>
      <c r="DV143">
        <v>0</v>
      </c>
      <c r="DW143">
        <v>91.304000000000002</v>
      </c>
      <c r="DX143">
        <v>92.308000000000007</v>
      </c>
      <c r="DY143">
        <v>12</v>
      </c>
      <c r="DZ143">
        <v>57</v>
      </c>
      <c r="EA143">
        <v>16.8</v>
      </c>
      <c r="EB143">
        <v>10</v>
      </c>
      <c r="EC143">
        <v>27</v>
      </c>
      <c r="ED143">
        <v>14</v>
      </c>
      <c r="EE143">
        <v>15</v>
      </c>
      <c r="EF143">
        <v>213</v>
      </c>
      <c r="EG143">
        <v>20.375</v>
      </c>
      <c r="EH143">
        <v>83.332999999999998</v>
      </c>
      <c r="EI143">
        <v>39.784999999999997</v>
      </c>
      <c r="EJ143">
        <v>67</v>
      </c>
      <c r="EK143">
        <v>2</v>
      </c>
    </row>
    <row r="144" spans="1:141" x14ac:dyDescent="0.25">
      <c r="A144">
        <v>0</v>
      </c>
      <c r="B144">
        <v>0</v>
      </c>
      <c r="C144">
        <v>0</v>
      </c>
      <c r="D144">
        <v>2025</v>
      </c>
      <c r="E144">
        <v>10</v>
      </c>
      <c r="F144" t="str">
        <f>VLOOKUP(G144, Map!$A$1:$B$33, 2, FALSE)</f>
        <v>CAR</v>
      </c>
      <c r="G144" t="s">
        <v>142</v>
      </c>
      <c r="H144" t="str">
        <f>VLOOKUP(I144, Map!$A$1:$B$33, 2, FALSE)</f>
        <v>NO</v>
      </c>
      <c r="I144" t="s">
        <v>168</v>
      </c>
      <c r="J144">
        <v>0</v>
      </c>
      <c r="K144">
        <v>0</v>
      </c>
      <c r="L144">
        <v>0</v>
      </c>
      <c r="M144">
        <v>0</v>
      </c>
      <c r="N144">
        <v>4</v>
      </c>
      <c r="O144">
        <v>4</v>
      </c>
      <c r="P144">
        <v>24</v>
      </c>
      <c r="Q144">
        <v>19.25</v>
      </c>
      <c r="R144">
        <v>-38</v>
      </c>
      <c r="S144">
        <v>-1</v>
      </c>
      <c r="T144">
        <v>0.5</v>
      </c>
      <c r="U144">
        <v>1</v>
      </c>
      <c r="V144">
        <v>0</v>
      </c>
      <c r="W144">
        <v>3</v>
      </c>
      <c r="X144">
        <v>1</v>
      </c>
      <c r="Y144">
        <v>1</v>
      </c>
      <c r="Z144">
        <v>3</v>
      </c>
      <c r="AA144">
        <v>2</v>
      </c>
      <c r="AB144">
        <v>1</v>
      </c>
      <c r="AC144">
        <v>7</v>
      </c>
      <c r="AD144">
        <v>10</v>
      </c>
      <c r="AE144">
        <v>9</v>
      </c>
      <c r="AF144">
        <v>8</v>
      </c>
      <c r="AG144">
        <v>58</v>
      </c>
      <c r="AH144">
        <v>0</v>
      </c>
      <c r="AI144">
        <v>1</v>
      </c>
      <c r="AJ144">
        <v>7</v>
      </c>
      <c r="AK144">
        <v>26.125</v>
      </c>
      <c r="AL144">
        <v>16</v>
      </c>
      <c r="AM144">
        <v>-81</v>
      </c>
      <c r="AN144">
        <v>-3</v>
      </c>
      <c r="AO144">
        <v>0.125</v>
      </c>
      <c r="AP144">
        <v>0</v>
      </c>
      <c r="AQ144">
        <v>1</v>
      </c>
      <c r="AR144">
        <v>1</v>
      </c>
      <c r="AS144">
        <v>4</v>
      </c>
      <c r="AT144">
        <v>0</v>
      </c>
      <c r="AU144">
        <v>3</v>
      </c>
      <c r="AV144">
        <v>1</v>
      </c>
      <c r="AW144">
        <v>5</v>
      </c>
      <c r="AX144">
        <v>7</v>
      </c>
      <c r="AY144">
        <v>10</v>
      </c>
      <c r="AZ144">
        <v>7</v>
      </c>
      <c r="BA144">
        <v>10</v>
      </c>
      <c r="BB144">
        <v>64</v>
      </c>
      <c r="BC144">
        <v>0</v>
      </c>
      <c r="BD144">
        <v>0</v>
      </c>
      <c r="BE144">
        <v>0</v>
      </c>
      <c r="BF144">
        <v>0</v>
      </c>
      <c r="BG144">
        <v>68.921999999999997</v>
      </c>
      <c r="BH144">
        <v>16.588999999999999</v>
      </c>
      <c r="BI144">
        <v>30.83</v>
      </c>
      <c r="BJ144">
        <v>0</v>
      </c>
      <c r="BK144">
        <v>0</v>
      </c>
      <c r="BL144">
        <v>0</v>
      </c>
      <c r="BM144">
        <v>7.2480000000000002</v>
      </c>
      <c r="BN144">
        <v>30.83</v>
      </c>
      <c r="BO144">
        <v>16.588999999999999</v>
      </c>
      <c r="BP144">
        <v>0</v>
      </c>
      <c r="BQ144">
        <v>68.921999999999997</v>
      </c>
      <c r="BR144">
        <v>-7.2480000000000002</v>
      </c>
      <c r="BS144">
        <v>0</v>
      </c>
      <c r="BT144">
        <v>0</v>
      </c>
      <c r="BU144">
        <v>0</v>
      </c>
      <c r="BV144">
        <v>2241</v>
      </c>
      <c r="BW144">
        <v>62.451999999999998</v>
      </c>
      <c r="BX144">
        <v>179.5</v>
      </c>
      <c r="BY144">
        <v>19</v>
      </c>
      <c r="BZ144">
        <v>334.5</v>
      </c>
      <c r="CA144">
        <v>6.0570000000000004</v>
      </c>
      <c r="CB144">
        <v>1145</v>
      </c>
      <c r="CC144">
        <v>136.875</v>
      </c>
      <c r="CD144">
        <v>4.6399999999999997</v>
      </c>
      <c r="CE144">
        <v>4</v>
      </c>
      <c r="CF144">
        <v>2816</v>
      </c>
      <c r="CG144">
        <v>12</v>
      </c>
      <c r="CH144">
        <v>197.625</v>
      </c>
      <c r="CI144">
        <v>9.6989999999999998</v>
      </c>
      <c r="CJ144">
        <v>6.8460000000000001</v>
      </c>
      <c r="CK144">
        <v>4.75</v>
      </c>
      <c r="CL144">
        <v>1</v>
      </c>
      <c r="CM144">
        <v>13</v>
      </c>
      <c r="CN144">
        <v>0</v>
      </c>
      <c r="CO144">
        <v>86.667000000000002</v>
      </c>
      <c r="CP144">
        <v>86.667000000000002</v>
      </c>
      <c r="CQ144">
        <v>13</v>
      </c>
      <c r="CR144">
        <v>52</v>
      </c>
      <c r="CS144">
        <v>16.411999999999999</v>
      </c>
      <c r="CT144">
        <v>27</v>
      </c>
      <c r="CU144">
        <v>11</v>
      </c>
      <c r="CV144">
        <v>6</v>
      </c>
      <c r="CW144">
        <v>12</v>
      </c>
      <c r="CX144">
        <v>154</v>
      </c>
      <c r="CY144">
        <v>20.75</v>
      </c>
      <c r="CZ144">
        <v>68.421000000000006</v>
      </c>
      <c r="DA144">
        <v>37.255000000000003</v>
      </c>
      <c r="DB144">
        <v>70.83</v>
      </c>
      <c r="DC144">
        <v>-5</v>
      </c>
      <c r="DD144">
        <v>2083</v>
      </c>
      <c r="DE144">
        <v>66.206999999999994</v>
      </c>
      <c r="DF144">
        <v>201.375</v>
      </c>
      <c r="DG144">
        <v>13</v>
      </c>
      <c r="DH144">
        <v>310.25</v>
      </c>
      <c r="DI144">
        <v>5.976</v>
      </c>
      <c r="DJ144">
        <v>779</v>
      </c>
      <c r="DK144">
        <v>93.625</v>
      </c>
      <c r="DL144">
        <v>3.7829999999999999</v>
      </c>
      <c r="DM144">
        <v>3</v>
      </c>
      <c r="DN144">
        <v>2973</v>
      </c>
      <c r="DO144">
        <v>8</v>
      </c>
      <c r="DP144">
        <v>216.625</v>
      </c>
      <c r="DQ144">
        <v>9.0259999999999998</v>
      </c>
      <c r="DR144">
        <v>6.0590000000000002</v>
      </c>
      <c r="DS144">
        <v>4.7779999999999996</v>
      </c>
      <c r="DT144">
        <v>1</v>
      </c>
      <c r="DU144">
        <v>17</v>
      </c>
      <c r="DV144">
        <v>0</v>
      </c>
      <c r="DW144">
        <v>100</v>
      </c>
      <c r="DX144">
        <v>71.429000000000002</v>
      </c>
      <c r="DY144">
        <v>15</v>
      </c>
      <c r="DZ144">
        <v>56</v>
      </c>
      <c r="EA144">
        <v>15.25</v>
      </c>
      <c r="EB144">
        <v>7</v>
      </c>
      <c r="EC144">
        <v>27</v>
      </c>
      <c r="ED144">
        <v>6</v>
      </c>
      <c r="EE144">
        <v>8</v>
      </c>
      <c r="EF144">
        <v>128</v>
      </c>
      <c r="EG144">
        <v>19.125</v>
      </c>
      <c r="EH144">
        <v>33.332999999999998</v>
      </c>
      <c r="EI144">
        <v>38.835000000000001</v>
      </c>
      <c r="EJ144">
        <v>61.22</v>
      </c>
      <c r="EK144">
        <v>-2</v>
      </c>
    </row>
    <row r="145" spans="1:141" x14ac:dyDescent="0.25">
      <c r="A145">
        <v>0</v>
      </c>
      <c r="B145">
        <v>0</v>
      </c>
      <c r="C145">
        <v>0</v>
      </c>
      <c r="D145">
        <v>2025</v>
      </c>
      <c r="E145">
        <v>10</v>
      </c>
      <c r="F145" t="str">
        <f>VLOOKUP(G145, Map!$A$1:$B$33, 2, FALSE)</f>
        <v>HOU</v>
      </c>
      <c r="G145" t="s">
        <v>137</v>
      </c>
      <c r="H145" t="str">
        <f>VLOOKUP(I145, Map!$A$1:$B$33, 2, FALSE)</f>
        <v>JAX</v>
      </c>
      <c r="I145" t="s">
        <v>139</v>
      </c>
      <c r="J145">
        <v>0</v>
      </c>
      <c r="K145">
        <v>0</v>
      </c>
      <c r="L145">
        <v>0</v>
      </c>
      <c r="M145">
        <v>0</v>
      </c>
      <c r="N145">
        <v>3</v>
      </c>
      <c r="O145">
        <v>4</v>
      </c>
      <c r="P145">
        <v>14.714286</v>
      </c>
      <c r="Q145">
        <v>21.857143000000001</v>
      </c>
      <c r="R145">
        <v>50</v>
      </c>
      <c r="S145">
        <v>1</v>
      </c>
      <c r="T145">
        <v>0.42857142999999998</v>
      </c>
      <c r="U145">
        <v>1</v>
      </c>
      <c r="V145">
        <v>1</v>
      </c>
      <c r="W145">
        <v>2</v>
      </c>
      <c r="X145">
        <v>1</v>
      </c>
      <c r="Y145">
        <v>1</v>
      </c>
      <c r="Z145">
        <v>3</v>
      </c>
      <c r="AA145">
        <v>2</v>
      </c>
      <c r="AB145">
        <v>1</v>
      </c>
      <c r="AC145">
        <v>3</v>
      </c>
      <c r="AD145">
        <v>13</v>
      </c>
      <c r="AE145">
        <v>8</v>
      </c>
      <c r="AF145">
        <v>8</v>
      </c>
      <c r="AG145">
        <v>69</v>
      </c>
      <c r="AH145">
        <v>0</v>
      </c>
      <c r="AI145">
        <v>4</v>
      </c>
      <c r="AJ145">
        <v>3</v>
      </c>
      <c r="AK145">
        <v>22.142856999999999</v>
      </c>
      <c r="AL145">
        <v>20.857143000000001</v>
      </c>
      <c r="AM145">
        <v>-9</v>
      </c>
      <c r="AN145">
        <v>-2</v>
      </c>
      <c r="AO145">
        <v>0.57142859999999995</v>
      </c>
      <c r="AP145">
        <v>1</v>
      </c>
      <c r="AQ145">
        <v>0</v>
      </c>
      <c r="AR145">
        <v>3</v>
      </c>
      <c r="AS145">
        <v>2</v>
      </c>
      <c r="AT145">
        <v>1</v>
      </c>
      <c r="AU145">
        <v>1</v>
      </c>
      <c r="AV145">
        <v>2</v>
      </c>
      <c r="AW145">
        <v>1</v>
      </c>
      <c r="AX145">
        <v>10</v>
      </c>
      <c r="AY145">
        <v>8</v>
      </c>
      <c r="AZ145">
        <v>9</v>
      </c>
      <c r="BA145">
        <v>9</v>
      </c>
      <c r="BB145">
        <v>58</v>
      </c>
      <c r="BC145">
        <v>0</v>
      </c>
      <c r="BD145">
        <v>0</v>
      </c>
      <c r="BE145">
        <v>0</v>
      </c>
      <c r="BF145">
        <v>0</v>
      </c>
      <c r="BG145">
        <v>60.905999999999999</v>
      </c>
      <c r="BH145">
        <v>53.420999999999999</v>
      </c>
      <c r="BI145">
        <v>38.781999999999996</v>
      </c>
      <c r="BJ145">
        <v>0</v>
      </c>
      <c r="BK145">
        <v>0</v>
      </c>
      <c r="BL145">
        <v>0</v>
      </c>
      <c r="BM145">
        <v>4.1740000000000004</v>
      </c>
      <c r="BN145">
        <v>38.781999999999996</v>
      </c>
      <c r="BO145">
        <v>53.420999999999999</v>
      </c>
      <c r="BP145">
        <v>0</v>
      </c>
      <c r="BQ145">
        <v>60.905999999999999</v>
      </c>
      <c r="BR145">
        <v>-4.1740000000000004</v>
      </c>
      <c r="BS145">
        <v>0</v>
      </c>
      <c r="BT145">
        <v>0</v>
      </c>
      <c r="BU145">
        <v>0</v>
      </c>
      <c r="BV145">
        <v>2266</v>
      </c>
      <c r="BW145">
        <v>66.525000000000006</v>
      </c>
      <c r="BX145">
        <v>215.28572</v>
      </c>
      <c r="BY145">
        <v>22</v>
      </c>
      <c r="BZ145">
        <v>348.57144</v>
      </c>
      <c r="CA145">
        <v>6.9749999999999996</v>
      </c>
      <c r="CB145">
        <v>869</v>
      </c>
      <c r="CC145">
        <v>113.429</v>
      </c>
      <c r="CD145">
        <v>4.2690000000000001</v>
      </c>
      <c r="CE145">
        <v>3</v>
      </c>
      <c r="CF145">
        <v>2816</v>
      </c>
      <c r="CG145">
        <v>11</v>
      </c>
      <c r="CH145">
        <v>235.143</v>
      </c>
      <c r="CI145">
        <v>10.484</v>
      </c>
      <c r="CJ145">
        <v>7.875</v>
      </c>
      <c r="CK145">
        <v>6.1109999999999998</v>
      </c>
      <c r="CL145">
        <v>1</v>
      </c>
      <c r="CM145">
        <v>16</v>
      </c>
      <c r="CN145">
        <v>0</v>
      </c>
      <c r="CO145">
        <v>100</v>
      </c>
      <c r="CP145">
        <v>89.474000000000004</v>
      </c>
      <c r="CQ145">
        <v>17</v>
      </c>
      <c r="CR145">
        <v>63</v>
      </c>
      <c r="CS145">
        <v>11.545</v>
      </c>
      <c r="CT145">
        <v>27</v>
      </c>
      <c r="CU145">
        <v>9</v>
      </c>
      <c r="CV145">
        <v>6</v>
      </c>
      <c r="CW145">
        <v>11</v>
      </c>
      <c r="CX145">
        <v>153</v>
      </c>
      <c r="CY145">
        <v>18.713999999999999</v>
      </c>
      <c r="CZ145">
        <v>66.667000000000002</v>
      </c>
      <c r="DA145">
        <v>35.164999999999999</v>
      </c>
      <c r="DB145">
        <v>60.15</v>
      </c>
      <c r="DC145">
        <v>4</v>
      </c>
      <c r="DD145">
        <v>2100</v>
      </c>
      <c r="DE145">
        <v>58.686999999999998</v>
      </c>
      <c r="DF145">
        <v>215.14285000000001</v>
      </c>
      <c r="DG145">
        <v>21</v>
      </c>
      <c r="DH145">
        <v>351.14285000000001</v>
      </c>
      <c r="DI145">
        <v>6.2549999999999999</v>
      </c>
      <c r="DJ145">
        <v>1033</v>
      </c>
      <c r="DK145">
        <v>119.714</v>
      </c>
      <c r="DL145">
        <v>4.6820000000000004</v>
      </c>
      <c r="DM145">
        <v>6</v>
      </c>
      <c r="DN145">
        <v>2695</v>
      </c>
      <c r="DO145">
        <v>9</v>
      </c>
      <c r="DP145">
        <v>231.429</v>
      </c>
      <c r="DQ145">
        <v>10.657999999999999</v>
      </c>
      <c r="DR145">
        <v>7.375</v>
      </c>
      <c r="DS145">
        <v>3.1880000000000002</v>
      </c>
      <c r="DT145">
        <v>2</v>
      </c>
      <c r="DU145">
        <v>8</v>
      </c>
      <c r="DV145">
        <v>0</v>
      </c>
      <c r="DW145">
        <v>93.332999999999998</v>
      </c>
      <c r="DX145">
        <v>71.429000000000002</v>
      </c>
      <c r="DY145">
        <v>10</v>
      </c>
      <c r="DZ145">
        <v>44</v>
      </c>
      <c r="EA145">
        <v>4.4290000000000003</v>
      </c>
      <c r="EB145">
        <v>10</v>
      </c>
      <c r="EC145">
        <v>30</v>
      </c>
      <c r="ED145">
        <v>12</v>
      </c>
      <c r="EE145">
        <v>9</v>
      </c>
      <c r="EF145">
        <v>146</v>
      </c>
      <c r="EG145">
        <v>19.143000000000001</v>
      </c>
      <c r="EH145">
        <v>53.332999999999998</v>
      </c>
      <c r="EI145">
        <v>32.978999999999999</v>
      </c>
      <c r="EJ145">
        <v>59.74</v>
      </c>
      <c r="EK145">
        <v>8</v>
      </c>
    </row>
    <row r="146" spans="1:141" x14ac:dyDescent="0.25">
      <c r="A146">
        <v>0</v>
      </c>
      <c r="B146">
        <v>0</v>
      </c>
      <c r="C146">
        <v>0</v>
      </c>
      <c r="D146">
        <v>2025</v>
      </c>
      <c r="E146">
        <v>10</v>
      </c>
      <c r="F146" t="str">
        <f>VLOOKUP(G146, Map!$A$1:$B$33, 2, FALSE)</f>
        <v>SEA</v>
      </c>
      <c r="G146" t="s">
        <v>144</v>
      </c>
      <c r="H146" t="str">
        <f>VLOOKUP(I146, Map!$A$1:$B$33, 2, FALSE)</f>
        <v>ARI</v>
      </c>
      <c r="I146" t="s">
        <v>156</v>
      </c>
      <c r="J146">
        <v>0</v>
      </c>
      <c r="K146">
        <v>0</v>
      </c>
      <c r="L146">
        <v>0</v>
      </c>
      <c r="M146">
        <v>0</v>
      </c>
      <c r="N146">
        <v>5</v>
      </c>
      <c r="O146">
        <v>2</v>
      </c>
      <c r="P146">
        <v>19.428571999999999</v>
      </c>
      <c r="Q146">
        <v>27.571428000000001</v>
      </c>
      <c r="R146">
        <v>57</v>
      </c>
      <c r="S146">
        <v>2</v>
      </c>
      <c r="T146">
        <v>0.71428572999999995</v>
      </c>
      <c r="U146">
        <v>1</v>
      </c>
      <c r="V146">
        <v>1</v>
      </c>
      <c r="W146">
        <v>2</v>
      </c>
      <c r="X146">
        <v>2</v>
      </c>
      <c r="Y146">
        <v>3</v>
      </c>
      <c r="Z146">
        <v>0</v>
      </c>
      <c r="AA146">
        <v>2</v>
      </c>
      <c r="AB146">
        <v>2</v>
      </c>
      <c r="AC146">
        <v>9</v>
      </c>
      <c r="AD146">
        <v>8</v>
      </c>
      <c r="AE146">
        <v>7</v>
      </c>
      <c r="AF146">
        <v>10</v>
      </c>
      <c r="AG146">
        <v>61</v>
      </c>
      <c r="AH146">
        <v>0</v>
      </c>
      <c r="AI146">
        <v>2</v>
      </c>
      <c r="AJ146">
        <v>5</v>
      </c>
      <c r="AK146">
        <v>22</v>
      </c>
      <c r="AL146">
        <v>21.857143000000001</v>
      </c>
      <c r="AM146">
        <v>-1</v>
      </c>
      <c r="AN146">
        <v>-5</v>
      </c>
      <c r="AO146">
        <v>0.28571429999999998</v>
      </c>
      <c r="AP146">
        <v>0</v>
      </c>
      <c r="AQ146">
        <v>2</v>
      </c>
      <c r="AR146">
        <v>1</v>
      </c>
      <c r="AS146">
        <v>3</v>
      </c>
      <c r="AT146">
        <v>1</v>
      </c>
      <c r="AU146">
        <v>2</v>
      </c>
      <c r="AV146">
        <v>2</v>
      </c>
      <c r="AW146">
        <v>3</v>
      </c>
      <c r="AX146">
        <v>4</v>
      </c>
      <c r="AY146">
        <v>12</v>
      </c>
      <c r="AZ146">
        <v>8</v>
      </c>
      <c r="BA146">
        <v>8</v>
      </c>
      <c r="BB146">
        <v>69</v>
      </c>
      <c r="BC146">
        <v>0</v>
      </c>
      <c r="BD146">
        <v>0</v>
      </c>
      <c r="BE146">
        <v>0</v>
      </c>
      <c r="BF146">
        <v>0</v>
      </c>
      <c r="BG146">
        <v>60.4</v>
      </c>
      <c r="BH146">
        <v>52.988</v>
      </c>
      <c r="BI146">
        <v>39.284999999999997</v>
      </c>
      <c r="BJ146">
        <v>0</v>
      </c>
      <c r="BK146">
        <v>0</v>
      </c>
      <c r="BL146">
        <v>0</v>
      </c>
      <c r="BM146">
        <v>4.0279999999999996</v>
      </c>
      <c r="BN146">
        <v>39.284999999999997</v>
      </c>
      <c r="BO146">
        <v>52.988</v>
      </c>
      <c r="BP146">
        <v>0</v>
      </c>
      <c r="BQ146">
        <v>60.4</v>
      </c>
      <c r="BR146">
        <v>-4.0279999999999996</v>
      </c>
      <c r="BS146">
        <v>0</v>
      </c>
      <c r="BT146">
        <v>0</v>
      </c>
      <c r="BU146">
        <v>0</v>
      </c>
      <c r="BV146">
        <v>2459</v>
      </c>
      <c r="BW146">
        <v>67.856999999999999</v>
      </c>
      <c r="BX146">
        <v>244.42857000000001</v>
      </c>
      <c r="BY146">
        <v>27</v>
      </c>
      <c r="BZ146">
        <v>358.85714999999999</v>
      </c>
      <c r="CA146">
        <v>9.0259999999999998</v>
      </c>
      <c r="CB146">
        <v>918</v>
      </c>
      <c r="CC146">
        <v>106.143</v>
      </c>
      <c r="CD146">
        <v>3.6779999999999999</v>
      </c>
      <c r="CE146">
        <v>8</v>
      </c>
      <c r="CF146">
        <v>2854</v>
      </c>
      <c r="CG146">
        <v>12</v>
      </c>
      <c r="CH146">
        <v>252.714</v>
      </c>
      <c r="CI146">
        <v>13.301</v>
      </c>
      <c r="CJ146">
        <v>7.1740000000000004</v>
      </c>
      <c r="CK146">
        <v>7.8890000000000002</v>
      </c>
      <c r="CL146">
        <v>2</v>
      </c>
      <c r="CM146">
        <v>23</v>
      </c>
      <c r="CN146">
        <v>0</v>
      </c>
      <c r="CO146">
        <v>100</v>
      </c>
      <c r="CP146">
        <v>76.471000000000004</v>
      </c>
      <c r="CQ146">
        <v>13</v>
      </c>
      <c r="CR146">
        <v>61</v>
      </c>
      <c r="CS146">
        <v>11</v>
      </c>
      <c r="CT146">
        <v>26</v>
      </c>
      <c r="CU146">
        <v>10</v>
      </c>
      <c r="CV146">
        <v>6</v>
      </c>
      <c r="CW146">
        <v>12</v>
      </c>
      <c r="CX146">
        <v>193</v>
      </c>
      <c r="CY146">
        <v>19.428999999999998</v>
      </c>
      <c r="CZ146">
        <v>66.667000000000002</v>
      </c>
      <c r="DA146">
        <v>33.332999999999998</v>
      </c>
      <c r="DB146">
        <v>76.569999999999993</v>
      </c>
      <c r="DC146">
        <v>-4</v>
      </c>
      <c r="DD146">
        <v>2113</v>
      </c>
      <c r="DE146">
        <v>66.941999999999993</v>
      </c>
      <c r="DF146">
        <v>199.85714999999999</v>
      </c>
      <c r="DG146">
        <v>18</v>
      </c>
      <c r="DH146">
        <v>333.42856</v>
      </c>
      <c r="DI146">
        <v>6.335</v>
      </c>
      <c r="DJ146">
        <v>888</v>
      </c>
      <c r="DK146">
        <v>110.429</v>
      </c>
      <c r="DL146">
        <v>4.4169999999999998</v>
      </c>
      <c r="DM146">
        <v>5</v>
      </c>
      <c r="DN146">
        <v>2721</v>
      </c>
      <c r="DO146">
        <v>10</v>
      </c>
      <c r="DP146">
        <v>223</v>
      </c>
      <c r="DQ146">
        <v>9.4629999999999992</v>
      </c>
      <c r="DR146">
        <v>6.6669999999999998</v>
      </c>
      <c r="DS146">
        <v>3.238</v>
      </c>
      <c r="DT146">
        <v>1</v>
      </c>
      <c r="DU146">
        <v>12</v>
      </c>
      <c r="DV146">
        <v>0</v>
      </c>
      <c r="DW146">
        <v>100</v>
      </c>
      <c r="DX146">
        <v>86.667000000000002</v>
      </c>
      <c r="DY146">
        <v>13</v>
      </c>
      <c r="DZ146">
        <v>55</v>
      </c>
      <c r="EA146">
        <v>8.25</v>
      </c>
      <c r="EB146">
        <v>9</v>
      </c>
      <c r="EC146">
        <v>25</v>
      </c>
      <c r="ED146">
        <v>8</v>
      </c>
      <c r="EE146">
        <v>10</v>
      </c>
      <c r="EF146">
        <v>153</v>
      </c>
      <c r="EG146">
        <v>19</v>
      </c>
      <c r="EH146">
        <v>57.143000000000001</v>
      </c>
      <c r="EI146">
        <v>44.792000000000002</v>
      </c>
      <c r="EJ146">
        <v>63.49</v>
      </c>
      <c r="EK146">
        <v>-1</v>
      </c>
    </row>
    <row r="147" spans="1:141" x14ac:dyDescent="0.25">
      <c r="A147">
        <v>0</v>
      </c>
      <c r="B147">
        <v>0</v>
      </c>
      <c r="C147">
        <v>0</v>
      </c>
      <c r="D147">
        <v>2025</v>
      </c>
      <c r="E147">
        <v>10</v>
      </c>
      <c r="F147" t="str">
        <f>VLOOKUP(G147, Map!$A$1:$B$33, 2, FALSE)</f>
        <v>SF</v>
      </c>
      <c r="G147" t="s">
        <v>143</v>
      </c>
      <c r="H147" t="str">
        <f>VLOOKUP(I147, Map!$A$1:$B$33, 2, FALSE)</f>
        <v>LA</v>
      </c>
      <c r="I147" t="s">
        <v>155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3</v>
      </c>
      <c r="P147">
        <v>20.5</v>
      </c>
      <c r="Q147">
        <v>20</v>
      </c>
      <c r="R147">
        <v>-4</v>
      </c>
      <c r="S147">
        <v>-1</v>
      </c>
      <c r="T147">
        <v>0.625</v>
      </c>
      <c r="U147">
        <v>3</v>
      </c>
      <c r="V147">
        <v>0</v>
      </c>
      <c r="W147">
        <v>2</v>
      </c>
      <c r="X147">
        <v>1</v>
      </c>
      <c r="Y147">
        <v>3</v>
      </c>
      <c r="Z147">
        <v>2</v>
      </c>
      <c r="AA147">
        <v>5</v>
      </c>
      <c r="AB147">
        <v>1</v>
      </c>
      <c r="AC147">
        <v>15</v>
      </c>
      <c r="AD147">
        <v>5</v>
      </c>
      <c r="AE147">
        <v>13</v>
      </c>
      <c r="AF147">
        <v>7</v>
      </c>
      <c r="AG147">
        <v>68</v>
      </c>
      <c r="AH147">
        <v>0</v>
      </c>
      <c r="AI147">
        <v>5</v>
      </c>
      <c r="AJ147">
        <v>2</v>
      </c>
      <c r="AK147">
        <v>16.714285</v>
      </c>
      <c r="AL147">
        <v>25</v>
      </c>
      <c r="AM147">
        <v>58</v>
      </c>
      <c r="AN147">
        <v>2</v>
      </c>
      <c r="AO147">
        <v>0.71428572999999995</v>
      </c>
      <c r="AP147">
        <v>0</v>
      </c>
      <c r="AQ147">
        <v>1</v>
      </c>
      <c r="AR147">
        <v>2</v>
      </c>
      <c r="AS147">
        <v>1</v>
      </c>
      <c r="AT147">
        <v>3</v>
      </c>
      <c r="AU147">
        <v>1</v>
      </c>
      <c r="AV147">
        <v>0</v>
      </c>
      <c r="AW147">
        <v>2</v>
      </c>
      <c r="AX147">
        <v>5</v>
      </c>
      <c r="AY147">
        <v>11</v>
      </c>
      <c r="AZ147">
        <v>5</v>
      </c>
      <c r="BA147">
        <v>9</v>
      </c>
      <c r="BB147">
        <v>57</v>
      </c>
      <c r="BC147">
        <v>0</v>
      </c>
      <c r="BD147">
        <v>0</v>
      </c>
      <c r="BE147">
        <v>0</v>
      </c>
      <c r="BF147">
        <v>0</v>
      </c>
      <c r="BG147">
        <v>49.628999999999998</v>
      </c>
      <c r="BH147">
        <v>76.676000000000002</v>
      </c>
      <c r="BI147">
        <v>49.972999999999999</v>
      </c>
      <c r="BJ147">
        <v>0</v>
      </c>
      <c r="BK147">
        <v>0</v>
      </c>
      <c r="BL147">
        <v>0</v>
      </c>
      <c r="BM147">
        <v>2.7E-2</v>
      </c>
      <c r="BN147">
        <v>49.972999999999999</v>
      </c>
      <c r="BO147">
        <v>76.676000000000002</v>
      </c>
      <c r="BP147">
        <v>0</v>
      </c>
      <c r="BQ147">
        <v>49.628999999999998</v>
      </c>
      <c r="BR147">
        <v>-2.7E-2</v>
      </c>
      <c r="BS147">
        <v>0</v>
      </c>
      <c r="BT147">
        <v>0</v>
      </c>
      <c r="BU147">
        <v>0</v>
      </c>
      <c r="BV147">
        <v>2753</v>
      </c>
      <c r="BW147">
        <v>65.885999999999996</v>
      </c>
      <c r="BX147">
        <v>259.25</v>
      </c>
      <c r="BY147">
        <v>23</v>
      </c>
      <c r="BZ147">
        <v>362.25</v>
      </c>
      <c r="CA147">
        <v>7.3010000000000002</v>
      </c>
      <c r="CB147">
        <v>775</v>
      </c>
      <c r="CC147">
        <v>89.375</v>
      </c>
      <c r="CD147">
        <v>3.4049999999999998</v>
      </c>
      <c r="CE147">
        <v>3</v>
      </c>
      <c r="CF147">
        <v>3588</v>
      </c>
      <c r="CG147">
        <v>12</v>
      </c>
      <c r="CH147">
        <v>272.875</v>
      </c>
      <c r="CI147">
        <v>11.081</v>
      </c>
      <c r="CJ147">
        <v>6.6669999999999998</v>
      </c>
      <c r="CK147">
        <v>1.889</v>
      </c>
      <c r="CL147">
        <v>0</v>
      </c>
      <c r="CM147">
        <v>9</v>
      </c>
      <c r="CN147">
        <v>0</v>
      </c>
      <c r="CO147">
        <v>92.308000000000007</v>
      </c>
      <c r="CP147">
        <v>90</v>
      </c>
      <c r="CQ147">
        <v>18</v>
      </c>
      <c r="CR147">
        <v>66</v>
      </c>
      <c r="CS147">
        <v>14.308</v>
      </c>
      <c r="CT147">
        <v>25</v>
      </c>
      <c r="CU147">
        <v>12</v>
      </c>
      <c r="CV147">
        <v>0</v>
      </c>
      <c r="CW147">
        <v>12</v>
      </c>
      <c r="CX147">
        <v>160</v>
      </c>
      <c r="CY147">
        <v>20.875</v>
      </c>
      <c r="CZ147">
        <v>54.545000000000002</v>
      </c>
      <c r="DA147">
        <v>46.363999999999997</v>
      </c>
      <c r="DB147">
        <v>65.709999999999994</v>
      </c>
      <c r="DC147">
        <v>-5</v>
      </c>
      <c r="DD147">
        <v>2996</v>
      </c>
      <c r="DE147">
        <v>65.843999999999994</v>
      </c>
      <c r="DF147">
        <v>256.71429999999998</v>
      </c>
      <c r="DG147">
        <v>30</v>
      </c>
      <c r="DH147">
        <v>370</v>
      </c>
      <c r="DI147">
        <v>7.6790000000000003</v>
      </c>
      <c r="DJ147">
        <v>789</v>
      </c>
      <c r="DK147">
        <v>103.429</v>
      </c>
      <c r="DL147">
        <v>4.1369999999999996</v>
      </c>
      <c r="DM147">
        <v>4</v>
      </c>
      <c r="DN147">
        <v>3261</v>
      </c>
      <c r="DO147">
        <v>17</v>
      </c>
      <c r="DP147">
        <v>266.57100000000003</v>
      </c>
      <c r="DQ147">
        <v>11.663</v>
      </c>
      <c r="DR147">
        <v>6.577</v>
      </c>
      <c r="DS147">
        <v>16.111000000000001</v>
      </c>
      <c r="DT147">
        <v>0</v>
      </c>
      <c r="DU147">
        <v>26</v>
      </c>
      <c r="DV147">
        <v>0</v>
      </c>
      <c r="DW147">
        <v>90.475999999999999</v>
      </c>
      <c r="DX147">
        <v>71.429000000000002</v>
      </c>
      <c r="DY147">
        <v>10</v>
      </c>
      <c r="DZ147">
        <v>49</v>
      </c>
      <c r="EA147">
        <v>14.2</v>
      </c>
      <c r="EB147">
        <v>11</v>
      </c>
      <c r="EC147">
        <v>22</v>
      </c>
      <c r="ED147">
        <v>0</v>
      </c>
      <c r="EE147">
        <v>17</v>
      </c>
      <c r="EF147">
        <v>175</v>
      </c>
      <c r="EG147">
        <v>22</v>
      </c>
      <c r="EH147">
        <v>66.667000000000002</v>
      </c>
      <c r="EI147">
        <v>37.661999999999999</v>
      </c>
      <c r="EJ147">
        <v>65.239999999999995</v>
      </c>
      <c r="EK147">
        <v>3</v>
      </c>
    </row>
    <row r="148" spans="1:141" x14ac:dyDescent="0.25">
      <c r="A148">
        <v>0</v>
      </c>
      <c r="B148">
        <v>0</v>
      </c>
      <c r="C148">
        <v>0</v>
      </c>
      <c r="D148">
        <v>2025</v>
      </c>
      <c r="E148">
        <v>10</v>
      </c>
      <c r="F148" t="str">
        <f>VLOOKUP(G148, Map!$A$1:$B$33, 2, FALSE)</f>
        <v>WAS</v>
      </c>
      <c r="G148" t="s">
        <v>148</v>
      </c>
      <c r="H148" t="str">
        <f>VLOOKUP(I148, Map!$A$1:$B$33, 2, FALSE)</f>
        <v>DET</v>
      </c>
      <c r="I148" t="s">
        <v>164</v>
      </c>
      <c r="J148">
        <v>0</v>
      </c>
      <c r="K148">
        <v>0</v>
      </c>
      <c r="L148">
        <v>0</v>
      </c>
      <c r="M148">
        <v>0</v>
      </c>
      <c r="N148">
        <v>3</v>
      </c>
      <c r="O148">
        <v>5</v>
      </c>
      <c r="P148">
        <v>24.75</v>
      </c>
      <c r="Q148">
        <v>23.375</v>
      </c>
      <c r="R148">
        <v>-11</v>
      </c>
      <c r="S148">
        <v>-3</v>
      </c>
      <c r="T148">
        <v>0.375</v>
      </c>
      <c r="U148">
        <v>1</v>
      </c>
      <c r="V148">
        <v>1</v>
      </c>
      <c r="W148">
        <v>2</v>
      </c>
      <c r="X148">
        <v>1</v>
      </c>
      <c r="Y148">
        <v>1</v>
      </c>
      <c r="Z148">
        <v>4</v>
      </c>
      <c r="AA148">
        <v>1</v>
      </c>
      <c r="AB148">
        <v>4</v>
      </c>
      <c r="AC148">
        <v>7</v>
      </c>
      <c r="AD148">
        <v>8</v>
      </c>
      <c r="AE148">
        <v>7</v>
      </c>
      <c r="AF148">
        <v>8</v>
      </c>
      <c r="AG148">
        <v>65</v>
      </c>
      <c r="AH148">
        <v>0</v>
      </c>
      <c r="AI148">
        <v>5</v>
      </c>
      <c r="AJ148">
        <v>2</v>
      </c>
      <c r="AK148">
        <v>21.571428000000001</v>
      </c>
      <c r="AL148">
        <v>30.714285</v>
      </c>
      <c r="AM148">
        <v>64</v>
      </c>
      <c r="AN148">
        <v>1</v>
      </c>
      <c r="AO148">
        <v>0.71428572999999995</v>
      </c>
      <c r="AP148">
        <v>1</v>
      </c>
      <c r="AQ148">
        <v>1</v>
      </c>
      <c r="AR148">
        <v>3</v>
      </c>
      <c r="AS148">
        <v>0</v>
      </c>
      <c r="AT148">
        <v>2</v>
      </c>
      <c r="AU148">
        <v>2</v>
      </c>
      <c r="AV148">
        <v>2</v>
      </c>
      <c r="AW148">
        <v>1</v>
      </c>
      <c r="AX148">
        <v>8</v>
      </c>
      <c r="AY148">
        <v>8</v>
      </c>
      <c r="AZ148">
        <v>11</v>
      </c>
      <c r="BA148">
        <v>5</v>
      </c>
      <c r="BB148">
        <v>73</v>
      </c>
      <c r="BC148">
        <v>0</v>
      </c>
      <c r="BD148">
        <v>0</v>
      </c>
      <c r="BE148">
        <v>0</v>
      </c>
      <c r="BF148">
        <v>0</v>
      </c>
      <c r="BG148">
        <v>44.311</v>
      </c>
      <c r="BH148">
        <v>77.206000000000003</v>
      </c>
      <c r="BI148">
        <v>55.334000000000003</v>
      </c>
      <c r="BJ148">
        <v>0</v>
      </c>
      <c r="BK148">
        <v>0</v>
      </c>
      <c r="BL148">
        <v>0</v>
      </c>
      <c r="BM148">
        <v>-1.925</v>
      </c>
      <c r="BN148">
        <v>55.334000000000003</v>
      </c>
      <c r="BO148">
        <v>77.206000000000003</v>
      </c>
      <c r="BP148">
        <v>0</v>
      </c>
      <c r="BQ148">
        <v>44.311</v>
      </c>
      <c r="BR148">
        <v>1.925</v>
      </c>
      <c r="BS148">
        <v>0</v>
      </c>
      <c r="BT148">
        <v>0</v>
      </c>
      <c r="BU148">
        <v>0</v>
      </c>
      <c r="BV148">
        <v>2360</v>
      </c>
      <c r="BW148">
        <v>61.966000000000001</v>
      </c>
      <c r="BX148">
        <v>196.625</v>
      </c>
      <c r="BY148">
        <v>20</v>
      </c>
      <c r="BZ148">
        <v>346.5</v>
      </c>
      <c r="CA148">
        <v>7.1369999999999996</v>
      </c>
      <c r="CB148">
        <v>1342</v>
      </c>
      <c r="CC148">
        <v>137.75</v>
      </c>
      <c r="CD148">
        <v>5.1980000000000004</v>
      </c>
      <c r="CE148">
        <v>9</v>
      </c>
      <c r="CF148">
        <v>2815</v>
      </c>
      <c r="CG148">
        <v>12</v>
      </c>
      <c r="CH148">
        <v>208.75</v>
      </c>
      <c r="CI148">
        <v>11.516999999999999</v>
      </c>
      <c r="CJ148">
        <v>6.1360000000000001</v>
      </c>
      <c r="CK148">
        <v>5.9470000000000001</v>
      </c>
      <c r="CL148">
        <v>1</v>
      </c>
      <c r="CM148">
        <v>22</v>
      </c>
      <c r="CN148">
        <v>0</v>
      </c>
      <c r="CO148">
        <v>100</v>
      </c>
      <c r="CP148">
        <v>71.429000000000002</v>
      </c>
      <c r="CQ148">
        <v>10</v>
      </c>
      <c r="CR148">
        <v>49</v>
      </c>
      <c r="CS148">
        <v>4</v>
      </c>
      <c r="CT148">
        <v>25</v>
      </c>
      <c r="CU148">
        <v>11</v>
      </c>
      <c r="CV148">
        <v>8</v>
      </c>
      <c r="CW148">
        <v>12</v>
      </c>
      <c r="CX148">
        <v>187</v>
      </c>
      <c r="CY148">
        <v>18.75</v>
      </c>
      <c r="CZ148">
        <v>45.454999999999998</v>
      </c>
      <c r="DA148">
        <v>38.636000000000003</v>
      </c>
      <c r="DB148">
        <v>79.290000000000006</v>
      </c>
      <c r="DC148">
        <v>-5</v>
      </c>
      <c r="DD148">
        <v>2664</v>
      </c>
      <c r="DE148">
        <v>75</v>
      </c>
      <c r="DF148">
        <v>223.57142999999999</v>
      </c>
      <c r="DG148">
        <v>23</v>
      </c>
      <c r="DH148">
        <v>367.14285000000001</v>
      </c>
      <c r="DI148">
        <v>8.01</v>
      </c>
      <c r="DJ148">
        <v>1256</v>
      </c>
      <c r="DK148">
        <v>133.714</v>
      </c>
      <c r="DL148">
        <v>4.5220000000000002</v>
      </c>
      <c r="DM148">
        <v>10</v>
      </c>
      <c r="DN148">
        <v>2959</v>
      </c>
      <c r="DO148">
        <v>16</v>
      </c>
      <c r="DP148">
        <v>233.429</v>
      </c>
      <c r="DQ148">
        <v>10.68</v>
      </c>
      <c r="DR148">
        <v>6.2610000000000001</v>
      </c>
      <c r="DS148">
        <v>24.2</v>
      </c>
      <c r="DT148">
        <v>1</v>
      </c>
      <c r="DU148">
        <v>23</v>
      </c>
      <c r="DV148">
        <v>0</v>
      </c>
      <c r="DW148">
        <v>100</v>
      </c>
      <c r="DX148">
        <v>72.727000000000004</v>
      </c>
      <c r="DY148">
        <v>8</v>
      </c>
      <c r="DZ148">
        <v>51</v>
      </c>
      <c r="EA148">
        <v>10</v>
      </c>
      <c r="EB148">
        <v>14</v>
      </c>
      <c r="EC148">
        <v>27</v>
      </c>
      <c r="ED148">
        <v>8</v>
      </c>
      <c r="EE148">
        <v>16</v>
      </c>
      <c r="EF148">
        <v>215</v>
      </c>
      <c r="EG148">
        <v>19.856999999999999</v>
      </c>
      <c r="EH148">
        <v>61.537999999999997</v>
      </c>
      <c r="EI148">
        <v>37.646999999999998</v>
      </c>
      <c r="EJ148">
        <v>74.88</v>
      </c>
      <c r="EK148">
        <v>6</v>
      </c>
    </row>
    <row r="149" spans="1:141" x14ac:dyDescent="0.25">
      <c r="A149">
        <v>0</v>
      </c>
      <c r="B149">
        <v>0</v>
      </c>
      <c r="C149">
        <v>0</v>
      </c>
      <c r="D149">
        <v>2025</v>
      </c>
      <c r="E149">
        <v>10</v>
      </c>
      <c r="F149" t="str">
        <f>VLOOKUP(G149, Map!$A$1:$B$33, 2, FALSE)</f>
        <v>LAC</v>
      </c>
      <c r="G149" t="s">
        <v>160</v>
      </c>
      <c r="H149" t="str">
        <f>VLOOKUP(I149, Map!$A$1:$B$33, 2, FALSE)</f>
        <v>PIT</v>
      </c>
      <c r="I149" t="s">
        <v>145</v>
      </c>
      <c r="J149">
        <v>0</v>
      </c>
      <c r="K149">
        <v>0</v>
      </c>
      <c r="L149">
        <v>0</v>
      </c>
      <c r="M149">
        <v>0</v>
      </c>
      <c r="N149">
        <v>5</v>
      </c>
      <c r="O149">
        <v>3</v>
      </c>
      <c r="P149">
        <v>21.625</v>
      </c>
      <c r="Q149">
        <v>23.5</v>
      </c>
      <c r="R149">
        <v>15</v>
      </c>
      <c r="S149">
        <v>1</v>
      </c>
      <c r="T149">
        <v>0.625</v>
      </c>
      <c r="U149">
        <v>3</v>
      </c>
      <c r="V149">
        <v>0</v>
      </c>
      <c r="W149">
        <v>3</v>
      </c>
      <c r="X149">
        <v>2</v>
      </c>
      <c r="Y149">
        <v>2</v>
      </c>
      <c r="Z149">
        <v>1</v>
      </c>
      <c r="AA149">
        <v>4</v>
      </c>
      <c r="AB149">
        <v>1</v>
      </c>
      <c r="AC149">
        <v>10</v>
      </c>
      <c r="AD149">
        <v>7</v>
      </c>
      <c r="AE149">
        <v>11</v>
      </c>
      <c r="AF149">
        <v>5</v>
      </c>
      <c r="AG149">
        <v>65</v>
      </c>
      <c r="AH149">
        <v>0</v>
      </c>
      <c r="AI149">
        <v>4</v>
      </c>
      <c r="AJ149">
        <v>3</v>
      </c>
      <c r="AK149">
        <v>25</v>
      </c>
      <c r="AL149">
        <v>25</v>
      </c>
      <c r="AM149">
        <v>0</v>
      </c>
      <c r="AN149">
        <v>-2</v>
      </c>
      <c r="AO149">
        <v>0.57142859999999995</v>
      </c>
      <c r="AP149">
        <v>1</v>
      </c>
      <c r="AQ149">
        <v>1</v>
      </c>
      <c r="AR149">
        <v>2</v>
      </c>
      <c r="AS149">
        <v>2</v>
      </c>
      <c r="AT149">
        <v>2</v>
      </c>
      <c r="AU149">
        <v>1</v>
      </c>
      <c r="AV149">
        <v>3</v>
      </c>
      <c r="AW149">
        <v>1</v>
      </c>
      <c r="AX149">
        <v>9</v>
      </c>
      <c r="AY149">
        <v>8</v>
      </c>
      <c r="AZ149">
        <v>10</v>
      </c>
      <c r="BA149">
        <v>6</v>
      </c>
      <c r="BB149">
        <v>66</v>
      </c>
      <c r="BC149">
        <v>0</v>
      </c>
      <c r="BD149">
        <v>0</v>
      </c>
      <c r="BE149">
        <v>0</v>
      </c>
      <c r="BF149">
        <v>0</v>
      </c>
      <c r="BG149">
        <v>62.204000000000001</v>
      </c>
      <c r="BH149">
        <v>62.807000000000002</v>
      </c>
      <c r="BI149">
        <v>37.494999999999997</v>
      </c>
      <c r="BJ149">
        <v>0</v>
      </c>
      <c r="BK149">
        <v>0</v>
      </c>
      <c r="BL149">
        <v>0</v>
      </c>
      <c r="BM149">
        <v>4.6950000000000003</v>
      </c>
      <c r="BN149">
        <v>37.494999999999997</v>
      </c>
      <c r="BO149">
        <v>62.807000000000002</v>
      </c>
      <c r="BP149">
        <v>0</v>
      </c>
      <c r="BQ149">
        <v>62.204000000000001</v>
      </c>
      <c r="BR149">
        <v>-4.6950000000000003</v>
      </c>
      <c r="BS149">
        <v>0</v>
      </c>
      <c r="BT149">
        <v>0</v>
      </c>
      <c r="BU149">
        <v>0</v>
      </c>
      <c r="BV149">
        <v>3094</v>
      </c>
      <c r="BW149">
        <v>68</v>
      </c>
      <c r="BX149">
        <v>255.375</v>
      </c>
      <c r="BY149">
        <v>26</v>
      </c>
      <c r="BZ149">
        <v>396.125</v>
      </c>
      <c r="CA149">
        <v>7.28</v>
      </c>
      <c r="CB149">
        <v>1030</v>
      </c>
      <c r="CC149">
        <v>123.125</v>
      </c>
      <c r="CD149">
        <v>4.8520000000000003</v>
      </c>
      <c r="CE149">
        <v>3</v>
      </c>
      <c r="CF149">
        <v>3764</v>
      </c>
      <c r="CG149">
        <v>16</v>
      </c>
      <c r="CH149">
        <v>273</v>
      </c>
      <c r="CI149">
        <v>10.706</v>
      </c>
      <c r="CJ149">
        <v>5.5910000000000002</v>
      </c>
      <c r="CK149">
        <v>5.05</v>
      </c>
      <c r="CL149">
        <v>0</v>
      </c>
      <c r="CM149">
        <v>22</v>
      </c>
      <c r="CN149">
        <v>0</v>
      </c>
      <c r="CO149">
        <v>100</v>
      </c>
      <c r="CP149">
        <v>94.736999999999995</v>
      </c>
      <c r="CQ149">
        <v>18</v>
      </c>
      <c r="CR149">
        <v>72</v>
      </c>
      <c r="CS149">
        <v>12.5</v>
      </c>
      <c r="CT149">
        <v>20</v>
      </c>
      <c r="CU149">
        <v>8</v>
      </c>
      <c r="CV149">
        <v>0</v>
      </c>
      <c r="CW149">
        <v>16</v>
      </c>
      <c r="CX149">
        <v>188</v>
      </c>
      <c r="CY149">
        <v>21.875</v>
      </c>
      <c r="CZ149">
        <v>70</v>
      </c>
      <c r="DA149">
        <v>48.673000000000002</v>
      </c>
      <c r="DB149">
        <v>61.73</v>
      </c>
      <c r="DC149">
        <v>-3</v>
      </c>
      <c r="DD149">
        <v>2471</v>
      </c>
      <c r="DE149">
        <v>68.570999999999998</v>
      </c>
      <c r="DF149">
        <v>202.85714999999999</v>
      </c>
      <c r="DG149">
        <v>20</v>
      </c>
      <c r="DH149">
        <v>308.71429999999998</v>
      </c>
      <c r="DI149">
        <v>7.1479999999999997</v>
      </c>
      <c r="DJ149">
        <v>750</v>
      </c>
      <c r="DK149">
        <v>94.286000000000001</v>
      </c>
      <c r="DL149">
        <v>4.0739999999999998</v>
      </c>
      <c r="DM149">
        <v>3</v>
      </c>
      <c r="DN149">
        <v>2781</v>
      </c>
      <c r="DO149">
        <v>16</v>
      </c>
      <c r="DP149">
        <v>214.429</v>
      </c>
      <c r="DQ149">
        <v>10.423999999999999</v>
      </c>
      <c r="DR149">
        <v>6.4089999999999998</v>
      </c>
      <c r="DS149">
        <v>7.4379999999999997</v>
      </c>
      <c r="DT149">
        <v>0</v>
      </c>
      <c r="DU149">
        <v>22</v>
      </c>
      <c r="DV149">
        <v>0</v>
      </c>
      <c r="DW149">
        <v>100</v>
      </c>
      <c r="DX149">
        <v>87.5</v>
      </c>
      <c r="DY149">
        <v>14</v>
      </c>
      <c r="DZ149">
        <v>59</v>
      </c>
      <c r="EA149">
        <v>8.25</v>
      </c>
      <c r="EB149">
        <v>8</v>
      </c>
      <c r="EC149">
        <v>23</v>
      </c>
      <c r="ED149">
        <v>0</v>
      </c>
      <c r="EE149">
        <v>16</v>
      </c>
      <c r="EF149">
        <v>175</v>
      </c>
      <c r="EG149">
        <v>17.428999999999998</v>
      </c>
      <c r="EH149">
        <v>50</v>
      </c>
      <c r="EI149">
        <v>38.960999999999999</v>
      </c>
      <c r="EJ149">
        <v>75.94</v>
      </c>
      <c r="EK149">
        <v>4</v>
      </c>
    </row>
    <row r="150" spans="1:141" x14ac:dyDescent="0.25">
      <c r="A150">
        <v>0</v>
      </c>
      <c r="B150">
        <v>0</v>
      </c>
      <c r="C150">
        <v>0</v>
      </c>
      <c r="D150">
        <v>2025</v>
      </c>
      <c r="E150">
        <v>10</v>
      </c>
      <c r="F150" t="str">
        <f>VLOOKUP(G150, Map!$A$1:$B$33, 2, FALSE)</f>
        <v>GB</v>
      </c>
      <c r="G150" t="s">
        <v>154</v>
      </c>
      <c r="H150" t="str">
        <f>VLOOKUP(I150, Map!$A$1:$B$33, 2, FALSE)</f>
        <v>PHI</v>
      </c>
      <c r="I150" t="s">
        <v>147</v>
      </c>
      <c r="J150">
        <v>0</v>
      </c>
      <c r="K150">
        <v>0</v>
      </c>
      <c r="L150">
        <v>0</v>
      </c>
      <c r="M150">
        <v>0</v>
      </c>
      <c r="N150">
        <v>5</v>
      </c>
      <c r="O150">
        <v>1</v>
      </c>
      <c r="P150">
        <v>21.428571999999999</v>
      </c>
      <c r="Q150">
        <v>27.571428000000001</v>
      </c>
      <c r="R150">
        <v>43</v>
      </c>
      <c r="S150">
        <v>3</v>
      </c>
      <c r="T150">
        <v>0.78571427000000005</v>
      </c>
      <c r="U150">
        <v>1</v>
      </c>
      <c r="V150">
        <v>0</v>
      </c>
      <c r="W150">
        <v>3</v>
      </c>
      <c r="X150">
        <v>0</v>
      </c>
      <c r="Y150">
        <v>2</v>
      </c>
      <c r="Z150">
        <v>1</v>
      </c>
      <c r="AA150">
        <v>3</v>
      </c>
      <c r="AB150">
        <v>0</v>
      </c>
      <c r="AC150">
        <v>8</v>
      </c>
      <c r="AD150">
        <v>8</v>
      </c>
      <c r="AE150">
        <v>8</v>
      </c>
      <c r="AF150">
        <v>8</v>
      </c>
      <c r="AG150">
        <v>61</v>
      </c>
      <c r="AH150">
        <v>0</v>
      </c>
      <c r="AI150">
        <v>6</v>
      </c>
      <c r="AJ150">
        <v>2</v>
      </c>
      <c r="AK150">
        <v>23.125</v>
      </c>
      <c r="AL150">
        <v>26</v>
      </c>
      <c r="AM150">
        <v>23</v>
      </c>
      <c r="AN150">
        <v>2</v>
      </c>
      <c r="AO150">
        <v>0.75</v>
      </c>
      <c r="AP150">
        <v>2</v>
      </c>
      <c r="AQ150">
        <v>1</v>
      </c>
      <c r="AR150">
        <v>3</v>
      </c>
      <c r="AS150">
        <v>1</v>
      </c>
      <c r="AT150">
        <v>3</v>
      </c>
      <c r="AU150">
        <v>1</v>
      </c>
      <c r="AV150">
        <v>5</v>
      </c>
      <c r="AW150">
        <v>1</v>
      </c>
      <c r="AX150">
        <v>16</v>
      </c>
      <c r="AY150">
        <v>3</v>
      </c>
      <c r="AZ150">
        <v>10</v>
      </c>
      <c r="BA150">
        <v>9</v>
      </c>
      <c r="BB150">
        <v>63</v>
      </c>
      <c r="BC150">
        <v>0</v>
      </c>
      <c r="BD150">
        <v>0</v>
      </c>
      <c r="BE150">
        <v>0</v>
      </c>
      <c r="BF150">
        <v>0</v>
      </c>
      <c r="BG150">
        <v>55.182000000000002</v>
      </c>
      <c r="BH150">
        <v>87.25</v>
      </c>
      <c r="BI150">
        <v>44.460999999999999</v>
      </c>
      <c r="BJ150">
        <v>0</v>
      </c>
      <c r="BK150">
        <v>0</v>
      </c>
      <c r="BL150">
        <v>0</v>
      </c>
      <c r="BM150">
        <v>1.944</v>
      </c>
      <c r="BN150">
        <v>44.460999999999999</v>
      </c>
      <c r="BO150">
        <v>87.25</v>
      </c>
      <c r="BP150">
        <v>0</v>
      </c>
      <c r="BQ150">
        <v>55.182000000000002</v>
      </c>
      <c r="BR150">
        <v>-1.944</v>
      </c>
      <c r="BS150">
        <v>0</v>
      </c>
      <c r="BT150">
        <v>0</v>
      </c>
      <c r="BU150">
        <v>0</v>
      </c>
      <c r="BV150">
        <v>2648</v>
      </c>
      <c r="BW150">
        <v>70.891999999999996</v>
      </c>
      <c r="BX150">
        <v>245</v>
      </c>
      <c r="BY150">
        <v>26</v>
      </c>
      <c r="BZ150">
        <v>371</v>
      </c>
      <c r="CA150">
        <v>8.4410000000000007</v>
      </c>
      <c r="CB150">
        <v>1099</v>
      </c>
      <c r="CC150">
        <v>114.143</v>
      </c>
      <c r="CD150">
        <v>3.9359999999999999</v>
      </c>
      <c r="CE150">
        <v>9</v>
      </c>
      <c r="CF150">
        <v>3008</v>
      </c>
      <c r="CG150">
        <v>13</v>
      </c>
      <c r="CH150">
        <v>256.85700000000003</v>
      </c>
      <c r="CI150">
        <v>11.907</v>
      </c>
      <c r="CJ150">
        <v>6.1429999999999998</v>
      </c>
      <c r="CK150">
        <v>6.75</v>
      </c>
      <c r="CL150">
        <v>0</v>
      </c>
      <c r="CM150">
        <v>21</v>
      </c>
      <c r="CN150">
        <v>0</v>
      </c>
      <c r="CO150">
        <v>95.238</v>
      </c>
      <c r="CP150">
        <v>76.471000000000004</v>
      </c>
      <c r="CQ150">
        <v>13</v>
      </c>
      <c r="CR150">
        <v>59</v>
      </c>
      <c r="CS150">
        <v>11.909000000000001</v>
      </c>
      <c r="CT150">
        <v>22</v>
      </c>
      <c r="CU150">
        <v>6</v>
      </c>
      <c r="CV150">
        <v>0</v>
      </c>
      <c r="CW150">
        <v>13</v>
      </c>
      <c r="CX150">
        <v>193</v>
      </c>
      <c r="CY150">
        <v>21</v>
      </c>
      <c r="CZ150">
        <v>75</v>
      </c>
      <c r="DA150">
        <v>48.276000000000003</v>
      </c>
      <c r="DB150">
        <v>78.569999999999993</v>
      </c>
      <c r="DC150">
        <v>1</v>
      </c>
      <c r="DD150">
        <v>2679</v>
      </c>
      <c r="DE150">
        <v>70.233000000000004</v>
      </c>
      <c r="DF150">
        <v>192.75</v>
      </c>
      <c r="DG150">
        <v>23</v>
      </c>
      <c r="DH150">
        <v>321.25</v>
      </c>
      <c r="DI150">
        <v>7.7160000000000002</v>
      </c>
      <c r="DJ150">
        <v>1178</v>
      </c>
      <c r="DK150">
        <v>111.625</v>
      </c>
      <c r="DL150">
        <v>4.0960000000000001</v>
      </c>
      <c r="DM150">
        <v>9</v>
      </c>
      <c r="DN150">
        <v>2957</v>
      </c>
      <c r="DO150">
        <v>15</v>
      </c>
      <c r="DP150">
        <v>209.625</v>
      </c>
      <c r="DQ150">
        <v>10.987</v>
      </c>
      <c r="DR150">
        <v>4.75</v>
      </c>
      <c r="DS150">
        <v>3.75</v>
      </c>
      <c r="DT150">
        <v>3</v>
      </c>
      <c r="DU150">
        <v>16</v>
      </c>
      <c r="DV150">
        <v>0</v>
      </c>
      <c r="DW150">
        <v>100</v>
      </c>
      <c r="DX150">
        <v>77.778000000000006</v>
      </c>
      <c r="DY150">
        <v>7</v>
      </c>
      <c r="DZ150">
        <v>46</v>
      </c>
      <c r="EA150">
        <v>13.55</v>
      </c>
      <c r="EB150">
        <v>7</v>
      </c>
      <c r="EC150">
        <v>34</v>
      </c>
      <c r="ED150">
        <v>6</v>
      </c>
      <c r="EE150">
        <v>15</v>
      </c>
      <c r="EF150">
        <v>208</v>
      </c>
      <c r="EG150">
        <v>17.875</v>
      </c>
      <c r="EH150">
        <v>78.570999999999998</v>
      </c>
      <c r="EI150">
        <v>33.332999999999998</v>
      </c>
      <c r="EJ150">
        <v>87.14</v>
      </c>
      <c r="EK150">
        <v>4</v>
      </c>
    </row>
    <row r="151" spans="1:141" x14ac:dyDescent="0.25">
      <c r="A151">
        <v>0</v>
      </c>
      <c r="B151">
        <v>0</v>
      </c>
      <c r="C151">
        <v>0</v>
      </c>
      <c r="D151">
        <v>2025</v>
      </c>
      <c r="E151">
        <v>11</v>
      </c>
      <c r="F151" t="str">
        <f>VLOOKUP(G151, Map!$A$1:$B$33, 2, FALSE)</f>
        <v>NE</v>
      </c>
      <c r="G151" t="s">
        <v>151</v>
      </c>
      <c r="H151" t="str">
        <f>VLOOKUP(I151, Map!$A$1:$B$33, 2, FALSE)</f>
        <v>NYJ</v>
      </c>
      <c r="I151" t="s">
        <v>166</v>
      </c>
      <c r="J151">
        <v>0</v>
      </c>
      <c r="K151">
        <v>0</v>
      </c>
      <c r="L151">
        <v>0</v>
      </c>
      <c r="M151">
        <v>0</v>
      </c>
      <c r="N151">
        <v>6</v>
      </c>
      <c r="O151">
        <v>2</v>
      </c>
      <c r="P151">
        <v>18.25</v>
      </c>
      <c r="Q151">
        <v>26.625</v>
      </c>
      <c r="R151">
        <v>67</v>
      </c>
      <c r="S151">
        <v>5</v>
      </c>
      <c r="T151">
        <v>0.75</v>
      </c>
      <c r="U151">
        <v>2</v>
      </c>
      <c r="V151">
        <v>0</v>
      </c>
      <c r="W151">
        <v>2</v>
      </c>
      <c r="X151">
        <v>2</v>
      </c>
      <c r="Y151">
        <v>4</v>
      </c>
      <c r="Z151">
        <v>0</v>
      </c>
      <c r="AA151">
        <v>4</v>
      </c>
      <c r="AB151">
        <v>2</v>
      </c>
      <c r="AC151">
        <v>8</v>
      </c>
      <c r="AD151">
        <v>9</v>
      </c>
      <c r="AE151">
        <v>7</v>
      </c>
      <c r="AF151">
        <v>9</v>
      </c>
      <c r="AG151">
        <v>61</v>
      </c>
      <c r="AH151">
        <v>0</v>
      </c>
      <c r="AI151">
        <v>1</v>
      </c>
      <c r="AJ151">
        <v>7</v>
      </c>
      <c r="AK151">
        <v>27.625</v>
      </c>
      <c r="AL151">
        <v>21</v>
      </c>
      <c r="AM151">
        <v>-53</v>
      </c>
      <c r="AN151">
        <v>1</v>
      </c>
      <c r="AO151">
        <v>0.125</v>
      </c>
      <c r="AP151">
        <v>0</v>
      </c>
      <c r="AQ151">
        <v>2</v>
      </c>
      <c r="AR151">
        <v>0</v>
      </c>
      <c r="AS151">
        <v>5</v>
      </c>
      <c r="AT151">
        <v>1</v>
      </c>
      <c r="AU151">
        <v>2</v>
      </c>
      <c r="AV151">
        <v>1</v>
      </c>
      <c r="AW151">
        <v>4</v>
      </c>
      <c r="AX151">
        <v>7</v>
      </c>
      <c r="AY151">
        <v>10</v>
      </c>
      <c r="AZ151">
        <v>8</v>
      </c>
      <c r="BA151">
        <v>9</v>
      </c>
      <c r="BB151">
        <v>60</v>
      </c>
      <c r="BC151">
        <v>0</v>
      </c>
      <c r="BD151">
        <v>0</v>
      </c>
      <c r="BE151">
        <v>0</v>
      </c>
      <c r="BF151">
        <v>0</v>
      </c>
      <c r="BG151">
        <v>70.41</v>
      </c>
      <c r="BH151">
        <v>35.177999999999997</v>
      </c>
      <c r="BI151">
        <v>29.353999999999999</v>
      </c>
      <c r="BJ151">
        <v>0</v>
      </c>
      <c r="BK151">
        <v>0</v>
      </c>
      <c r="BL151">
        <v>0</v>
      </c>
      <c r="BM151">
        <v>8.2919999999999998</v>
      </c>
      <c r="BN151">
        <v>29.353999999999999</v>
      </c>
      <c r="BO151">
        <v>35.177999999999997</v>
      </c>
      <c r="BP151">
        <v>0</v>
      </c>
      <c r="BQ151">
        <v>70.41</v>
      </c>
      <c r="BR151">
        <v>-8.2919999999999998</v>
      </c>
      <c r="BS151">
        <v>0</v>
      </c>
      <c r="BT151">
        <v>0</v>
      </c>
      <c r="BU151">
        <v>0</v>
      </c>
      <c r="BV151">
        <v>2965</v>
      </c>
      <c r="BW151">
        <v>75</v>
      </c>
      <c r="BX151">
        <v>240.5</v>
      </c>
      <c r="BY151">
        <v>29</v>
      </c>
      <c r="BZ151">
        <v>367.375</v>
      </c>
      <c r="CA151">
        <v>8.7940000000000005</v>
      </c>
      <c r="CB151">
        <v>1056</v>
      </c>
      <c r="CC151">
        <v>112.625</v>
      </c>
      <c r="CD151">
        <v>3.9340000000000002</v>
      </c>
      <c r="CE151">
        <v>7</v>
      </c>
      <c r="CF151">
        <v>3418</v>
      </c>
      <c r="CG151">
        <v>15</v>
      </c>
      <c r="CH151">
        <v>254.75</v>
      </c>
      <c r="CI151">
        <v>11.725</v>
      </c>
      <c r="CJ151">
        <v>6.3159999999999998</v>
      </c>
      <c r="CK151">
        <v>3.7410000000000001</v>
      </c>
      <c r="CL151">
        <v>4</v>
      </c>
      <c r="CM151">
        <v>19</v>
      </c>
      <c r="CN151">
        <v>0</v>
      </c>
      <c r="CO151">
        <v>91.304000000000002</v>
      </c>
      <c r="CP151">
        <v>92.308000000000007</v>
      </c>
      <c r="CQ151">
        <v>12</v>
      </c>
      <c r="CR151">
        <v>57</v>
      </c>
      <c r="CS151">
        <v>16.8</v>
      </c>
      <c r="CT151">
        <v>27</v>
      </c>
      <c r="CU151">
        <v>10</v>
      </c>
      <c r="CV151">
        <v>14</v>
      </c>
      <c r="CW151">
        <v>15</v>
      </c>
      <c r="CX151">
        <v>213</v>
      </c>
      <c r="CY151">
        <v>20.375</v>
      </c>
      <c r="CZ151">
        <v>83.332999999999998</v>
      </c>
      <c r="DA151">
        <v>39.784999999999997</v>
      </c>
      <c r="DB151">
        <v>67</v>
      </c>
      <c r="DC151">
        <v>2</v>
      </c>
      <c r="DD151">
        <v>2012</v>
      </c>
      <c r="DE151">
        <v>63.713000000000001</v>
      </c>
      <c r="DF151">
        <v>156.5</v>
      </c>
      <c r="DG151">
        <v>15</v>
      </c>
      <c r="DH151">
        <v>327.625</v>
      </c>
      <c r="DI151">
        <v>6.2110000000000003</v>
      </c>
      <c r="DJ151">
        <v>1254</v>
      </c>
      <c r="DK151">
        <v>143.625</v>
      </c>
      <c r="DL151">
        <v>5.1989999999999998</v>
      </c>
      <c r="DM151">
        <v>6</v>
      </c>
      <c r="DN151">
        <v>2542</v>
      </c>
      <c r="DO151">
        <v>9</v>
      </c>
      <c r="DP151">
        <v>184</v>
      </c>
      <c r="DQ151">
        <v>9.7479999999999993</v>
      </c>
      <c r="DR151">
        <v>6.2729999999999997</v>
      </c>
      <c r="DS151">
        <v>2.4169999999999998</v>
      </c>
      <c r="DT151">
        <v>1</v>
      </c>
      <c r="DU151">
        <v>11</v>
      </c>
      <c r="DV151">
        <v>0</v>
      </c>
      <c r="DW151">
        <v>100</v>
      </c>
      <c r="DX151">
        <v>100</v>
      </c>
      <c r="DY151">
        <v>17</v>
      </c>
      <c r="DZ151">
        <v>60</v>
      </c>
      <c r="EA151">
        <v>6.25</v>
      </c>
      <c r="EB151">
        <v>11</v>
      </c>
      <c r="EC151">
        <v>31</v>
      </c>
      <c r="ED151">
        <v>2</v>
      </c>
      <c r="EE151">
        <v>9</v>
      </c>
      <c r="EF151">
        <v>168</v>
      </c>
      <c r="EG151">
        <v>18.5</v>
      </c>
      <c r="EH151">
        <v>52.631999999999998</v>
      </c>
      <c r="EI151">
        <v>34.905999999999999</v>
      </c>
      <c r="EJ151">
        <v>69.17</v>
      </c>
      <c r="EK151">
        <v>-9</v>
      </c>
    </row>
    <row r="152" spans="1:141" x14ac:dyDescent="0.25">
      <c r="A152">
        <v>0</v>
      </c>
      <c r="B152">
        <v>0</v>
      </c>
      <c r="C152">
        <v>0</v>
      </c>
      <c r="D152">
        <v>2025</v>
      </c>
      <c r="E152">
        <v>11</v>
      </c>
      <c r="F152" t="str">
        <f>VLOOKUP(G152, Map!$A$1:$B$33, 2, FALSE)</f>
        <v>MIA</v>
      </c>
      <c r="G152" t="s">
        <v>152</v>
      </c>
      <c r="H152" t="str">
        <f>VLOOKUP(I152, Map!$A$1:$B$33, 2, FALSE)</f>
        <v>WAS</v>
      </c>
      <c r="I152" t="s">
        <v>148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6</v>
      </c>
      <c r="P152">
        <v>26.875</v>
      </c>
      <c r="Q152">
        <v>21.75</v>
      </c>
      <c r="R152">
        <v>-41</v>
      </c>
      <c r="S152">
        <v>1</v>
      </c>
      <c r="T152">
        <v>0.25</v>
      </c>
      <c r="U152">
        <v>1</v>
      </c>
      <c r="V152">
        <v>2</v>
      </c>
      <c r="W152">
        <v>1</v>
      </c>
      <c r="X152">
        <v>2</v>
      </c>
      <c r="Y152">
        <v>1</v>
      </c>
      <c r="Z152">
        <v>4</v>
      </c>
      <c r="AA152">
        <v>1</v>
      </c>
      <c r="AB152">
        <v>5</v>
      </c>
      <c r="AC152">
        <v>9</v>
      </c>
      <c r="AD152">
        <v>9</v>
      </c>
      <c r="AE152">
        <v>10</v>
      </c>
      <c r="AF152">
        <v>8</v>
      </c>
      <c r="AG152">
        <v>68</v>
      </c>
      <c r="AH152">
        <v>0</v>
      </c>
      <c r="AI152">
        <v>3</v>
      </c>
      <c r="AJ152">
        <v>5</v>
      </c>
      <c r="AK152">
        <v>24.75</v>
      </c>
      <c r="AL152">
        <v>23.375</v>
      </c>
      <c r="AM152">
        <v>-11</v>
      </c>
      <c r="AN152">
        <v>-3</v>
      </c>
      <c r="AO152">
        <v>0.375</v>
      </c>
      <c r="AP152">
        <v>1</v>
      </c>
      <c r="AQ152">
        <v>1</v>
      </c>
      <c r="AR152">
        <v>2</v>
      </c>
      <c r="AS152">
        <v>1</v>
      </c>
      <c r="AT152">
        <v>1</v>
      </c>
      <c r="AU152">
        <v>4</v>
      </c>
      <c r="AV152">
        <v>1</v>
      </c>
      <c r="AW152">
        <v>4</v>
      </c>
      <c r="AX152">
        <v>7</v>
      </c>
      <c r="AY152">
        <v>8</v>
      </c>
      <c r="AZ152">
        <v>7</v>
      </c>
      <c r="BA152">
        <v>8</v>
      </c>
      <c r="BB152">
        <v>65</v>
      </c>
      <c r="BC152">
        <v>0</v>
      </c>
      <c r="BD152">
        <v>0</v>
      </c>
      <c r="BE152">
        <v>0</v>
      </c>
      <c r="BF152">
        <v>0</v>
      </c>
      <c r="BG152">
        <v>35.29</v>
      </c>
      <c r="BH152">
        <v>47.094999999999999</v>
      </c>
      <c r="BI152">
        <v>64.427000000000007</v>
      </c>
      <c r="BJ152">
        <v>0</v>
      </c>
      <c r="BK152">
        <v>0</v>
      </c>
      <c r="BL152">
        <v>0</v>
      </c>
      <c r="BM152">
        <v>-5.1870000000000003</v>
      </c>
      <c r="BN152">
        <v>64.427000000000007</v>
      </c>
      <c r="BO152">
        <v>47.094999999999999</v>
      </c>
      <c r="BP152">
        <v>0</v>
      </c>
      <c r="BQ152">
        <v>35.29</v>
      </c>
      <c r="BR152">
        <v>5.1870000000000003</v>
      </c>
      <c r="BS152">
        <v>0</v>
      </c>
      <c r="BT152">
        <v>0</v>
      </c>
      <c r="BU152">
        <v>0</v>
      </c>
      <c r="BV152">
        <v>2361</v>
      </c>
      <c r="BW152">
        <v>68.674999999999997</v>
      </c>
      <c r="BX152">
        <v>187.875</v>
      </c>
      <c r="BY152">
        <v>17</v>
      </c>
      <c r="BZ152">
        <v>299.875</v>
      </c>
      <c r="CA152">
        <v>6.47</v>
      </c>
      <c r="CB152">
        <v>898</v>
      </c>
      <c r="CC152">
        <v>98.5</v>
      </c>
      <c r="CD152">
        <v>4.452</v>
      </c>
      <c r="CE152">
        <v>4</v>
      </c>
      <c r="CF152">
        <v>2991</v>
      </c>
      <c r="CG152">
        <v>15</v>
      </c>
      <c r="CH152">
        <v>201.375</v>
      </c>
      <c r="CI152">
        <v>9.4209999999999994</v>
      </c>
      <c r="CJ152">
        <v>6.4669999999999996</v>
      </c>
      <c r="CK152">
        <v>4.8239999999999998</v>
      </c>
      <c r="CL152">
        <v>1</v>
      </c>
      <c r="CM152">
        <v>15</v>
      </c>
      <c r="CN152">
        <v>0</v>
      </c>
      <c r="CO152">
        <v>100</v>
      </c>
      <c r="CP152">
        <v>91.667000000000002</v>
      </c>
      <c r="CQ152">
        <v>11</v>
      </c>
      <c r="CR152">
        <v>52</v>
      </c>
      <c r="CS152">
        <v>7</v>
      </c>
      <c r="CT152">
        <v>26</v>
      </c>
      <c r="CU152">
        <v>11</v>
      </c>
      <c r="CV152">
        <v>6</v>
      </c>
      <c r="CW152">
        <v>15</v>
      </c>
      <c r="CX152">
        <v>174</v>
      </c>
      <c r="CY152">
        <v>17</v>
      </c>
      <c r="CZ152">
        <v>53.845999999999997</v>
      </c>
      <c r="DA152">
        <v>41.237000000000002</v>
      </c>
      <c r="DB152">
        <v>72.05</v>
      </c>
      <c r="DC152">
        <v>-5</v>
      </c>
      <c r="DD152">
        <v>2360</v>
      </c>
      <c r="DE152">
        <v>61.966000000000001</v>
      </c>
      <c r="DF152">
        <v>196.625</v>
      </c>
      <c r="DG152">
        <v>20</v>
      </c>
      <c r="DH152">
        <v>346.5</v>
      </c>
      <c r="DI152">
        <v>7.1369999999999996</v>
      </c>
      <c r="DJ152">
        <v>1342</v>
      </c>
      <c r="DK152">
        <v>137.75</v>
      </c>
      <c r="DL152">
        <v>5.1980000000000004</v>
      </c>
      <c r="DM152">
        <v>9</v>
      </c>
      <c r="DN152">
        <v>2815</v>
      </c>
      <c r="DO152">
        <v>12</v>
      </c>
      <c r="DP152">
        <v>208.75</v>
      </c>
      <c r="DQ152">
        <v>11.516999999999999</v>
      </c>
      <c r="DR152">
        <v>6.1360000000000001</v>
      </c>
      <c r="DS152">
        <v>5.9470000000000001</v>
      </c>
      <c r="DT152">
        <v>1</v>
      </c>
      <c r="DU152">
        <v>22</v>
      </c>
      <c r="DV152">
        <v>0</v>
      </c>
      <c r="DW152">
        <v>100</v>
      </c>
      <c r="DX152">
        <v>71.429000000000002</v>
      </c>
      <c r="DY152">
        <v>10</v>
      </c>
      <c r="DZ152">
        <v>49</v>
      </c>
      <c r="EA152">
        <v>4</v>
      </c>
      <c r="EB152">
        <v>11</v>
      </c>
      <c r="EC152">
        <v>25</v>
      </c>
      <c r="ED152">
        <v>8</v>
      </c>
      <c r="EE152">
        <v>12</v>
      </c>
      <c r="EF152">
        <v>187</v>
      </c>
      <c r="EG152">
        <v>18.75</v>
      </c>
      <c r="EH152">
        <v>45.454999999999998</v>
      </c>
      <c r="EI152">
        <v>38.636000000000003</v>
      </c>
      <c r="EJ152">
        <v>79.290000000000006</v>
      </c>
      <c r="EK152">
        <v>-5</v>
      </c>
    </row>
    <row r="153" spans="1:141" x14ac:dyDescent="0.25">
      <c r="A153">
        <v>0</v>
      </c>
      <c r="B153">
        <v>0</v>
      </c>
      <c r="C153">
        <v>0</v>
      </c>
      <c r="D153">
        <v>2025</v>
      </c>
      <c r="E153">
        <v>11</v>
      </c>
      <c r="F153" t="str">
        <f>VLOOKUP(G153, Map!$A$1:$B$33, 2, FALSE)</f>
        <v>ATL</v>
      </c>
      <c r="G153" t="s">
        <v>167</v>
      </c>
      <c r="H153" t="str">
        <f>VLOOKUP(I153, Map!$A$1:$B$33, 2, FALSE)</f>
        <v>CAR</v>
      </c>
      <c r="I153" t="s">
        <v>142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4</v>
      </c>
      <c r="P153">
        <v>22</v>
      </c>
      <c r="Q153">
        <v>17.142856999999999</v>
      </c>
      <c r="R153">
        <v>-34</v>
      </c>
      <c r="S153">
        <v>-2</v>
      </c>
      <c r="T153">
        <v>0.42857142999999998</v>
      </c>
      <c r="U153">
        <v>0</v>
      </c>
      <c r="V153">
        <v>2</v>
      </c>
      <c r="W153">
        <v>2</v>
      </c>
      <c r="X153">
        <v>2</v>
      </c>
      <c r="Y153">
        <v>1</v>
      </c>
      <c r="Z153">
        <v>2</v>
      </c>
      <c r="AA153">
        <v>2</v>
      </c>
      <c r="AB153">
        <v>3</v>
      </c>
      <c r="AC153">
        <v>7</v>
      </c>
      <c r="AD153">
        <v>10</v>
      </c>
      <c r="AE153">
        <v>9</v>
      </c>
      <c r="AF153">
        <v>8</v>
      </c>
      <c r="AG153">
        <v>64</v>
      </c>
      <c r="AH153">
        <v>0</v>
      </c>
      <c r="AI153">
        <v>4</v>
      </c>
      <c r="AJ153">
        <v>4</v>
      </c>
      <c r="AK153">
        <v>24</v>
      </c>
      <c r="AL153">
        <v>19.25</v>
      </c>
      <c r="AM153">
        <v>-38</v>
      </c>
      <c r="AN153">
        <v>-1</v>
      </c>
      <c r="AO153">
        <v>0.5</v>
      </c>
      <c r="AP153">
        <v>1</v>
      </c>
      <c r="AQ153">
        <v>0</v>
      </c>
      <c r="AR153">
        <v>3</v>
      </c>
      <c r="AS153">
        <v>1</v>
      </c>
      <c r="AT153">
        <v>1</v>
      </c>
      <c r="AU153">
        <v>3</v>
      </c>
      <c r="AV153">
        <v>2</v>
      </c>
      <c r="AW153">
        <v>1</v>
      </c>
      <c r="AX153">
        <v>7</v>
      </c>
      <c r="AY153">
        <v>10</v>
      </c>
      <c r="AZ153">
        <v>9</v>
      </c>
      <c r="BA153">
        <v>8</v>
      </c>
      <c r="BB153">
        <v>58</v>
      </c>
      <c r="BC153">
        <v>0</v>
      </c>
      <c r="BD153">
        <v>0</v>
      </c>
      <c r="BE153">
        <v>0</v>
      </c>
      <c r="BF153">
        <v>0</v>
      </c>
      <c r="BG153">
        <v>57.292000000000002</v>
      </c>
      <c r="BH153">
        <v>26.012</v>
      </c>
      <c r="BI153">
        <v>42.368000000000002</v>
      </c>
      <c r="BJ153">
        <v>0</v>
      </c>
      <c r="BK153">
        <v>0</v>
      </c>
      <c r="BL153">
        <v>0</v>
      </c>
      <c r="BM153">
        <v>2.7</v>
      </c>
      <c r="BN153">
        <v>42.368000000000002</v>
      </c>
      <c r="BO153">
        <v>26.012</v>
      </c>
      <c r="BP153">
        <v>0</v>
      </c>
      <c r="BQ153">
        <v>57.292000000000002</v>
      </c>
      <c r="BR153">
        <v>-2.7</v>
      </c>
      <c r="BS153">
        <v>0</v>
      </c>
      <c r="BT153">
        <v>0</v>
      </c>
      <c r="BU153">
        <v>0</v>
      </c>
      <c r="BV153">
        <v>1871</v>
      </c>
      <c r="BW153">
        <v>62.231999999999999</v>
      </c>
      <c r="BX153">
        <v>219.42857000000001</v>
      </c>
      <c r="BY153">
        <v>19</v>
      </c>
      <c r="BZ153">
        <v>353.42856</v>
      </c>
      <c r="CA153">
        <v>6.9139999999999997</v>
      </c>
      <c r="CB153">
        <v>1048</v>
      </c>
      <c r="CC153">
        <v>123.286</v>
      </c>
      <c r="CD153">
        <v>4.4029999999999996</v>
      </c>
      <c r="CE153">
        <v>7</v>
      </c>
      <c r="CF153">
        <v>2511</v>
      </c>
      <c r="CG153">
        <v>5</v>
      </c>
      <c r="CH153">
        <v>230.143</v>
      </c>
      <c r="CI153">
        <v>11.11</v>
      </c>
      <c r="CJ153">
        <v>5.9379999999999997</v>
      </c>
      <c r="CK153">
        <v>5.6429999999999998</v>
      </c>
      <c r="CL153">
        <v>0</v>
      </c>
      <c r="CM153">
        <v>16</v>
      </c>
      <c r="CN153">
        <v>0</v>
      </c>
      <c r="CO153">
        <v>100</v>
      </c>
      <c r="CP153">
        <v>75</v>
      </c>
      <c r="CQ153">
        <v>12</v>
      </c>
      <c r="CR153">
        <v>48</v>
      </c>
      <c r="CS153">
        <v>7.5380000000000003</v>
      </c>
      <c r="CT153">
        <v>22</v>
      </c>
      <c r="CU153">
        <v>9</v>
      </c>
      <c r="CV153">
        <v>0</v>
      </c>
      <c r="CW153">
        <v>5</v>
      </c>
      <c r="CX153">
        <v>120</v>
      </c>
      <c r="CY153">
        <v>19.286000000000001</v>
      </c>
      <c r="CZ153">
        <v>40</v>
      </c>
      <c r="DA153">
        <v>39.326000000000001</v>
      </c>
      <c r="DB153">
        <v>57.86</v>
      </c>
      <c r="DC153">
        <v>2</v>
      </c>
      <c r="DD153">
        <v>2241</v>
      </c>
      <c r="DE153">
        <v>62.451999999999998</v>
      </c>
      <c r="DF153">
        <v>179.5</v>
      </c>
      <c r="DG153">
        <v>19</v>
      </c>
      <c r="DH153">
        <v>334.5</v>
      </c>
      <c r="DI153">
        <v>6.0570000000000004</v>
      </c>
      <c r="DJ153">
        <v>1145</v>
      </c>
      <c r="DK153">
        <v>136.875</v>
      </c>
      <c r="DL153">
        <v>4.6399999999999997</v>
      </c>
      <c r="DM153">
        <v>4</v>
      </c>
      <c r="DN153">
        <v>2816</v>
      </c>
      <c r="DO153">
        <v>12</v>
      </c>
      <c r="DP153">
        <v>197.625</v>
      </c>
      <c r="DQ153">
        <v>9.6989999999999998</v>
      </c>
      <c r="DR153">
        <v>6.8460000000000001</v>
      </c>
      <c r="DS153">
        <v>4.75</v>
      </c>
      <c r="DT153">
        <v>1</v>
      </c>
      <c r="DU153">
        <v>13</v>
      </c>
      <c r="DV153">
        <v>0</v>
      </c>
      <c r="DW153">
        <v>86.667000000000002</v>
      </c>
      <c r="DX153">
        <v>86.667000000000002</v>
      </c>
      <c r="DY153">
        <v>13</v>
      </c>
      <c r="DZ153">
        <v>52</v>
      </c>
      <c r="EA153">
        <v>16.411999999999999</v>
      </c>
      <c r="EB153">
        <v>11</v>
      </c>
      <c r="EC153">
        <v>27</v>
      </c>
      <c r="ED153">
        <v>6</v>
      </c>
      <c r="EE153">
        <v>12</v>
      </c>
      <c r="EF153">
        <v>154</v>
      </c>
      <c r="EG153">
        <v>20.75</v>
      </c>
      <c r="EH153">
        <v>68.421000000000006</v>
      </c>
      <c r="EI153">
        <v>37.255000000000003</v>
      </c>
      <c r="EJ153">
        <v>70.83</v>
      </c>
      <c r="EK153">
        <v>-5</v>
      </c>
    </row>
    <row r="154" spans="1:141" x14ac:dyDescent="0.25">
      <c r="A154">
        <v>0</v>
      </c>
      <c r="B154">
        <v>0</v>
      </c>
      <c r="C154">
        <v>0</v>
      </c>
      <c r="D154">
        <v>2025</v>
      </c>
      <c r="E154">
        <v>11</v>
      </c>
      <c r="F154" t="str">
        <f>VLOOKUP(G154, Map!$A$1:$B$33, 2, FALSE)</f>
        <v>BUF</v>
      </c>
      <c r="G154" t="s">
        <v>165</v>
      </c>
      <c r="H154" t="str">
        <f>VLOOKUP(I154, Map!$A$1:$B$33, 2, FALSE)</f>
        <v>TB</v>
      </c>
      <c r="I154" t="s">
        <v>141</v>
      </c>
      <c r="J154">
        <v>0</v>
      </c>
      <c r="K154">
        <v>0</v>
      </c>
      <c r="L154">
        <v>0</v>
      </c>
      <c r="M154">
        <v>0</v>
      </c>
      <c r="N154">
        <v>5</v>
      </c>
      <c r="O154">
        <v>2</v>
      </c>
      <c r="P154">
        <v>20.857143000000001</v>
      </c>
      <c r="Q154">
        <v>29.571428000000001</v>
      </c>
      <c r="R154">
        <v>61</v>
      </c>
      <c r="S154">
        <v>1</v>
      </c>
      <c r="T154">
        <v>0.71428572999999995</v>
      </c>
      <c r="U154">
        <v>2</v>
      </c>
      <c r="V154">
        <v>1</v>
      </c>
      <c r="W154">
        <v>3</v>
      </c>
      <c r="X154">
        <v>1</v>
      </c>
      <c r="Y154">
        <v>2</v>
      </c>
      <c r="Z154">
        <v>1</v>
      </c>
      <c r="AA154">
        <v>3</v>
      </c>
      <c r="AB154">
        <v>1</v>
      </c>
      <c r="AC154">
        <v>14</v>
      </c>
      <c r="AD154">
        <v>4</v>
      </c>
      <c r="AE154">
        <v>8</v>
      </c>
      <c r="AF154">
        <v>9</v>
      </c>
      <c r="AG154">
        <v>68</v>
      </c>
      <c r="AH154">
        <v>0</v>
      </c>
      <c r="AI154">
        <v>6</v>
      </c>
      <c r="AJ154">
        <v>2</v>
      </c>
      <c r="AK154">
        <v>22.25</v>
      </c>
      <c r="AL154">
        <v>24.625</v>
      </c>
      <c r="AM154">
        <v>19</v>
      </c>
      <c r="AN154">
        <v>1</v>
      </c>
      <c r="AO154">
        <v>0.75</v>
      </c>
      <c r="AP154">
        <v>2</v>
      </c>
      <c r="AQ154">
        <v>0</v>
      </c>
      <c r="AR154">
        <v>2</v>
      </c>
      <c r="AS154">
        <v>1</v>
      </c>
      <c r="AT154">
        <v>4</v>
      </c>
      <c r="AU154">
        <v>1</v>
      </c>
      <c r="AV154">
        <v>4</v>
      </c>
      <c r="AW154">
        <v>2</v>
      </c>
      <c r="AX154">
        <v>8</v>
      </c>
      <c r="AY154">
        <v>9</v>
      </c>
      <c r="AZ154">
        <v>4</v>
      </c>
      <c r="BA154">
        <v>12</v>
      </c>
      <c r="BB154">
        <v>59</v>
      </c>
      <c r="BC154">
        <v>0</v>
      </c>
      <c r="BD154">
        <v>0</v>
      </c>
      <c r="BE154">
        <v>0</v>
      </c>
      <c r="BF154">
        <v>0</v>
      </c>
      <c r="BG154">
        <v>62.468000000000004</v>
      </c>
      <c r="BH154">
        <v>72.129000000000005</v>
      </c>
      <c r="BI154">
        <v>37.232999999999997</v>
      </c>
      <c r="BJ154">
        <v>0</v>
      </c>
      <c r="BK154">
        <v>0</v>
      </c>
      <c r="BL154">
        <v>0</v>
      </c>
      <c r="BM154">
        <v>4.6989999999999998</v>
      </c>
      <c r="BN154">
        <v>37.232999999999997</v>
      </c>
      <c r="BO154">
        <v>72.129000000000005</v>
      </c>
      <c r="BP154">
        <v>0</v>
      </c>
      <c r="BQ154">
        <v>62.468000000000004</v>
      </c>
      <c r="BR154">
        <v>-4.6989999999999998</v>
      </c>
      <c r="BS154">
        <v>0</v>
      </c>
      <c r="BT154">
        <v>0</v>
      </c>
      <c r="BU154">
        <v>0</v>
      </c>
      <c r="BV154">
        <v>2334</v>
      </c>
      <c r="BW154">
        <v>67.488</v>
      </c>
      <c r="BX154">
        <v>218.42857000000001</v>
      </c>
      <c r="BY154">
        <v>22</v>
      </c>
      <c r="BZ154">
        <v>395</v>
      </c>
      <c r="CA154">
        <v>7.9509999999999996</v>
      </c>
      <c r="CB154">
        <v>1576</v>
      </c>
      <c r="CC154">
        <v>164.429</v>
      </c>
      <c r="CD154">
        <v>5.2080000000000002</v>
      </c>
      <c r="CE154">
        <v>13</v>
      </c>
      <c r="CF154">
        <v>2719</v>
      </c>
      <c r="CG154">
        <v>12</v>
      </c>
      <c r="CH154">
        <v>230.571</v>
      </c>
      <c r="CI154">
        <v>11.781000000000001</v>
      </c>
      <c r="CJ154">
        <v>5.8639999999999999</v>
      </c>
      <c r="CK154">
        <v>5.35</v>
      </c>
      <c r="CL154">
        <v>0</v>
      </c>
      <c r="CM154">
        <v>22</v>
      </c>
      <c r="CN154">
        <v>0</v>
      </c>
      <c r="CO154">
        <v>95.454999999999998</v>
      </c>
      <c r="CP154">
        <v>92.308000000000007</v>
      </c>
      <c r="CQ154">
        <v>12</v>
      </c>
      <c r="CR154">
        <v>57</v>
      </c>
      <c r="CS154">
        <v>8</v>
      </c>
      <c r="CT154">
        <v>22</v>
      </c>
      <c r="CU154">
        <v>10</v>
      </c>
      <c r="CV154">
        <v>0</v>
      </c>
      <c r="CW154">
        <v>12</v>
      </c>
      <c r="CX154">
        <v>207</v>
      </c>
      <c r="CY154">
        <v>23.143000000000001</v>
      </c>
      <c r="CZ154">
        <v>60</v>
      </c>
      <c r="DA154">
        <v>43.75</v>
      </c>
      <c r="DB154">
        <v>73.47</v>
      </c>
      <c r="DC154">
        <v>2</v>
      </c>
      <c r="DD154">
        <v>2769</v>
      </c>
      <c r="DE154">
        <v>63.941000000000003</v>
      </c>
      <c r="DF154">
        <v>224.875</v>
      </c>
      <c r="DG154">
        <v>29</v>
      </c>
      <c r="DH154">
        <v>338</v>
      </c>
      <c r="DI154">
        <v>7.1340000000000003</v>
      </c>
      <c r="DJ154">
        <v>950</v>
      </c>
      <c r="DK154">
        <v>98.125</v>
      </c>
      <c r="DL154">
        <v>3.8479999999999999</v>
      </c>
      <c r="DM154">
        <v>6</v>
      </c>
      <c r="DN154">
        <v>3234</v>
      </c>
      <c r="DO154">
        <v>13</v>
      </c>
      <c r="DP154">
        <v>239.875</v>
      </c>
      <c r="DQ154">
        <v>11.157</v>
      </c>
      <c r="DR154">
        <v>7.8</v>
      </c>
      <c r="DS154">
        <v>6.8</v>
      </c>
      <c r="DT154">
        <v>2</v>
      </c>
      <c r="DU154">
        <v>25</v>
      </c>
      <c r="DV154">
        <v>0</v>
      </c>
      <c r="DW154">
        <v>94.117999999999995</v>
      </c>
      <c r="DX154">
        <v>80.951999999999998</v>
      </c>
      <c r="DY154">
        <v>17</v>
      </c>
      <c r="DZ154">
        <v>67</v>
      </c>
      <c r="EA154">
        <v>14.667</v>
      </c>
      <c r="EB154">
        <v>12</v>
      </c>
      <c r="EC154">
        <v>32</v>
      </c>
      <c r="ED154">
        <v>14</v>
      </c>
      <c r="EE154">
        <v>13</v>
      </c>
      <c r="EF154">
        <v>197</v>
      </c>
      <c r="EG154">
        <v>18.875</v>
      </c>
      <c r="EH154">
        <v>50</v>
      </c>
      <c r="EI154">
        <v>36.274999999999999</v>
      </c>
      <c r="EJ154">
        <v>55.19</v>
      </c>
      <c r="EK154">
        <v>7</v>
      </c>
    </row>
    <row r="155" spans="1:141" x14ac:dyDescent="0.25">
      <c r="A155">
        <v>0</v>
      </c>
      <c r="B155">
        <v>0</v>
      </c>
      <c r="C155">
        <v>0</v>
      </c>
      <c r="D155">
        <v>2025</v>
      </c>
      <c r="E155">
        <v>11</v>
      </c>
      <c r="F155" t="str">
        <f>VLOOKUP(G155, Map!$A$1:$B$33, 2, FALSE)</f>
        <v>TEN</v>
      </c>
      <c r="G155" t="s">
        <v>140</v>
      </c>
      <c r="H155" t="str">
        <f>VLOOKUP(I155, Map!$A$1:$B$33, 2, FALSE)</f>
        <v>HOU</v>
      </c>
      <c r="I155" t="s">
        <v>137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7</v>
      </c>
      <c r="P155">
        <v>28.75</v>
      </c>
      <c r="Q155">
        <v>13.75</v>
      </c>
      <c r="R155">
        <v>-120</v>
      </c>
      <c r="S155">
        <v>-3</v>
      </c>
      <c r="T155">
        <v>0.125</v>
      </c>
      <c r="U155">
        <v>0</v>
      </c>
      <c r="V155">
        <v>3</v>
      </c>
      <c r="W155">
        <v>0</v>
      </c>
      <c r="X155">
        <v>3</v>
      </c>
      <c r="Y155">
        <v>1</v>
      </c>
      <c r="Z155">
        <v>4</v>
      </c>
      <c r="AA155">
        <v>0</v>
      </c>
      <c r="AB155">
        <v>6</v>
      </c>
      <c r="AC155">
        <v>7</v>
      </c>
      <c r="AD155">
        <v>9</v>
      </c>
      <c r="AE155">
        <v>8</v>
      </c>
      <c r="AF155">
        <v>7</v>
      </c>
      <c r="AG155">
        <v>59</v>
      </c>
      <c r="AH155">
        <v>0</v>
      </c>
      <c r="AI155">
        <v>3</v>
      </c>
      <c r="AJ155">
        <v>4</v>
      </c>
      <c r="AK155">
        <v>14.714286</v>
      </c>
      <c r="AL155">
        <v>21.857143000000001</v>
      </c>
      <c r="AM155">
        <v>50</v>
      </c>
      <c r="AN155">
        <v>1</v>
      </c>
      <c r="AO155">
        <v>0.42857142999999998</v>
      </c>
      <c r="AP155">
        <v>1</v>
      </c>
      <c r="AQ155">
        <v>1</v>
      </c>
      <c r="AR155">
        <v>2</v>
      </c>
      <c r="AS155">
        <v>1</v>
      </c>
      <c r="AT155">
        <v>1</v>
      </c>
      <c r="AU155">
        <v>3</v>
      </c>
      <c r="AV155">
        <v>2</v>
      </c>
      <c r="AW155">
        <v>1</v>
      </c>
      <c r="AX155">
        <v>3</v>
      </c>
      <c r="AY155">
        <v>13</v>
      </c>
      <c r="AZ155">
        <v>8</v>
      </c>
      <c r="BA155">
        <v>8</v>
      </c>
      <c r="BB155">
        <v>69</v>
      </c>
      <c r="BC155">
        <v>0</v>
      </c>
      <c r="BD155">
        <v>0</v>
      </c>
      <c r="BE155">
        <v>0</v>
      </c>
      <c r="BF155">
        <v>0</v>
      </c>
      <c r="BG155">
        <v>30.254999999999999</v>
      </c>
      <c r="BH155">
        <v>32.707999999999998</v>
      </c>
      <c r="BI155">
        <v>69.501999999999995</v>
      </c>
      <c r="BJ155">
        <v>0</v>
      </c>
      <c r="BK155">
        <v>0</v>
      </c>
      <c r="BL155">
        <v>0</v>
      </c>
      <c r="BM155">
        <v>-7.9349999999999996</v>
      </c>
      <c r="BN155">
        <v>69.501999999999995</v>
      </c>
      <c r="BO155">
        <v>32.707999999999998</v>
      </c>
      <c r="BP155">
        <v>0</v>
      </c>
      <c r="BQ155">
        <v>30.254999999999999</v>
      </c>
      <c r="BR155">
        <v>7.9349999999999996</v>
      </c>
      <c r="BS155">
        <v>0</v>
      </c>
      <c r="BT155">
        <v>0</v>
      </c>
      <c r="BU155">
        <v>0</v>
      </c>
      <c r="BV155">
        <v>1785</v>
      </c>
      <c r="BW155">
        <v>57.664000000000001</v>
      </c>
      <c r="BX155">
        <v>168.375</v>
      </c>
      <c r="BY155">
        <v>21</v>
      </c>
      <c r="BZ155">
        <v>282.25</v>
      </c>
      <c r="CA155">
        <v>5.8940000000000001</v>
      </c>
      <c r="CB155">
        <v>643</v>
      </c>
      <c r="CC155">
        <v>80.375</v>
      </c>
      <c r="CD155">
        <v>3.9209999999999998</v>
      </c>
      <c r="CE155">
        <v>3</v>
      </c>
      <c r="CF155">
        <v>2580</v>
      </c>
      <c r="CG155">
        <v>5</v>
      </c>
      <c r="CH155">
        <v>201.875</v>
      </c>
      <c r="CI155">
        <v>10.222</v>
      </c>
      <c r="CJ155">
        <v>6.8129999999999997</v>
      </c>
      <c r="CK155">
        <v>4.8949999999999996</v>
      </c>
      <c r="CL155">
        <v>0</v>
      </c>
      <c r="CM155">
        <v>16</v>
      </c>
      <c r="CN155">
        <v>0</v>
      </c>
      <c r="CO155">
        <v>88.888999999999996</v>
      </c>
      <c r="CP155">
        <v>76.19</v>
      </c>
      <c r="CQ155">
        <v>16</v>
      </c>
      <c r="CR155">
        <v>56</v>
      </c>
      <c r="CS155">
        <v>10.75</v>
      </c>
      <c r="CT155">
        <v>37</v>
      </c>
      <c r="CU155">
        <v>12</v>
      </c>
      <c r="CV155">
        <v>6</v>
      </c>
      <c r="CW155">
        <v>5</v>
      </c>
      <c r="CX155">
        <v>110</v>
      </c>
      <c r="CY155">
        <v>15.875</v>
      </c>
      <c r="CZ155">
        <v>38.462000000000003</v>
      </c>
      <c r="DA155">
        <v>29.907</v>
      </c>
      <c r="DB155">
        <v>65.31</v>
      </c>
      <c r="DC155">
        <v>-4</v>
      </c>
      <c r="DD155">
        <v>2266</v>
      </c>
      <c r="DE155">
        <v>66.525000000000006</v>
      </c>
      <c r="DF155">
        <v>215.28572</v>
      </c>
      <c r="DG155">
        <v>22</v>
      </c>
      <c r="DH155">
        <v>348.57144</v>
      </c>
      <c r="DI155">
        <v>6.9749999999999996</v>
      </c>
      <c r="DJ155">
        <v>869</v>
      </c>
      <c r="DK155">
        <v>113.429</v>
      </c>
      <c r="DL155">
        <v>4.2690000000000001</v>
      </c>
      <c r="DM155">
        <v>3</v>
      </c>
      <c r="DN155">
        <v>2816</v>
      </c>
      <c r="DO155">
        <v>11</v>
      </c>
      <c r="DP155">
        <v>235.143</v>
      </c>
      <c r="DQ155">
        <v>10.484</v>
      </c>
      <c r="DR155">
        <v>7.875</v>
      </c>
      <c r="DS155">
        <v>6.1109999999999998</v>
      </c>
      <c r="DT155">
        <v>1</v>
      </c>
      <c r="DU155">
        <v>16</v>
      </c>
      <c r="DV155">
        <v>0</v>
      </c>
      <c r="DW155">
        <v>100</v>
      </c>
      <c r="DX155">
        <v>89.474000000000004</v>
      </c>
      <c r="DY155">
        <v>17</v>
      </c>
      <c r="DZ155">
        <v>63</v>
      </c>
      <c r="EA155">
        <v>11.545</v>
      </c>
      <c r="EB155">
        <v>9</v>
      </c>
      <c r="EC155">
        <v>27</v>
      </c>
      <c r="ED155">
        <v>6</v>
      </c>
      <c r="EE155">
        <v>11</v>
      </c>
      <c r="EF155">
        <v>153</v>
      </c>
      <c r="EG155">
        <v>18.713999999999999</v>
      </c>
      <c r="EH155">
        <v>66.667000000000002</v>
      </c>
      <c r="EI155">
        <v>35.164999999999999</v>
      </c>
      <c r="EJ155">
        <v>60.15</v>
      </c>
      <c r="EK155">
        <v>4</v>
      </c>
    </row>
    <row r="156" spans="1:141" x14ac:dyDescent="0.25">
      <c r="A156">
        <v>0</v>
      </c>
      <c r="B156">
        <v>0</v>
      </c>
      <c r="C156">
        <v>0</v>
      </c>
      <c r="D156">
        <v>2025</v>
      </c>
      <c r="E156">
        <v>11</v>
      </c>
      <c r="F156" t="str">
        <f>VLOOKUP(G156, Map!$A$1:$B$33, 2, FALSE)</f>
        <v>MIN</v>
      </c>
      <c r="G156" t="s">
        <v>153</v>
      </c>
      <c r="H156" t="str">
        <f>VLOOKUP(I156, Map!$A$1:$B$33, 2, FALSE)</f>
        <v>CHI</v>
      </c>
      <c r="I156" t="s">
        <v>163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4</v>
      </c>
      <c r="P156">
        <v>23.142856999999999</v>
      </c>
      <c r="Q156">
        <v>22.142856999999999</v>
      </c>
      <c r="R156">
        <v>-7</v>
      </c>
      <c r="S156">
        <v>-2</v>
      </c>
      <c r="T156">
        <v>0.42857142999999998</v>
      </c>
      <c r="U156">
        <v>1</v>
      </c>
      <c r="V156">
        <v>0</v>
      </c>
      <c r="W156">
        <v>1</v>
      </c>
      <c r="X156">
        <v>2</v>
      </c>
      <c r="Y156">
        <v>2</v>
      </c>
      <c r="Z156">
        <v>2</v>
      </c>
      <c r="AA156">
        <v>1</v>
      </c>
      <c r="AB156">
        <v>2</v>
      </c>
      <c r="AC156">
        <v>13</v>
      </c>
      <c r="AD156">
        <v>4</v>
      </c>
      <c r="AE156">
        <v>7</v>
      </c>
      <c r="AF156">
        <v>9</v>
      </c>
      <c r="AG156">
        <v>61</v>
      </c>
      <c r="AH156">
        <v>0</v>
      </c>
      <c r="AI156">
        <v>4</v>
      </c>
      <c r="AJ156">
        <v>3</v>
      </c>
      <c r="AK156">
        <v>26.428571999999999</v>
      </c>
      <c r="AL156">
        <v>24</v>
      </c>
      <c r="AM156">
        <v>-17</v>
      </c>
      <c r="AN156">
        <v>-1</v>
      </c>
      <c r="AO156">
        <v>0.57142859999999995</v>
      </c>
      <c r="AP156">
        <v>0</v>
      </c>
      <c r="AQ156">
        <v>2</v>
      </c>
      <c r="AR156">
        <v>2</v>
      </c>
      <c r="AS156">
        <v>1</v>
      </c>
      <c r="AT156">
        <v>2</v>
      </c>
      <c r="AU156">
        <v>2</v>
      </c>
      <c r="AV156">
        <v>3</v>
      </c>
      <c r="AW156">
        <v>2</v>
      </c>
      <c r="AX156">
        <v>3</v>
      </c>
      <c r="AY156">
        <v>14</v>
      </c>
      <c r="AZ156">
        <v>5</v>
      </c>
      <c r="BA156">
        <v>11</v>
      </c>
      <c r="BB156">
        <v>61</v>
      </c>
      <c r="BC156">
        <v>0</v>
      </c>
      <c r="BD156">
        <v>0</v>
      </c>
      <c r="BE156">
        <v>0</v>
      </c>
      <c r="BF156">
        <v>0</v>
      </c>
      <c r="BG156">
        <v>51.08</v>
      </c>
      <c r="BH156">
        <v>36.435000000000002</v>
      </c>
      <c r="BI156">
        <v>48.530999999999999</v>
      </c>
      <c r="BJ156">
        <v>0</v>
      </c>
      <c r="BK156">
        <v>0</v>
      </c>
      <c r="BL156">
        <v>0</v>
      </c>
      <c r="BM156">
        <v>0.59699999999999998</v>
      </c>
      <c r="BN156">
        <v>48.530999999999999</v>
      </c>
      <c r="BO156">
        <v>36.435000000000002</v>
      </c>
      <c r="BP156">
        <v>0</v>
      </c>
      <c r="BQ156">
        <v>51.08</v>
      </c>
      <c r="BR156">
        <v>-0.59699999999999998</v>
      </c>
      <c r="BS156">
        <v>0</v>
      </c>
      <c r="BT156">
        <v>0</v>
      </c>
      <c r="BU156">
        <v>0</v>
      </c>
      <c r="BV156">
        <v>1981</v>
      </c>
      <c r="BW156">
        <v>63.927</v>
      </c>
      <c r="BX156">
        <v>202.71428</v>
      </c>
      <c r="BY156">
        <v>21</v>
      </c>
      <c r="BZ156">
        <v>321.14285000000001</v>
      </c>
      <c r="CA156">
        <v>7.2649999999999997</v>
      </c>
      <c r="CB156">
        <v>772</v>
      </c>
      <c r="CC156">
        <v>93.856999999999999</v>
      </c>
      <c r="CD156">
        <v>4.2939999999999996</v>
      </c>
      <c r="CE156">
        <v>5</v>
      </c>
      <c r="CF156">
        <v>2606</v>
      </c>
      <c r="CG156">
        <v>9</v>
      </c>
      <c r="CH156">
        <v>227.286</v>
      </c>
      <c r="CI156">
        <v>11.364000000000001</v>
      </c>
      <c r="CJ156">
        <v>6.2220000000000004</v>
      </c>
      <c r="CK156">
        <v>3.3570000000000002</v>
      </c>
      <c r="CL156">
        <v>2</v>
      </c>
      <c r="CM156">
        <v>18</v>
      </c>
      <c r="CN156">
        <v>0</v>
      </c>
      <c r="CO156">
        <v>100</v>
      </c>
      <c r="CP156">
        <v>87.5</v>
      </c>
      <c r="CQ156">
        <v>14</v>
      </c>
      <c r="CR156">
        <v>55</v>
      </c>
      <c r="CS156">
        <v>7.8179999999999996</v>
      </c>
      <c r="CT156">
        <v>29</v>
      </c>
      <c r="CU156">
        <v>10</v>
      </c>
      <c r="CV156">
        <v>12</v>
      </c>
      <c r="CW156">
        <v>9</v>
      </c>
      <c r="CX156">
        <v>155</v>
      </c>
      <c r="CY156">
        <v>17.428999999999998</v>
      </c>
      <c r="CZ156">
        <v>62.5</v>
      </c>
      <c r="DA156">
        <v>33.332999999999998</v>
      </c>
      <c r="DB156">
        <v>70.13</v>
      </c>
      <c r="DC156">
        <v>-4</v>
      </c>
      <c r="DD156">
        <v>2157</v>
      </c>
      <c r="DE156">
        <v>61.947000000000003</v>
      </c>
      <c r="DF156">
        <v>225.57142999999999</v>
      </c>
      <c r="DG156">
        <v>26</v>
      </c>
      <c r="DH156">
        <v>362.14285000000001</v>
      </c>
      <c r="DI156">
        <v>7.2880000000000003</v>
      </c>
      <c r="DJ156">
        <v>1087</v>
      </c>
      <c r="DK156">
        <v>124.571</v>
      </c>
      <c r="DL156">
        <v>4.4039999999999999</v>
      </c>
      <c r="DM156">
        <v>7</v>
      </c>
      <c r="DN156">
        <v>2678</v>
      </c>
      <c r="DO156">
        <v>9</v>
      </c>
      <c r="DP156">
        <v>237.571</v>
      </c>
      <c r="DQ156">
        <v>11.763999999999999</v>
      </c>
      <c r="DR156">
        <v>4.5709999999999997</v>
      </c>
      <c r="DS156">
        <v>2.9409999999999998</v>
      </c>
      <c r="DT156">
        <v>1</v>
      </c>
      <c r="DU156">
        <v>14</v>
      </c>
      <c r="DV156">
        <v>0</v>
      </c>
      <c r="DW156">
        <v>100</v>
      </c>
      <c r="DX156">
        <v>85</v>
      </c>
      <c r="DY156">
        <v>17</v>
      </c>
      <c r="DZ156">
        <v>66</v>
      </c>
      <c r="EA156">
        <v>11.909000000000001</v>
      </c>
      <c r="EB156">
        <v>7</v>
      </c>
      <c r="EC156">
        <v>24</v>
      </c>
      <c r="ED156">
        <v>6</v>
      </c>
      <c r="EE156">
        <v>9</v>
      </c>
      <c r="EF156">
        <v>168</v>
      </c>
      <c r="EG156">
        <v>19.286000000000001</v>
      </c>
      <c r="EH156">
        <v>37.5</v>
      </c>
      <c r="EI156">
        <v>41.110999999999997</v>
      </c>
      <c r="EJ156">
        <v>57.14</v>
      </c>
      <c r="EK156">
        <v>10</v>
      </c>
    </row>
    <row r="157" spans="1:141" x14ac:dyDescent="0.25">
      <c r="A157">
        <v>0</v>
      </c>
      <c r="B157">
        <v>0</v>
      </c>
      <c r="C157">
        <v>0</v>
      </c>
      <c r="D157">
        <v>2025</v>
      </c>
      <c r="E157">
        <v>11</v>
      </c>
      <c r="F157" t="str">
        <f>VLOOKUP(G157, Map!$A$1:$B$33, 2, FALSE)</f>
        <v>NYG</v>
      </c>
      <c r="G157" t="s">
        <v>149</v>
      </c>
      <c r="H157" t="str">
        <f>VLOOKUP(I157, Map!$A$1:$B$33, 2, FALSE)</f>
        <v>GB</v>
      </c>
      <c r="I157" t="s">
        <v>154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6</v>
      </c>
      <c r="P157">
        <v>26.875</v>
      </c>
      <c r="Q157">
        <v>21.625</v>
      </c>
      <c r="R157">
        <v>-42</v>
      </c>
      <c r="S157">
        <v>-2</v>
      </c>
      <c r="T157">
        <v>0.25</v>
      </c>
      <c r="U157">
        <v>1</v>
      </c>
      <c r="V157">
        <v>3</v>
      </c>
      <c r="W157">
        <v>2</v>
      </c>
      <c r="X157">
        <v>1</v>
      </c>
      <c r="Y157">
        <v>0</v>
      </c>
      <c r="Z157">
        <v>5</v>
      </c>
      <c r="AA157">
        <v>1</v>
      </c>
      <c r="AB157">
        <v>4</v>
      </c>
      <c r="AC157">
        <v>10</v>
      </c>
      <c r="AD157">
        <v>7</v>
      </c>
      <c r="AE157">
        <v>14</v>
      </c>
      <c r="AF157">
        <v>4</v>
      </c>
      <c r="AG157">
        <v>67</v>
      </c>
      <c r="AH157">
        <v>0</v>
      </c>
      <c r="AI157">
        <v>5</v>
      </c>
      <c r="AJ157">
        <v>1</v>
      </c>
      <c r="AK157">
        <v>21.428571999999999</v>
      </c>
      <c r="AL157">
        <v>27.571428000000001</v>
      </c>
      <c r="AM157">
        <v>43</v>
      </c>
      <c r="AN157">
        <v>3</v>
      </c>
      <c r="AO157">
        <v>0.78571427000000005</v>
      </c>
      <c r="AP157">
        <v>1</v>
      </c>
      <c r="AQ157">
        <v>0</v>
      </c>
      <c r="AR157">
        <v>3</v>
      </c>
      <c r="AS157">
        <v>0</v>
      </c>
      <c r="AT157">
        <v>2</v>
      </c>
      <c r="AU157">
        <v>1</v>
      </c>
      <c r="AV157">
        <v>3</v>
      </c>
      <c r="AW157">
        <v>0</v>
      </c>
      <c r="AX157">
        <v>8</v>
      </c>
      <c r="AY157">
        <v>8</v>
      </c>
      <c r="AZ157">
        <v>8</v>
      </c>
      <c r="BA157">
        <v>8</v>
      </c>
      <c r="BB157">
        <v>61</v>
      </c>
      <c r="BC157">
        <v>0</v>
      </c>
      <c r="BD157">
        <v>0</v>
      </c>
      <c r="BE157">
        <v>0</v>
      </c>
      <c r="BF157">
        <v>0</v>
      </c>
      <c r="BG157">
        <v>42.021999999999998</v>
      </c>
      <c r="BH157">
        <v>63.331000000000003</v>
      </c>
      <c r="BI157">
        <v>57.640999999999998</v>
      </c>
      <c r="BJ157">
        <v>0</v>
      </c>
      <c r="BK157">
        <v>0</v>
      </c>
      <c r="BL157">
        <v>0</v>
      </c>
      <c r="BM157">
        <v>-2.8860000000000001</v>
      </c>
      <c r="BN157">
        <v>57.640999999999998</v>
      </c>
      <c r="BO157">
        <v>63.331000000000003</v>
      </c>
      <c r="BP157">
        <v>0</v>
      </c>
      <c r="BQ157">
        <v>42.021999999999998</v>
      </c>
      <c r="BR157">
        <v>2.8860000000000001</v>
      </c>
      <c r="BS157">
        <v>0</v>
      </c>
      <c r="BT157">
        <v>0</v>
      </c>
      <c r="BU157">
        <v>0</v>
      </c>
      <c r="BV157">
        <v>2348</v>
      </c>
      <c r="BW157">
        <v>59.448999999999998</v>
      </c>
      <c r="BX157">
        <v>207.25</v>
      </c>
      <c r="BY157">
        <v>23</v>
      </c>
      <c r="BZ157">
        <v>339.25</v>
      </c>
      <c r="CA157">
        <v>6.9210000000000003</v>
      </c>
      <c r="CB157">
        <v>1249</v>
      </c>
      <c r="CC157">
        <v>118</v>
      </c>
      <c r="CD157">
        <v>4.0339999999999998</v>
      </c>
      <c r="CE157">
        <v>10</v>
      </c>
      <c r="CF157">
        <v>2910</v>
      </c>
      <c r="CG157">
        <v>11</v>
      </c>
      <c r="CH157">
        <v>221.25</v>
      </c>
      <c r="CI157">
        <v>11.641999999999999</v>
      </c>
      <c r="CJ157">
        <v>7.2629999999999999</v>
      </c>
      <c r="CK157">
        <v>5.1740000000000004</v>
      </c>
      <c r="CL157">
        <v>0</v>
      </c>
      <c r="CM157">
        <v>19</v>
      </c>
      <c r="CN157">
        <v>0</v>
      </c>
      <c r="CO157">
        <v>78.947000000000003</v>
      </c>
      <c r="CP157">
        <v>100</v>
      </c>
      <c r="CQ157">
        <v>10</v>
      </c>
      <c r="CR157">
        <v>45</v>
      </c>
      <c r="CS157">
        <v>7.1539999999999999</v>
      </c>
      <c r="CT157">
        <v>32</v>
      </c>
      <c r="CU157">
        <v>12</v>
      </c>
      <c r="CV157">
        <v>0</v>
      </c>
      <c r="CW157">
        <v>11</v>
      </c>
      <c r="CX157">
        <v>173</v>
      </c>
      <c r="CY157">
        <v>20.625</v>
      </c>
      <c r="CZ157">
        <v>52.941000000000003</v>
      </c>
      <c r="DA157">
        <v>39.814999999999998</v>
      </c>
      <c r="DB157">
        <v>59.26</v>
      </c>
      <c r="DC157">
        <v>-4</v>
      </c>
      <c r="DD157">
        <v>2648</v>
      </c>
      <c r="DE157">
        <v>70.891999999999996</v>
      </c>
      <c r="DF157">
        <v>245</v>
      </c>
      <c r="DG157">
        <v>26</v>
      </c>
      <c r="DH157">
        <v>371</v>
      </c>
      <c r="DI157">
        <v>8.4410000000000007</v>
      </c>
      <c r="DJ157">
        <v>1099</v>
      </c>
      <c r="DK157">
        <v>114.143</v>
      </c>
      <c r="DL157">
        <v>3.9359999999999999</v>
      </c>
      <c r="DM157">
        <v>9</v>
      </c>
      <c r="DN157">
        <v>3008</v>
      </c>
      <c r="DO157">
        <v>13</v>
      </c>
      <c r="DP157">
        <v>256.85700000000003</v>
      </c>
      <c r="DQ157">
        <v>11.907</v>
      </c>
      <c r="DR157">
        <v>6.1429999999999998</v>
      </c>
      <c r="DS157">
        <v>6.75</v>
      </c>
      <c r="DT157">
        <v>0</v>
      </c>
      <c r="DU157">
        <v>21</v>
      </c>
      <c r="DV157">
        <v>0</v>
      </c>
      <c r="DW157">
        <v>95.238</v>
      </c>
      <c r="DX157">
        <v>76.471000000000004</v>
      </c>
      <c r="DY157">
        <v>13</v>
      </c>
      <c r="DZ157">
        <v>59</v>
      </c>
      <c r="EA157">
        <v>11.909000000000001</v>
      </c>
      <c r="EB157">
        <v>6</v>
      </c>
      <c r="EC157">
        <v>22</v>
      </c>
      <c r="ED157">
        <v>0</v>
      </c>
      <c r="EE157">
        <v>13</v>
      </c>
      <c r="EF157">
        <v>193</v>
      </c>
      <c r="EG157">
        <v>21</v>
      </c>
      <c r="EH157">
        <v>75</v>
      </c>
      <c r="EI157">
        <v>48.276000000000003</v>
      </c>
      <c r="EJ157">
        <v>78.569999999999993</v>
      </c>
      <c r="EK157">
        <v>1</v>
      </c>
    </row>
    <row r="158" spans="1:141" x14ac:dyDescent="0.25">
      <c r="A158">
        <v>0</v>
      </c>
      <c r="B158">
        <v>0</v>
      </c>
      <c r="C158">
        <v>0</v>
      </c>
      <c r="D158">
        <v>2025</v>
      </c>
      <c r="E158">
        <v>11</v>
      </c>
      <c r="F158" t="str">
        <f>VLOOKUP(G158, Map!$A$1:$B$33, 2, FALSE)</f>
        <v>PIT</v>
      </c>
      <c r="G158" t="s">
        <v>145</v>
      </c>
      <c r="H158" t="str">
        <f>VLOOKUP(I158, Map!$A$1:$B$33, 2, FALSE)</f>
        <v>CIN</v>
      </c>
      <c r="I158" t="s">
        <v>161</v>
      </c>
      <c r="J158">
        <v>0</v>
      </c>
      <c r="K158">
        <v>0</v>
      </c>
      <c r="L158">
        <v>0</v>
      </c>
      <c r="M158">
        <v>0</v>
      </c>
      <c r="N158">
        <v>4</v>
      </c>
      <c r="O158">
        <v>3</v>
      </c>
      <c r="P158">
        <v>25</v>
      </c>
      <c r="Q158">
        <v>25</v>
      </c>
      <c r="R158">
        <v>0</v>
      </c>
      <c r="S158">
        <v>-2</v>
      </c>
      <c r="T158">
        <v>0.57142859999999995</v>
      </c>
      <c r="U158">
        <v>1</v>
      </c>
      <c r="V158">
        <v>1</v>
      </c>
      <c r="W158">
        <v>2</v>
      </c>
      <c r="X158">
        <v>2</v>
      </c>
      <c r="Y158">
        <v>2</v>
      </c>
      <c r="Z158">
        <v>1</v>
      </c>
      <c r="AA158">
        <v>3</v>
      </c>
      <c r="AB158">
        <v>1</v>
      </c>
      <c r="AC158">
        <v>9</v>
      </c>
      <c r="AD158">
        <v>8</v>
      </c>
      <c r="AE158">
        <v>10</v>
      </c>
      <c r="AF158">
        <v>6</v>
      </c>
      <c r="AG158">
        <v>66</v>
      </c>
      <c r="AH158">
        <v>0</v>
      </c>
      <c r="AI158">
        <v>3</v>
      </c>
      <c r="AJ158">
        <v>5</v>
      </c>
      <c r="AK158">
        <v>31.625</v>
      </c>
      <c r="AL158">
        <v>21.75</v>
      </c>
      <c r="AM158">
        <v>-79</v>
      </c>
      <c r="AN158">
        <v>-1</v>
      </c>
      <c r="AO158">
        <v>0.375</v>
      </c>
      <c r="AP158">
        <v>2</v>
      </c>
      <c r="AQ158">
        <v>0</v>
      </c>
      <c r="AR158">
        <v>2</v>
      </c>
      <c r="AS158">
        <v>2</v>
      </c>
      <c r="AT158">
        <v>1</v>
      </c>
      <c r="AU158">
        <v>3</v>
      </c>
      <c r="AV158">
        <v>3</v>
      </c>
      <c r="AW158">
        <v>2</v>
      </c>
      <c r="AX158">
        <v>14</v>
      </c>
      <c r="AY158">
        <v>4</v>
      </c>
      <c r="AZ158">
        <v>13</v>
      </c>
      <c r="BA158">
        <v>5</v>
      </c>
      <c r="BB158">
        <v>59</v>
      </c>
      <c r="BC158">
        <v>0</v>
      </c>
      <c r="BD158">
        <v>0</v>
      </c>
      <c r="BE158">
        <v>0</v>
      </c>
      <c r="BF158">
        <v>0</v>
      </c>
      <c r="BG158">
        <v>65.674999999999997</v>
      </c>
      <c r="BH158">
        <v>54.658999999999999</v>
      </c>
      <c r="BI158">
        <v>34.051000000000002</v>
      </c>
      <c r="BJ158">
        <v>0</v>
      </c>
      <c r="BK158">
        <v>0</v>
      </c>
      <c r="BL158">
        <v>0</v>
      </c>
      <c r="BM158">
        <v>6.2560000000000002</v>
      </c>
      <c r="BN158">
        <v>34.051000000000002</v>
      </c>
      <c r="BO158">
        <v>54.658999999999999</v>
      </c>
      <c r="BP158">
        <v>0</v>
      </c>
      <c r="BQ158">
        <v>65.674999999999997</v>
      </c>
      <c r="BR158">
        <v>-6.2560000000000002</v>
      </c>
      <c r="BS158">
        <v>0</v>
      </c>
      <c r="BT158">
        <v>0</v>
      </c>
      <c r="BU158">
        <v>0</v>
      </c>
      <c r="BV158">
        <v>2471</v>
      </c>
      <c r="BW158">
        <v>68.570999999999998</v>
      </c>
      <c r="BX158">
        <v>202.85714999999999</v>
      </c>
      <c r="BY158">
        <v>20</v>
      </c>
      <c r="BZ158">
        <v>308.71429999999998</v>
      </c>
      <c r="CA158">
        <v>7.1479999999999997</v>
      </c>
      <c r="CB158">
        <v>750</v>
      </c>
      <c r="CC158">
        <v>94.286000000000001</v>
      </c>
      <c r="CD158">
        <v>4.0739999999999998</v>
      </c>
      <c r="CE158">
        <v>3</v>
      </c>
      <c r="CF158">
        <v>2781</v>
      </c>
      <c r="CG158">
        <v>16</v>
      </c>
      <c r="CH158">
        <v>214.429</v>
      </c>
      <c r="CI158">
        <v>10.423999999999999</v>
      </c>
      <c r="CJ158">
        <v>6.4089999999999998</v>
      </c>
      <c r="CK158">
        <v>7.4379999999999997</v>
      </c>
      <c r="CL158">
        <v>0</v>
      </c>
      <c r="CM158">
        <v>22</v>
      </c>
      <c r="CN158">
        <v>0</v>
      </c>
      <c r="CO158">
        <v>100</v>
      </c>
      <c r="CP158">
        <v>87.5</v>
      </c>
      <c r="CQ158">
        <v>14</v>
      </c>
      <c r="CR158">
        <v>59</v>
      </c>
      <c r="CS158">
        <v>8.25</v>
      </c>
      <c r="CT158">
        <v>23</v>
      </c>
      <c r="CU158">
        <v>8</v>
      </c>
      <c r="CV158">
        <v>0</v>
      </c>
      <c r="CW158">
        <v>16</v>
      </c>
      <c r="CX158">
        <v>175</v>
      </c>
      <c r="CY158">
        <v>17.428999999999998</v>
      </c>
      <c r="CZ158">
        <v>50</v>
      </c>
      <c r="DA158">
        <v>38.960999999999999</v>
      </c>
      <c r="DB158">
        <v>75.94</v>
      </c>
      <c r="DC158">
        <v>4</v>
      </c>
      <c r="DD158">
        <v>2540</v>
      </c>
      <c r="DE158">
        <v>63.636000000000003</v>
      </c>
      <c r="DF158">
        <v>202</v>
      </c>
      <c r="DG158">
        <v>15</v>
      </c>
      <c r="DH158">
        <v>299.125</v>
      </c>
      <c r="DI158">
        <v>6.0490000000000004</v>
      </c>
      <c r="DJ158">
        <v>793</v>
      </c>
      <c r="DK158">
        <v>82.875</v>
      </c>
      <c r="DL158">
        <v>4.3049999999999997</v>
      </c>
      <c r="DM158">
        <v>5</v>
      </c>
      <c r="DN158">
        <v>3165</v>
      </c>
      <c r="DO158">
        <v>15</v>
      </c>
      <c r="DP158">
        <v>216.25</v>
      </c>
      <c r="DQ158">
        <v>9.5050000000000008</v>
      </c>
      <c r="DR158">
        <v>5.2729999999999997</v>
      </c>
      <c r="DS158">
        <v>3.3570000000000002</v>
      </c>
      <c r="DT158">
        <v>0</v>
      </c>
      <c r="DU158">
        <v>11</v>
      </c>
      <c r="DV158">
        <v>0</v>
      </c>
      <c r="DW158">
        <v>100</v>
      </c>
      <c r="DX158">
        <v>84.614999999999995</v>
      </c>
      <c r="DY158">
        <v>11</v>
      </c>
      <c r="DZ158">
        <v>52</v>
      </c>
      <c r="EA158">
        <v>11.523999999999999</v>
      </c>
      <c r="EB158">
        <v>11</v>
      </c>
      <c r="EC158">
        <v>37</v>
      </c>
      <c r="ED158">
        <v>0</v>
      </c>
      <c r="EE158">
        <v>15</v>
      </c>
      <c r="EF158">
        <v>174</v>
      </c>
      <c r="EG158">
        <v>18.5</v>
      </c>
      <c r="EH158">
        <v>80</v>
      </c>
      <c r="EI158">
        <v>39.393999999999998</v>
      </c>
      <c r="EJ158">
        <v>79.87</v>
      </c>
      <c r="EK158">
        <v>-2</v>
      </c>
    </row>
    <row r="159" spans="1:141" x14ac:dyDescent="0.25">
      <c r="A159">
        <v>0</v>
      </c>
      <c r="B159">
        <v>0</v>
      </c>
      <c r="C159">
        <v>0</v>
      </c>
      <c r="D159">
        <v>2025</v>
      </c>
      <c r="E159">
        <v>11</v>
      </c>
      <c r="F159" t="str">
        <f>VLOOKUP(G159, Map!$A$1:$B$33, 2, FALSE)</f>
        <v>JAX</v>
      </c>
      <c r="G159" t="s">
        <v>139</v>
      </c>
      <c r="H159" t="str">
        <f>VLOOKUP(I159, Map!$A$1:$B$33, 2, FALSE)</f>
        <v>LAC</v>
      </c>
      <c r="I159" t="s">
        <v>160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3</v>
      </c>
      <c r="P159">
        <v>22.142856999999999</v>
      </c>
      <c r="Q159">
        <v>20.857143000000001</v>
      </c>
      <c r="R159">
        <v>-9</v>
      </c>
      <c r="S159">
        <v>-2</v>
      </c>
      <c r="T159">
        <v>0.57142859999999995</v>
      </c>
      <c r="U159">
        <v>1</v>
      </c>
      <c r="V159">
        <v>0</v>
      </c>
      <c r="W159">
        <v>3</v>
      </c>
      <c r="X159">
        <v>2</v>
      </c>
      <c r="Y159">
        <v>1</v>
      </c>
      <c r="Z159">
        <v>1</v>
      </c>
      <c r="AA159">
        <v>2</v>
      </c>
      <c r="AB159">
        <v>1</v>
      </c>
      <c r="AC159">
        <v>10</v>
      </c>
      <c r="AD159">
        <v>8</v>
      </c>
      <c r="AE159">
        <v>9</v>
      </c>
      <c r="AF159">
        <v>9</v>
      </c>
      <c r="AG159">
        <v>58</v>
      </c>
      <c r="AH159">
        <v>0</v>
      </c>
      <c r="AI159">
        <v>5</v>
      </c>
      <c r="AJ159">
        <v>3</v>
      </c>
      <c r="AK159">
        <v>21.625</v>
      </c>
      <c r="AL159">
        <v>23.5</v>
      </c>
      <c r="AM159">
        <v>15</v>
      </c>
      <c r="AN159">
        <v>1</v>
      </c>
      <c r="AO159">
        <v>0.625</v>
      </c>
      <c r="AP159">
        <v>3</v>
      </c>
      <c r="AQ159">
        <v>0</v>
      </c>
      <c r="AR159">
        <v>3</v>
      </c>
      <c r="AS159">
        <v>2</v>
      </c>
      <c r="AT159">
        <v>2</v>
      </c>
      <c r="AU159">
        <v>1</v>
      </c>
      <c r="AV159">
        <v>4</v>
      </c>
      <c r="AW159">
        <v>1</v>
      </c>
      <c r="AX159">
        <v>10</v>
      </c>
      <c r="AY159">
        <v>7</v>
      </c>
      <c r="AZ159">
        <v>11</v>
      </c>
      <c r="BA159">
        <v>5</v>
      </c>
      <c r="BB159">
        <v>65</v>
      </c>
      <c r="BC159">
        <v>0</v>
      </c>
      <c r="BD159">
        <v>0</v>
      </c>
      <c r="BE159">
        <v>0</v>
      </c>
      <c r="BF159">
        <v>0</v>
      </c>
      <c r="BG159">
        <v>44.551000000000002</v>
      </c>
      <c r="BH159">
        <v>60.298999999999999</v>
      </c>
      <c r="BI159">
        <v>55.091000000000001</v>
      </c>
      <c r="BJ159">
        <v>0</v>
      </c>
      <c r="BK159">
        <v>0</v>
      </c>
      <c r="BL159">
        <v>0</v>
      </c>
      <c r="BM159">
        <v>-2.09</v>
      </c>
      <c r="BN159">
        <v>55.091000000000001</v>
      </c>
      <c r="BO159">
        <v>60.298999999999999</v>
      </c>
      <c r="BP159">
        <v>0</v>
      </c>
      <c r="BQ159">
        <v>44.551000000000002</v>
      </c>
      <c r="BR159">
        <v>2.09</v>
      </c>
      <c r="BS159">
        <v>0</v>
      </c>
      <c r="BT159">
        <v>0</v>
      </c>
      <c r="BU159">
        <v>0</v>
      </c>
      <c r="BV159">
        <v>2100</v>
      </c>
      <c r="BW159">
        <v>58.686999999999998</v>
      </c>
      <c r="BX159">
        <v>215.14285000000001</v>
      </c>
      <c r="BY159">
        <v>21</v>
      </c>
      <c r="BZ159">
        <v>351.14285000000001</v>
      </c>
      <c r="CA159">
        <v>6.2549999999999999</v>
      </c>
      <c r="CB159">
        <v>1033</v>
      </c>
      <c r="CC159">
        <v>119.714</v>
      </c>
      <c r="CD159">
        <v>4.6820000000000004</v>
      </c>
      <c r="CE159">
        <v>6</v>
      </c>
      <c r="CF159">
        <v>2695</v>
      </c>
      <c r="CG159">
        <v>9</v>
      </c>
      <c r="CH159">
        <v>231.429</v>
      </c>
      <c r="CI159">
        <v>10.657999999999999</v>
      </c>
      <c r="CJ159">
        <v>7.375</v>
      </c>
      <c r="CK159">
        <v>3.1880000000000002</v>
      </c>
      <c r="CL159">
        <v>2</v>
      </c>
      <c r="CM159">
        <v>8</v>
      </c>
      <c r="CN159">
        <v>0</v>
      </c>
      <c r="CO159">
        <v>93.332999999999998</v>
      </c>
      <c r="CP159">
        <v>71.429000000000002</v>
      </c>
      <c r="CQ159">
        <v>10</v>
      </c>
      <c r="CR159">
        <v>44</v>
      </c>
      <c r="CS159">
        <v>4.4290000000000003</v>
      </c>
      <c r="CT159">
        <v>30</v>
      </c>
      <c r="CU159">
        <v>10</v>
      </c>
      <c r="CV159">
        <v>12</v>
      </c>
      <c r="CW159">
        <v>9</v>
      </c>
      <c r="CX159">
        <v>146</v>
      </c>
      <c r="CY159">
        <v>19.143000000000001</v>
      </c>
      <c r="CZ159">
        <v>53.332999999999998</v>
      </c>
      <c r="DA159">
        <v>32.978999999999999</v>
      </c>
      <c r="DB159">
        <v>59.74</v>
      </c>
      <c r="DC159">
        <v>8</v>
      </c>
      <c r="DD159">
        <v>3094</v>
      </c>
      <c r="DE159">
        <v>68</v>
      </c>
      <c r="DF159">
        <v>255.375</v>
      </c>
      <c r="DG159">
        <v>26</v>
      </c>
      <c r="DH159">
        <v>396.125</v>
      </c>
      <c r="DI159">
        <v>7.28</v>
      </c>
      <c r="DJ159">
        <v>1030</v>
      </c>
      <c r="DK159">
        <v>123.125</v>
      </c>
      <c r="DL159">
        <v>4.8520000000000003</v>
      </c>
      <c r="DM159">
        <v>3</v>
      </c>
      <c r="DN159">
        <v>3764</v>
      </c>
      <c r="DO159">
        <v>16</v>
      </c>
      <c r="DP159">
        <v>273</v>
      </c>
      <c r="DQ159">
        <v>10.706</v>
      </c>
      <c r="DR159">
        <v>5.5910000000000002</v>
      </c>
      <c r="DS159">
        <v>5.05</v>
      </c>
      <c r="DT159">
        <v>0</v>
      </c>
      <c r="DU159">
        <v>22</v>
      </c>
      <c r="DV159">
        <v>0</v>
      </c>
      <c r="DW159">
        <v>100</v>
      </c>
      <c r="DX159">
        <v>94.736999999999995</v>
      </c>
      <c r="DY159">
        <v>18</v>
      </c>
      <c r="DZ159">
        <v>72</v>
      </c>
      <c r="EA159">
        <v>12.5</v>
      </c>
      <c r="EB159">
        <v>8</v>
      </c>
      <c r="EC159">
        <v>20</v>
      </c>
      <c r="ED159">
        <v>0</v>
      </c>
      <c r="EE159">
        <v>16</v>
      </c>
      <c r="EF159">
        <v>188</v>
      </c>
      <c r="EG159">
        <v>21.875</v>
      </c>
      <c r="EH159">
        <v>70</v>
      </c>
      <c r="EI159">
        <v>48.673000000000002</v>
      </c>
      <c r="EJ159">
        <v>61.73</v>
      </c>
      <c r="EK159">
        <v>-3</v>
      </c>
    </row>
    <row r="160" spans="1:141" x14ac:dyDescent="0.25">
      <c r="A160">
        <v>0</v>
      </c>
      <c r="B160">
        <v>0</v>
      </c>
      <c r="C160">
        <v>0</v>
      </c>
      <c r="D160">
        <v>2025</v>
      </c>
      <c r="E160">
        <v>11</v>
      </c>
      <c r="F160" t="str">
        <f>VLOOKUP(G160, Map!$A$1:$B$33, 2, FALSE)</f>
        <v>LA</v>
      </c>
      <c r="G160" t="s">
        <v>155</v>
      </c>
      <c r="H160" t="str">
        <f>VLOOKUP(I160, Map!$A$1:$B$33, 2, FALSE)</f>
        <v>SEA</v>
      </c>
      <c r="I160" t="s">
        <v>144</v>
      </c>
      <c r="J160">
        <v>0</v>
      </c>
      <c r="K160">
        <v>0</v>
      </c>
      <c r="L160">
        <v>0</v>
      </c>
      <c r="M160">
        <v>0</v>
      </c>
      <c r="N160">
        <v>5</v>
      </c>
      <c r="O160">
        <v>2</v>
      </c>
      <c r="P160">
        <v>16.714285</v>
      </c>
      <c r="Q160">
        <v>25</v>
      </c>
      <c r="R160">
        <v>58</v>
      </c>
      <c r="S160">
        <v>2</v>
      </c>
      <c r="T160">
        <v>0.71428572999999995</v>
      </c>
      <c r="U160">
        <v>0</v>
      </c>
      <c r="V160">
        <v>1</v>
      </c>
      <c r="W160">
        <v>2</v>
      </c>
      <c r="X160">
        <v>1</v>
      </c>
      <c r="Y160">
        <v>3</v>
      </c>
      <c r="Z160">
        <v>1</v>
      </c>
      <c r="AA160">
        <v>0</v>
      </c>
      <c r="AB160">
        <v>2</v>
      </c>
      <c r="AC160">
        <v>5</v>
      </c>
      <c r="AD160">
        <v>11</v>
      </c>
      <c r="AE160">
        <v>5</v>
      </c>
      <c r="AF160">
        <v>9</v>
      </c>
      <c r="AG160">
        <v>57</v>
      </c>
      <c r="AH160">
        <v>0</v>
      </c>
      <c r="AI160">
        <v>5</v>
      </c>
      <c r="AJ160">
        <v>2</v>
      </c>
      <c r="AK160">
        <v>19.428571999999999</v>
      </c>
      <c r="AL160">
        <v>27.571428000000001</v>
      </c>
      <c r="AM160">
        <v>57</v>
      </c>
      <c r="AN160">
        <v>2</v>
      </c>
      <c r="AO160">
        <v>0.71428572999999995</v>
      </c>
      <c r="AP160">
        <v>1</v>
      </c>
      <c r="AQ160">
        <v>1</v>
      </c>
      <c r="AR160">
        <v>2</v>
      </c>
      <c r="AS160">
        <v>2</v>
      </c>
      <c r="AT160">
        <v>3</v>
      </c>
      <c r="AU160">
        <v>0</v>
      </c>
      <c r="AV160">
        <v>2</v>
      </c>
      <c r="AW160">
        <v>2</v>
      </c>
      <c r="AX160">
        <v>9</v>
      </c>
      <c r="AY160">
        <v>8</v>
      </c>
      <c r="AZ160">
        <v>7</v>
      </c>
      <c r="BA160">
        <v>10</v>
      </c>
      <c r="BB160">
        <v>61</v>
      </c>
      <c r="BC160">
        <v>0</v>
      </c>
      <c r="BD160">
        <v>0</v>
      </c>
      <c r="BE160">
        <v>0</v>
      </c>
      <c r="BF160">
        <v>0</v>
      </c>
      <c r="BG160">
        <v>63.14</v>
      </c>
      <c r="BH160">
        <v>71.786000000000001</v>
      </c>
      <c r="BI160">
        <v>36.566000000000003</v>
      </c>
      <c r="BJ160">
        <v>0</v>
      </c>
      <c r="BK160">
        <v>0</v>
      </c>
      <c r="BL160">
        <v>0</v>
      </c>
      <c r="BM160">
        <v>5.1369999999999996</v>
      </c>
      <c r="BN160">
        <v>36.566000000000003</v>
      </c>
      <c r="BO160">
        <v>71.786000000000001</v>
      </c>
      <c r="BP160">
        <v>0</v>
      </c>
      <c r="BQ160">
        <v>63.14</v>
      </c>
      <c r="BR160">
        <v>-5.1369999999999996</v>
      </c>
      <c r="BS160">
        <v>0</v>
      </c>
      <c r="BT160">
        <v>0</v>
      </c>
      <c r="BU160">
        <v>0</v>
      </c>
      <c r="BV160">
        <v>2996</v>
      </c>
      <c r="BW160">
        <v>65.843999999999994</v>
      </c>
      <c r="BX160">
        <v>256.71429999999998</v>
      </c>
      <c r="BY160">
        <v>30</v>
      </c>
      <c r="BZ160">
        <v>370</v>
      </c>
      <c r="CA160">
        <v>7.6790000000000003</v>
      </c>
      <c r="CB160">
        <v>789</v>
      </c>
      <c r="CC160">
        <v>103.429</v>
      </c>
      <c r="CD160">
        <v>4.1369999999999996</v>
      </c>
      <c r="CE160">
        <v>4</v>
      </c>
      <c r="CF160">
        <v>3261</v>
      </c>
      <c r="CG160">
        <v>17</v>
      </c>
      <c r="CH160">
        <v>266.57100000000003</v>
      </c>
      <c r="CI160">
        <v>11.663</v>
      </c>
      <c r="CJ160">
        <v>6.577</v>
      </c>
      <c r="CK160">
        <v>16.111000000000001</v>
      </c>
      <c r="CL160">
        <v>0</v>
      </c>
      <c r="CM160">
        <v>26</v>
      </c>
      <c r="CN160">
        <v>0</v>
      </c>
      <c r="CO160">
        <v>90.475999999999999</v>
      </c>
      <c r="CP160">
        <v>71.429000000000002</v>
      </c>
      <c r="CQ160">
        <v>10</v>
      </c>
      <c r="CR160">
        <v>49</v>
      </c>
      <c r="CS160">
        <v>14.2</v>
      </c>
      <c r="CT160">
        <v>22</v>
      </c>
      <c r="CU160">
        <v>11</v>
      </c>
      <c r="CV160">
        <v>0</v>
      </c>
      <c r="CW160">
        <v>17</v>
      </c>
      <c r="CX160">
        <v>175</v>
      </c>
      <c r="CY160">
        <v>22</v>
      </c>
      <c r="CZ160">
        <v>66.667000000000002</v>
      </c>
      <c r="DA160">
        <v>37.661999999999999</v>
      </c>
      <c r="DB160">
        <v>65.239999999999995</v>
      </c>
      <c r="DC160">
        <v>3</v>
      </c>
      <c r="DD160">
        <v>2459</v>
      </c>
      <c r="DE160">
        <v>67.856999999999999</v>
      </c>
      <c r="DF160">
        <v>244.42857000000001</v>
      </c>
      <c r="DG160">
        <v>27</v>
      </c>
      <c r="DH160">
        <v>358.85714999999999</v>
      </c>
      <c r="DI160">
        <v>9.0259999999999998</v>
      </c>
      <c r="DJ160">
        <v>918</v>
      </c>
      <c r="DK160">
        <v>106.143</v>
      </c>
      <c r="DL160">
        <v>3.6779999999999999</v>
      </c>
      <c r="DM160">
        <v>8</v>
      </c>
      <c r="DN160">
        <v>2854</v>
      </c>
      <c r="DO160">
        <v>12</v>
      </c>
      <c r="DP160">
        <v>252.714</v>
      </c>
      <c r="DQ160">
        <v>13.301</v>
      </c>
      <c r="DR160">
        <v>7.1740000000000004</v>
      </c>
      <c r="DS160">
        <v>7.8890000000000002</v>
      </c>
      <c r="DT160">
        <v>2</v>
      </c>
      <c r="DU160">
        <v>23</v>
      </c>
      <c r="DV160">
        <v>0</v>
      </c>
      <c r="DW160">
        <v>100</v>
      </c>
      <c r="DX160">
        <v>76.471000000000004</v>
      </c>
      <c r="DY160">
        <v>13</v>
      </c>
      <c r="DZ160">
        <v>61</v>
      </c>
      <c r="EA160">
        <v>11</v>
      </c>
      <c r="EB160">
        <v>10</v>
      </c>
      <c r="EC160">
        <v>26</v>
      </c>
      <c r="ED160">
        <v>6</v>
      </c>
      <c r="EE160">
        <v>12</v>
      </c>
      <c r="EF160">
        <v>193</v>
      </c>
      <c r="EG160">
        <v>19.428999999999998</v>
      </c>
      <c r="EH160">
        <v>66.667000000000002</v>
      </c>
      <c r="EI160">
        <v>33.332999999999998</v>
      </c>
      <c r="EJ160">
        <v>76.569999999999993</v>
      </c>
      <c r="EK160">
        <v>-4</v>
      </c>
    </row>
    <row r="161" spans="1:141" x14ac:dyDescent="0.25">
      <c r="A161">
        <v>0</v>
      </c>
      <c r="B161">
        <v>0</v>
      </c>
      <c r="C161">
        <v>0</v>
      </c>
      <c r="D161">
        <v>2025</v>
      </c>
      <c r="E161">
        <v>11</v>
      </c>
      <c r="F161" t="str">
        <f>VLOOKUP(G161, Map!$A$1:$B$33, 2, FALSE)</f>
        <v>ARI</v>
      </c>
      <c r="G161" t="s">
        <v>156</v>
      </c>
      <c r="H161" t="str">
        <f>VLOOKUP(I161, Map!$A$1:$B$33, 2, FALSE)</f>
        <v>SF</v>
      </c>
      <c r="I161" t="s">
        <v>143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5</v>
      </c>
      <c r="P161">
        <v>22</v>
      </c>
      <c r="Q161">
        <v>21.857143000000001</v>
      </c>
      <c r="R161">
        <v>-1</v>
      </c>
      <c r="S161">
        <v>-5</v>
      </c>
      <c r="T161">
        <v>0.28571429999999998</v>
      </c>
      <c r="U161">
        <v>0</v>
      </c>
      <c r="V161">
        <v>2</v>
      </c>
      <c r="W161">
        <v>1</v>
      </c>
      <c r="X161">
        <v>3</v>
      </c>
      <c r="Y161">
        <v>1</v>
      </c>
      <c r="Z161">
        <v>2</v>
      </c>
      <c r="AA161">
        <v>2</v>
      </c>
      <c r="AB161">
        <v>3</v>
      </c>
      <c r="AC161">
        <v>4</v>
      </c>
      <c r="AD161">
        <v>12</v>
      </c>
      <c r="AE161">
        <v>8</v>
      </c>
      <c r="AF161">
        <v>8</v>
      </c>
      <c r="AG161">
        <v>69</v>
      </c>
      <c r="AH161">
        <v>0</v>
      </c>
      <c r="AI161">
        <v>5</v>
      </c>
      <c r="AJ161">
        <v>3</v>
      </c>
      <c r="AK161">
        <v>20.5</v>
      </c>
      <c r="AL161">
        <v>20</v>
      </c>
      <c r="AM161">
        <v>-4</v>
      </c>
      <c r="AN161">
        <v>-1</v>
      </c>
      <c r="AO161">
        <v>0.625</v>
      </c>
      <c r="AP161">
        <v>3</v>
      </c>
      <c r="AQ161">
        <v>0</v>
      </c>
      <c r="AR161">
        <v>2</v>
      </c>
      <c r="AS161">
        <v>1</v>
      </c>
      <c r="AT161">
        <v>3</v>
      </c>
      <c r="AU161">
        <v>2</v>
      </c>
      <c r="AV161">
        <v>5</v>
      </c>
      <c r="AW161">
        <v>1</v>
      </c>
      <c r="AX161">
        <v>15</v>
      </c>
      <c r="AY161">
        <v>5</v>
      </c>
      <c r="AZ161">
        <v>13</v>
      </c>
      <c r="BA161">
        <v>7</v>
      </c>
      <c r="BB161">
        <v>68</v>
      </c>
      <c r="BC161">
        <v>0</v>
      </c>
      <c r="BD161">
        <v>0</v>
      </c>
      <c r="BE161">
        <v>0</v>
      </c>
      <c r="BF161">
        <v>0</v>
      </c>
      <c r="BG161">
        <v>44.676000000000002</v>
      </c>
      <c r="BH161">
        <v>57.712000000000003</v>
      </c>
      <c r="BI161">
        <v>54.965000000000003</v>
      </c>
      <c r="BJ161">
        <v>0</v>
      </c>
      <c r="BK161">
        <v>0</v>
      </c>
      <c r="BL161">
        <v>0</v>
      </c>
      <c r="BM161">
        <v>-2.0390000000000001</v>
      </c>
      <c r="BN161">
        <v>54.965000000000003</v>
      </c>
      <c r="BO161">
        <v>57.712000000000003</v>
      </c>
      <c r="BP161">
        <v>0</v>
      </c>
      <c r="BQ161">
        <v>44.676000000000002</v>
      </c>
      <c r="BR161">
        <v>2.0390000000000001</v>
      </c>
      <c r="BS161">
        <v>0</v>
      </c>
      <c r="BT161">
        <v>0</v>
      </c>
      <c r="BU161">
        <v>0</v>
      </c>
      <c r="BV161">
        <v>2113</v>
      </c>
      <c r="BW161">
        <v>66.941999999999993</v>
      </c>
      <c r="BX161">
        <v>199.85714999999999</v>
      </c>
      <c r="BY161">
        <v>18</v>
      </c>
      <c r="BZ161">
        <v>333.42856</v>
      </c>
      <c r="CA161">
        <v>6.335</v>
      </c>
      <c r="CB161">
        <v>888</v>
      </c>
      <c r="CC161">
        <v>110.429</v>
      </c>
      <c r="CD161">
        <v>4.4169999999999998</v>
      </c>
      <c r="CE161">
        <v>5</v>
      </c>
      <c r="CF161">
        <v>2721</v>
      </c>
      <c r="CG161">
        <v>10</v>
      </c>
      <c r="CH161">
        <v>223</v>
      </c>
      <c r="CI161">
        <v>9.4629999999999992</v>
      </c>
      <c r="CJ161">
        <v>6.6669999999999998</v>
      </c>
      <c r="CK161">
        <v>3.238</v>
      </c>
      <c r="CL161">
        <v>1</v>
      </c>
      <c r="CM161">
        <v>12</v>
      </c>
      <c r="CN161">
        <v>0</v>
      </c>
      <c r="CO161">
        <v>100</v>
      </c>
      <c r="CP161">
        <v>86.667000000000002</v>
      </c>
      <c r="CQ161">
        <v>13</v>
      </c>
      <c r="CR161">
        <v>55</v>
      </c>
      <c r="CS161">
        <v>8.25</v>
      </c>
      <c r="CT161">
        <v>25</v>
      </c>
      <c r="CU161">
        <v>9</v>
      </c>
      <c r="CV161">
        <v>8</v>
      </c>
      <c r="CW161">
        <v>10</v>
      </c>
      <c r="CX161">
        <v>153</v>
      </c>
      <c r="CY161">
        <v>19</v>
      </c>
      <c r="CZ161">
        <v>57.143000000000001</v>
      </c>
      <c r="DA161">
        <v>44.792000000000002</v>
      </c>
      <c r="DB161">
        <v>63.49</v>
      </c>
      <c r="DC161">
        <v>-1</v>
      </c>
      <c r="DD161">
        <v>2753</v>
      </c>
      <c r="DE161">
        <v>65.885999999999996</v>
      </c>
      <c r="DF161">
        <v>259.25</v>
      </c>
      <c r="DG161">
        <v>23</v>
      </c>
      <c r="DH161">
        <v>362.25</v>
      </c>
      <c r="DI161">
        <v>7.3010000000000002</v>
      </c>
      <c r="DJ161">
        <v>775</v>
      </c>
      <c r="DK161">
        <v>89.375</v>
      </c>
      <c r="DL161">
        <v>3.4049999999999998</v>
      </c>
      <c r="DM161">
        <v>3</v>
      </c>
      <c r="DN161">
        <v>3588</v>
      </c>
      <c r="DO161">
        <v>12</v>
      </c>
      <c r="DP161">
        <v>272.875</v>
      </c>
      <c r="DQ161">
        <v>11.081</v>
      </c>
      <c r="DR161">
        <v>6.6669999999999998</v>
      </c>
      <c r="DS161">
        <v>1.889</v>
      </c>
      <c r="DT161">
        <v>0</v>
      </c>
      <c r="DU161">
        <v>9</v>
      </c>
      <c r="DV161">
        <v>0</v>
      </c>
      <c r="DW161">
        <v>92.308000000000007</v>
      </c>
      <c r="DX161">
        <v>90</v>
      </c>
      <c r="DY161">
        <v>18</v>
      </c>
      <c r="DZ161">
        <v>66</v>
      </c>
      <c r="EA161">
        <v>14.308</v>
      </c>
      <c r="EB161">
        <v>12</v>
      </c>
      <c r="EC161">
        <v>25</v>
      </c>
      <c r="ED161">
        <v>0</v>
      </c>
      <c r="EE161">
        <v>12</v>
      </c>
      <c r="EF161">
        <v>160</v>
      </c>
      <c r="EG161">
        <v>20.875</v>
      </c>
      <c r="EH161">
        <v>54.545000000000002</v>
      </c>
      <c r="EI161">
        <v>46.363999999999997</v>
      </c>
      <c r="EJ161">
        <v>65.709999999999994</v>
      </c>
      <c r="EK161">
        <v>-5</v>
      </c>
    </row>
    <row r="162" spans="1:141" x14ac:dyDescent="0.25">
      <c r="A162">
        <v>0</v>
      </c>
      <c r="B162">
        <v>0</v>
      </c>
      <c r="C162">
        <v>0</v>
      </c>
      <c r="D162">
        <v>2025</v>
      </c>
      <c r="E162">
        <v>11</v>
      </c>
      <c r="F162" t="str">
        <f>VLOOKUP(G162, Map!$A$1:$B$33, 2, FALSE)</f>
        <v>CLE</v>
      </c>
      <c r="G162" t="s">
        <v>162</v>
      </c>
      <c r="H162" t="str">
        <f>VLOOKUP(I162, Map!$A$1:$B$33, 2, FALSE)</f>
        <v>BAL</v>
      </c>
      <c r="I162" t="s">
        <v>146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6</v>
      </c>
      <c r="P162">
        <v>23</v>
      </c>
      <c r="Q162">
        <v>15.75</v>
      </c>
      <c r="R162">
        <v>-58</v>
      </c>
      <c r="S162">
        <v>-1</v>
      </c>
      <c r="T162">
        <v>0.25</v>
      </c>
      <c r="U162">
        <v>0</v>
      </c>
      <c r="V162">
        <v>3</v>
      </c>
      <c r="W162">
        <v>2</v>
      </c>
      <c r="X162">
        <v>2</v>
      </c>
      <c r="Y162">
        <v>0</v>
      </c>
      <c r="Z162">
        <v>4</v>
      </c>
      <c r="AA162">
        <v>1</v>
      </c>
      <c r="AB162">
        <v>4</v>
      </c>
      <c r="AC162">
        <v>7</v>
      </c>
      <c r="AD162">
        <v>10</v>
      </c>
      <c r="AE162">
        <v>8</v>
      </c>
      <c r="AF162">
        <v>9</v>
      </c>
      <c r="AG162">
        <v>61</v>
      </c>
      <c r="AH162">
        <v>0</v>
      </c>
      <c r="AI162">
        <v>2</v>
      </c>
      <c r="AJ162">
        <v>5</v>
      </c>
      <c r="AK162">
        <v>30</v>
      </c>
      <c r="AL162">
        <v>24.857143000000001</v>
      </c>
      <c r="AM162">
        <v>-36</v>
      </c>
      <c r="AN162">
        <v>1</v>
      </c>
      <c r="AO162">
        <v>0.28571429999999998</v>
      </c>
      <c r="AP162">
        <v>1</v>
      </c>
      <c r="AQ162">
        <v>0</v>
      </c>
      <c r="AR162">
        <v>2</v>
      </c>
      <c r="AS162">
        <v>3</v>
      </c>
      <c r="AT162">
        <v>0</v>
      </c>
      <c r="AU162">
        <v>2</v>
      </c>
      <c r="AV162">
        <v>1</v>
      </c>
      <c r="AW162">
        <v>3</v>
      </c>
      <c r="AX162">
        <v>10</v>
      </c>
      <c r="AY162">
        <v>7</v>
      </c>
      <c r="AZ162">
        <v>7</v>
      </c>
      <c r="BA162">
        <v>9</v>
      </c>
      <c r="BB162">
        <v>61</v>
      </c>
      <c r="BC162">
        <v>0</v>
      </c>
      <c r="BD162">
        <v>0</v>
      </c>
      <c r="BE162">
        <v>0</v>
      </c>
      <c r="BF162">
        <v>0</v>
      </c>
      <c r="BG162">
        <v>23.088999999999999</v>
      </c>
      <c r="BH162">
        <v>48.146999999999998</v>
      </c>
      <c r="BI162">
        <v>76.725999999999999</v>
      </c>
      <c r="BJ162">
        <v>0</v>
      </c>
      <c r="BK162">
        <v>0</v>
      </c>
      <c r="BL162">
        <v>0</v>
      </c>
      <c r="BM162">
        <v>-11.067</v>
      </c>
      <c r="BN162">
        <v>76.725999999999999</v>
      </c>
      <c r="BO162">
        <v>48.146999999999998</v>
      </c>
      <c r="BP162">
        <v>0</v>
      </c>
      <c r="BQ162">
        <v>23.088999999999999</v>
      </c>
      <c r="BR162">
        <v>11.067</v>
      </c>
      <c r="BS162">
        <v>0</v>
      </c>
      <c r="BT162">
        <v>0</v>
      </c>
      <c r="BU162">
        <v>0</v>
      </c>
      <c r="BV162">
        <v>1756</v>
      </c>
      <c r="BW162">
        <v>58.94</v>
      </c>
      <c r="BX162">
        <v>174.125</v>
      </c>
      <c r="BY162">
        <v>14</v>
      </c>
      <c r="BZ162">
        <v>279.125</v>
      </c>
      <c r="CA162">
        <v>4.9870000000000001</v>
      </c>
      <c r="CB162">
        <v>896</v>
      </c>
      <c r="CC162">
        <v>89.5</v>
      </c>
      <c r="CD162">
        <v>3.7679999999999998</v>
      </c>
      <c r="CE162">
        <v>6</v>
      </c>
      <c r="CF162">
        <v>2652</v>
      </c>
      <c r="CG162">
        <v>7</v>
      </c>
      <c r="CH162">
        <v>189.625</v>
      </c>
      <c r="CI162">
        <v>8.4610000000000003</v>
      </c>
      <c r="CJ162">
        <v>6.9169999999999998</v>
      </c>
      <c r="CK162">
        <v>4.3029999999999999</v>
      </c>
      <c r="CL162">
        <v>1</v>
      </c>
      <c r="CM162">
        <v>24</v>
      </c>
      <c r="CN162">
        <v>0</v>
      </c>
      <c r="CO162">
        <v>92.308000000000007</v>
      </c>
      <c r="CP162">
        <v>76.923000000000002</v>
      </c>
      <c r="CQ162">
        <v>10</v>
      </c>
      <c r="CR162">
        <v>42</v>
      </c>
      <c r="CS162">
        <v>11.412000000000001</v>
      </c>
      <c r="CT162">
        <v>42</v>
      </c>
      <c r="CU162">
        <v>16</v>
      </c>
      <c r="CV162">
        <v>6</v>
      </c>
      <c r="CW162">
        <v>7</v>
      </c>
      <c r="CX162">
        <v>126</v>
      </c>
      <c r="CY162">
        <v>16.75</v>
      </c>
      <c r="CZ162">
        <v>57.895000000000003</v>
      </c>
      <c r="DA162">
        <v>33.042999999999999</v>
      </c>
      <c r="DB162">
        <v>69.39</v>
      </c>
      <c r="DC162">
        <v>0</v>
      </c>
      <c r="DD162">
        <v>2046</v>
      </c>
      <c r="DE162">
        <v>69.73</v>
      </c>
      <c r="DF162">
        <v>182.28572</v>
      </c>
      <c r="DG162">
        <v>19</v>
      </c>
      <c r="DH162">
        <v>337.14285000000001</v>
      </c>
      <c r="DI162">
        <v>7.7080000000000002</v>
      </c>
      <c r="DJ162">
        <v>1139</v>
      </c>
      <c r="DK162">
        <v>133.429</v>
      </c>
      <c r="DL162">
        <v>5.2770000000000001</v>
      </c>
      <c r="DM162">
        <v>8</v>
      </c>
      <c r="DN162">
        <v>2456</v>
      </c>
      <c r="DO162">
        <v>11</v>
      </c>
      <c r="DP162">
        <v>203.714</v>
      </c>
      <c r="DQ162">
        <v>11.054</v>
      </c>
      <c r="DR162">
        <v>6.8890000000000002</v>
      </c>
      <c r="DS162">
        <v>2.4089999999999998</v>
      </c>
      <c r="DT162">
        <v>1</v>
      </c>
      <c r="DU162">
        <v>9</v>
      </c>
      <c r="DV162">
        <v>0</v>
      </c>
      <c r="DW162">
        <v>94.736999999999995</v>
      </c>
      <c r="DX162">
        <v>92.308000000000007</v>
      </c>
      <c r="DY162">
        <v>12</v>
      </c>
      <c r="DZ162">
        <v>54</v>
      </c>
      <c r="EA162">
        <v>5.8330000000000002</v>
      </c>
      <c r="EB162">
        <v>8</v>
      </c>
      <c r="EC162">
        <v>19</v>
      </c>
      <c r="ED162">
        <v>6</v>
      </c>
      <c r="EE162">
        <v>11</v>
      </c>
      <c r="EF162">
        <v>174</v>
      </c>
      <c r="EG162">
        <v>18.143000000000001</v>
      </c>
      <c r="EH162">
        <v>38.462000000000003</v>
      </c>
      <c r="EI162">
        <v>40.506</v>
      </c>
      <c r="EJ162">
        <v>52.38</v>
      </c>
      <c r="EK162">
        <v>-6</v>
      </c>
    </row>
    <row r="163" spans="1:141" x14ac:dyDescent="0.25">
      <c r="A163">
        <v>0</v>
      </c>
      <c r="B163">
        <v>0</v>
      </c>
      <c r="C163">
        <v>0</v>
      </c>
      <c r="D163">
        <v>2025</v>
      </c>
      <c r="E163">
        <v>11</v>
      </c>
      <c r="F163" t="str">
        <f>VLOOKUP(G163, Map!$A$1:$B$33, 2, FALSE)</f>
        <v>DEN</v>
      </c>
      <c r="G163" t="s">
        <v>159</v>
      </c>
      <c r="H163" t="str">
        <f>VLOOKUP(I163, Map!$A$1:$B$33, 2, FALSE)</f>
        <v>KC</v>
      </c>
      <c r="I163" t="s">
        <v>158</v>
      </c>
      <c r="J163">
        <v>0</v>
      </c>
      <c r="K163">
        <v>0</v>
      </c>
      <c r="L163">
        <v>0</v>
      </c>
      <c r="M163">
        <v>0</v>
      </c>
      <c r="N163">
        <v>6</v>
      </c>
      <c r="O163">
        <v>2</v>
      </c>
      <c r="P163">
        <v>18.875</v>
      </c>
      <c r="Q163">
        <v>25.875</v>
      </c>
      <c r="R163">
        <v>56</v>
      </c>
      <c r="S163">
        <v>5</v>
      </c>
      <c r="T163">
        <v>0.75</v>
      </c>
      <c r="U163">
        <v>0</v>
      </c>
      <c r="V163">
        <v>1</v>
      </c>
      <c r="W163">
        <v>4</v>
      </c>
      <c r="X163">
        <v>0</v>
      </c>
      <c r="Y163">
        <v>2</v>
      </c>
      <c r="Z163">
        <v>2</v>
      </c>
      <c r="AA163">
        <v>3</v>
      </c>
      <c r="AB163">
        <v>2</v>
      </c>
      <c r="AC163">
        <v>4</v>
      </c>
      <c r="AD163">
        <v>12</v>
      </c>
      <c r="AE163">
        <v>7</v>
      </c>
      <c r="AF163">
        <v>9</v>
      </c>
      <c r="AG163">
        <v>63</v>
      </c>
      <c r="AH163">
        <v>0</v>
      </c>
      <c r="AI163">
        <v>5</v>
      </c>
      <c r="AJ163">
        <v>3</v>
      </c>
      <c r="AK163">
        <v>16.375</v>
      </c>
      <c r="AL163">
        <v>26.75</v>
      </c>
      <c r="AM163">
        <v>83</v>
      </c>
      <c r="AN163">
        <v>3</v>
      </c>
      <c r="AO163">
        <v>0.625</v>
      </c>
      <c r="AP163">
        <v>1</v>
      </c>
      <c r="AQ163">
        <v>1</v>
      </c>
      <c r="AR163">
        <v>4</v>
      </c>
      <c r="AS163">
        <v>1</v>
      </c>
      <c r="AT163">
        <v>1</v>
      </c>
      <c r="AU163">
        <v>2</v>
      </c>
      <c r="AV163">
        <v>2</v>
      </c>
      <c r="AW163">
        <v>2</v>
      </c>
      <c r="AX163">
        <v>16</v>
      </c>
      <c r="AY163">
        <v>3</v>
      </c>
      <c r="AZ163">
        <v>7</v>
      </c>
      <c r="BA163">
        <v>11</v>
      </c>
      <c r="BB163">
        <v>65</v>
      </c>
      <c r="BC163">
        <v>0</v>
      </c>
      <c r="BD163">
        <v>0</v>
      </c>
      <c r="BE163">
        <v>0</v>
      </c>
      <c r="BF163">
        <v>0</v>
      </c>
      <c r="BG163">
        <v>39.628</v>
      </c>
      <c r="BH163">
        <v>87.019000000000005</v>
      </c>
      <c r="BI163">
        <v>60.054000000000002</v>
      </c>
      <c r="BJ163">
        <v>0</v>
      </c>
      <c r="BK163">
        <v>0</v>
      </c>
      <c r="BL163">
        <v>0</v>
      </c>
      <c r="BM163">
        <v>-3.6749999999999998</v>
      </c>
      <c r="BN163">
        <v>60.054000000000002</v>
      </c>
      <c r="BO163">
        <v>87.019000000000005</v>
      </c>
      <c r="BP163">
        <v>0</v>
      </c>
      <c r="BQ163">
        <v>39.628</v>
      </c>
      <c r="BR163">
        <v>3.6749999999999998</v>
      </c>
      <c r="BS163">
        <v>0</v>
      </c>
      <c r="BT163">
        <v>0</v>
      </c>
      <c r="BU163">
        <v>0</v>
      </c>
      <c r="BV163">
        <v>2703</v>
      </c>
      <c r="BW163">
        <v>62.807000000000002</v>
      </c>
      <c r="BX163">
        <v>219.125</v>
      </c>
      <c r="BY163">
        <v>22</v>
      </c>
      <c r="BZ163">
        <v>363.125</v>
      </c>
      <c r="CA163">
        <v>6.3259999999999996</v>
      </c>
      <c r="CB163">
        <v>1407</v>
      </c>
      <c r="CC163">
        <v>137.75</v>
      </c>
      <c r="CD163">
        <v>5.0090000000000003</v>
      </c>
      <c r="CE163">
        <v>10</v>
      </c>
      <c r="CF163">
        <v>3223</v>
      </c>
      <c r="CG163">
        <v>15</v>
      </c>
      <c r="CH163">
        <v>225.375</v>
      </c>
      <c r="CI163">
        <v>10.073</v>
      </c>
      <c r="CJ163">
        <v>6.0279999999999996</v>
      </c>
      <c r="CK163">
        <v>90.5</v>
      </c>
      <c r="CL163">
        <v>0</v>
      </c>
      <c r="CM163">
        <v>36</v>
      </c>
      <c r="CN163">
        <v>0</v>
      </c>
      <c r="CO163">
        <v>100</v>
      </c>
      <c r="CP163">
        <v>90.909000000000006</v>
      </c>
      <c r="CQ163">
        <v>10</v>
      </c>
      <c r="CR163">
        <v>51</v>
      </c>
      <c r="CS163">
        <v>10.467000000000001</v>
      </c>
      <c r="CT163">
        <v>38</v>
      </c>
      <c r="CU163">
        <v>18</v>
      </c>
      <c r="CV163">
        <v>0</v>
      </c>
      <c r="CW163">
        <v>15</v>
      </c>
      <c r="CX163">
        <v>207</v>
      </c>
      <c r="CY163">
        <v>20.75</v>
      </c>
      <c r="CZ163">
        <v>50</v>
      </c>
      <c r="DA163">
        <v>37.863999999999997</v>
      </c>
      <c r="DB163">
        <v>73.02</v>
      </c>
      <c r="DC163">
        <v>-1</v>
      </c>
      <c r="DD163">
        <v>3149</v>
      </c>
      <c r="DE163">
        <v>67.021000000000001</v>
      </c>
      <c r="DF163">
        <v>251.75</v>
      </c>
      <c r="DG163">
        <v>25</v>
      </c>
      <c r="DH163">
        <v>388.875</v>
      </c>
      <c r="DI163">
        <v>7.3719999999999999</v>
      </c>
      <c r="DJ163">
        <v>1327</v>
      </c>
      <c r="DK163">
        <v>126.5</v>
      </c>
      <c r="DL163">
        <v>4.4980000000000002</v>
      </c>
      <c r="DM163">
        <v>9</v>
      </c>
      <c r="DN163">
        <v>3639</v>
      </c>
      <c r="DO163">
        <v>17</v>
      </c>
      <c r="DP163">
        <v>262.375</v>
      </c>
      <c r="DQ163">
        <v>11</v>
      </c>
      <c r="DR163">
        <v>4</v>
      </c>
      <c r="DS163">
        <v>3.4</v>
      </c>
      <c r="DT163">
        <v>0</v>
      </c>
      <c r="DU163">
        <v>17</v>
      </c>
      <c r="DV163">
        <v>0</v>
      </c>
      <c r="DW163">
        <v>88</v>
      </c>
      <c r="DX163">
        <v>80</v>
      </c>
      <c r="DY163">
        <v>12</v>
      </c>
      <c r="DZ163">
        <v>58</v>
      </c>
      <c r="EA163">
        <v>8.3330000000000002</v>
      </c>
      <c r="EB163">
        <v>11</v>
      </c>
      <c r="EC163">
        <v>19</v>
      </c>
      <c r="ED163">
        <v>0</v>
      </c>
      <c r="EE163">
        <v>17</v>
      </c>
      <c r="EF163">
        <v>214</v>
      </c>
      <c r="EG163">
        <v>23.625</v>
      </c>
      <c r="EH163">
        <v>82.352999999999994</v>
      </c>
      <c r="EI163">
        <v>44</v>
      </c>
      <c r="EJ163">
        <v>78.150000000000006</v>
      </c>
      <c r="EK163">
        <v>5</v>
      </c>
    </row>
    <row r="164" spans="1:141" x14ac:dyDescent="0.25">
      <c r="A164">
        <v>0</v>
      </c>
      <c r="B164">
        <v>0</v>
      </c>
      <c r="C164">
        <v>0</v>
      </c>
      <c r="D164">
        <v>2025</v>
      </c>
      <c r="E164">
        <v>11</v>
      </c>
      <c r="F164" t="str">
        <f>VLOOKUP(G164, Map!$A$1:$B$33, 2, FALSE)</f>
        <v>PHI</v>
      </c>
      <c r="G164" t="s">
        <v>147</v>
      </c>
      <c r="H164" t="str">
        <f>VLOOKUP(I164, Map!$A$1:$B$33, 2, FALSE)</f>
        <v>DET</v>
      </c>
      <c r="I164" t="s">
        <v>164</v>
      </c>
      <c r="J164">
        <v>0</v>
      </c>
      <c r="K164">
        <v>0</v>
      </c>
      <c r="L164">
        <v>0</v>
      </c>
      <c r="M164">
        <v>0</v>
      </c>
      <c r="N164">
        <v>6</v>
      </c>
      <c r="O164">
        <v>2</v>
      </c>
      <c r="P164">
        <v>23.125</v>
      </c>
      <c r="Q164">
        <v>26</v>
      </c>
      <c r="R164">
        <v>23</v>
      </c>
      <c r="S164">
        <v>2</v>
      </c>
      <c r="T164">
        <v>0.75</v>
      </c>
      <c r="U164">
        <v>2</v>
      </c>
      <c r="V164">
        <v>1</v>
      </c>
      <c r="W164">
        <v>3</v>
      </c>
      <c r="X164">
        <v>1</v>
      </c>
      <c r="Y164">
        <v>3</v>
      </c>
      <c r="Z164">
        <v>1</v>
      </c>
      <c r="AA164">
        <v>5</v>
      </c>
      <c r="AB164">
        <v>1</v>
      </c>
      <c r="AC164">
        <v>16</v>
      </c>
      <c r="AD164">
        <v>3</v>
      </c>
      <c r="AE164">
        <v>10</v>
      </c>
      <c r="AF164">
        <v>9</v>
      </c>
      <c r="AG164">
        <v>63</v>
      </c>
      <c r="AH164">
        <v>0</v>
      </c>
      <c r="AI164">
        <v>5</v>
      </c>
      <c r="AJ164">
        <v>2</v>
      </c>
      <c r="AK164">
        <v>21.571428000000001</v>
      </c>
      <c r="AL164">
        <v>30.714285</v>
      </c>
      <c r="AM164">
        <v>64</v>
      </c>
      <c r="AN164">
        <v>1</v>
      </c>
      <c r="AO164">
        <v>0.71428572999999995</v>
      </c>
      <c r="AP164">
        <v>1</v>
      </c>
      <c r="AQ164">
        <v>1</v>
      </c>
      <c r="AR164">
        <v>3</v>
      </c>
      <c r="AS164">
        <v>0</v>
      </c>
      <c r="AT164">
        <v>2</v>
      </c>
      <c r="AU164">
        <v>2</v>
      </c>
      <c r="AV164">
        <v>2</v>
      </c>
      <c r="AW164">
        <v>1</v>
      </c>
      <c r="AX164">
        <v>8</v>
      </c>
      <c r="AY164">
        <v>8</v>
      </c>
      <c r="AZ164">
        <v>11</v>
      </c>
      <c r="BA164">
        <v>5</v>
      </c>
      <c r="BB164">
        <v>73</v>
      </c>
      <c r="BC164">
        <v>0</v>
      </c>
      <c r="BD164">
        <v>0</v>
      </c>
      <c r="BE164">
        <v>0</v>
      </c>
      <c r="BF164">
        <v>0</v>
      </c>
      <c r="BG164">
        <v>52.197000000000003</v>
      </c>
      <c r="BH164">
        <v>86.480999999999995</v>
      </c>
      <c r="BI164">
        <v>47.421999999999997</v>
      </c>
      <c r="BJ164">
        <v>0</v>
      </c>
      <c r="BK164">
        <v>0</v>
      </c>
      <c r="BL164">
        <v>0</v>
      </c>
      <c r="BM164">
        <v>1.1240000000000001</v>
      </c>
      <c r="BN164">
        <v>47.421999999999997</v>
      </c>
      <c r="BO164">
        <v>86.480999999999995</v>
      </c>
      <c r="BP164">
        <v>0</v>
      </c>
      <c r="BQ164">
        <v>52.197000000000003</v>
      </c>
      <c r="BR164">
        <v>-1.1240000000000001</v>
      </c>
      <c r="BS164">
        <v>0</v>
      </c>
      <c r="BT164">
        <v>0</v>
      </c>
      <c r="BU164">
        <v>0</v>
      </c>
      <c r="BV164">
        <v>2679</v>
      </c>
      <c r="BW164">
        <v>70.233000000000004</v>
      </c>
      <c r="BX164">
        <v>192.75</v>
      </c>
      <c r="BY164">
        <v>23</v>
      </c>
      <c r="BZ164">
        <v>321.25</v>
      </c>
      <c r="CA164">
        <v>7.7160000000000002</v>
      </c>
      <c r="CB164">
        <v>1178</v>
      </c>
      <c r="CC164">
        <v>111.625</v>
      </c>
      <c r="CD164">
        <v>4.0960000000000001</v>
      </c>
      <c r="CE164">
        <v>9</v>
      </c>
      <c r="CF164">
        <v>2957</v>
      </c>
      <c r="CG164">
        <v>15</v>
      </c>
      <c r="CH164">
        <v>209.625</v>
      </c>
      <c r="CI164">
        <v>10.987</v>
      </c>
      <c r="CJ164">
        <v>4.75</v>
      </c>
      <c r="CK164">
        <v>3.75</v>
      </c>
      <c r="CL164">
        <v>3</v>
      </c>
      <c r="CM164">
        <v>16</v>
      </c>
      <c r="CN164">
        <v>0</v>
      </c>
      <c r="CO164">
        <v>100</v>
      </c>
      <c r="CP164">
        <v>77.778000000000006</v>
      </c>
      <c r="CQ164">
        <v>7</v>
      </c>
      <c r="CR164">
        <v>46</v>
      </c>
      <c r="CS164">
        <v>13.55</v>
      </c>
      <c r="CT164">
        <v>34</v>
      </c>
      <c r="CU164">
        <v>7</v>
      </c>
      <c r="CV164">
        <v>6</v>
      </c>
      <c r="CW164">
        <v>15</v>
      </c>
      <c r="CX164">
        <v>208</v>
      </c>
      <c r="CY164">
        <v>17.875</v>
      </c>
      <c r="CZ164">
        <v>78.570999999999998</v>
      </c>
      <c r="DA164">
        <v>33.332999999999998</v>
      </c>
      <c r="DB164">
        <v>87.14</v>
      </c>
      <c r="DC164">
        <v>4</v>
      </c>
      <c r="DD164">
        <v>2664</v>
      </c>
      <c r="DE164">
        <v>75</v>
      </c>
      <c r="DF164">
        <v>223.57142999999999</v>
      </c>
      <c r="DG164">
        <v>23</v>
      </c>
      <c r="DH164">
        <v>367.14285000000001</v>
      </c>
      <c r="DI164">
        <v>8.01</v>
      </c>
      <c r="DJ164">
        <v>1256</v>
      </c>
      <c r="DK164">
        <v>133.714</v>
      </c>
      <c r="DL164">
        <v>4.5220000000000002</v>
      </c>
      <c r="DM164">
        <v>10</v>
      </c>
      <c r="DN164">
        <v>2959</v>
      </c>
      <c r="DO164">
        <v>16</v>
      </c>
      <c r="DP164">
        <v>233.429</v>
      </c>
      <c r="DQ164">
        <v>10.68</v>
      </c>
      <c r="DR164">
        <v>6.2610000000000001</v>
      </c>
      <c r="DS164">
        <v>24.2</v>
      </c>
      <c r="DT164">
        <v>1</v>
      </c>
      <c r="DU164">
        <v>23</v>
      </c>
      <c r="DV164">
        <v>0</v>
      </c>
      <c r="DW164">
        <v>100</v>
      </c>
      <c r="DX164">
        <v>72.727000000000004</v>
      </c>
      <c r="DY164">
        <v>8</v>
      </c>
      <c r="DZ164">
        <v>51</v>
      </c>
      <c r="EA164">
        <v>10</v>
      </c>
      <c r="EB164">
        <v>14</v>
      </c>
      <c r="EC164">
        <v>27</v>
      </c>
      <c r="ED164">
        <v>8</v>
      </c>
      <c r="EE164">
        <v>16</v>
      </c>
      <c r="EF164">
        <v>215</v>
      </c>
      <c r="EG164">
        <v>19.856999999999999</v>
      </c>
      <c r="EH164">
        <v>61.537999999999997</v>
      </c>
      <c r="EI164">
        <v>37.646999999999998</v>
      </c>
      <c r="EJ164">
        <v>74.88</v>
      </c>
      <c r="EK164">
        <v>6</v>
      </c>
    </row>
    <row r="165" spans="1:141" x14ac:dyDescent="0.25">
      <c r="A165">
        <v>0</v>
      </c>
      <c r="B165">
        <v>0</v>
      </c>
      <c r="C165">
        <v>0</v>
      </c>
      <c r="D165">
        <v>2025</v>
      </c>
      <c r="E165">
        <v>11</v>
      </c>
      <c r="F165" t="str">
        <f>VLOOKUP(G165, Map!$A$1:$B$33, 2, FALSE)</f>
        <v>LV</v>
      </c>
      <c r="G165" t="s">
        <v>157</v>
      </c>
      <c r="H165" t="str">
        <f>VLOOKUP(I165, Map!$A$1:$B$33, 2, FALSE)</f>
        <v>DAL</v>
      </c>
      <c r="I165" t="s">
        <v>150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5</v>
      </c>
      <c r="P165">
        <v>25.714285</v>
      </c>
      <c r="Q165">
        <v>14.714286</v>
      </c>
      <c r="R165">
        <v>-77</v>
      </c>
      <c r="S165">
        <v>-1</v>
      </c>
      <c r="T165">
        <v>0.28571429999999998</v>
      </c>
      <c r="U165">
        <v>0</v>
      </c>
      <c r="V165">
        <v>2</v>
      </c>
      <c r="W165">
        <v>1</v>
      </c>
      <c r="X165">
        <v>2</v>
      </c>
      <c r="Y165">
        <v>1</v>
      </c>
      <c r="Z165">
        <v>3</v>
      </c>
      <c r="AA165">
        <v>2</v>
      </c>
      <c r="AB165">
        <v>3</v>
      </c>
      <c r="AC165">
        <v>6</v>
      </c>
      <c r="AD165">
        <v>10</v>
      </c>
      <c r="AE165">
        <v>8</v>
      </c>
      <c r="AF165">
        <v>8</v>
      </c>
      <c r="AG165">
        <v>56</v>
      </c>
      <c r="AH165">
        <v>0</v>
      </c>
      <c r="AI165">
        <v>3</v>
      </c>
      <c r="AJ165">
        <v>4</v>
      </c>
      <c r="AK165">
        <v>31.25</v>
      </c>
      <c r="AL165">
        <v>30.75</v>
      </c>
      <c r="AM165">
        <v>-4</v>
      </c>
      <c r="AN165">
        <v>-1</v>
      </c>
      <c r="AO165">
        <v>0.4375</v>
      </c>
      <c r="AP165">
        <v>2</v>
      </c>
      <c r="AQ165">
        <v>1</v>
      </c>
      <c r="AR165">
        <v>2</v>
      </c>
      <c r="AS165">
        <v>0</v>
      </c>
      <c r="AT165">
        <v>1</v>
      </c>
      <c r="AU165">
        <v>4</v>
      </c>
      <c r="AV165">
        <v>2</v>
      </c>
      <c r="AW165">
        <v>3</v>
      </c>
      <c r="AX165">
        <v>13</v>
      </c>
      <c r="AY165">
        <v>5</v>
      </c>
      <c r="AZ165">
        <v>11</v>
      </c>
      <c r="BA165">
        <v>7</v>
      </c>
      <c r="BB165">
        <v>68</v>
      </c>
      <c r="BC165">
        <v>0</v>
      </c>
      <c r="BD165">
        <v>0</v>
      </c>
      <c r="BE165">
        <v>0</v>
      </c>
      <c r="BF165">
        <v>0</v>
      </c>
      <c r="BG165">
        <v>36.607999999999997</v>
      </c>
      <c r="BH165">
        <v>42.009</v>
      </c>
      <c r="BI165">
        <v>63.097999999999999</v>
      </c>
      <c r="BJ165">
        <v>0</v>
      </c>
      <c r="BK165">
        <v>0</v>
      </c>
      <c r="BL165">
        <v>0</v>
      </c>
      <c r="BM165">
        <v>-5.0780000000000003</v>
      </c>
      <c r="BN165">
        <v>63.097999999999999</v>
      </c>
      <c r="BO165">
        <v>42.009</v>
      </c>
      <c r="BP165">
        <v>0</v>
      </c>
      <c r="BQ165">
        <v>36.607999999999997</v>
      </c>
      <c r="BR165">
        <v>5.0780000000000003</v>
      </c>
      <c r="BS165">
        <v>0</v>
      </c>
      <c r="BT165">
        <v>0</v>
      </c>
      <c r="BU165">
        <v>0</v>
      </c>
      <c r="BV165">
        <v>1570</v>
      </c>
      <c r="BW165">
        <v>66.176000000000002</v>
      </c>
      <c r="BX165">
        <v>182.71428</v>
      </c>
      <c r="BY165">
        <v>19</v>
      </c>
      <c r="BZ165">
        <v>297.28570000000002</v>
      </c>
      <c r="CA165">
        <v>6.7649999999999997</v>
      </c>
      <c r="CB165">
        <v>731</v>
      </c>
      <c r="CC165">
        <v>93.713999999999999</v>
      </c>
      <c r="CD165">
        <v>3.859</v>
      </c>
      <c r="CE165">
        <v>3</v>
      </c>
      <c r="CF165">
        <v>2345</v>
      </c>
      <c r="CG165">
        <v>7</v>
      </c>
      <c r="CH165">
        <v>203.571</v>
      </c>
      <c r="CI165">
        <v>10.222</v>
      </c>
      <c r="CJ165">
        <v>6.7329999999999997</v>
      </c>
      <c r="CK165">
        <v>3.0710000000000002</v>
      </c>
      <c r="CL165">
        <v>0</v>
      </c>
      <c r="CM165">
        <v>15</v>
      </c>
      <c r="CN165">
        <v>0</v>
      </c>
      <c r="CO165">
        <v>100</v>
      </c>
      <c r="CP165">
        <v>78.570999999999998</v>
      </c>
      <c r="CQ165">
        <v>11</v>
      </c>
      <c r="CR165">
        <v>41</v>
      </c>
      <c r="CS165">
        <v>15.333</v>
      </c>
      <c r="CT165">
        <v>26</v>
      </c>
      <c r="CU165">
        <v>8</v>
      </c>
      <c r="CV165">
        <v>0</v>
      </c>
      <c r="CW165">
        <v>7</v>
      </c>
      <c r="CX165">
        <v>103</v>
      </c>
      <c r="CY165">
        <v>15.856999999999999</v>
      </c>
      <c r="CZ165">
        <v>45.454999999999998</v>
      </c>
      <c r="DA165">
        <v>37.930999999999997</v>
      </c>
      <c r="DB165">
        <v>53.17</v>
      </c>
      <c r="DC165">
        <v>-5</v>
      </c>
      <c r="DD165">
        <v>3160</v>
      </c>
      <c r="DE165">
        <v>70.233999999999995</v>
      </c>
      <c r="DF165">
        <v>263.75</v>
      </c>
      <c r="DG165">
        <v>25</v>
      </c>
      <c r="DH165">
        <v>391.375</v>
      </c>
      <c r="DI165">
        <v>7.1909999999999998</v>
      </c>
      <c r="DJ165">
        <v>1283</v>
      </c>
      <c r="DK165">
        <v>120.375</v>
      </c>
      <c r="DL165">
        <v>4.6749999999999998</v>
      </c>
      <c r="DM165">
        <v>10</v>
      </c>
      <c r="DN165">
        <v>3813</v>
      </c>
      <c r="DO165">
        <v>17</v>
      </c>
      <c r="DP165">
        <v>271</v>
      </c>
      <c r="DQ165">
        <v>10.238</v>
      </c>
      <c r="DR165">
        <v>7.7329999999999997</v>
      </c>
      <c r="DS165">
        <v>4.8099999999999996</v>
      </c>
      <c r="DT165">
        <v>1</v>
      </c>
      <c r="DU165">
        <v>15</v>
      </c>
      <c r="DV165">
        <v>0</v>
      </c>
      <c r="DW165">
        <v>96.296000000000006</v>
      </c>
      <c r="DX165">
        <v>100</v>
      </c>
      <c r="DY165">
        <v>16</v>
      </c>
      <c r="DZ165">
        <v>74</v>
      </c>
      <c r="EA165">
        <v>10</v>
      </c>
      <c r="EB165">
        <v>11</v>
      </c>
      <c r="EC165">
        <v>28</v>
      </c>
      <c r="ED165">
        <v>6</v>
      </c>
      <c r="EE165">
        <v>17</v>
      </c>
      <c r="EF165">
        <v>246</v>
      </c>
      <c r="EG165">
        <v>23.125</v>
      </c>
      <c r="EH165">
        <v>77.778000000000006</v>
      </c>
      <c r="EI165">
        <v>43.158000000000001</v>
      </c>
      <c r="EJ165">
        <v>74.19</v>
      </c>
      <c r="EK165">
        <v>-1</v>
      </c>
    </row>
    <row r="166" spans="1:141" x14ac:dyDescent="0.25">
      <c r="A166">
        <v>0</v>
      </c>
      <c r="B166">
        <v>0</v>
      </c>
      <c r="C166">
        <v>0</v>
      </c>
      <c r="D166">
        <v>2025</v>
      </c>
      <c r="E166">
        <v>12</v>
      </c>
      <c r="F166" t="str">
        <f>VLOOKUP(G166, Map!$A$1:$B$33, 2, FALSE)</f>
        <v>HOU</v>
      </c>
      <c r="G166" t="s">
        <v>137</v>
      </c>
      <c r="H166" t="str">
        <f>VLOOKUP(I166, Map!$A$1:$B$33, 2, FALSE)</f>
        <v>BUF</v>
      </c>
      <c r="I166" t="s">
        <v>165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4</v>
      </c>
      <c r="P166">
        <v>14.714286</v>
      </c>
      <c r="Q166">
        <v>21.857143000000001</v>
      </c>
      <c r="R166">
        <v>50</v>
      </c>
      <c r="S166">
        <v>1</v>
      </c>
      <c r="T166">
        <v>0.42857142999999998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3</v>
      </c>
      <c r="AA166">
        <v>2</v>
      </c>
      <c r="AB166">
        <v>1</v>
      </c>
      <c r="AC166">
        <v>3</v>
      </c>
      <c r="AD166">
        <v>13</v>
      </c>
      <c r="AE166">
        <v>8</v>
      </c>
      <c r="AF166">
        <v>8</v>
      </c>
      <c r="AG166">
        <v>69</v>
      </c>
      <c r="AH166">
        <v>0</v>
      </c>
      <c r="AI166">
        <v>5</v>
      </c>
      <c r="AJ166">
        <v>2</v>
      </c>
      <c r="AK166">
        <v>20.857143000000001</v>
      </c>
      <c r="AL166">
        <v>29.571428000000001</v>
      </c>
      <c r="AM166">
        <v>61</v>
      </c>
      <c r="AN166">
        <v>1</v>
      </c>
      <c r="AO166">
        <v>0.71428572999999995</v>
      </c>
      <c r="AP166">
        <v>2</v>
      </c>
      <c r="AQ166">
        <v>1</v>
      </c>
      <c r="AR166">
        <v>3</v>
      </c>
      <c r="AS166">
        <v>1</v>
      </c>
      <c r="AT166">
        <v>2</v>
      </c>
      <c r="AU166">
        <v>1</v>
      </c>
      <c r="AV166">
        <v>3</v>
      </c>
      <c r="AW166">
        <v>1</v>
      </c>
      <c r="AX166">
        <v>14</v>
      </c>
      <c r="AY166">
        <v>4</v>
      </c>
      <c r="AZ166">
        <v>8</v>
      </c>
      <c r="BA166">
        <v>9</v>
      </c>
      <c r="BB166">
        <v>68</v>
      </c>
      <c r="BC166">
        <v>0</v>
      </c>
      <c r="BD166">
        <v>0</v>
      </c>
      <c r="BE166">
        <v>0</v>
      </c>
      <c r="BF166">
        <v>0</v>
      </c>
      <c r="BG166">
        <v>47.348999999999997</v>
      </c>
      <c r="BH166">
        <v>72.578999999999994</v>
      </c>
      <c r="BI166">
        <v>52.271000000000001</v>
      </c>
      <c r="BJ166">
        <v>0</v>
      </c>
      <c r="BK166">
        <v>0</v>
      </c>
      <c r="BL166">
        <v>0</v>
      </c>
      <c r="BM166">
        <v>-1.054</v>
      </c>
      <c r="BN166">
        <v>52.271000000000001</v>
      </c>
      <c r="BO166">
        <v>72.578999999999994</v>
      </c>
      <c r="BP166">
        <v>0</v>
      </c>
      <c r="BQ166">
        <v>47.348999999999997</v>
      </c>
      <c r="BR166">
        <v>1.054</v>
      </c>
      <c r="BS166">
        <v>0</v>
      </c>
      <c r="BT166">
        <v>0</v>
      </c>
      <c r="BU166">
        <v>0</v>
      </c>
      <c r="BV166">
        <v>2266</v>
      </c>
      <c r="BW166">
        <v>66.525000000000006</v>
      </c>
      <c r="BX166">
        <v>215.28572</v>
      </c>
      <c r="BY166">
        <v>22</v>
      </c>
      <c r="BZ166">
        <v>348.57144</v>
      </c>
      <c r="CA166">
        <v>6.9749999999999996</v>
      </c>
      <c r="CB166">
        <v>869</v>
      </c>
      <c r="CC166">
        <v>113.429</v>
      </c>
      <c r="CD166">
        <v>4.2690000000000001</v>
      </c>
      <c r="CE166">
        <v>3</v>
      </c>
      <c r="CF166">
        <v>2816</v>
      </c>
      <c r="CG166">
        <v>11</v>
      </c>
      <c r="CH166">
        <v>235.143</v>
      </c>
      <c r="CI166">
        <v>10.484</v>
      </c>
      <c r="CJ166">
        <v>7.875</v>
      </c>
      <c r="CK166">
        <v>6.1109999999999998</v>
      </c>
      <c r="CL166">
        <v>1</v>
      </c>
      <c r="CM166">
        <v>16</v>
      </c>
      <c r="CN166">
        <v>0</v>
      </c>
      <c r="CO166">
        <v>100</v>
      </c>
      <c r="CP166">
        <v>89.474000000000004</v>
      </c>
      <c r="CQ166">
        <v>17</v>
      </c>
      <c r="CR166">
        <v>63</v>
      </c>
      <c r="CS166">
        <v>11.545</v>
      </c>
      <c r="CT166">
        <v>27</v>
      </c>
      <c r="CU166">
        <v>9</v>
      </c>
      <c r="CV166">
        <v>6</v>
      </c>
      <c r="CW166">
        <v>11</v>
      </c>
      <c r="CX166">
        <v>153</v>
      </c>
      <c r="CY166">
        <v>18.713999999999999</v>
      </c>
      <c r="CZ166">
        <v>66.667000000000002</v>
      </c>
      <c r="DA166">
        <v>35.164999999999999</v>
      </c>
      <c r="DB166">
        <v>60.15</v>
      </c>
      <c r="DC166">
        <v>4</v>
      </c>
      <c r="DD166">
        <v>2334</v>
      </c>
      <c r="DE166">
        <v>67.488</v>
      </c>
      <c r="DF166">
        <v>218.42857000000001</v>
      </c>
      <c r="DG166">
        <v>22</v>
      </c>
      <c r="DH166">
        <v>395</v>
      </c>
      <c r="DI166">
        <v>7.9509999999999996</v>
      </c>
      <c r="DJ166">
        <v>1576</v>
      </c>
      <c r="DK166">
        <v>164.429</v>
      </c>
      <c r="DL166">
        <v>5.2080000000000002</v>
      </c>
      <c r="DM166">
        <v>13</v>
      </c>
      <c r="DN166">
        <v>2719</v>
      </c>
      <c r="DO166">
        <v>12</v>
      </c>
      <c r="DP166">
        <v>230.571</v>
      </c>
      <c r="DQ166">
        <v>11.781000000000001</v>
      </c>
      <c r="DR166">
        <v>5.8639999999999999</v>
      </c>
      <c r="DS166">
        <v>5.35</v>
      </c>
      <c r="DT166">
        <v>0</v>
      </c>
      <c r="DU166">
        <v>22</v>
      </c>
      <c r="DV166">
        <v>0</v>
      </c>
      <c r="DW166">
        <v>95.454999999999998</v>
      </c>
      <c r="DX166">
        <v>92.308000000000007</v>
      </c>
      <c r="DY166">
        <v>12</v>
      </c>
      <c r="DZ166">
        <v>57</v>
      </c>
      <c r="EA166">
        <v>8</v>
      </c>
      <c r="EB166">
        <v>10</v>
      </c>
      <c r="EC166">
        <v>22</v>
      </c>
      <c r="ED166">
        <v>0</v>
      </c>
      <c r="EE166">
        <v>12</v>
      </c>
      <c r="EF166">
        <v>207</v>
      </c>
      <c r="EG166">
        <v>23.143000000000001</v>
      </c>
      <c r="EH166">
        <v>60</v>
      </c>
      <c r="EI166">
        <v>43.75</v>
      </c>
      <c r="EJ166">
        <v>73.47</v>
      </c>
      <c r="EK166">
        <v>2</v>
      </c>
    </row>
    <row r="167" spans="1:141" x14ac:dyDescent="0.25">
      <c r="A167">
        <v>0</v>
      </c>
      <c r="B167">
        <v>0</v>
      </c>
      <c r="C167">
        <v>0</v>
      </c>
      <c r="D167">
        <v>2025</v>
      </c>
      <c r="E167">
        <v>12</v>
      </c>
      <c r="F167" t="str">
        <f>VLOOKUP(G167, Map!$A$1:$B$33, 2, FALSE)</f>
        <v>CHI</v>
      </c>
      <c r="G167" t="s">
        <v>163</v>
      </c>
      <c r="H167" t="str">
        <f>VLOOKUP(I167, Map!$A$1:$B$33, 2, FALSE)</f>
        <v>PIT</v>
      </c>
      <c r="I167" t="s">
        <v>145</v>
      </c>
      <c r="J167">
        <v>0</v>
      </c>
      <c r="K167">
        <v>0</v>
      </c>
      <c r="L167">
        <v>0</v>
      </c>
      <c r="M167">
        <v>0</v>
      </c>
      <c r="N167">
        <v>4</v>
      </c>
      <c r="O167">
        <v>3</v>
      </c>
      <c r="P167">
        <v>26.428571999999999</v>
      </c>
      <c r="Q167">
        <v>24</v>
      </c>
      <c r="R167">
        <v>-17</v>
      </c>
      <c r="S167">
        <v>-1</v>
      </c>
      <c r="T167">
        <v>0.57142859999999995</v>
      </c>
      <c r="U167">
        <v>0</v>
      </c>
      <c r="V167">
        <v>2</v>
      </c>
      <c r="W167">
        <v>2</v>
      </c>
      <c r="X167">
        <v>1</v>
      </c>
      <c r="Y167">
        <v>2</v>
      </c>
      <c r="Z167">
        <v>2</v>
      </c>
      <c r="AA167">
        <v>3</v>
      </c>
      <c r="AB167">
        <v>2</v>
      </c>
      <c r="AC167">
        <v>3</v>
      </c>
      <c r="AD167">
        <v>14</v>
      </c>
      <c r="AE167">
        <v>5</v>
      </c>
      <c r="AF167">
        <v>11</v>
      </c>
      <c r="AG167">
        <v>61</v>
      </c>
      <c r="AH167">
        <v>0</v>
      </c>
      <c r="AI167">
        <v>4</v>
      </c>
      <c r="AJ167">
        <v>3</v>
      </c>
      <c r="AK167">
        <v>25</v>
      </c>
      <c r="AL167">
        <v>25</v>
      </c>
      <c r="AM167">
        <v>0</v>
      </c>
      <c r="AN167">
        <v>-2</v>
      </c>
      <c r="AO167">
        <v>0.57142859999999995</v>
      </c>
      <c r="AP167">
        <v>1</v>
      </c>
      <c r="AQ167">
        <v>1</v>
      </c>
      <c r="AR167">
        <v>2</v>
      </c>
      <c r="AS167">
        <v>2</v>
      </c>
      <c r="AT167">
        <v>2</v>
      </c>
      <c r="AU167">
        <v>1</v>
      </c>
      <c r="AV167">
        <v>3</v>
      </c>
      <c r="AW167">
        <v>1</v>
      </c>
      <c r="AX167">
        <v>9</v>
      </c>
      <c r="AY167">
        <v>8</v>
      </c>
      <c r="AZ167">
        <v>10</v>
      </c>
      <c r="BA167">
        <v>6</v>
      </c>
      <c r="BB167">
        <v>66</v>
      </c>
      <c r="BC167">
        <v>0</v>
      </c>
      <c r="BD167">
        <v>0</v>
      </c>
      <c r="BE167">
        <v>0</v>
      </c>
      <c r="BF167">
        <v>0</v>
      </c>
      <c r="BG167">
        <v>49.072000000000003</v>
      </c>
      <c r="BH167">
        <v>47.54</v>
      </c>
      <c r="BI167">
        <v>50.533999999999999</v>
      </c>
      <c r="BJ167">
        <v>0</v>
      </c>
      <c r="BK167">
        <v>0</v>
      </c>
      <c r="BL167">
        <v>0</v>
      </c>
      <c r="BM167">
        <v>0.17299999999999999</v>
      </c>
      <c r="BN167">
        <v>50.533999999999999</v>
      </c>
      <c r="BO167">
        <v>47.54</v>
      </c>
      <c r="BP167">
        <v>0</v>
      </c>
      <c r="BQ167">
        <v>49.072000000000003</v>
      </c>
      <c r="BR167">
        <v>-0.17299999999999999</v>
      </c>
      <c r="BS167">
        <v>0</v>
      </c>
      <c r="BT167">
        <v>0</v>
      </c>
      <c r="BU167">
        <v>0</v>
      </c>
      <c r="BV167">
        <v>2157</v>
      </c>
      <c r="BW167">
        <v>61.947000000000003</v>
      </c>
      <c r="BX167">
        <v>225.57142999999999</v>
      </c>
      <c r="BY167">
        <v>26</v>
      </c>
      <c r="BZ167">
        <v>362.14285000000001</v>
      </c>
      <c r="CA167">
        <v>7.2880000000000003</v>
      </c>
      <c r="CB167">
        <v>1087</v>
      </c>
      <c r="CC167">
        <v>124.571</v>
      </c>
      <c r="CD167">
        <v>4.4039999999999999</v>
      </c>
      <c r="CE167">
        <v>7</v>
      </c>
      <c r="CF167">
        <v>2678</v>
      </c>
      <c r="CG167">
        <v>9</v>
      </c>
      <c r="CH167">
        <v>237.571</v>
      </c>
      <c r="CI167">
        <v>11.763999999999999</v>
      </c>
      <c r="CJ167">
        <v>4.5709999999999997</v>
      </c>
      <c r="CK167">
        <v>2.9409999999999998</v>
      </c>
      <c r="CL167">
        <v>1</v>
      </c>
      <c r="CM167">
        <v>14</v>
      </c>
      <c r="CN167">
        <v>0</v>
      </c>
      <c r="CO167">
        <v>100</v>
      </c>
      <c r="CP167">
        <v>85</v>
      </c>
      <c r="CQ167">
        <v>17</v>
      </c>
      <c r="CR167">
        <v>66</v>
      </c>
      <c r="CS167">
        <v>11.909000000000001</v>
      </c>
      <c r="CT167">
        <v>24</v>
      </c>
      <c r="CU167">
        <v>7</v>
      </c>
      <c r="CV167">
        <v>6</v>
      </c>
      <c r="CW167">
        <v>9</v>
      </c>
      <c r="CX167">
        <v>168</v>
      </c>
      <c r="CY167">
        <v>19.286000000000001</v>
      </c>
      <c r="CZ167">
        <v>37.5</v>
      </c>
      <c r="DA167">
        <v>41.110999999999997</v>
      </c>
      <c r="DB167">
        <v>57.14</v>
      </c>
      <c r="DC167">
        <v>10</v>
      </c>
      <c r="DD167">
        <v>2471</v>
      </c>
      <c r="DE167">
        <v>68.570999999999998</v>
      </c>
      <c r="DF167">
        <v>202.85714999999999</v>
      </c>
      <c r="DG167">
        <v>20</v>
      </c>
      <c r="DH167">
        <v>308.71429999999998</v>
      </c>
      <c r="DI167">
        <v>7.1479999999999997</v>
      </c>
      <c r="DJ167">
        <v>750</v>
      </c>
      <c r="DK167">
        <v>94.286000000000001</v>
      </c>
      <c r="DL167">
        <v>4.0739999999999998</v>
      </c>
      <c r="DM167">
        <v>3</v>
      </c>
      <c r="DN167">
        <v>2781</v>
      </c>
      <c r="DO167">
        <v>16</v>
      </c>
      <c r="DP167">
        <v>214.429</v>
      </c>
      <c r="DQ167">
        <v>10.423999999999999</v>
      </c>
      <c r="DR167">
        <v>6.4089999999999998</v>
      </c>
      <c r="DS167">
        <v>7.4379999999999997</v>
      </c>
      <c r="DT167">
        <v>0</v>
      </c>
      <c r="DU167">
        <v>22</v>
      </c>
      <c r="DV167">
        <v>0</v>
      </c>
      <c r="DW167">
        <v>100</v>
      </c>
      <c r="DX167">
        <v>87.5</v>
      </c>
      <c r="DY167">
        <v>14</v>
      </c>
      <c r="DZ167">
        <v>59</v>
      </c>
      <c r="EA167">
        <v>8.25</v>
      </c>
      <c r="EB167">
        <v>8</v>
      </c>
      <c r="EC167">
        <v>23</v>
      </c>
      <c r="ED167">
        <v>0</v>
      </c>
      <c r="EE167">
        <v>16</v>
      </c>
      <c r="EF167">
        <v>175</v>
      </c>
      <c r="EG167">
        <v>17.428999999999998</v>
      </c>
      <c r="EH167">
        <v>50</v>
      </c>
      <c r="EI167">
        <v>38.960999999999999</v>
      </c>
      <c r="EJ167">
        <v>75.94</v>
      </c>
      <c r="EK167">
        <v>4</v>
      </c>
    </row>
    <row r="168" spans="1:141" x14ac:dyDescent="0.25">
      <c r="A168">
        <v>0</v>
      </c>
      <c r="B168">
        <v>0</v>
      </c>
      <c r="C168">
        <v>0</v>
      </c>
      <c r="D168">
        <v>2025</v>
      </c>
      <c r="E168">
        <v>12</v>
      </c>
      <c r="F168" t="str">
        <f>VLOOKUP(G168, Map!$A$1:$B$33, 2, FALSE)</f>
        <v>CIN</v>
      </c>
      <c r="G168" t="s">
        <v>161</v>
      </c>
      <c r="H168" t="str">
        <f>VLOOKUP(I168, Map!$A$1:$B$33, 2, FALSE)</f>
        <v>NE</v>
      </c>
      <c r="I168" t="s">
        <v>151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5</v>
      </c>
      <c r="P168">
        <v>31.625</v>
      </c>
      <c r="Q168">
        <v>21.75</v>
      </c>
      <c r="R168">
        <v>-79</v>
      </c>
      <c r="S168">
        <v>-1</v>
      </c>
      <c r="T168">
        <v>0.375</v>
      </c>
      <c r="U168">
        <v>2</v>
      </c>
      <c r="V168">
        <v>0</v>
      </c>
      <c r="W168">
        <v>2</v>
      </c>
      <c r="X168">
        <v>2</v>
      </c>
      <c r="Y168">
        <v>1</v>
      </c>
      <c r="Z168">
        <v>3</v>
      </c>
      <c r="AA168">
        <v>3</v>
      </c>
      <c r="AB168">
        <v>2</v>
      </c>
      <c r="AC168">
        <v>14</v>
      </c>
      <c r="AD168">
        <v>4</v>
      </c>
      <c r="AE168">
        <v>13</v>
      </c>
      <c r="AF168">
        <v>5</v>
      </c>
      <c r="AG168">
        <v>59</v>
      </c>
      <c r="AH168">
        <v>0</v>
      </c>
      <c r="AI168">
        <v>6</v>
      </c>
      <c r="AJ168">
        <v>2</v>
      </c>
      <c r="AK168">
        <v>18.25</v>
      </c>
      <c r="AL168">
        <v>26.625</v>
      </c>
      <c r="AM168">
        <v>67</v>
      </c>
      <c r="AN168">
        <v>5</v>
      </c>
      <c r="AO168">
        <v>0.75</v>
      </c>
      <c r="AP168">
        <v>2</v>
      </c>
      <c r="AQ168">
        <v>0</v>
      </c>
      <c r="AR168">
        <v>2</v>
      </c>
      <c r="AS168">
        <v>2</v>
      </c>
      <c r="AT168">
        <v>4</v>
      </c>
      <c r="AU168">
        <v>0</v>
      </c>
      <c r="AV168">
        <v>4</v>
      </c>
      <c r="AW168">
        <v>2</v>
      </c>
      <c r="AX168">
        <v>8</v>
      </c>
      <c r="AY168">
        <v>9</v>
      </c>
      <c r="AZ168">
        <v>7</v>
      </c>
      <c r="BA168">
        <v>9</v>
      </c>
      <c r="BB168">
        <v>61</v>
      </c>
      <c r="BC168">
        <v>0</v>
      </c>
      <c r="BD168">
        <v>0</v>
      </c>
      <c r="BE168">
        <v>0</v>
      </c>
      <c r="BF168">
        <v>0</v>
      </c>
      <c r="BG168">
        <v>41.148000000000003</v>
      </c>
      <c r="BH168">
        <v>56.69</v>
      </c>
      <c r="BI168">
        <v>58.521999999999998</v>
      </c>
      <c r="BJ168">
        <v>0</v>
      </c>
      <c r="BK168">
        <v>0</v>
      </c>
      <c r="BL168">
        <v>0</v>
      </c>
      <c r="BM168">
        <v>-3.66</v>
      </c>
      <c r="BN168">
        <v>58.521999999999998</v>
      </c>
      <c r="BO168">
        <v>56.69</v>
      </c>
      <c r="BP168">
        <v>0</v>
      </c>
      <c r="BQ168">
        <v>41.148000000000003</v>
      </c>
      <c r="BR168">
        <v>3.66</v>
      </c>
      <c r="BS168">
        <v>0</v>
      </c>
      <c r="BT168">
        <v>0</v>
      </c>
      <c r="BU168">
        <v>0</v>
      </c>
      <c r="BV168">
        <v>2540</v>
      </c>
      <c r="BW168">
        <v>63.636000000000003</v>
      </c>
      <c r="BX168">
        <v>202</v>
      </c>
      <c r="BY168">
        <v>15</v>
      </c>
      <c r="BZ168">
        <v>299.125</v>
      </c>
      <c r="CA168">
        <v>6.0490000000000004</v>
      </c>
      <c r="CB168">
        <v>793</v>
      </c>
      <c r="CC168">
        <v>82.875</v>
      </c>
      <c r="CD168">
        <v>4.3049999999999997</v>
      </c>
      <c r="CE168">
        <v>5</v>
      </c>
      <c r="CF168">
        <v>3165</v>
      </c>
      <c r="CG168">
        <v>15</v>
      </c>
      <c r="CH168">
        <v>216.25</v>
      </c>
      <c r="CI168">
        <v>9.5050000000000008</v>
      </c>
      <c r="CJ168">
        <v>5.2729999999999997</v>
      </c>
      <c r="CK168">
        <v>3.3570000000000002</v>
      </c>
      <c r="CL168">
        <v>0</v>
      </c>
      <c r="CM168">
        <v>11</v>
      </c>
      <c r="CN168">
        <v>0</v>
      </c>
      <c r="CO168">
        <v>100</v>
      </c>
      <c r="CP168">
        <v>84.614999999999995</v>
      </c>
      <c r="CQ168">
        <v>11</v>
      </c>
      <c r="CR168">
        <v>52</v>
      </c>
      <c r="CS168">
        <v>11.523999999999999</v>
      </c>
      <c r="CT168">
        <v>37</v>
      </c>
      <c r="CU168">
        <v>11</v>
      </c>
      <c r="CV168">
        <v>0</v>
      </c>
      <c r="CW168">
        <v>15</v>
      </c>
      <c r="CX168">
        <v>174</v>
      </c>
      <c r="CY168">
        <v>18.5</v>
      </c>
      <c r="CZ168">
        <v>80</v>
      </c>
      <c r="DA168">
        <v>39.393999999999998</v>
      </c>
      <c r="DB168">
        <v>79.87</v>
      </c>
      <c r="DC168">
        <v>-2</v>
      </c>
      <c r="DD168">
        <v>2965</v>
      </c>
      <c r="DE168">
        <v>75</v>
      </c>
      <c r="DF168">
        <v>240.5</v>
      </c>
      <c r="DG168">
        <v>29</v>
      </c>
      <c r="DH168">
        <v>367.375</v>
      </c>
      <c r="DI168">
        <v>8.7940000000000005</v>
      </c>
      <c r="DJ168">
        <v>1056</v>
      </c>
      <c r="DK168">
        <v>112.625</v>
      </c>
      <c r="DL168">
        <v>3.9340000000000002</v>
      </c>
      <c r="DM168">
        <v>7</v>
      </c>
      <c r="DN168">
        <v>3418</v>
      </c>
      <c r="DO168">
        <v>15</v>
      </c>
      <c r="DP168">
        <v>254.75</v>
      </c>
      <c r="DQ168">
        <v>11.725</v>
      </c>
      <c r="DR168">
        <v>6.3159999999999998</v>
      </c>
      <c r="DS168">
        <v>3.7410000000000001</v>
      </c>
      <c r="DT168">
        <v>4</v>
      </c>
      <c r="DU168">
        <v>19</v>
      </c>
      <c r="DV168">
        <v>0</v>
      </c>
      <c r="DW168">
        <v>91.304000000000002</v>
      </c>
      <c r="DX168">
        <v>92.308000000000007</v>
      </c>
      <c r="DY168">
        <v>12</v>
      </c>
      <c r="DZ168">
        <v>57</v>
      </c>
      <c r="EA168">
        <v>16.8</v>
      </c>
      <c r="EB168">
        <v>10</v>
      </c>
      <c r="EC168">
        <v>27</v>
      </c>
      <c r="ED168">
        <v>14</v>
      </c>
      <c r="EE168">
        <v>15</v>
      </c>
      <c r="EF168">
        <v>213</v>
      </c>
      <c r="EG168">
        <v>20.375</v>
      </c>
      <c r="EH168">
        <v>83.332999999999998</v>
      </c>
      <c r="EI168">
        <v>39.784999999999997</v>
      </c>
      <c r="EJ168">
        <v>67</v>
      </c>
      <c r="EK168">
        <v>2</v>
      </c>
    </row>
    <row r="169" spans="1:141" x14ac:dyDescent="0.25">
      <c r="A169">
        <v>0</v>
      </c>
      <c r="B169">
        <v>0</v>
      </c>
      <c r="C169">
        <v>0</v>
      </c>
      <c r="D169">
        <v>2025</v>
      </c>
      <c r="E169">
        <v>12</v>
      </c>
      <c r="F169" t="str">
        <f>VLOOKUP(G169, Map!$A$1:$B$33, 2, FALSE)</f>
        <v>DET</v>
      </c>
      <c r="G169" t="s">
        <v>164</v>
      </c>
      <c r="H169" t="str">
        <f>VLOOKUP(I169, Map!$A$1:$B$33, 2, FALSE)</f>
        <v>NYG</v>
      </c>
      <c r="I169" t="s">
        <v>149</v>
      </c>
      <c r="J169">
        <v>0</v>
      </c>
      <c r="K169">
        <v>0</v>
      </c>
      <c r="L169">
        <v>0</v>
      </c>
      <c r="M169">
        <v>0</v>
      </c>
      <c r="N169">
        <v>5</v>
      </c>
      <c r="O169">
        <v>2</v>
      </c>
      <c r="P169">
        <v>21.571428000000001</v>
      </c>
      <c r="Q169">
        <v>30.714285</v>
      </c>
      <c r="R169">
        <v>64</v>
      </c>
      <c r="S169">
        <v>1</v>
      </c>
      <c r="T169">
        <v>0.71428572999999995</v>
      </c>
      <c r="U169">
        <v>1</v>
      </c>
      <c r="V169">
        <v>1</v>
      </c>
      <c r="W169">
        <v>3</v>
      </c>
      <c r="X169">
        <v>0</v>
      </c>
      <c r="Y169">
        <v>2</v>
      </c>
      <c r="Z169">
        <v>2</v>
      </c>
      <c r="AA169">
        <v>2</v>
      </c>
      <c r="AB169">
        <v>1</v>
      </c>
      <c r="AC169">
        <v>8</v>
      </c>
      <c r="AD169">
        <v>8</v>
      </c>
      <c r="AE169">
        <v>11</v>
      </c>
      <c r="AF169">
        <v>5</v>
      </c>
      <c r="AG169">
        <v>73</v>
      </c>
      <c r="AH169">
        <v>0</v>
      </c>
      <c r="AI169">
        <v>2</v>
      </c>
      <c r="AJ169">
        <v>6</v>
      </c>
      <c r="AK169">
        <v>26.875</v>
      </c>
      <c r="AL169">
        <v>21.625</v>
      </c>
      <c r="AM169">
        <v>-42</v>
      </c>
      <c r="AN169">
        <v>-2</v>
      </c>
      <c r="AO169">
        <v>0.25</v>
      </c>
      <c r="AP169">
        <v>1</v>
      </c>
      <c r="AQ169">
        <v>3</v>
      </c>
      <c r="AR169">
        <v>2</v>
      </c>
      <c r="AS169">
        <v>1</v>
      </c>
      <c r="AT169">
        <v>0</v>
      </c>
      <c r="AU169">
        <v>5</v>
      </c>
      <c r="AV169">
        <v>1</v>
      </c>
      <c r="AW169">
        <v>4</v>
      </c>
      <c r="AX169">
        <v>10</v>
      </c>
      <c r="AY169">
        <v>7</v>
      </c>
      <c r="AZ169">
        <v>14</v>
      </c>
      <c r="BA169">
        <v>4</v>
      </c>
      <c r="BB169">
        <v>67</v>
      </c>
      <c r="BC169">
        <v>0</v>
      </c>
      <c r="BD169">
        <v>0</v>
      </c>
      <c r="BE169">
        <v>0</v>
      </c>
      <c r="BF169">
        <v>0</v>
      </c>
      <c r="BG169">
        <v>66.394000000000005</v>
      </c>
      <c r="BH169">
        <v>62.826999999999998</v>
      </c>
      <c r="BI169">
        <v>33.338000000000001</v>
      </c>
      <c r="BJ169">
        <v>0</v>
      </c>
      <c r="BK169">
        <v>0</v>
      </c>
      <c r="BL169">
        <v>0</v>
      </c>
      <c r="BM169">
        <v>6.6040000000000001</v>
      </c>
      <c r="BN169">
        <v>33.338000000000001</v>
      </c>
      <c r="BO169">
        <v>62.826999999999998</v>
      </c>
      <c r="BP169">
        <v>0</v>
      </c>
      <c r="BQ169">
        <v>66.394000000000005</v>
      </c>
      <c r="BR169">
        <v>-6.6040000000000001</v>
      </c>
      <c r="BS169">
        <v>0</v>
      </c>
      <c r="BT169">
        <v>0</v>
      </c>
      <c r="BU169">
        <v>0</v>
      </c>
      <c r="BV169">
        <v>2664</v>
      </c>
      <c r="BW169">
        <v>75</v>
      </c>
      <c r="BX169">
        <v>223.57142999999999</v>
      </c>
      <c r="BY169">
        <v>23</v>
      </c>
      <c r="BZ169">
        <v>367.14285000000001</v>
      </c>
      <c r="CA169">
        <v>8.01</v>
      </c>
      <c r="CB169">
        <v>1256</v>
      </c>
      <c r="CC169">
        <v>133.714</v>
      </c>
      <c r="CD169">
        <v>4.5220000000000002</v>
      </c>
      <c r="CE169">
        <v>10</v>
      </c>
      <c r="CF169">
        <v>2959</v>
      </c>
      <c r="CG169">
        <v>16</v>
      </c>
      <c r="CH169">
        <v>233.429</v>
      </c>
      <c r="CI169">
        <v>10.68</v>
      </c>
      <c r="CJ169">
        <v>6.2610000000000001</v>
      </c>
      <c r="CK169">
        <v>24.2</v>
      </c>
      <c r="CL169">
        <v>1</v>
      </c>
      <c r="CM169">
        <v>23</v>
      </c>
      <c r="CN169">
        <v>0</v>
      </c>
      <c r="CO169">
        <v>100</v>
      </c>
      <c r="CP169">
        <v>72.727000000000004</v>
      </c>
      <c r="CQ169">
        <v>8</v>
      </c>
      <c r="CR169">
        <v>51</v>
      </c>
      <c r="CS169">
        <v>10</v>
      </c>
      <c r="CT169">
        <v>27</v>
      </c>
      <c r="CU169">
        <v>14</v>
      </c>
      <c r="CV169">
        <v>8</v>
      </c>
      <c r="CW169">
        <v>16</v>
      </c>
      <c r="CX169">
        <v>215</v>
      </c>
      <c r="CY169">
        <v>19.856999999999999</v>
      </c>
      <c r="CZ169">
        <v>61.537999999999997</v>
      </c>
      <c r="DA169">
        <v>37.646999999999998</v>
      </c>
      <c r="DB169">
        <v>74.88</v>
      </c>
      <c r="DC169">
        <v>6</v>
      </c>
      <c r="DD169">
        <v>2348</v>
      </c>
      <c r="DE169">
        <v>59.448999999999998</v>
      </c>
      <c r="DF169">
        <v>207.25</v>
      </c>
      <c r="DG169">
        <v>23</v>
      </c>
      <c r="DH169">
        <v>339.25</v>
      </c>
      <c r="DI169">
        <v>6.9210000000000003</v>
      </c>
      <c r="DJ169">
        <v>1249</v>
      </c>
      <c r="DK169">
        <v>118</v>
      </c>
      <c r="DL169">
        <v>4.0339999999999998</v>
      </c>
      <c r="DM169">
        <v>10</v>
      </c>
      <c r="DN169">
        <v>2910</v>
      </c>
      <c r="DO169">
        <v>11</v>
      </c>
      <c r="DP169">
        <v>221.25</v>
      </c>
      <c r="DQ169">
        <v>11.641999999999999</v>
      </c>
      <c r="DR169">
        <v>7.2629999999999999</v>
      </c>
      <c r="DS169">
        <v>5.1740000000000004</v>
      </c>
      <c r="DT169">
        <v>0</v>
      </c>
      <c r="DU169">
        <v>19</v>
      </c>
      <c r="DV169">
        <v>0</v>
      </c>
      <c r="DW169">
        <v>78.947000000000003</v>
      </c>
      <c r="DX169">
        <v>100</v>
      </c>
      <c r="DY169">
        <v>10</v>
      </c>
      <c r="DZ169">
        <v>45</v>
      </c>
      <c r="EA169">
        <v>7.1539999999999999</v>
      </c>
      <c r="EB169">
        <v>12</v>
      </c>
      <c r="EC169">
        <v>32</v>
      </c>
      <c r="ED169">
        <v>0</v>
      </c>
      <c r="EE169">
        <v>11</v>
      </c>
      <c r="EF169">
        <v>173</v>
      </c>
      <c r="EG169">
        <v>20.625</v>
      </c>
      <c r="EH169">
        <v>52.941000000000003</v>
      </c>
      <c r="EI169">
        <v>39.814999999999998</v>
      </c>
      <c r="EJ169">
        <v>59.26</v>
      </c>
      <c r="EK169">
        <v>-4</v>
      </c>
    </row>
    <row r="170" spans="1:141" x14ac:dyDescent="0.25">
      <c r="A170">
        <v>0</v>
      </c>
      <c r="B170">
        <v>0</v>
      </c>
      <c r="C170">
        <v>0</v>
      </c>
      <c r="D170">
        <v>2025</v>
      </c>
      <c r="E170">
        <v>12</v>
      </c>
      <c r="F170" t="str">
        <f>VLOOKUP(G170, Map!$A$1:$B$33, 2, FALSE)</f>
        <v>GB</v>
      </c>
      <c r="G170" t="s">
        <v>154</v>
      </c>
      <c r="H170" t="str">
        <f>VLOOKUP(I170, Map!$A$1:$B$33, 2, FALSE)</f>
        <v>MIN</v>
      </c>
      <c r="I170" t="s">
        <v>153</v>
      </c>
      <c r="J170">
        <v>0</v>
      </c>
      <c r="K170">
        <v>0</v>
      </c>
      <c r="L170">
        <v>0</v>
      </c>
      <c r="M170">
        <v>0</v>
      </c>
      <c r="N170">
        <v>5</v>
      </c>
      <c r="O170">
        <v>1</v>
      </c>
      <c r="P170">
        <v>21.428571999999999</v>
      </c>
      <c r="Q170">
        <v>27.571428000000001</v>
      </c>
      <c r="R170">
        <v>43</v>
      </c>
      <c r="S170">
        <v>3</v>
      </c>
      <c r="T170">
        <v>0.78571427000000005</v>
      </c>
      <c r="U170">
        <v>1</v>
      </c>
      <c r="V170">
        <v>0</v>
      </c>
      <c r="W170">
        <v>3</v>
      </c>
      <c r="X170">
        <v>0</v>
      </c>
      <c r="Y170">
        <v>2</v>
      </c>
      <c r="Z170">
        <v>1</v>
      </c>
      <c r="AA170">
        <v>3</v>
      </c>
      <c r="AB170">
        <v>0</v>
      </c>
      <c r="AC170">
        <v>8</v>
      </c>
      <c r="AD170">
        <v>8</v>
      </c>
      <c r="AE170">
        <v>8</v>
      </c>
      <c r="AF170">
        <v>8</v>
      </c>
      <c r="AG170">
        <v>61</v>
      </c>
      <c r="AH170">
        <v>0</v>
      </c>
      <c r="AI170">
        <v>3</v>
      </c>
      <c r="AJ170">
        <v>4</v>
      </c>
      <c r="AK170">
        <v>23.142856999999999</v>
      </c>
      <c r="AL170">
        <v>22.142856999999999</v>
      </c>
      <c r="AM170">
        <v>-7</v>
      </c>
      <c r="AN170">
        <v>-2</v>
      </c>
      <c r="AO170">
        <v>0.42857142999999998</v>
      </c>
      <c r="AP170">
        <v>1</v>
      </c>
      <c r="AQ170">
        <v>0</v>
      </c>
      <c r="AR170">
        <v>1</v>
      </c>
      <c r="AS170">
        <v>2</v>
      </c>
      <c r="AT170">
        <v>2</v>
      </c>
      <c r="AU170">
        <v>2</v>
      </c>
      <c r="AV170">
        <v>1</v>
      </c>
      <c r="AW170">
        <v>2</v>
      </c>
      <c r="AX170">
        <v>13</v>
      </c>
      <c r="AY170">
        <v>4</v>
      </c>
      <c r="AZ170">
        <v>7</v>
      </c>
      <c r="BA170">
        <v>9</v>
      </c>
      <c r="BB170">
        <v>61</v>
      </c>
      <c r="BC170">
        <v>0</v>
      </c>
      <c r="BD170">
        <v>0</v>
      </c>
      <c r="BE170">
        <v>0</v>
      </c>
      <c r="BF170">
        <v>0</v>
      </c>
      <c r="BG170">
        <v>73.33</v>
      </c>
      <c r="BH170">
        <v>60.506999999999998</v>
      </c>
      <c r="BI170">
        <v>26.457999999999998</v>
      </c>
      <c r="BJ170">
        <v>0</v>
      </c>
      <c r="BK170">
        <v>0</v>
      </c>
      <c r="BL170">
        <v>0</v>
      </c>
      <c r="BM170">
        <v>9.8230000000000004</v>
      </c>
      <c r="BN170">
        <v>26.457999999999998</v>
      </c>
      <c r="BO170">
        <v>60.506999999999998</v>
      </c>
      <c r="BP170">
        <v>0</v>
      </c>
      <c r="BQ170">
        <v>73.33</v>
      </c>
      <c r="BR170">
        <v>-9.8230000000000004</v>
      </c>
      <c r="BS170">
        <v>0</v>
      </c>
      <c r="BT170">
        <v>0</v>
      </c>
      <c r="BU170">
        <v>0</v>
      </c>
      <c r="BV170">
        <v>2648</v>
      </c>
      <c r="BW170">
        <v>70.891999999999996</v>
      </c>
      <c r="BX170">
        <v>245</v>
      </c>
      <c r="BY170">
        <v>26</v>
      </c>
      <c r="BZ170">
        <v>371</v>
      </c>
      <c r="CA170">
        <v>8.4410000000000007</v>
      </c>
      <c r="CB170">
        <v>1099</v>
      </c>
      <c r="CC170">
        <v>114.143</v>
      </c>
      <c r="CD170">
        <v>3.9359999999999999</v>
      </c>
      <c r="CE170">
        <v>9</v>
      </c>
      <c r="CF170">
        <v>3008</v>
      </c>
      <c r="CG170">
        <v>13</v>
      </c>
      <c r="CH170">
        <v>256.85700000000003</v>
      </c>
      <c r="CI170">
        <v>11.907</v>
      </c>
      <c r="CJ170">
        <v>6.1429999999999998</v>
      </c>
      <c r="CK170">
        <v>6.75</v>
      </c>
      <c r="CL170">
        <v>0</v>
      </c>
      <c r="CM170">
        <v>21</v>
      </c>
      <c r="CN170">
        <v>0</v>
      </c>
      <c r="CO170">
        <v>95.238</v>
      </c>
      <c r="CP170">
        <v>76.471000000000004</v>
      </c>
      <c r="CQ170">
        <v>13</v>
      </c>
      <c r="CR170">
        <v>59</v>
      </c>
      <c r="CS170">
        <v>11.909000000000001</v>
      </c>
      <c r="CT170">
        <v>22</v>
      </c>
      <c r="CU170">
        <v>6</v>
      </c>
      <c r="CV170">
        <v>0</v>
      </c>
      <c r="CW170">
        <v>13</v>
      </c>
      <c r="CX170">
        <v>193</v>
      </c>
      <c r="CY170">
        <v>21</v>
      </c>
      <c r="CZ170">
        <v>75</v>
      </c>
      <c r="DA170">
        <v>48.276000000000003</v>
      </c>
      <c r="DB170">
        <v>78.569999999999993</v>
      </c>
      <c r="DC170">
        <v>1</v>
      </c>
      <c r="DD170">
        <v>1981</v>
      </c>
      <c r="DE170">
        <v>63.927</v>
      </c>
      <c r="DF170">
        <v>202.71428</v>
      </c>
      <c r="DG170">
        <v>21</v>
      </c>
      <c r="DH170">
        <v>321.14285000000001</v>
      </c>
      <c r="DI170">
        <v>7.2649999999999997</v>
      </c>
      <c r="DJ170">
        <v>772</v>
      </c>
      <c r="DK170">
        <v>93.856999999999999</v>
      </c>
      <c r="DL170">
        <v>4.2939999999999996</v>
      </c>
      <c r="DM170">
        <v>5</v>
      </c>
      <c r="DN170">
        <v>2606</v>
      </c>
      <c r="DO170">
        <v>9</v>
      </c>
      <c r="DP170">
        <v>227.286</v>
      </c>
      <c r="DQ170">
        <v>11.364000000000001</v>
      </c>
      <c r="DR170">
        <v>6.2220000000000004</v>
      </c>
      <c r="DS170">
        <v>3.3570000000000002</v>
      </c>
      <c r="DT170">
        <v>2</v>
      </c>
      <c r="DU170">
        <v>18</v>
      </c>
      <c r="DV170">
        <v>0</v>
      </c>
      <c r="DW170">
        <v>100</v>
      </c>
      <c r="DX170">
        <v>87.5</v>
      </c>
      <c r="DY170">
        <v>14</v>
      </c>
      <c r="DZ170">
        <v>55</v>
      </c>
      <c r="EA170">
        <v>7.8179999999999996</v>
      </c>
      <c r="EB170">
        <v>10</v>
      </c>
      <c r="EC170">
        <v>29</v>
      </c>
      <c r="ED170">
        <v>12</v>
      </c>
      <c r="EE170">
        <v>9</v>
      </c>
      <c r="EF170">
        <v>155</v>
      </c>
      <c r="EG170">
        <v>17.428999999999998</v>
      </c>
      <c r="EH170">
        <v>62.5</v>
      </c>
      <c r="EI170">
        <v>33.332999999999998</v>
      </c>
      <c r="EJ170">
        <v>70.13</v>
      </c>
      <c r="EK170">
        <v>-4</v>
      </c>
    </row>
    <row r="171" spans="1:141" x14ac:dyDescent="0.25">
      <c r="A171">
        <v>0</v>
      </c>
      <c r="B171">
        <v>0</v>
      </c>
      <c r="C171">
        <v>0</v>
      </c>
      <c r="D171">
        <v>2025</v>
      </c>
      <c r="E171">
        <v>12</v>
      </c>
      <c r="F171" t="str">
        <f>VLOOKUP(G171, Map!$A$1:$B$33, 2, FALSE)</f>
        <v>TEN</v>
      </c>
      <c r="G171" t="s">
        <v>140</v>
      </c>
      <c r="H171" t="str">
        <f>VLOOKUP(I171, Map!$A$1:$B$33, 2, FALSE)</f>
        <v>SEA</v>
      </c>
      <c r="I171" t="s">
        <v>144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7</v>
      </c>
      <c r="P171">
        <v>28.75</v>
      </c>
      <c r="Q171">
        <v>13.75</v>
      </c>
      <c r="R171">
        <v>-120</v>
      </c>
      <c r="S171">
        <v>-3</v>
      </c>
      <c r="T171">
        <v>0.125</v>
      </c>
      <c r="U171">
        <v>0</v>
      </c>
      <c r="V171">
        <v>3</v>
      </c>
      <c r="W171">
        <v>0</v>
      </c>
      <c r="X171">
        <v>3</v>
      </c>
      <c r="Y171">
        <v>1</v>
      </c>
      <c r="Z171">
        <v>4</v>
      </c>
      <c r="AA171">
        <v>0</v>
      </c>
      <c r="AB171">
        <v>6</v>
      </c>
      <c r="AC171">
        <v>7</v>
      </c>
      <c r="AD171">
        <v>9</v>
      </c>
      <c r="AE171">
        <v>8</v>
      </c>
      <c r="AF171">
        <v>7</v>
      </c>
      <c r="AG171">
        <v>59</v>
      </c>
      <c r="AH171">
        <v>0</v>
      </c>
      <c r="AI171">
        <v>5</v>
      </c>
      <c r="AJ171">
        <v>2</v>
      </c>
      <c r="AK171">
        <v>19.428571999999999</v>
      </c>
      <c r="AL171">
        <v>27.571428000000001</v>
      </c>
      <c r="AM171">
        <v>57</v>
      </c>
      <c r="AN171">
        <v>2</v>
      </c>
      <c r="AO171">
        <v>0.71428572999999995</v>
      </c>
      <c r="AP171">
        <v>1</v>
      </c>
      <c r="AQ171">
        <v>1</v>
      </c>
      <c r="AR171">
        <v>2</v>
      </c>
      <c r="AS171">
        <v>2</v>
      </c>
      <c r="AT171">
        <v>3</v>
      </c>
      <c r="AU171">
        <v>0</v>
      </c>
      <c r="AV171">
        <v>2</v>
      </c>
      <c r="AW171">
        <v>2</v>
      </c>
      <c r="AX171">
        <v>9</v>
      </c>
      <c r="AY171">
        <v>8</v>
      </c>
      <c r="AZ171">
        <v>7</v>
      </c>
      <c r="BA171">
        <v>10</v>
      </c>
      <c r="BB171">
        <v>61</v>
      </c>
      <c r="BC171">
        <v>0</v>
      </c>
      <c r="BD171">
        <v>0</v>
      </c>
      <c r="BE171">
        <v>0</v>
      </c>
      <c r="BF171">
        <v>0</v>
      </c>
      <c r="BG171">
        <v>30.594999999999999</v>
      </c>
      <c r="BH171">
        <v>32.792999999999999</v>
      </c>
      <c r="BI171">
        <v>69.159000000000006</v>
      </c>
      <c r="BJ171">
        <v>0</v>
      </c>
      <c r="BK171">
        <v>0</v>
      </c>
      <c r="BL171">
        <v>0</v>
      </c>
      <c r="BM171">
        <v>-7.7210000000000001</v>
      </c>
      <c r="BN171">
        <v>69.159000000000006</v>
      </c>
      <c r="BO171">
        <v>32.792999999999999</v>
      </c>
      <c r="BP171">
        <v>0</v>
      </c>
      <c r="BQ171">
        <v>30.594999999999999</v>
      </c>
      <c r="BR171">
        <v>7.7210000000000001</v>
      </c>
      <c r="BS171">
        <v>0</v>
      </c>
      <c r="BT171">
        <v>0</v>
      </c>
      <c r="BU171">
        <v>0</v>
      </c>
      <c r="BV171">
        <v>1785</v>
      </c>
      <c r="BW171">
        <v>57.664000000000001</v>
      </c>
      <c r="BX171">
        <v>168.375</v>
      </c>
      <c r="BY171">
        <v>21</v>
      </c>
      <c r="BZ171">
        <v>282.25</v>
      </c>
      <c r="CA171">
        <v>5.8940000000000001</v>
      </c>
      <c r="CB171">
        <v>643</v>
      </c>
      <c r="CC171">
        <v>80.375</v>
      </c>
      <c r="CD171">
        <v>3.9209999999999998</v>
      </c>
      <c r="CE171">
        <v>3</v>
      </c>
      <c r="CF171">
        <v>2580</v>
      </c>
      <c r="CG171">
        <v>5</v>
      </c>
      <c r="CH171">
        <v>201.875</v>
      </c>
      <c r="CI171">
        <v>10.222</v>
      </c>
      <c r="CJ171">
        <v>6.8129999999999997</v>
      </c>
      <c r="CK171">
        <v>4.8949999999999996</v>
      </c>
      <c r="CL171">
        <v>0</v>
      </c>
      <c r="CM171">
        <v>16</v>
      </c>
      <c r="CN171">
        <v>0</v>
      </c>
      <c r="CO171">
        <v>88.888999999999996</v>
      </c>
      <c r="CP171">
        <v>76.19</v>
      </c>
      <c r="CQ171">
        <v>16</v>
      </c>
      <c r="CR171">
        <v>56</v>
      </c>
      <c r="CS171">
        <v>10.75</v>
      </c>
      <c r="CT171">
        <v>37</v>
      </c>
      <c r="CU171">
        <v>12</v>
      </c>
      <c r="CV171">
        <v>6</v>
      </c>
      <c r="CW171">
        <v>5</v>
      </c>
      <c r="CX171">
        <v>110</v>
      </c>
      <c r="CY171">
        <v>15.875</v>
      </c>
      <c r="CZ171">
        <v>38.462000000000003</v>
      </c>
      <c r="DA171">
        <v>29.907</v>
      </c>
      <c r="DB171">
        <v>65.31</v>
      </c>
      <c r="DC171">
        <v>-4</v>
      </c>
      <c r="DD171">
        <v>2459</v>
      </c>
      <c r="DE171">
        <v>67.856999999999999</v>
      </c>
      <c r="DF171">
        <v>244.42857000000001</v>
      </c>
      <c r="DG171">
        <v>27</v>
      </c>
      <c r="DH171">
        <v>358.85714999999999</v>
      </c>
      <c r="DI171">
        <v>9.0259999999999998</v>
      </c>
      <c r="DJ171">
        <v>918</v>
      </c>
      <c r="DK171">
        <v>106.143</v>
      </c>
      <c r="DL171">
        <v>3.6779999999999999</v>
      </c>
      <c r="DM171">
        <v>8</v>
      </c>
      <c r="DN171">
        <v>2854</v>
      </c>
      <c r="DO171">
        <v>12</v>
      </c>
      <c r="DP171">
        <v>252.714</v>
      </c>
      <c r="DQ171">
        <v>13.301</v>
      </c>
      <c r="DR171">
        <v>7.1740000000000004</v>
      </c>
      <c r="DS171">
        <v>7.8890000000000002</v>
      </c>
      <c r="DT171">
        <v>2</v>
      </c>
      <c r="DU171">
        <v>23</v>
      </c>
      <c r="DV171">
        <v>0</v>
      </c>
      <c r="DW171">
        <v>100</v>
      </c>
      <c r="DX171">
        <v>76.471000000000004</v>
      </c>
      <c r="DY171">
        <v>13</v>
      </c>
      <c r="DZ171">
        <v>61</v>
      </c>
      <c r="EA171">
        <v>11</v>
      </c>
      <c r="EB171">
        <v>10</v>
      </c>
      <c r="EC171">
        <v>26</v>
      </c>
      <c r="ED171">
        <v>6</v>
      </c>
      <c r="EE171">
        <v>12</v>
      </c>
      <c r="EF171">
        <v>193</v>
      </c>
      <c r="EG171">
        <v>19.428999999999998</v>
      </c>
      <c r="EH171">
        <v>66.667000000000002</v>
      </c>
      <c r="EI171">
        <v>33.332999999999998</v>
      </c>
      <c r="EJ171">
        <v>76.569999999999993</v>
      </c>
      <c r="EK171">
        <v>-4</v>
      </c>
    </row>
    <row r="172" spans="1:141" x14ac:dyDescent="0.25">
      <c r="A172">
        <v>0</v>
      </c>
      <c r="B172">
        <v>0</v>
      </c>
      <c r="C172">
        <v>0</v>
      </c>
      <c r="D172">
        <v>2025</v>
      </c>
      <c r="E172">
        <v>12</v>
      </c>
      <c r="F172" t="str">
        <f>VLOOKUP(G172, Map!$A$1:$B$33, 2, FALSE)</f>
        <v>KC</v>
      </c>
      <c r="G172" t="s">
        <v>158</v>
      </c>
      <c r="H172" t="str">
        <f>VLOOKUP(I172, Map!$A$1:$B$33, 2, FALSE)</f>
        <v>IND</v>
      </c>
      <c r="I172" t="s">
        <v>138</v>
      </c>
      <c r="J172">
        <v>0</v>
      </c>
      <c r="K172">
        <v>0</v>
      </c>
      <c r="L172">
        <v>0</v>
      </c>
      <c r="M172">
        <v>0</v>
      </c>
      <c r="N172">
        <v>5</v>
      </c>
      <c r="O172">
        <v>3</v>
      </c>
      <c r="P172">
        <v>16.375</v>
      </c>
      <c r="Q172">
        <v>26.75</v>
      </c>
      <c r="R172">
        <v>83</v>
      </c>
      <c r="S172">
        <v>3</v>
      </c>
      <c r="T172">
        <v>0.625</v>
      </c>
      <c r="U172">
        <v>1</v>
      </c>
      <c r="V172">
        <v>1</v>
      </c>
      <c r="W172">
        <v>4</v>
      </c>
      <c r="X172">
        <v>1</v>
      </c>
      <c r="Y172">
        <v>1</v>
      </c>
      <c r="Z172">
        <v>2</v>
      </c>
      <c r="AA172">
        <v>2</v>
      </c>
      <c r="AB172">
        <v>2</v>
      </c>
      <c r="AC172">
        <v>16</v>
      </c>
      <c r="AD172">
        <v>3</v>
      </c>
      <c r="AE172">
        <v>7</v>
      </c>
      <c r="AF172">
        <v>11</v>
      </c>
      <c r="AG172">
        <v>65</v>
      </c>
      <c r="AH172">
        <v>0</v>
      </c>
      <c r="AI172">
        <v>7</v>
      </c>
      <c r="AJ172">
        <v>1</v>
      </c>
      <c r="AK172">
        <v>19.25</v>
      </c>
      <c r="AL172">
        <v>33.75</v>
      </c>
      <c r="AM172">
        <v>116</v>
      </c>
      <c r="AN172">
        <v>4</v>
      </c>
      <c r="AO172">
        <v>0.875</v>
      </c>
      <c r="AP172">
        <v>2</v>
      </c>
      <c r="AQ172">
        <v>0</v>
      </c>
      <c r="AR172">
        <v>5</v>
      </c>
      <c r="AS172">
        <v>0</v>
      </c>
      <c r="AT172">
        <v>2</v>
      </c>
      <c r="AU172">
        <v>1</v>
      </c>
      <c r="AV172">
        <v>6</v>
      </c>
      <c r="AW172">
        <v>0</v>
      </c>
      <c r="AX172">
        <v>4</v>
      </c>
      <c r="AY172">
        <v>12</v>
      </c>
      <c r="AZ172">
        <v>6</v>
      </c>
      <c r="BA172">
        <v>11</v>
      </c>
      <c r="BB172">
        <v>68</v>
      </c>
      <c r="BC172">
        <v>0</v>
      </c>
      <c r="BD172">
        <v>0</v>
      </c>
      <c r="BE172">
        <v>0</v>
      </c>
      <c r="BF172">
        <v>0</v>
      </c>
      <c r="BG172">
        <v>63.152000000000001</v>
      </c>
      <c r="BH172">
        <v>91.15</v>
      </c>
      <c r="BI172">
        <v>36.554000000000002</v>
      </c>
      <c r="BJ172">
        <v>0</v>
      </c>
      <c r="BK172">
        <v>0</v>
      </c>
      <c r="BL172">
        <v>0</v>
      </c>
      <c r="BM172">
        <v>5.4039999999999999</v>
      </c>
      <c r="BN172">
        <v>36.554000000000002</v>
      </c>
      <c r="BO172">
        <v>91.15</v>
      </c>
      <c r="BP172">
        <v>0</v>
      </c>
      <c r="BQ172">
        <v>63.152000000000001</v>
      </c>
      <c r="BR172">
        <v>-5.4039999999999999</v>
      </c>
      <c r="BS172">
        <v>0</v>
      </c>
      <c r="BT172">
        <v>0</v>
      </c>
      <c r="BU172">
        <v>0</v>
      </c>
      <c r="BV172">
        <v>3149</v>
      </c>
      <c r="BW172">
        <v>67.021000000000001</v>
      </c>
      <c r="BX172">
        <v>251.75</v>
      </c>
      <c r="BY172">
        <v>25</v>
      </c>
      <c r="BZ172">
        <v>388.875</v>
      </c>
      <c r="CA172">
        <v>7.3719999999999999</v>
      </c>
      <c r="CB172">
        <v>1327</v>
      </c>
      <c r="CC172">
        <v>126.5</v>
      </c>
      <c r="CD172">
        <v>4.4980000000000002</v>
      </c>
      <c r="CE172">
        <v>9</v>
      </c>
      <c r="CF172">
        <v>3639</v>
      </c>
      <c r="CG172">
        <v>17</v>
      </c>
      <c r="CH172">
        <v>262.375</v>
      </c>
      <c r="CI172">
        <v>11</v>
      </c>
      <c r="CJ172">
        <v>4</v>
      </c>
      <c r="CK172">
        <v>3.4</v>
      </c>
      <c r="CL172">
        <v>0</v>
      </c>
      <c r="CM172">
        <v>17</v>
      </c>
      <c r="CN172">
        <v>0</v>
      </c>
      <c r="CO172">
        <v>88</v>
      </c>
      <c r="CP172">
        <v>80</v>
      </c>
      <c r="CQ172">
        <v>12</v>
      </c>
      <c r="CR172">
        <v>58</v>
      </c>
      <c r="CS172">
        <v>8.3330000000000002</v>
      </c>
      <c r="CT172">
        <v>19</v>
      </c>
      <c r="CU172">
        <v>11</v>
      </c>
      <c r="CV172">
        <v>0</v>
      </c>
      <c r="CW172">
        <v>17</v>
      </c>
      <c r="CX172">
        <v>214</v>
      </c>
      <c r="CY172">
        <v>23.625</v>
      </c>
      <c r="CZ172">
        <v>82.352999999999994</v>
      </c>
      <c r="DA172">
        <v>44</v>
      </c>
      <c r="DB172">
        <v>78.150000000000006</v>
      </c>
      <c r="DC172">
        <v>5</v>
      </c>
      <c r="DD172">
        <v>2891</v>
      </c>
      <c r="DE172">
        <v>70.161000000000001</v>
      </c>
      <c r="DF172">
        <v>250.875</v>
      </c>
      <c r="DG172">
        <v>23</v>
      </c>
      <c r="DH172">
        <v>393.25</v>
      </c>
      <c r="DI172">
        <v>8.3510000000000009</v>
      </c>
      <c r="DJ172">
        <v>1690</v>
      </c>
      <c r="DK172">
        <v>134.375</v>
      </c>
      <c r="DL172">
        <v>5.0229999999999997</v>
      </c>
      <c r="DM172">
        <v>18</v>
      </c>
      <c r="DN172">
        <v>3396</v>
      </c>
      <c r="DO172">
        <v>13</v>
      </c>
      <c r="DP172">
        <v>258.875</v>
      </c>
      <c r="DQ172">
        <v>11.901999999999999</v>
      </c>
      <c r="DR172">
        <v>6.8259999999999996</v>
      </c>
      <c r="DS172">
        <v>6.0910000000000002</v>
      </c>
      <c r="DT172">
        <v>1</v>
      </c>
      <c r="DU172">
        <v>23</v>
      </c>
      <c r="DV172">
        <v>0</v>
      </c>
      <c r="DW172">
        <v>96.296000000000006</v>
      </c>
      <c r="DX172">
        <v>94.117999999999995</v>
      </c>
      <c r="DY172">
        <v>16</v>
      </c>
      <c r="DZ172">
        <v>74</v>
      </c>
      <c r="EA172">
        <v>4.25</v>
      </c>
      <c r="EB172">
        <v>8</v>
      </c>
      <c r="EC172">
        <v>16</v>
      </c>
      <c r="ED172">
        <v>6</v>
      </c>
      <c r="EE172">
        <v>13</v>
      </c>
      <c r="EF172">
        <v>270</v>
      </c>
      <c r="EG172">
        <v>23.25</v>
      </c>
      <c r="EH172">
        <v>83.332999999999998</v>
      </c>
      <c r="EI172">
        <v>45.348999999999997</v>
      </c>
      <c r="EJ172">
        <v>77.069999999999993</v>
      </c>
      <c r="EK172">
        <v>8</v>
      </c>
    </row>
    <row r="173" spans="1:141" x14ac:dyDescent="0.25">
      <c r="A173">
        <v>0</v>
      </c>
      <c r="B173">
        <v>0</v>
      </c>
      <c r="C173">
        <v>0</v>
      </c>
      <c r="D173">
        <v>2025</v>
      </c>
      <c r="E173">
        <v>12</v>
      </c>
      <c r="F173" t="str">
        <f>VLOOKUP(G173, Map!$A$1:$B$33, 2, FALSE)</f>
        <v>BAL</v>
      </c>
      <c r="G173" t="s">
        <v>146</v>
      </c>
      <c r="H173" t="str">
        <f>VLOOKUP(I173, Map!$A$1:$B$33, 2, FALSE)</f>
        <v>NYJ</v>
      </c>
      <c r="I173" t="s">
        <v>166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5</v>
      </c>
      <c r="P173">
        <v>30</v>
      </c>
      <c r="Q173">
        <v>24.857143000000001</v>
      </c>
      <c r="R173">
        <v>-36</v>
      </c>
      <c r="S173">
        <v>1</v>
      </c>
      <c r="T173">
        <v>0.28571429999999998</v>
      </c>
      <c r="U173">
        <v>1</v>
      </c>
      <c r="V173">
        <v>0</v>
      </c>
      <c r="W173">
        <v>2</v>
      </c>
      <c r="X173">
        <v>3</v>
      </c>
      <c r="Y173">
        <v>0</v>
      </c>
      <c r="Z173">
        <v>2</v>
      </c>
      <c r="AA173">
        <v>1</v>
      </c>
      <c r="AB173">
        <v>3</v>
      </c>
      <c r="AC173">
        <v>10</v>
      </c>
      <c r="AD173">
        <v>7</v>
      </c>
      <c r="AE173">
        <v>7</v>
      </c>
      <c r="AF173">
        <v>9</v>
      </c>
      <c r="AG173">
        <v>61</v>
      </c>
      <c r="AH173">
        <v>0</v>
      </c>
      <c r="AI173">
        <v>1</v>
      </c>
      <c r="AJ173">
        <v>7</v>
      </c>
      <c r="AK173">
        <v>27.625</v>
      </c>
      <c r="AL173">
        <v>21</v>
      </c>
      <c r="AM173">
        <v>-53</v>
      </c>
      <c r="AN173">
        <v>1</v>
      </c>
      <c r="AO173">
        <v>0.125</v>
      </c>
      <c r="AP173">
        <v>0</v>
      </c>
      <c r="AQ173">
        <v>2</v>
      </c>
      <c r="AR173">
        <v>0</v>
      </c>
      <c r="AS173">
        <v>5</v>
      </c>
      <c r="AT173">
        <v>1</v>
      </c>
      <c r="AU173">
        <v>2</v>
      </c>
      <c r="AV173">
        <v>1</v>
      </c>
      <c r="AW173">
        <v>4</v>
      </c>
      <c r="AX173">
        <v>7</v>
      </c>
      <c r="AY173">
        <v>10</v>
      </c>
      <c r="AZ173">
        <v>8</v>
      </c>
      <c r="BA173">
        <v>9</v>
      </c>
      <c r="BB173">
        <v>60</v>
      </c>
      <c r="BC173">
        <v>0</v>
      </c>
      <c r="BD173">
        <v>0</v>
      </c>
      <c r="BE173">
        <v>0</v>
      </c>
      <c r="BF173">
        <v>0</v>
      </c>
      <c r="BG173">
        <v>75.575000000000003</v>
      </c>
      <c r="BH173">
        <v>44.524999999999999</v>
      </c>
      <c r="BI173">
        <v>24.231000000000002</v>
      </c>
      <c r="BJ173">
        <v>0</v>
      </c>
      <c r="BK173">
        <v>0</v>
      </c>
      <c r="BL173">
        <v>0</v>
      </c>
      <c r="BM173">
        <v>10.814</v>
      </c>
      <c r="BN173">
        <v>24.231000000000002</v>
      </c>
      <c r="BO173">
        <v>44.524999999999999</v>
      </c>
      <c r="BP173">
        <v>0</v>
      </c>
      <c r="BQ173">
        <v>75.575000000000003</v>
      </c>
      <c r="BR173">
        <v>-10.814</v>
      </c>
      <c r="BS173">
        <v>0</v>
      </c>
      <c r="BT173">
        <v>0</v>
      </c>
      <c r="BU173">
        <v>0</v>
      </c>
      <c r="BV173">
        <v>2046</v>
      </c>
      <c r="BW173">
        <v>69.73</v>
      </c>
      <c r="BX173">
        <v>182.28572</v>
      </c>
      <c r="BY173">
        <v>19</v>
      </c>
      <c r="BZ173">
        <v>337.14285000000001</v>
      </c>
      <c r="CA173">
        <v>7.7080000000000002</v>
      </c>
      <c r="CB173">
        <v>1139</v>
      </c>
      <c r="CC173">
        <v>133.429</v>
      </c>
      <c r="CD173">
        <v>5.2770000000000001</v>
      </c>
      <c r="CE173">
        <v>8</v>
      </c>
      <c r="CF173">
        <v>2456</v>
      </c>
      <c r="CG173">
        <v>11</v>
      </c>
      <c r="CH173">
        <v>203.714</v>
      </c>
      <c r="CI173">
        <v>11.054</v>
      </c>
      <c r="CJ173">
        <v>6.8890000000000002</v>
      </c>
      <c r="CK173">
        <v>2.4089999999999998</v>
      </c>
      <c r="CL173">
        <v>1</v>
      </c>
      <c r="CM173">
        <v>9</v>
      </c>
      <c r="CN173">
        <v>0</v>
      </c>
      <c r="CO173">
        <v>94.736999999999995</v>
      </c>
      <c r="CP173">
        <v>92.308000000000007</v>
      </c>
      <c r="CQ173">
        <v>12</v>
      </c>
      <c r="CR173">
        <v>54</v>
      </c>
      <c r="CS173">
        <v>5.8330000000000002</v>
      </c>
      <c r="CT173">
        <v>19</v>
      </c>
      <c r="CU173">
        <v>8</v>
      </c>
      <c r="CV173">
        <v>6</v>
      </c>
      <c r="CW173">
        <v>11</v>
      </c>
      <c r="CX173">
        <v>174</v>
      </c>
      <c r="CY173">
        <v>18.143000000000001</v>
      </c>
      <c r="CZ173">
        <v>38.462000000000003</v>
      </c>
      <c r="DA173">
        <v>40.506</v>
      </c>
      <c r="DB173">
        <v>52.38</v>
      </c>
      <c r="DC173">
        <v>-6</v>
      </c>
      <c r="DD173">
        <v>2012</v>
      </c>
      <c r="DE173">
        <v>63.713000000000001</v>
      </c>
      <c r="DF173">
        <v>156.5</v>
      </c>
      <c r="DG173">
        <v>15</v>
      </c>
      <c r="DH173">
        <v>327.625</v>
      </c>
      <c r="DI173">
        <v>6.2110000000000003</v>
      </c>
      <c r="DJ173">
        <v>1254</v>
      </c>
      <c r="DK173">
        <v>143.625</v>
      </c>
      <c r="DL173">
        <v>5.1989999999999998</v>
      </c>
      <c r="DM173">
        <v>6</v>
      </c>
      <c r="DN173">
        <v>2542</v>
      </c>
      <c r="DO173">
        <v>9</v>
      </c>
      <c r="DP173">
        <v>184</v>
      </c>
      <c r="DQ173">
        <v>9.7479999999999993</v>
      </c>
      <c r="DR173">
        <v>6.2729999999999997</v>
      </c>
      <c r="DS173">
        <v>2.4169999999999998</v>
      </c>
      <c r="DT173">
        <v>1</v>
      </c>
      <c r="DU173">
        <v>11</v>
      </c>
      <c r="DV173">
        <v>0</v>
      </c>
      <c r="DW173">
        <v>100</v>
      </c>
      <c r="DX173">
        <v>100</v>
      </c>
      <c r="DY173">
        <v>17</v>
      </c>
      <c r="DZ173">
        <v>60</v>
      </c>
      <c r="EA173">
        <v>6.25</v>
      </c>
      <c r="EB173">
        <v>11</v>
      </c>
      <c r="EC173">
        <v>31</v>
      </c>
      <c r="ED173">
        <v>2</v>
      </c>
      <c r="EE173">
        <v>9</v>
      </c>
      <c r="EF173">
        <v>168</v>
      </c>
      <c r="EG173">
        <v>18.5</v>
      </c>
      <c r="EH173">
        <v>52.631999999999998</v>
      </c>
      <c r="EI173">
        <v>34.905999999999999</v>
      </c>
      <c r="EJ173">
        <v>69.17</v>
      </c>
      <c r="EK173">
        <v>-9</v>
      </c>
    </row>
    <row r="174" spans="1:141" x14ac:dyDescent="0.25">
      <c r="A174">
        <v>0</v>
      </c>
      <c r="B174">
        <v>0</v>
      </c>
      <c r="C174">
        <v>0</v>
      </c>
      <c r="D174">
        <v>2025</v>
      </c>
      <c r="E174">
        <v>12</v>
      </c>
      <c r="F174" t="str">
        <f>VLOOKUP(G174, Map!$A$1:$B$33, 2, FALSE)</f>
        <v>LV</v>
      </c>
      <c r="G174" t="s">
        <v>157</v>
      </c>
      <c r="H174" t="str">
        <f>VLOOKUP(I174, Map!$A$1:$B$33, 2, FALSE)</f>
        <v>CLE</v>
      </c>
      <c r="I174" t="s">
        <v>162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5</v>
      </c>
      <c r="P174">
        <v>25.714285</v>
      </c>
      <c r="Q174">
        <v>14.714286</v>
      </c>
      <c r="R174">
        <v>-77</v>
      </c>
      <c r="S174">
        <v>-1</v>
      </c>
      <c r="T174">
        <v>0.28571429999999998</v>
      </c>
      <c r="U174">
        <v>0</v>
      </c>
      <c r="V174">
        <v>2</v>
      </c>
      <c r="W174">
        <v>1</v>
      </c>
      <c r="X174">
        <v>2</v>
      </c>
      <c r="Y174">
        <v>1</v>
      </c>
      <c r="Z174">
        <v>3</v>
      </c>
      <c r="AA174">
        <v>2</v>
      </c>
      <c r="AB174">
        <v>3</v>
      </c>
      <c r="AC174">
        <v>6</v>
      </c>
      <c r="AD174">
        <v>10</v>
      </c>
      <c r="AE174">
        <v>8</v>
      </c>
      <c r="AF174">
        <v>8</v>
      </c>
      <c r="AG174">
        <v>56</v>
      </c>
      <c r="AH174">
        <v>0</v>
      </c>
      <c r="AI174">
        <v>2</v>
      </c>
      <c r="AJ174">
        <v>6</v>
      </c>
      <c r="AK174">
        <v>23</v>
      </c>
      <c r="AL174">
        <v>15.75</v>
      </c>
      <c r="AM174">
        <v>-58</v>
      </c>
      <c r="AN174">
        <v>-1</v>
      </c>
      <c r="AO174">
        <v>0.25</v>
      </c>
      <c r="AP174">
        <v>0</v>
      </c>
      <c r="AQ174">
        <v>3</v>
      </c>
      <c r="AR174">
        <v>2</v>
      </c>
      <c r="AS174">
        <v>2</v>
      </c>
      <c r="AT174">
        <v>0</v>
      </c>
      <c r="AU174">
        <v>4</v>
      </c>
      <c r="AV174">
        <v>1</v>
      </c>
      <c r="AW174">
        <v>4</v>
      </c>
      <c r="AX174">
        <v>7</v>
      </c>
      <c r="AY174">
        <v>10</v>
      </c>
      <c r="AZ174">
        <v>8</v>
      </c>
      <c r="BA174">
        <v>9</v>
      </c>
      <c r="BB174">
        <v>61</v>
      </c>
      <c r="BC174">
        <v>0</v>
      </c>
      <c r="BD174">
        <v>0</v>
      </c>
      <c r="BE174">
        <v>0</v>
      </c>
      <c r="BF174">
        <v>0</v>
      </c>
      <c r="BG174">
        <v>64.405000000000001</v>
      </c>
      <c r="BH174">
        <v>20.039000000000001</v>
      </c>
      <c r="BI174">
        <v>35.311</v>
      </c>
      <c r="BJ174">
        <v>0</v>
      </c>
      <c r="BK174">
        <v>0</v>
      </c>
      <c r="BL174">
        <v>0</v>
      </c>
      <c r="BM174">
        <v>5.9640000000000004</v>
      </c>
      <c r="BN174">
        <v>35.311</v>
      </c>
      <c r="BO174">
        <v>20.039000000000001</v>
      </c>
      <c r="BP174">
        <v>0</v>
      </c>
      <c r="BQ174">
        <v>64.405000000000001</v>
      </c>
      <c r="BR174">
        <v>-5.9640000000000004</v>
      </c>
      <c r="BS174">
        <v>0</v>
      </c>
      <c r="BT174">
        <v>0</v>
      </c>
      <c r="BU174">
        <v>0</v>
      </c>
      <c r="BV174">
        <v>1570</v>
      </c>
      <c r="BW174">
        <v>66.176000000000002</v>
      </c>
      <c r="BX174">
        <v>182.71428</v>
      </c>
      <c r="BY174">
        <v>19</v>
      </c>
      <c r="BZ174">
        <v>297.28570000000002</v>
      </c>
      <c r="CA174">
        <v>6.7649999999999997</v>
      </c>
      <c r="CB174">
        <v>731</v>
      </c>
      <c r="CC174">
        <v>93.713999999999999</v>
      </c>
      <c r="CD174">
        <v>3.859</v>
      </c>
      <c r="CE174">
        <v>3</v>
      </c>
      <c r="CF174">
        <v>2345</v>
      </c>
      <c r="CG174">
        <v>7</v>
      </c>
      <c r="CH174">
        <v>203.571</v>
      </c>
      <c r="CI174">
        <v>10.222</v>
      </c>
      <c r="CJ174">
        <v>6.7329999999999997</v>
      </c>
      <c r="CK174">
        <v>3.0710000000000002</v>
      </c>
      <c r="CL174">
        <v>0</v>
      </c>
      <c r="CM174">
        <v>15</v>
      </c>
      <c r="CN174">
        <v>0</v>
      </c>
      <c r="CO174">
        <v>100</v>
      </c>
      <c r="CP174">
        <v>78.570999999999998</v>
      </c>
      <c r="CQ174">
        <v>11</v>
      </c>
      <c r="CR174">
        <v>41</v>
      </c>
      <c r="CS174">
        <v>15.333</v>
      </c>
      <c r="CT174">
        <v>26</v>
      </c>
      <c r="CU174">
        <v>8</v>
      </c>
      <c r="CV174">
        <v>0</v>
      </c>
      <c r="CW174">
        <v>7</v>
      </c>
      <c r="CX174">
        <v>103</v>
      </c>
      <c r="CY174">
        <v>15.856999999999999</v>
      </c>
      <c r="CZ174">
        <v>45.454999999999998</v>
      </c>
      <c r="DA174">
        <v>37.930999999999997</v>
      </c>
      <c r="DB174">
        <v>53.17</v>
      </c>
      <c r="DC174">
        <v>-5</v>
      </c>
      <c r="DD174">
        <v>1756</v>
      </c>
      <c r="DE174">
        <v>58.94</v>
      </c>
      <c r="DF174">
        <v>174.125</v>
      </c>
      <c r="DG174">
        <v>14</v>
      </c>
      <c r="DH174">
        <v>279.125</v>
      </c>
      <c r="DI174">
        <v>4.9870000000000001</v>
      </c>
      <c r="DJ174">
        <v>896</v>
      </c>
      <c r="DK174">
        <v>89.5</v>
      </c>
      <c r="DL174">
        <v>3.7679999999999998</v>
      </c>
      <c r="DM174">
        <v>6</v>
      </c>
      <c r="DN174">
        <v>2652</v>
      </c>
      <c r="DO174">
        <v>7</v>
      </c>
      <c r="DP174">
        <v>189.625</v>
      </c>
      <c r="DQ174">
        <v>8.4610000000000003</v>
      </c>
      <c r="DR174">
        <v>6.9169999999999998</v>
      </c>
      <c r="DS174">
        <v>4.3029999999999999</v>
      </c>
      <c r="DT174">
        <v>1</v>
      </c>
      <c r="DU174">
        <v>24</v>
      </c>
      <c r="DV174">
        <v>0</v>
      </c>
      <c r="DW174">
        <v>92.308000000000007</v>
      </c>
      <c r="DX174">
        <v>76.923000000000002</v>
      </c>
      <c r="DY174">
        <v>10</v>
      </c>
      <c r="DZ174">
        <v>42</v>
      </c>
      <c r="EA174">
        <v>11.412000000000001</v>
      </c>
      <c r="EB174">
        <v>16</v>
      </c>
      <c r="EC174">
        <v>42</v>
      </c>
      <c r="ED174">
        <v>6</v>
      </c>
      <c r="EE174">
        <v>7</v>
      </c>
      <c r="EF174">
        <v>126</v>
      </c>
      <c r="EG174">
        <v>16.75</v>
      </c>
      <c r="EH174">
        <v>57.895000000000003</v>
      </c>
      <c r="EI174">
        <v>33.042999999999999</v>
      </c>
      <c r="EJ174">
        <v>69.39</v>
      </c>
      <c r="EK174">
        <v>0</v>
      </c>
    </row>
    <row r="175" spans="1:141" x14ac:dyDescent="0.25">
      <c r="A175">
        <v>0</v>
      </c>
      <c r="B175">
        <v>0</v>
      </c>
      <c r="C175">
        <v>0</v>
      </c>
      <c r="D175">
        <v>2025</v>
      </c>
      <c r="E175">
        <v>12</v>
      </c>
      <c r="F175" t="str">
        <f>VLOOKUP(G175, Map!$A$1:$B$33, 2, FALSE)</f>
        <v>ARI</v>
      </c>
      <c r="G175" t="s">
        <v>156</v>
      </c>
      <c r="H175" t="str">
        <f>VLOOKUP(I175, Map!$A$1:$B$33, 2, FALSE)</f>
        <v>JAX</v>
      </c>
      <c r="I175" t="s">
        <v>139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5</v>
      </c>
      <c r="P175">
        <v>22</v>
      </c>
      <c r="Q175">
        <v>21.857143000000001</v>
      </c>
      <c r="R175">
        <v>-1</v>
      </c>
      <c r="S175">
        <v>-5</v>
      </c>
      <c r="T175">
        <v>0.28571429999999998</v>
      </c>
      <c r="U175">
        <v>0</v>
      </c>
      <c r="V175">
        <v>2</v>
      </c>
      <c r="W175">
        <v>1</v>
      </c>
      <c r="X175">
        <v>3</v>
      </c>
      <c r="Y175">
        <v>1</v>
      </c>
      <c r="Z175">
        <v>2</v>
      </c>
      <c r="AA175">
        <v>2</v>
      </c>
      <c r="AB175">
        <v>3</v>
      </c>
      <c r="AC175">
        <v>4</v>
      </c>
      <c r="AD175">
        <v>12</v>
      </c>
      <c r="AE175">
        <v>8</v>
      </c>
      <c r="AF175">
        <v>8</v>
      </c>
      <c r="AG175">
        <v>69</v>
      </c>
      <c r="AH175">
        <v>0</v>
      </c>
      <c r="AI175">
        <v>4</v>
      </c>
      <c r="AJ175">
        <v>3</v>
      </c>
      <c r="AK175">
        <v>22.142856999999999</v>
      </c>
      <c r="AL175">
        <v>20.857143000000001</v>
      </c>
      <c r="AM175">
        <v>-9</v>
      </c>
      <c r="AN175">
        <v>-2</v>
      </c>
      <c r="AO175">
        <v>0.57142859999999995</v>
      </c>
      <c r="AP175">
        <v>1</v>
      </c>
      <c r="AQ175">
        <v>0</v>
      </c>
      <c r="AR175">
        <v>3</v>
      </c>
      <c r="AS175">
        <v>2</v>
      </c>
      <c r="AT175">
        <v>1</v>
      </c>
      <c r="AU175">
        <v>1</v>
      </c>
      <c r="AV175">
        <v>2</v>
      </c>
      <c r="AW175">
        <v>1</v>
      </c>
      <c r="AX175">
        <v>10</v>
      </c>
      <c r="AY175">
        <v>8</v>
      </c>
      <c r="AZ175">
        <v>9</v>
      </c>
      <c r="BA175">
        <v>9</v>
      </c>
      <c r="BB175">
        <v>58</v>
      </c>
      <c r="BC175">
        <v>0</v>
      </c>
      <c r="BD175">
        <v>0</v>
      </c>
      <c r="BE175">
        <v>0</v>
      </c>
      <c r="BF175">
        <v>0</v>
      </c>
      <c r="BG175">
        <v>54.843000000000004</v>
      </c>
      <c r="BH175">
        <v>43.036000000000001</v>
      </c>
      <c r="BI175">
        <v>44.796999999999997</v>
      </c>
      <c r="BJ175">
        <v>0</v>
      </c>
      <c r="BK175">
        <v>0</v>
      </c>
      <c r="BL175">
        <v>0</v>
      </c>
      <c r="BM175">
        <v>1.5620000000000001</v>
      </c>
      <c r="BN175">
        <v>44.796999999999997</v>
      </c>
      <c r="BO175">
        <v>43.036000000000001</v>
      </c>
      <c r="BP175">
        <v>0</v>
      </c>
      <c r="BQ175">
        <v>54.843000000000004</v>
      </c>
      <c r="BR175">
        <v>-1.5620000000000001</v>
      </c>
      <c r="BS175">
        <v>0</v>
      </c>
      <c r="BT175">
        <v>0</v>
      </c>
      <c r="BU175">
        <v>0</v>
      </c>
      <c r="BV175">
        <v>2113</v>
      </c>
      <c r="BW175">
        <v>66.941999999999993</v>
      </c>
      <c r="BX175">
        <v>199.85714999999999</v>
      </c>
      <c r="BY175">
        <v>18</v>
      </c>
      <c r="BZ175">
        <v>333.42856</v>
      </c>
      <c r="CA175">
        <v>6.335</v>
      </c>
      <c r="CB175">
        <v>888</v>
      </c>
      <c r="CC175">
        <v>110.429</v>
      </c>
      <c r="CD175">
        <v>4.4169999999999998</v>
      </c>
      <c r="CE175">
        <v>5</v>
      </c>
      <c r="CF175">
        <v>2721</v>
      </c>
      <c r="CG175">
        <v>10</v>
      </c>
      <c r="CH175">
        <v>223</v>
      </c>
      <c r="CI175">
        <v>9.4629999999999992</v>
      </c>
      <c r="CJ175">
        <v>6.6669999999999998</v>
      </c>
      <c r="CK175">
        <v>3.238</v>
      </c>
      <c r="CL175">
        <v>1</v>
      </c>
      <c r="CM175">
        <v>12</v>
      </c>
      <c r="CN175">
        <v>0</v>
      </c>
      <c r="CO175">
        <v>100</v>
      </c>
      <c r="CP175">
        <v>86.667000000000002</v>
      </c>
      <c r="CQ175">
        <v>13</v>
      </c>
      <c r="CR175">
        <v>55</v>
      </c>
      <c r="CS175">
        <v>8.25</v>
      </c>
      <c r="CT175">
        <v>25</v>
      </c>
      <c r="CU175">
        <v>9</v>
      </c>
      <c r="CV175">
        <v>8</v>
      </c>
      <c r="CW175">
        <v>10</v>
      </c>
      <c r="CX175">
        <v>153</v>
      </c>
      <c r="CY175">
        <v>19</v>
      </c>
      <c r="CZ175">
        <v>57.143000000000001</v>
      </c>
      <c r="DA175">
        <v>44.792000000000002</v>
      </c>
      <c r="DB175">
        <v>63.49</v>
      </c>
      <c r="DC175">
        <v>-1</v>
      </c>
      <c r="DD175">
        <v>2100</v>
      </c>
      <c r="DE175">
        <v>58.686999999999998</v>
      </c>
      <c r="DF175">
        <v>215.14285000000001</v>
      </c>
      <c r="DG175">
        <v>21</v>
      </c>
      <c r="DH175">
        <v>351.14285000000001</v>
      </c>
      <c r="DI175">
        <v>6.2549999999999999</v>
      </c>
      <c r="DJ175">
        <v>1033</v>
      </c>
      <c r="DK175">
        <v>119.714</v>
      </c>
      <c r="DL175">
        <v>4.6820000000000004</v>
      </c>
      <c r="DM175">
        <v>6</v>
      </c>
      <c r="DN175">
        <v>2695</v>
      </c>
      <c r="DO175">
        <v>9</v>
      </c>
      <c r="DP175">
        <v>231.429</v>
      </c>
      <c r="DQ175">
        <v>10.657999999999999</v>
      </c>
      <c r="DR175">
        <v>7.375</v>
      </c>
      <c r="DS175">
        <v>3.1880000000000002</v>
      </c>
      <c r="DT175">
        <v>2</v>
      </c>
      <c r="DU175">
        <v>8</v>
      </c>
      <c r="DV175">
        <v>0</v>
      </c>
      <c r="DW175">
        <v>93.332999999999998</v>
      </c>
      <c r="DX175">
        <v>71.429000000000002</v>
      </c>
      <c r="DY175">
        <v>10</v>
      </c>
      <c r="DZ175">
        <v>44</v>
      </c>
      <c r="EA175">
        <v>4.4290000000000003</v>
      </c>
      <c r="EB175">
        <v>10</v>
      </c>
      <c r="EC175">
        <v>30</v>
      </c>
      <c r="ED175">
        <v>12</v>
      </c>
      <c r="EE175">
        <v>9</v>
      </c>
      <c r="EF175">
        <v>146</v>
      </c>
      <c r="EG175">
        <v>19.143000000000001</v>
      </c>
      <c r="EH175">
        <v>53.332999999999998</v>
      </c>
      <c r="EI175">
        <v>32.978999999999999</v>
      </c>
      <c r="EJ175">
        <v>59.74</v>
      </c>
      <c r="EK175">
        <v>8</v>
      </c>
    </row>
    <row r="176" spans="1:141" x14ac:dyDescent="0.25">
      <c r="A176">
        <v>0</v>
      </c>
      <c r="B176">
        <v>0</v>
      </c>
      <c r="C176">
        <v>0</v>
      </c>
      <c r="D176">
        <v>2025</v>
      </c>
      <c r="E176">
        <v>12</v>
      </c>
      <c r="F176" t="str">
        <f>VLOOKUP(G176, Map!$A$1:$B$33, 2, FALSE)</f>
        <v>DAL</v>
      </c>
      <c r="G176" t="s">
        <v>150</v>
      </c>
      <c r="H176" t="str">
        <f>VLOOKUP(I176, Map!$A$1:$B$33, 2, FALSE)</f>
        <v>PHI</v>
      </c>
      <c r="I176" t="s">
        <v>147</v>
      </c>
      <c r="J176">
        <v>0</v>
      </c>
      <c r="K176">
        <v>0</v>
      </c>
      <c r="L176">
        <v>0</v>
      </c>
      <c r="M176">
        <v>0</v>
      </c>
      <c r="N176">
        <v>3</v>
      </c>
      <c r="O176">
        <v>4</v>
      </c>
      <c r="P176">
        <v>31.25</v>
      </c>
      <c r="Q176">
        <v>30.75</v>
      </c>
      <c r="R176">
        <v>-4</v>
      </c>
      <c r="S176">
        <v>-1</v>
      </c>
      <c r="T176">
        <v>0.4375</v>
      </c>
      <c r="U176">
        <v>2</v>
      </c>
      <c r="V176">
        <v>1</v>
      </c>
      <c r="W176">
        <v>2</v>
      </c>
      <c r="X176">
        <v>0</v>
      </c>
      <c r="Y176">
        <v>1</v>
      </c>
      <c r="Z176">
        <v>4</v>
      </c>
      <c r="AA176">
        <v>2</v>
      </c>
      <c r="AB176">
        <v>3</v>
      </c>
      <c r="AC176">
        <v>13</v>
      </c>
      <c r="AD176">
        <v>5</v>
      </c>
      <c r="AE176">
        <v>11</v>
      </c>
      <c r="AF176">
        <v>7</v>
      </c>
      <c r="AG176">
        <v>68</v>
      </c>
      <c r="AH176">
        <v>0</v>
      </c>
      <c r="AI176">
        <v>6</v>
      </c>
      <c r="AJ176">
        <v>2</v>
      </c>
      <c r="AK176">
        <v>23.125</v>
      </c>
      <c r="AL176">
        <v>26</v>
      </c>
      <c r="AM176">
        <v>23</v>
      </c>
      <c r="AN176">
        <v>2</v>
      </c>
      <c r="AO176">
        <v>0.75</v>
      </c>
      <c r="AP176">
        <v>2</v>
      </c>
      <c r="AQ176">
        <v>1</v>
      </c>
      <c r="AR176">
        <v>3</v>
      </c>
      <c r="AS176">
        <v>1</v>
      </c>
      <c r="AT176">
        <v>3</v>
      </c>
      <c r="AU176">
        <v>1</v>
      </c>
      <c r="AV176">
        <v>5</v>
      </c>
      <c r="AW176">
        <v>1</v>
      </c>
      <c r="AX176">
        <v>16</v>
      </c>
      <c r="AY176">
        <v>3</v>
      </c>
      <c r="AZ176">
        <v>10</v>
      </c>
      <c r="BA176">
        <v>9</v>
      </c>
      <c r="BB176">
        <v>63</v>
      </c>
      <c r="BC176">
        <v>0</v>
      </c>
      <c r="BD176">
        <v>0</v>
      </c>
      <c r="BE176">
        <v>0</v>
      </c>
      <c r="BF176">
        <v>0</v>
      </c>
      <c r="BG176">
        <v>44.417999999999999</v>
      </c>
      <c r="BH176">
        <v>74.835999999999999</v>
      </c>
      <c r="BI176">
        <v>55.225999999999999</v>
      </c>
      <c r="BJ176">
        <v>0</v>
      </c>
      <c r="BK176">
        <v>0</v>
      </c>
      <c r="BL176">
        <v>0</v>
      </c>
      <c r="BM176">
        <v>-1.6930000000000001</v>
      </c>
      <c r="BN176">
        <v>55.225999999999999</v>
      </c>
      <c r="BO176">
        <v>74.835999999999999</v>
      </c>
      <c r="BP176">
        <v>0</v>
      </c>
      <c r="BQ176">
        <v>44.417999999999999</v>
      </c>
      <c r="BR176">
        <v>1.6930000000000001</v>
      </c>
      <c r="BS176">
        <v>0</v>
      </c>
      <c r="BT176">
        <v>0</v>
      </c>
      <c r="BU176">
        <v>0</v>
      </c>
      <c r="BV176">
        <v>3160</v>
      </c>
      <c r="BW176">
        <v>70.233999999999995</v>
      </c>
      <c r="BX176">
        <v>263.75</v>
      </c>
      <c r="BY176">
        <v>25</v>
      </c>
      <c r="BZ176">
        <v>391.375</v>
      </c>
      <c r="CA176">
        <v>7.1909999999999998</v>
      </c>
      <c r="CB176">
        <v>1283</v>
      </c>
      <c r="CC176">
        <v>120.375</v>
      </c>
      <c r="CD176">
        <v>4.6749999999999998</v>
      </c>
      <c r="CE176">
        <v>10</v>
      </c>
      <c r="CF176">
        <v>3813</v>
      </c>
      <c r="CG176">
        <v>17</v>
      </c>
      <c r="CH176">
        <v>271</v>
      </c>
      <c r="CI176">
        <v>10.238</v>
      </c>
      <c r="CJ176">
        <v>7.7329999999999997</v>
      </c>
      <c r="CK176">
        <v>4.8099999999999996</v>
      </c>
      <c r="CL176">
        <v>1</v>
      </c>
      <c r="CM176">
        <v>15</v>
      </c>
      <c r="CN176">
        <v>0</v>
      </c>
      <c r="CO176">
        <v>96.296000000000006</v>
      </c>
      <c r="CP176">
        <v>100</v>
      </c>
      <c r="CQ176">
        <v>16</v>
      </c>
      <c r="CR176">
        <v>74</v>
      </c>
      <c r="CS176">
        <v>10</v>
      </c>
      <c r="CT176">
        <v>28</v>
      </c>
      <c r="CU176">
        <v>11</v>
      </c>
      <c r="CV176">
        <v>6</v>
      </c>
      <c r="CW176">
        <v>17</v>
      </c>
      <c r="CX176">
        <v>246</v>
      </c>
      <c r="CY176">
        <v>23.125</v>
      </c>
      <c r="CZ176">
        <v>77.778000000000006</v>
      </c>
      <c r="DA176">
        <v>43.158000000000001</v>
      </c>
      <c r="DB176">
        <v>74.19</v>
      </c>
      <c r="DC176">
        <v>-1</v>
      </c>
      <c r="DD176">
        <v>2679</v>
      </c>
      <c r="DE176">
        <v>70.233000000000004</v>
      </c>
      <c r="DF176">
        <v>192.75</v>
      </c>
      <c r="DG176">
        <v>23</v>
      </c>
      <c r="DH176">
        <v>321.25</v>
      </c>
      <c r="DI176">
        <v>7.7160000000000002</v>
      </c>
      <c r="DJ176">
        <v>1178</v>
      </c>
      <c r="DK176">
        <v>111.625</v>
      </c>
      <c r="DL176">
        <v>4.0960000000000001</v>
      </c>
      <c r="DM176">
        <v>9</v>
      </c>
      <c r="DN176">
        <v>2957</v>
      </c>
      <c r="DO176">
        <v>15</v>
      </c>
      <c r="DP176">
        <v>209.625</v>
      </c>
      <c r="DQ176">
        <v>10.987</v>
      </c>
      <c r="DR176">
        <v>4.75</v>
      </c>
      <c r="DS176">
        <v>3.75</v>
      </c>
      <c r="DT176">
        <v>3</v>
      </c>
      <c r="DU176">
        <v>16</v>
      </c>
      <c r="DV176">
        <v>0</v>
      </c>
      <c r="DW176">
        <v>100</v>
      </c>
      <c r="DX176">
        <v>77.778000000000006</v>
      </c>
      <c r="DY176">
        <v>7</v>
      </c>
      <c r="DZ176">
        <v>46</v>
      </c>
      <c r="EA176">
        <v>13.55</v>
      </c>
      <c r="EB176">
        <v>7</v>
      </c>
      <c r="EC176">
        <v>34</v>
      </c>
      <c r="ED176">
        <v>6</v>
      </c>
      <c r="EE176">
        <v>15</v>
      </c>
      <c r="EF176">
        <v>208</v>
      </c>
      <c r="EG176">
        <v>17.875</v>
      </c>
      <c r="EH176">
        <v>78.570999999999998</v>
      </c>
      <c r="EI176">
        <v>33.332999999999998</v>
      </c>
      <c r="EJ176">
        <v>87.14</v>
      </c>
      <c r="EK176">
        <v>4</v>
      </c>
    </row>
    <row r="177" spans="1:141" x14ac:dyDescent="0.25">
      <c r="A177">
        <v>0</v>
      </c>
      <c r="B177">
        <v>0</v>
      </c>
      <c r="C177">
        <v>0</v>
      </c>
      <c r="D177">
        <v>2025</v>
      </c>
      <c r="E177">
        <v>12</v>
      </c>
      <c r="F177" t="str">
        <f>VLOOKUP(G177, Map!$A$1:$B$33, 2, FALSE)</f>
        <v>NO</v>
      </c>
      <c r="G177" t="s">
        <v>168</v>
      </c>
      <c r="H177" t="str">
        <f>VLOOKUP(I177, Map!$A$1:$B$33, 2, FALSE)</f>
        <v>ATL</v>
      </c>
      <c r="I177" t="s">
        <v>167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7</v>
      </c>
      <c r="P177">
        <v>26.125</v>
      </c>
      <c r="Q177">
        <v>16</v>
      </c>
      <c r="R177">
        <v>-81</v>
      </c>
      <c r="S177">
        <v>-3</v>
      </c>
      <c r="T177">
        <v>0.125</v>
      </c>
      <c r="U177">
        <v>0</v>
      </c>
      <c r="V177">
        <v>1</v>
      </c>
      <c r="W177">
        <v>1</v>
      </c>
      <c r="X177">
        <v>4</v>
      </c>
      <c r="Y177">
        <v>0</v>
      </c>
      <c r="Z177">
        <v>3</v>
      </c>
      <c r="AA177">
        <v>1</v>
      </c>
      <c r="AB177">
        <v>5</v>
      </c>
      <c r="AC177">
        <v>7</v>
      </c>
      <c r="AD177">
        <v>10</v>
      </c>
      <c r="AE177">
        <v>7</v>
      </c>
      <c r="AF177">
        <v>10</v>
      </c>
      <c r="AG177">
        <v>64</v>
      </c>
      <c r="AH177">
        <v>0</v>
      </c>
      <c r="AI177">
        <v>3</v>
      </c>
      <c r="AJ177">
        <v>4</v>
      </c>
      <c r="AK177">
        <v>22</v>
      </c>
      <c r="AL177">
        <v>17.142856999999999</v>
      </c>
      <c r="AM177">
        <v>-34</v>
      </c>
      <c r="AN177">
        <v>-2</v>
      </c>
      <c r="AO177">
        <v>0.42857142999999998</v>
      </c>
      <c r="AP177">
        <v>0</v>
      </c>
      <c r="AQ177">
        <v>2</v>
      </c>
      <c r="AR177">
        <v>2</v>
      </c>
      <c r="AS177">
        <v>2</v>
      </c>
      <c r="AT177">
        <v>1</v>
      </c>
      <c r="AU177">
        <v>2</v>
      </c>
      <c r="AV177">
        <v>2</v>
      </c>
      <c r="AW177">
        <v>3</v>
      </c>
      <c r="AX177">
        <v>7</v>
      </c>
      <c r="AY177">
        <v>10</v>
      </c>
      <c r="AZ177">
        <v>9</v>
      </c>
      <c r="BA177">
        <v>8</v>
      </c>
      <c r="BB177">
        <v>64</v>
      </c>
      <c r="BC177">
        <v>0</v>
      </c>
      <c r="BD177">
        <v>0</v>
      </c>
      <c r="BE177">
        <v>0</v>
      </c>
      <c r="BF177">
        <v>0</v>
      </c>
      <c r="BG177">
        <v>37.228999999999999</v>
      </c>
      <c r="BH177">
        <v>19.82</v>
      </c>
      <c r="BI177">
        <v>62.472000000000001</v>
      </c>
      <c r="BJ177">
        <v>0</v>
      </c>
      <c r="BK177">
        <v>0</v>
      </c>
      <c r="BL177">
        <v>0</v>
      </c>
      <c r="BM177">
        <v>-4.3920000000000003</v>
      </c>
      <c r="BN177">
        <v>62.472000000000001</v>
      </c>
      <c r="BO177">
        <v>19.82</v>
      </c>
      <c r="BP177">
        <v>0</v>
      </c>
      <c r="BQ177">
        <v>37.228999999999999</v>
      </c>
      <c r="BR177">
        <v>4.3920000000000003</v>
      </c>
      <c r="BS177">
        <v>0</v>
      </c>
      <c r="BT177">
        <v>0</v>
      </c>
      <c r="BU177">
        <v>0</v>
      </c>
      <c r="BV177">
        <v>2083</v>
      </c>
      <c r="BW177">
        <v>66.206999999999994</v>
      </c>
      <c r="BX177">
        <v>201.375</v>
      </c>
      <c r="BY177">
        <v>13</v>
      </c>
      <c r="BZ177">
        <v>310.25</v>
      </c>
      <c r="CA177">
        <v>5.976</v>
      </c>
      <c r="CB177">
        <v>779</v>
      </c>
      <c r="CC177">
        <v>93.625</v>
      </c>
      <c r="CD177">
        <v>3.7829999999999999</v>
      </c>
      <c r="CE177">
        <v>3</v>
      </c>
      <c r="CF177">
        <v>2973</v>
      </c>
      <c r="CG177">
        <v>8</v>
      </c>
      <c r="CH177">
        <v>216.625</v>
      </c>
      <c r="CI177">
        <v>9.0259999999999998</v>
      </c>
      <c r="CJ177">
        <v>6.0590000000000002</v>
      </c>
      <c r="CK177">
        <v>4.7779999999999996</v>
      </c>
      <c r="CL177">
        <v>1</v>
      </c>
      <c r="CM177">
        <v>17</v>
      </c>
      <c r="CN177">
        <v>0</v>
      </c>
      <c r="CO177">
        <v>100</v>
      </c>
      <c r="CP177">
        <v>71.429000000000002</v>
      </c>
      <c r="CQ177">
        <v>15</v>
      </c>
      <c r="CR177">
        <v>56</v>
      </c>
      <c r="CS177">
        <v>15.25</v>
      </c>
      <c r="CT177">
        <v>27</v>
      </c>
      <c r="CU177">
        <v>7</v>
      </c>
      <c r="CV177">
        <v>6</v>
      </c>
      <c r="CW177">
        <v>8</v>
      </c>
      <c r="CX177">
        <v>128</v>
      </c>
      <c r="CY177">
        <v>19.125</v>
      </c>
      <c r="CZ177">
        <v>33.332999999999998</v>
      </c>
      <c r="DA177">
        <v>38.835000000000001</v>
      </c>
      <c r="DB177">
        <v>61.22</v>
      </c>
      <c r="DC177">
        <v>-2</v>
      </c>
      <c r="DD177">
        <v>1871</v>
      </c>
      <c r="DE177">
        <v>62.231999999999999</v>
      </c>
      <c r="DF177">
        <v>219.42857000000001</v>
      </c>
      <c r="DG177">
        <v>19</v>
      </c>
      <c r="DH177">
        <v>353.42856</v>
      </c>
      <c r="DI177">
        <v>6.9139999999999997</v>
      </c>
      <c r="DJ177">
        <v>1048</v>
      </c>
      <c r="DK177">
        <v>123.286</v>
      </c>
      <c r="DL177">
        <v>4.4029999999999996</v>
      </c>
      <c r="DM177">
        <v>7</v>
      </c>
      <c r="DN177">
        <v>2511</v>
      </c>
      <c r="DO177">
        <v>5</v>
      </c>
      <c r="DP177">
        <v>230.143</v>
      </c>
      <c r="DQ177">
        <v>11.11</v>
      </c>
      <c r="DR177">
        <v>5.9379999999999997</v>
      </c>
      <c r="DS177">
        <v>5.6429999999999998</v>
      </c>
      <c r="DT177">
        <v>0</v>
      </c>
      <c r="DU177">
        <v>16</v>
      </c>
      <c r="DV177">
        <v>0</v>
      </c>
      <c r="DW177">
        <v>100</v>
      </c>
      <c r="DX177">
        <v>75</v>
      </c>
      <c r="DY177">
        <v>12</v>
      </c>
      <c r="DZ177">
        <v>48</v>
      </c>
      <c r="EA177">
        <v>7.5380000000000003</v>
      </c>
      <c r="EB177">
        <v>9</v>
      </c>
      <c r="EC177">
        <v>22</v>
      </c>
      <c r="ED177">
        <v>0</v>
      </c>
      <c r="EE177">
        <v>5</v>
      </c>
      <c r="EF177">
        <v>120</v>
      </c>
      <c r="EG177">
        <v>19.286000000000001</v>
      </c>
      <c r="EH177">
        <v>40</v>
      </c>
      <c r="EI177">
        <v>39.326000000000001</v>
      </c>
      <c r="EJ177">
        <v>57.86</v>
      </c>
      <c r="EK177">
        <v>2</v>
      </c>
    </row>
    <row r="178" spans="1:141" x14ac:dyDescent="0.25">
      <c r="A178">
        <v>0</v>
      </c>
      <c r="B178">
        <v>0</v>
      </c>
      <c r="C178">
        <v>0</v>
      </c>
      <c r="D178">
        <v>2025</v>
      </c>
      <c r="E178">
        <v>12</v>
      </c>
      <c r="F178" t="str">
        <f>VLOOKUP(G178, Map!$A$1:$B$33, 2, FALSE)</f>
        <v>LA</v>
      </c>
      <c r="G178" t="s">
        <v>155</v>
      </c>
      <c r="H178" t="str">
        <f>VLOOKUP(I178, Map!$A$1:$B$33, 2, FALSE)</f>
        <v>TB</v>
      </c>
      <c r="I178" t="s">
        <v>141</v>
      </c>
      <c r="J178">
        <v>0</v>
      </c>
      <c r="K178">
        <v>0</v>
      </c>
      <c r="L178">
        <v>0</v>
      </c>
      <c r="M178">
        <v>0</v>
      </c>
      <c r="N178">
        <v>5</v>
      </c>
      <c r="O178">
        <v>2</v>
      </c>
      <c r="P178">
        <v>16.714285</v>
      </c>
      <c r="Q178">
        <v>25</v>
      </c>
      <c r="R178">
        <v>58</v>
      </c>
      <c r="S178">
        <v>2</v>
      </c>
      <c r="T178">
        <v>0.71428572999999995</v>
      </c>
      <c r="U178">
        <v>0</v>
      </c>
      <c r="V178">
        <v>1</v>
      </c>
      <c r="W178">
        <v>2</v>
      </c>
      <c r="X178">
        <v>1</v>
      </c>
      <c r="Y178">
        <v>3</v>
      </c>
      <c r="Z178">
        <v>1</v>
      </c>
      <c r="AA178">
        <v>0</v>
      </c>
      <c r="AB178">
        <v>2</v>
      </c>
      <c r="AC178">
        <v>5</v>
      </c>
      <c r="AD178">
        <v>11</v>
      </c>
      <c r="AE178">
        <v>5</v>
      </c>
      <c r="AF178">
        <v>9</v>
      </c>
      <c r="AG178">
        <v>57</v>
      </c>
      <c r="AH178">
        <v>0</v>
      </c>
      <c r="AI178">
        <v>6</v>
      </c>
      <c r="AJ178">
        <v>2</v>
      </c>
      <c r="AK178">
        <v>22.25</v>
      </c>
      <c r="AL178">
        <v>24.625</v>
      </c>
      <c r="AM178">
        <v>19</v>
      </c>
      <c r="AN178">
        <v>1</v>
      </c>
      <c r="AO178">
        <v>0.75</v>
      </c>
      <c r="AP178">
        <v>2</v>
      </c>
      <c r="AQ178">
        <v>0</v>
      </c>
      <c r="AR178">
        <v>2</v>
      </c>
      <c r="AS178">
        <v>1</v>
      </c>
      <c r="AT178">
        <v>4</v>
      </c>
      <c r="AU178">
        <v>1</v>
      </c>
      <c r="AV178">
        <v>4</v>
      </c>
      <c r="AW178">
        <v>2</v>
      </c>
      <c r="AX178">
        <v>8</v>
      </c>
      <c r="AY178">
        <v>9</v>
      </c>
      <c r="AZ178">
        <v>4</v>
      </c>
      <c r="BA178">
        <v>12</v>
      </c>
      <c r="BB178">
        <v>59</v>
      </c>
      <c r="BC178">
        <v>0</v>
      </c>
      <c r="BD178">
        <v>0</v>
      </c>
      <c r="BE178">
        <v>0</v>
      </c>
      <c r="BF178">
        <v>0</v>
      </c>
      <c r="BG178">
        <v>62.494999999999997</v>
      </c>
      <c r="BH178">
        <v>73.126000000000005</v>
      </c>
      <c r="BI178">
        <v>37.206000000000003</v>
      </c>
      <c r="BJ178">
        <v>0</v>
      </c>
      <c r="BK178">
        <v>0</v>
      </c>
      <c r="BL178">
        <v>0</v>
      </c>
      <c r="BM178">
        <v>4.899</v>
      </c>
      <c r="BN178">
        <v>37.206000000000003</v>
      </c>
      <c r="BO178">
        <v>73.126000000000005</v>
      </c>
      <c r="BP178">
        <v>0</v>
      </c>
      <c r="BQ178">
        <v>62.494999999999997</v>
      </c>
      <c r="BR178">
        <v>-4.899</v>
      </c>
      <c r="BS178">
        <v>0</v>
      </c>
      <c r="BT178">
        <v>0</v>
      </c>
      <c r="BU178">
        <v>0</v>
      </c>
      <c r="BV178">
        <v>2996</v>
      </c>
      <c r="BW178">
        <v>65.843999999999994</v>
      </c>
      <c r="BX178">
        <v>256.71429999999998</v>
      </c>
      <c r="BY178">
        <v>30</v>
      </c>
      <c r="BZ178">
        <v>370</v>
      </c>
      <c r="CA178">
        <v>7.6790000000000003</v>
      </c>
      <c r="CB178">
        <v>789</v>
      </c>
      <c r="CC178">
        <v>103.429</v>
      </c>
      <c r="CD178">
        <v>4.1369999999999996</v>
      </c>
      <c r="CE178">
        <v>4</v>
      </c>
      <c r="CF178">
        <v>3261</v>
      </c>
      <c r="CG178">
        <v>17</v>
      </c>
      <c r="CH178">
        <v>266.57100000000003</v>
      </c>
      <c r="CI178">
        <v>11.663</v>
      </c>
      <c r="CJ178">
        <v>6.577</v>
      </c>
      <c r="CK178">
        <v>16.111000000000001</v>
      </c>
      <c r="CL178">
        <v>0</v>
      </c>
      <c r="CM178">
        <v>26</v>
      </c>
      <c r="CN178">
        <v>0</v>
      </c>
      <c r="CO178">
        <v>90.475999999999999</v>
      </c>
      <c r="CP178">
        <v>71.429000000000002</v>
      </c>
      <c r="CQ178">
        <v>10</v>
      </c>
      <c r="CR178">
        <v>49</v>
      </c>
      <c r="CS178">
        <v>14.2</v>
      </c>
      <c r="CT178">
        <v>22</v>
      </c>
      <c r="CU178">
        <v>11</v>
      </c>
      <c r="CV178">
        <v>0</v>
      </c>
      <c r="CW178">
        <v>17</v>
      </c>
      <c r="CX178">
        <v>175</v>
      </c>
      <c r="CY178">
        <v>22</v>
      </c>
      <c r="CZ178">
        <v>66.667000000000002</v>
      </c>
      <c r="DA178">
        <v>37.661999999999999</v>
      </c>
      <c r="DB178">
        <v>65.239999999999995</v>
      </c>
      <c r="DC178">
        <v>3</v>
      </c>
      <c r="DD178">
        <v>2769</v>
      </c>
      <c r="DE178">
        <v>63.941000000000003</v>
      </c>
      <c r="DF178">
        <v>224.875</v>
      </c>
      <c r="DG178">
        <v>29</v>
      </c>
      <c r="DH178">
        <v>338</v>
      </c>
      <c r="DI178">
        <v>7.1340000000000003</v>
      </c>
      <c r="DJ178">
        <v>950</v>
      </c>
      <c r="DK178">
        <v>98.125</v>
      </c>
      <c r="DL178">
        <v>3.8479999999999999</v>
      </c>
      <c r="DM178">
        <v>6</v>
      </c>
      <c r="DN178">
        <v>3234</v>
      </c>
      <c r="DO178">
        <v>13</v>
      </c>
      <c r="DP178">
        <v>239.875</v>
      </c>
      <c r="DQ178">
        <v>11.157</v>
      </c>
      <c r="DR178">
        <v>7.8</v>
      </c>
      <c r="DS178">
        <v>6.8</v>
      </c>
      <c r="DT178">
        <v>2</v>
      </c>
      <c r="DU178">
        <v>25</v>
      </c>
      <c r="DV178">
        <v>0</v>
      </c>
      <c r="DW178">
        <v>94.117999999999995</v>
      </c>
      <c r="DX178">
        <v>80.951999999999998</v>
      </c>
      <c r="DY178">
        <v>17</v>
      </c>
      <c r="DZ178">
        <v>67</v>
      </c>
      <c r="EA178">
        <v>14.667</v>
      </c>
      <c r="EB178">
        <v>12</v>
      </c>
      <c r="EC178">
        <v>32</v>
      </c>
      <c r="ED178">
        <v>14</v>
      </c>
      <c r="EE178">
        <v>13</v>
      </c>
      <c r="EF178">
        <v>197</v>
      </c>
      <c r="EG178">
        <v>18.875</v>
      </c>
      <c r="EH178">
        <v>50</v>
      </c>
      <c r="EI178">
        <v>36.274999999999999</v>
      </c>
      <c r="EJ178">
        <v>55.19</v>
      </c>
      <c r="EK178">
        <v>7</v>
      </c>
    </row>
    <row r="179" spans="1:141" x14ac:dyDescent="0.25">
      <c r="A179">
        <v>0</v>
      </c>
      <c r="B179">
        <v>0</v>
      </c>
      <c r="C179">
        <v>0</v>
      </c>
      <c r="D179">
        <v>2025</v>
      </c>
      <c r="E179">
        <v>12</v>
      </c>
      <c r="F179" t="str">
        <f>VLOOKUP(G179, Map!$A$1:$B$33, 2, FALSE)</f>
        <v>SF</v>
      </c>
      <c r="G179" t="s">
        <v>143</v>
      </c>
      <c r="H179" t="str">
        <f>VLOOKUP(I179, Map!$A$1:$B$33, 2, FALSE)</f>
        <v>CAR</v>
      </c>
      <c r="I179" t="s">
        <v>142</v>
      </c>
      <c r="J179">
        <v>0</v>
      </c>
      <c r="K179">
        <v>0</v>
      </c>
      <c r="L179">
        <v>0</v>
      </c>
      <c r="M179">
        <v>0</v>
      </c>
      <c r="N179">
        <v>5</v>
      </c>
      <c r="O179">
        <v>3</v>
      </c>
      <c r="P179">
        <v>20.5</v>
      </c>
      <c r="Q179">
        <v>20</v>
      </c>
      <c r="R179">
        <v>-4</v>
      </c>
      <c r="S179">
        <v>-1</v>
      </c>
      <c r="T179">
        <v>0.625</v>
      </c>
      <c r="U179">
        <v>3</v>
      </c>
      <c r="V179">
        <v>0</v>
      </c>
      <c r="W179">
        <v>2</v>
      </c>
      <c r="X179">
        <v>1</v>
      </c>
      <c r="Y179">
        <v>3</v>
      </c>
      <c r="Z179">
        <v>2</v>
      </c>
      <c r="AA179">
        <v>5</v>
      </c>
      <c r="AB179">
        <v>1</v>
      </c>
      <c r="AC179">
        <v>15</v>
      </c>
      <c r="AD179">
        <v>5</v>
      </c>
      <c r="AE179">
        <v>13</v>
      </c>
      <c r="AF179">
        <v>7</v>
      </c>
      <c r="AG179">
        <v>68</v>
      </c>
      <c r="AH179">
        <v>0</v>
      </c>
      <c r="AI179">
        <v>4</v>
      </c>
      <c r="AJ179">
        <v>4</v>
      </c>
      <c r="AK179">
        <v>24</v>
      </c>
      <c r="AL179">
        <v>19.25</v>
      </c>
      <c r="AM179">
        <v>-38</v>
      </c>
      <c r="AN179">
        <v>-1</v>
      </c>
      <c r="AO179">
        <v>0.5</v>
      </c>
      <c r="AP179">
        <v>1</v>
      </c>
      <c r="AQ179">
        <v>0</v>
      </c>
      <c r="AR179">
        <v>3</v>
      </c>
      <c r="AS179">
        <v>1</v>
      </c>
      <c r="AT179">
        <v>1</v>
      </c>
      <c r="AU179">
        <v>3</v>
      </c>
      <c r="AV179">
        <v>2</v>
      </c>
      <c r="AW179">
        <v>1</v>
      </c>
      <c r="AX179">
        <v>7</v>
      </c>
      <c r="AY179">
        <v>10</v>
      </c>
      <c r="AZ179">
        <v>9</v>
      </c>
      <c r="BA179">
        <v>8</v>
      </c>
      <c r="BB179">
        <v>58</v>
      </c>
      <c r="BC179">
        <v>0</v>
      </c>
      <c r="BD179">
        <v>0</v>
      </c>
      <c r="BE179">
        <v>0</v>
      </c>
      <c r="BF179">
        <v>0</v>
      </c>
      <c r="BG179">
        <v>71.643000000000001</v>
      </c>
      <c r="BH179">
        <v>47.484999999999999</v>
      </c>
      <c r="BI179">
        <v>28.131</v>
      </c>
      <c r="BJ179">
        <v>0</v>
      </c>
      <c r="BK179">
        <v>0</v>
      </c>
      <c r="BL179">
        <v>0</v>
      </c>
      <c r="BM179">
        <v>8.6229999999999993</v>
      </c>
      <c r="BN179">
        <v>28.131</v>
      </c>
      <c r="BO179">
        <v>47.484999999999999</v>
      </c>
      <c r="BP179">
        <v>0</v>
      </c>
      <c r="BQ179">
        <v>71.643000000000001</v>
      </c>
      <c r="BR179">
        <v>-8.6229999999999993</v>
      </c>
      <c r="BS179">
        <v>0</v>
      </c>
      <c r="BT179">
        <v>0</v>
      </c>
      <c r="BU179">
        <v>0</v>
      </c>
      <c r="BV179">
        <v>2753</v>
      </c>
      <c r="BW179">
        <v>65.885999999999996</v>
      </c>
      <c r="BX179">
        <v>259.25</v>
      </c>
      <c r="BY179">
        <v>23</v>
      </c>
      <c r="BZ179">
        <v>362.25</v>
      </c>
      <c r="CA179">
        <v>7.3010000000000002</v>
      </c>
      <c r="CB179">
        <v>775</v>
      </c>
      <c r="CC179">
        <v>89.375</v>
      </c>
      <c r="CD179">
        <v>3.4049999999999998</v>
      </c>
      <c r="CE179">
        <v>3</v>
      </c>
      <c r="CF179">
        <v>3588</v>
      </c>
      <c r="CG179">
        <v>12</v>
      </c>
      <c r="CH179">
        <v>272.875</v>
      </c>
      <c r="CI179">
        <v>11.081</v>
      </c>
      <c r="CJ179">
        <v>6.6669999999999998</v>
      </c>
      <c r="CK179">
        <v>1.889</v>
      </c>
      <c r="CL179">
        <v>0</v>
      </c>
      <c r="CM179">
        <v>9</v>
      </c>
      <c r="CN179">
        <v>0</v>
      </c>
      <c r="CO179">
        <v>92.308000000000007</v>
      </c>
      <c r="CP179">
        <v>90</v>
      </c>
      <c r="CQ179">
        <v>18</v>
      </c>
      <c r="CR179">
        <v>66</v>
      </c>
      <c r="CS179">
        <v>14.308</v>
      </c>
      <c r="CT179">
        <v>25</v>
      </c>
      <c r="CU179">
        <v>12</v>
      </c>
      <c r="CV179">
        <v>0</v>
      </c>
      <c r="CW179">
        <v>12</v>
      </c>
      <c r="CX179">
        <v>160</v>
      </c>
      <c r="CY179">
        <v>20.875</v>
      </c>
      <c r="CZ179">
        <v>54.545000000000002</v>
      </c>
      <c r="DA179">
        <v>46.363999999999997</v>
      </c>
      <c r="DB179">
        <v>65.709999999999994</v>
      </c>
      <c r="DC179">
        <v>-5</v>
      </c>
      <c r="DD179">
        <v>2241</v>
      </c>
      <c r="DE179">
        <v>62.451999999999998</v>
      </c>
      <c r="DF179">
        <v>179.5</v>
      </c>
      <c r="DG179">
        <v>19</v>
      </c>
      <c r="DH179">
        <v>334.5</v>
      </c>
      <c r="DI179">
        <v>6.0570000000000004</v>
      </c>
      <c r="DJ179">
        <v>1145</v>
      </c>
      <c r="DK179">
        <v>136.875</v>
      </c>
      <c r="DL179">
        <v>4.6399999999999997</v>
      </c>
      <c r="DM179">
        <v>4</v>
      </c>
      <c r="DN179">
        <v>2816</v>
      </c>
      <c r="DO179">
        <v>12</v>
      </c>
      <c r="DP179">
        <v>197.625</v>
      </c>
      <c r="DQ179">
        <v>9.6989999999999998</v>
      </c>
      <c r="DR179">
        <v>6.8460000000000001</v>
      </c>
      <c r="DS179">
        <v>4.75</v>
      </c>
      <c r="DT179">
        <v>1</v>
      </c>
      <c r="DU179">
        <v>13</v>
      </c>
      <c r="DV179">
        <v>0</v>
      </c>
      <c r="DW179">
        <v>86.667000000000002</v>
      </c>
      <c r="DX179">
        <v>86.667000000000002</v>
      </c>
      <c r="DY179">
        <v>13</v>
      </c>
      <c r="DZ179">
        <v>52</v>
      </c>
      <c r="EA179">
        <v>16.411999999999999</v>
      </c>
      <c r="EB179">
        <v>11</v>
      </c>
      <c r="EC179">
        <v>27</v>
      </c>
      <c r="ED179">
        <v>6</v>
      </c>
      <c r="EE179">
        <v>12</v>
      </c>
      <c r="EF179">
        <v>154</v>
      </c>
      <c r="EG179">
        <v>20.75</v>
      </c>
      <c r="EH179">
        <v>68.421000000000006</v>
      </c>
      <c r="EI179">
        <v>37.255000000000003</v>
      </c>
      <c r="EJ179">
        <v>70.83</v>
      </c>
      <c r="EK179">
        <v>-5</v>
      </c>
    </row>
    <row r="180" spans="1:141" x14ac:dyDescent="0.25">
      <c r="A180">
        <v>0</v>
      </c>
      <c r="B180">
        <v>0</v>
      </c>
      <c r="C180">
        <v>0</v>
      </c>
      <c r="D180">
        <v>2025</v>
      </c>
      <c r="E180">
        <v>13</v>
      </c>
      <c r="F180" t="str">
        <f>VLOOKUP(G180, Map!$A$1:$B$33, 2, FALSE)</f>
        <v>DET</v>
      </c>
      <c r="G180" t="s">
        <v>164</v>
      </c>
      <c r="H180" t="str">
        <f>VLOOKUP(I180, Map!$A$1:$B$33, 2, FALSE)</f>
        <v>GB</v>
      </c>
      <c r="I180" t="s">
        <v>154</v>
      </c>
      <c r="J180">
        <v>0</v>
      </c>
      <c r="K180">
        <v>0</v>
      </c>
      <c r="L180">
        <v>0</v>
      </c>
      <c r="M180">
        <v>0</v>
      </c>
      <c r="N180">
        <v>5</v>
      </c>
      <c r="O180">
        <v>2</v>
      </c>
      <c r="P180">
        <v>21.571428000000001</v>
      </c>
      <c r="Q180">
        <v>30.714285</v>
      </c>
      <c r="R180">
        <v>64</v>
      </c>
      <c r="S180">
        <v>1</v>
      </c>
      <c r="T180">
        <v>0.71428572999999995</v>
      </c>
      <c r="U180">
        <v>1</v>
      </c>
      <c r="V180">
        <v>1</v>
      </c>
      <c r="W180">
        <v>3</v>
      </c>
      <c r="X180">
        <v>0</v>
      </c>
      <c r="Y180">
        <v>2</v>
      </c>
      <c r="Z180">
        <v>2</v>
      </c>
      <c r="AA180">
        <v>2</v>
      </c>
      <c r="AB180">
        <v>1</v>
      </c>
      <c r="AC180">
        <v>8</v>
      </c>
      <c r="AD180">
        <v>8</v>
      </c>
      <c r="AE180">
        <v>11</v>
      </c>
      <c r="AF180">
        <v>5</v>
      </c>
      <c r="AG180">
        <v>73</v>
      </c>
      <c r="AH180">
        <v>0</v>
      </c>
      <c r="AI180">
        <v>5</v>
      </c>
      <c r="AJ180">
        <v>1</v>
      </c>
      <c r="AK180">
        <v>21.428571999999999</v>
      </c>
      <c r="AL180">
        <v>27.571428000000001</v>
      </c>
      <c r="AM180">
        <v>43</v>
      </c>
      <c r="AN180">
        <v>3</v>
      </c>
      <c r="AO180">
        <v>0.78571427000000005</v>
      </c>
      <c r="AP180">
        <v>1</v>
      </c>
      <c r="AQ180">
        <v>0</v>
      </c>
      <c r="AR180">
        <v>3</v>
      </c>
      <c r="AS180">
        <v>0</v>
      </c>
      <c r="AT180">
        <v>2</v>
      </c>
      <c r="AU180">
        <v>1</v>
      </c>
      <c r="AV180">
        <v>3</v>
      </c>
      <c r="AW180">
        <v>0</v>
      </c>
      <c r="AX180">
        <v>8</v>
      </c>
      <c r="AY180">
        <v>8</v>
      </c>
      <c r="AZ180">
        <v>8</v>
      </c>
      <c r="BA180">
        <v>8</v>
      </c>
      <c r="BB180">
        <v>61</v>
      </c>
      <c r="BC180">
        <v>0</v>
      </c>
      <c r="BD180">
        <v>0</v>
      </c>
      <c r="BE180">
        <v>0</v>
      </c>
      <c r="BF180">
        <v>0</v>
      </c>
      <c r="BG180">
        <v>55.134999999999998</v>
      </c>
      <c r="BH180">
        <v>88.147999999999996</v>
      </c>
      <c r="BI180">
        <v>44.506999999999998</v>
      </c>
      <c r="BJ180">
        <v>0</v>
      </c>
      <c r="BK180">
        <v>0</v>
      </c>
      <c r="BL180">
        <v>0</v>
      </c>
      <c r="BM180">
        <v>1.956</v>
      </c>
      <c r="BN180">
        <v>44.506999999999998</v>
      </c>
      <c r="BO180">
        <v>88.147999999999996</v>
      </c>
      <c r="BP180">
        <v>0</v>
      </c>
      <c r="BQ180">
        <v>55.134999999999998</v>
      </c>
      <c r="BR180">
        <v>-1.956</v>
      </c>
      <c r="BS180">
        <v>0</v>
      </c>
      <c r="BT180">
        <v>0</v>
      </c>
      <c r="BU180">
        <v>0</v>
      </c>
      <c r="BV180">
        <v>2664</v>
      </c>
      <c r="BW180">
        <v>75</v>
      </c>
      <c r="BX180">
        <v>223.57142999999999</v>
      </c>
      <c r="BY180">
        <v>23</v>
      </c>
      <c r="BZ180">
        <v>367.14285000000001</v>
      </c>
      <c r="CA180">
        <v>8.01</v>
      </c>
      <c r="CB180">
        <v>1256</v>
      </c>
      <c r="CC180">
        <v>133.714</v>
      </c>
      <c r="CD180">
        <v>4.5220000000000002</v>
      </c>
      <c r="CE180">
        <v>10</v>
      </c>
      <c r="CF180">
        <v>2959</v>
      </c>
      <c r="CG180">
        <v>16</v>
      </c>
      <c r="CH180">
        <v>233.429</v>
      </c>
      <c r="CI180">
        <v>10.68</v>
      </c>
      <c r="CJ180">
        <v>6.2610000000000001</v>
      </c>
      <c r="CK180">
        <v>24.2</v>
      </c>
      <c r="CL180">
        <v>1</v>
      </c>
      <c r="CM180">
        <v>23</v>
      </c>
      <c r="CN180">
        <v>0</v>
      </c>
      <c r="CO180">
        <v>100</v>
      </c>
      <c r="CP180">
        <v>72.727000000000004</v>
      </c>
      <c r="CQ180">
        <v>8</v>
      </c>
      <c r="CR180">
        <v>51</v>
      </c>
      <c r="CS180">
        <v>10</v>
      </c>
      <c r="CT180">
        <v>27</v>
      </c>
      <c r="CU180">
        <v>14</v>
      </c>
      <c r="CV180">
        <v>8</v>
      </c>
      <c r="CW180">
        <v>16</v>
      </c>
      <c r="CX180">
        <v>215</v>
      </c>
      <c r="CY180">
        <v>19.856999999999999</v>
      </c>
      <c r="CZ180">
        <v>61.537999999999997</v>
      </c>
      <c r="DA180">
        <v>37.646999999999998</v>
      </c>
      <c r="DB180">
        <v>74.88</v>
      </c>
      <c r="DC180">
        <v>6</v>
      </c>
      <c r="DD180">
        <v>2648</v>
      </c>
      <c r="DE180">
        <v>70.891999999999996</v>
      </c>
      <c r="DF180">
        <v>245</v>
      </c>
      <c r="DG180">
        <v>26</v>
      </c>
      <c r="DH180">
        <v>371</v>
      </c>
      <c r="DI180">
        <v>8.4410000000000007</v>
      </c>
      <c r="DJ180">
        <v>1099</v>
      </c>
      <c r="DK180">
        <v>114.143</v>
      </c>
      <c r="DL180">
        <v>3.9359999999999999</v>
      </c>
      <c r="DM180">
        <v>9</v>
      </c>
      <c r="DN180">
        <v>3008</v>
      </c>
      <c r="DO180">
        <v>13</v>
      </c>
      <c r="DP180">
        <v>256.85700000000003</v>
      </c>
      <c r="DQ180">
        <v>11.907</v>
      </c>
      <c r="DR180">
        <v>6.1429999999999998</v>
      </c>
      <c r="DS180">
        <v>6.75</v>
      </c>
      <c r="DT180">
        <v>0</v>
      </c>
      <c r="DU180">
        <v>21</v>
      </c>
      <c r="DV180">
        <v>0</v>
      </c>
      <c r="DW180">
        <v>95.238</v>
      </c>
      <c r="DX180">
        <v>76.471000000000004</v>
      </c>
      <c r="DY180">
        <v>13</v>
      </c>
      <c r="DZ180">
        <v>59</v>
      </c>
      <c r="EA180">
        <v>11.909000000000001</v>
      </c>
      <c r="EB180">
        <v>6</v>
      </c>
      <c r="EC180">
        <v>22</v>
      </c>
      <c r="ED180">
        <v>0</v>
      </c>
      <c r="EE180">
        <v>13</v>
      </c>
      <c r="EF180">
        <v>193</v>
      </c>
      <c r="EG180">
        <v>21</v>
      </c>
      <c r="EH180">
        <v>75</v>
      </c>
      <c r="EI180">
        <v>48.276000000000003</v>
      </c>
      <c r="EJ180">
        <v>78.569999999999993</v>
      </c>
      <c r="EK180">
        <v>1</v>
      </c>
    </row>
    <row r="181" spans="1:141" x14ac:dyDescent="0.25">
      <c r="A181">
        <v>0</v>
      </c>
      <c r="B181">
        <v>0</v>
      </c>
      <c r="C181">
        <v>0</v>
      </c>
      <c r="D181">
        <v>2025</v>
      </c>
      <c r="E181">
        <v>13</v>
      </c>
      <c r="F181" t="str">
        <f>VLOOKUP(G181, Map!$A$1:$B$33, 2, FALSE)</f>
        <v>DAL</v>
      </c>
      <c r="G181" t="s">
        <v>150</v>
      </c>
      <c r="H181" t="str">
        <f>VLOOKUP(I181, Map!$A$1:$B$33, 2, FALSE)</f>
        <v>KC</v>
      </c>
      <c r="I181" t="s">
        <v>158</v>
      </c>
      <c r="J181">
        <v>0</v>
      </c>
      <c r="K181">
        <v>0</v>
      </c>
      <c r="L181">
        <v>0</v>
      </c>
      <c r="M181">
        <v>0</v>
      </c>
      <c r="N181">
        <v>3</v>
      </c>
      <c r="O181">
        <v>4</v>
      </c>
      <c r="P181">
        <v>31.25</v>
      </c>
      <c r="Q181">
        <v>30.75</v>
      </c>
      <c r="R181">
        <v>-4</v>
      </c>
      <c r="S181">
        <v>-1</v>
      </c>
      <c r="T181">
        <v>0.4375</v>
      </c>
      <c r="U181">
        <v>2</v>
      </c>
      <c r="V181">
        <v>1</v>
      </c>
      <c r="W181">
        <v>2</v>
      </c>
      <c r="X181">
        <v>0</v>
      </c>
      <c r="Y181">
        <v>1</v>
      </c>
      <c r="Z181">
        <v>4</v>
      </c>
      <c r="AA181">
        <v>2</v>
      </c>
      <c r="AB181">
        <v>3</v>
      </c>
      <c r="AC181">
        <v>13</v>
      </c>
      <c r="AD181">
        <v>5</v>
      </c>
      <c r="AE181">
        <v>11</v>
      </c>
      <c r="AF181">
        <v>7</v>
      </c>
      <c r="AG181">
        <v>68</v>
      </c>
      <c r="AH181">
        <v>0</v>
      </c>
      <c r="AI181">
        <v>5</v>
      </c>
      <c r="AJ181">
        <v>3</v>
      </c>
      <c r="AK181">
        <v>16.375</v>
      </c>
      <c r="AL181">
        <v>26.75</v>
      </c>
      <c r="AM181">
        <v>83</v>
      </c>
      <c r="AN181">
        <v>3</v>
      </c>
      <c r="AO181">
        <v>0.625</v>
      </c>
      <c r="AP181">
        <v>1</v>
      </c>
      <c r="AQ181">
        <v>1</v>
      </c>
      <c r="AR181">
        <v>4</v>
      </c>
      <c r="AS181">
        <v>1</v>
      </c>
      <c r="AT181">
        <v>1</v>
      </c>
      <c r="AU181">
        <v>2</v>
      </c>
      <c r="AV181">
        <v>2</v>
      </c>
      <c r="AW181">
        <v>2</v>
      </c>
      <c r="AX181">
        <v>16</v>
      </c>
      <c r="AY181">
        <v>3</v>
      </c>
      <c r="AZ181">
        <v>7</v>
      </c>
      <c r="BA181">
        <v>11</v>
      </c>
      <c r="BB181">
        <v>65</v>
      </c>
      <c r="BC181">
        <v>0</v>
      </c>
      <c r="BD181">
        <v>0</v>
      </c>
      <c r="BE181">
        <v>0</v>
      </c>
      <c r="BF181">
        <v>0</v>
      </c>
      <c r="BG181">
        <v>35.412999999999997</v>
      </c>
      <c r="BH181">
        <v>80.158000000000001</v>
      </c>
      <c r="BI181">
        <v>64.302000000000007</v>
      </c>
      <c r="BJ181">
        <v>0</v>
      </c>
      <c r="BK181">
        <v>0</v>
      </c>
      <c r="BL181">
        <v>0</v>
      </c>
      <c r="BM181">
        <v>-5.444</v>
      </c>
      <c r="BN181">
        <v>64.302000000000007</v>
      </c>
      <c r="BO181">
        <v>80.158000000000001</v>
      </c>
      <c r="BP181">
        <v>0</v>
      </c>
      <c r="BQ181">
        <v>35.412999999999997</v>
      </c>
      <c r="BR181">
        <v>5.444</v>
      </c>
      <c r="BS181">
        <v>0</v>
      </c>
      <c r="BT181">
        <v>0</v>
      </c>
      <c r="BU181">
        <v>0</v>
      </c>
      <c r="BV181">
        <v>3160</v>
      </c>
      <c r="BW181">
        <v>70.233999999999995</v>
      </c>
      <c r="BX181">
        <v>263.75</v>
      </c>
      <c r="BY181">
        <v>25</v>
      </c>
      <c r="BZ181">
        <v>391.375</v>
      </c>
      <c r="CA181">
        <v>7.1909999999999998</v>
      </c>
      <c r="CB181">
        <v>1283</v>
      </c>
      <c r="CC181">
        <v>120.375</v>
      </c>
      <c r="CD181">
        <v>4.6749999999999998</v>
      </c>
      <c r="CE181">
        <v>10</v>
      </c>
      <c r="CF181">
        <v>3813</v>
      </c>
      <c r="CG181">
        <v>17</v>
      </c>
      <c r="CH181">
        <v>271</v>
      </c>
      <c r="CI181">
        <v>10.238</v>
      </c>
      <c r="CJ181">
        <v>7.7329999999999997</v>
      </c>
      <c r="CK181">
        <v>4.8099999999999996</v>
      </c>
      <c r="CL181">
        <v>1</v>
      </c>
      <c r="CM181">
        <v>15</v>
      </c>
      <c r="CN181">
        <v>0</v>
      </c>
      <c r="CO181">
        <v>96.296000000000006</v>
      </c>
      <c r="CP181">
        <v>100</v>
      </c>
      <c r="CQ181">
        <v>16</v>
      </c>
      <c r="CR181">
        <v>74</v>
      </c>
      <c r="CS181">
        <v>10</v>
      </c>
      <c r="CT181">
        <v>28</v>
      </c>
      <c r="CU181">
        <v>11</v>
      </c>
      <c r="CV181">
        <v>6</v>
      </c>
      <c r="CW181">
        <v>17</v>
      </c>
      <c r="CX181">
        <v>246</v>
      </c>
      <c r="CY181">
        <v>23.125</v>
      </c>
      <c r="CZ181">
        <v>77.778000000000006</v>
      </c>
      <c r="DA181">
        <v>43.158000000000001</v>
      </c>
      <c r="DB181">
        <v>74.19</v>
      </c>
      <c r="DC181">
        <v>-1</v>
      </c>
      <c r="DD181">
        <v>3149</v>
      </c>
      <c r="DE181">
        <v>67.021000000000001</v>
      </c>
      <c r="DF181">
        <v>251.75</v>
      </c>
      <c r="DG181">
        <v>25</v>
      </c>
      <c r="DH181">
        <v>388.875</v>
      </c>
      <c r="DI181">
        <v>7.3719999999999999</v>
      </c>
      <c r="DJ181">
        <v>1327</v>
      </c>
      <c r="DK181">
        <v>126.5</v>
      </c>
      <c r="DL181">
        <v>4.4980000000000002</v>
      </c>
      <c r="DM181">
        <v>9</v>
      </c>
      <c r="DN181">
        <v>3639</v>
      </c>
      <c r="DO181">
        <v>17</v>
      </c>
      <c r="DP181">
        <v>262.375</v>
      </c>
      <c r="DQ181">
        <v>11</v>
      </c>
      <c r="DR181">
        <v>4</v>
      </c>
      <c r="DS181">
        <v>3.4</v>
      </c>
      <c r="DT181">
        <v>0</v>
      </c>
      <c r="DU181">
        <v>17</v>
      </c>
      <c r="DV181">
        <v>0</v>
      </c>
      <c r="DW181">
        <v>88</v>
      </c>
      <c r="DX181">
        <v>80</v>
      </c>
      <c r="DY181">
        <v>12</v>
      </c>
      <c r="DZ181">
        <v>58</v>
      </c>
      <c r="EA181">
        <v>8.3330000000000002</v>
      </c>
      <c r="EB181">
        <v>11</v>
      </c>
      <c r="EC181">
        <v>19</v>
      </c>
      <c r="ED181">
        <v>0</v>
      </c>
      <c r="EE181">
        <v>17</v>
      </c>
      <c r="EF181">
        <v>214</v>
      </c>
      <c r="EG181">
        <v>23.625</v>
      </c>
      <c r="EH181">
        <v>82.352999999999994</v>
      </c>
      <c r="EI181">
        <v>44</v>
      </c>
      <c r="EJ181">
        <v>78.150000000000006</v>
      </c>
      <c r="EK181">
        <v>5</v>
      </c>
    </row>
    <row r="182" spans="1:141" x14ac:dyDescent="0.25">
      <c r="A182">
        <v>0</v>
      </c>
      <c r="B182">
        <v>0</v>
      </c>
      <c r="C182">
        <v>0</v>
      </c>
      <c r="D182">
        <v>2025</v>
      </c>
      <c r="E182">
        <v>13</v>
      </c>
      <c r="F182" t="str">
        <f>VLOOKUP(G182, Map!$A$1:$B$33, 2, FALSE)</f>
        <v>BAL</v>
      </c>
      <c r="G182" t="s">
        <v>146</v>
      </c>
      <c r="H182" t="str">
        <f>VLOOKUP(I182, Map!$A$1:$B$33, 2, FALSE)</f>
        <v>CIN</v>
      </c>
      <c r="I182" t="s">
        <v>161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5</v>
      </c>
      <c r="P182">
        <v>30</v>
      </c>
      <c r="Q182">
        <v>24.857143000000001</v>
      </c>
      <c r="R182">
        <v>-36</v>
      </c>
      <c r="S182">
        <v>1</v>
      </c>
      <c r="T182">
        <v>0.28571429999999998</v>
      </c>
      <c r="U182">
        <v>1</v>
      </c>
      <c r="V182">
        <v>0</v>
      </c>
      <c r="W182">
        <v>2</v>
      </c>
      <c r="X182">
        <v>3</v>
      </c>
      <c r="Y182">
        <v>0</v>
      </c>
      <c r="Z182">
        <v>2</v>
      </c>
      <c r="AA182">
        <v>1</v>
      </c>
      <c r="AB182">
        <v>3</v>
      </c>
      <c r="AC182">
        <v>10</v>
      </c>
      <c r="AD182">
        <v>7</v>
      </c>
      <c r="AE182">
        <v>7</v>
      </c>
      <c r="AF182">
        <v>9</v>
      </c>
      <c r="AG182">
        <v>61</v>
      </c>
      <c r="AH182">
        <v>0</v>
      </c>
      <c r="AI182">
        <v>3</v>
      </c>
      <c r="AJ182">
        <v>5</v>
      </c>
      <c r="AK182">
        <v>31.625</v>
      </c>
      <c r="AL182">
        <v>21.75</v>
      </c>
      <c r="AM182">
        <v>-79</v>
      </c>
      <c r="AN182">
        <v>-1</v>
      </c>
      <c r="AO182">
        <v>0.375</v>
      </c>
      <c r="AP182">
        <v>2</v>
      </c>
      <c r="AQ182">
        <v>0</v>
      </c>
      <c r="AR182">
        <v>2</v>
      </c>
      <c r="AS182">
        <v>2</v>
      </c>
      <c r="AT182">
        <v>1</v>
      </c>
      <c r="AU182">
        <v>3</v>
      </c>
      <c r="AV182">
        <v>3</v>
      </c>
      <c r="AW182">
        <v>2</v>
      </c>
      <c r="AX182">
        <v>14</v>
      </c>
      <c r="AY182">
        <v>4</v>
      </c>
      <c r="AZ182">
        <v>13</v>
      </c>
      <c r="BA182">
        <v>5</v>
      </c>
      <c r="BB182">
        <v>59</v>
      </c>
      <c r="BC182">
        <v>0</v>
      </c>
      <c r="BD182">
        <v>0</v>
      </c>
      <c r="BE182">
        <v>0</v>
      </c>
      <c r="BF182">
        <v>0</v>
      </c>
      <c r="BG182">
        <v>73.525999999999996</v>
      </c>
      <c r="BH182">
        <v>66.593000000000004</v>
      </c>
      <c r="BI182">
        <v>26.263000000000002</v>
      </c>
      <c r="BJ182">
        <v>0</v>
      </c>
      <c r="BK182">
        <v>0</v>
      </c>
      <c r="BL182">
        <v>0</v>
      </c>
      <c r="BM182">
        <v>9.702</v>
      </c>
      <c r="BN182">
        <v>26.263000000000002</v>
      </c>
      <c r="BO182">
        <v>66.593000000000004</v>
      </c>
      <c r="BP182">
        <v>0</v>
      </c>
      <c r="BQ182">
        <v>73.525999999999996</v>
      </c>
      <c r="BR182">
        <v>-9.702</v>
      </c>
      <c r="BS182">
        <v>0</v>
      </c>
      <c r="BT182">
        <v>0</v>
      </c>
      <c r="BU182">
        <v>0</v>
      </c>
      <c r="BV182">
        <v>2046</v>
      </c>
      <c r="BW182">
        <v>69.73</v>
      </c>
      <c r="BX182">
        <v>182.28572</v>
      </c>
      <c r="BY182">
        <v>19</v>
      </c>
      <c r="BZ182">
        <v>337.14285000000001</v>
      </c>
      <c r="CA182">
        <v>7.7080000000000002</v>
      </c>
      <c r="CB182">
        <v>1139</v>
      </c>
      <c r="CC182">
        <v>133.429</v>
      </c>
      <c r="CD182">
        <v>5.2770000000000001</v>
      </c>
      <c r="CE182">
        <v>8</v>
      </c>
      <c r="CF182">
        <v>2456</v>
      </c>
      <c r="CG182">
        <v>11</v>
      </c>
      <c r="CH182">
        <v>203.714</v>
      </c>
      <c r="CI182">
        <v>11.054</v>
      </c>
      <c r="CJ182">
        <v>6.8890000000000002</v>
      </c>
      <c r="CK182">
        <v>2.4089999999999998</v>
      </c>
      <c r="CL182">
        <v>1</v>
      </c>
      <c r="CM182">
        <v>9</v>
      </c>
      <c r="CN182">
        <v>0</v>
      </c>
      <c r="CO182">
        <v>94.736999999999995</v>
      </c>
      <c r="CP182">
        <v>92.308000000000007</v>
      </c>
      <c r="CQ182">
        <v>12</v>
      </c>
      <c r="CR182">
        <v>54</v>
      </c>
      <c r="CS182">
        <v>5.8330000000000002</v>
      </c>
      <c r="CT182">
        <v>19</v>
      </c>
      <c r="CU182">
        <v>8</v>
      </c>
      <c r="CV182">
        <v>6</v>
      </c>
      <c r="CW182">
        <v>11</v>
      </c>
      <c r="CX182">
        <v>174</v>
      </c>
      <c r="CY182">
        <v>18.143000000000001</v>
      </c>
      <c r="CZ182">
        <v>38.462000000000003</v>
      </c>
      <c r="DA182">
        <v>40.506</v>
      </c>
      <c r="DB182">
        <v>52.38</v>
      </c>
      <c r="DC182">
        <v>-6</v>
      </c>
      <c r="DD182">
        <v>2540</v>
      </c>
      <c r="DE182">
        <v>63.636000000000003</v>
      </c>
      <c r="DF182">
        <v>202</v>
      </c>
      <c r="DG182">
        <v>15</v>
      </c>
      <c r="DH182">
        <v>299.125</v>
      </c>
      <c r="DI182">
        <v>6.0490000000000004</v>
      </c>
      <c r="DJ182">
        <v>793</v>
      </c>
      <c r="DK182">
        <v>82.875</v>
      </c>
      <c r="DL182">
        <v>4.3049999999999997</v>
      </c>
      <c r="DM182">
        <v>5</v>
      </c>
      <c r="DN182">
        <v>3165</v>
      </c>
      <c r="DO182">
        <v>15</v>
      </c>
      <c r="DP182">
        <v>216.25</v>
      </c>
      <c r="DQ182">
        <v>9.5050000000000008</v>
      </c>
      <c r="DR182">
        <v>5.2729999999999997</v>
      </c>
      <c r="DS182">
        <v>3.3570000000000002</v>
      </c>
      <c r="DT182">
        <v>0</v>
      </c>
      <c r="DU182">
        <v>11</v>
      </c>
      <c r="DV182">
        <v>0</v>
      </c>
      <c r="DW182">
        <v>100</v>
      </c>
      <c r="DX182">
        <v>84.614999999999995</v>
      </c>
      <c r="DY182">
        <v>11</v>
      </c>
      <c r="DZ182">
        <v>52</v>
      </c>
      <c r="EA182">
        <v>11.523999999999999</v>
      </c>
      <c r="EB182">
        <v>11</v>
      </c>
      <c r="EC182">
        <v>37</v>
      </c>
      <c r="ED182">
        <v>0</v>
      </c>
      <c r="EE182">
        <v>15</v>
      </c>
      <c r="EF182">
        <v>174</v>
      </c>
      <c r="EG182">
        <v>18.5</v>
      </c>
      <c r="EH182">
        <v>80</v>
      </c>
      <c r="EI182">
        <v>39.393999999999998</v>
      </c>
      <c r="EJ182">
        <v>79.87</v>
      </c>
      <c r="EK182">
        <v>-2</v>
      </c>
    </row>
    <row r="183" spans="1:141" x14ac:dyDescent="0.25">
      <c r="A183">
        <v>0</v>
      </c>
      <c r="B183">
        <v>0</v>
      </c>
      <c r="C183">
        <v>0</v>
      </c>
      <c r="D183">
        <v>2025</v>
      </c>
      <c r="E183">
        <v>13</v>
      </c>
      <c r="F183" t="str">
        <f>VLOOKUP(G183, Map!$A$1:$B$33, 2, FALSE)</f>
        <v>PHI</v>
      </c>
      <c r="G183" t="s">
        <v>147</v>
      </c>
      <c r="H183" t="str">
        <f>VLOOKUP(I183, Map!$A$1:$B$33, 2, FALSE)</f>
        <v>CHI</v>
      </c>
      <c r="I183" t="s">
        <v>163</v>
      </c>
      <c r="J183">
        <v>0</v>
      </c>
      <c r="K183">
        <v>0</v>
      </c>
      <c r="L183">
        <v>0</v>
      </c>
      <c r="M183">
        <v>0</v>
      </c>
      <c r="N183">
        <v>6</v>
      </c>
      <c r="O183">
        <v>2</v>
      </c>
      <c r="P183">
        <v>23.125</v>
      </c>
      <c r="Q183">
        <v>26</v>
      </c>
      <c r="R183">
        <v>23</v>
      </c>
      <c r="S183">
        <v>2</v>
      </c>
      <c r="T183">
        <v>0.75</v>
      </c>
      <c r="U183">
        <v>2</v>
      </c>
      <c r="V183">
        <v>1</v>
      </c>
      <c r="W183">
        <v>3</v>
      </c>
      <c r="X183">
        <v>1</v>
      </c>
      <c r="Y183">
        <v>3</v>
      </c>
      <c r="Z183">
        <v>1</v>
      </c>
      <c r="AA183">
        <v>5</v>
      </c>
      <c r="AB183">
        <v>1</v>
      </c>
      <c r="AC183">
        <v>16</v>
      </c>
      <c r="AD183">
        <v>3</v>
      </c>
      <c r="AE183">
        <v>10</v>
      </c>
      <c r="AF183">
        <v>9</v>
      </c>
      <c r="AG183">
        <v>63</v>
      </c>
      <c r="AH183">
        <v>0</v>
      </c>
      <c r="AI183">
        <v>4</v>
      </c>
      <c r="AJ183">
        <v>3</v>
      </c>
      <c r="AK183">
        <v>26.428571999999999</v>
      </c>
      <c r="AL183">
        <v>24</v>
      </c>
      <c r="AM183">
        <v>-17</v>
      </c>
      <c r="AN183">
        <v>-1</v>
      </c>
      <c r="AO183">
        <v>0.57142859999999995</v>
      </c>
      <c r="AP183">
        <v>0</v>
      </c>
      <c r="AQ183">
        <v>2</v>
      </c>
      <c r="AR183">
        <v>2</v>
      </c>
      <c r="AS183">
        <v>1</v>
      </c>
      <c r="AT183">
        <v>2</v>
      </c>
      <c r="AU183">
        <v>2</v>
      </c>
      <c r="AV183">
        <v>3</v>
      </c>
      <c r="AW183">
        <v>2</v>
      </c>
      <c r="AX183">
        <v>3</v>
      </c>
      <c r="AY183">
        <v>14</v>
      </c>
      <c r="AZ183">
        <v>5</v>
      </c>
      <c r="BA183">
        <v>11</v>
      </c>
      <c r="BB183">
        <v>61</v>
      </c>
      <c r="BC183">
        <v>0</v>
      </c>
      <c r="BD183">
        <v>0</v>
      </c>
      <c r="BE183">
        <v>0</v>
      </c>
      <c r="BF183">
        <v>0</v>
      </c>
      <c r="BG183">
        <v>70.903999999999996</v>
      </c>
      <c r="BH183">
        <v>62.695999999999998</v>
      </c>
      <c r="BI183">
        <v>28.864000000000001</v>
      </c>
      <c r="BJ183">
        <v>0</v>
      </c>
      <c r="BK183">
        <v>0</v>
      </c>
      <c r="BL183">
        <v>0</v>
      </c>
      <c r="BM183">
        <v>8.2129999999999992</v>
      </c>
      <c r="BN183">
        <v>28.864000000000001</v>
      </c>
      <c r="BO183">
        <v>62.695999999999998</v>
      </c>
      <c r="BP183">
        <v>0</v>
      </c>
      <c r="BQ183">
        <v>70.903999999999996</v>
      </c>
      <c r="BR183">
        <v>-8.2129999999999992</v>
      </c>
      <c r="BS183">
        <v>0</v>
      </c>
      <c r="BT183">
        <v>0</v>
      </c>
      <c r="BU183">
        <v>0</v>
      </c>
      <c r="BV183">
        <v>2679</v>
      </c>
      <c r="BW183">
        <v>70.233000000000004</v>
      </c>
      <c r="BX183">
        <v>192.75</v>
      </c>
      <c r="BY183">
        <v>23</v>
      </c>
      <c r="BZ183">
        <v>321.25</v>
      </c>
      <c r="CA183">
        <v>7.7160000000000002</v>
      </c>
      <c r="CB183">
        <v>1178</v>
      </c>
      <c r="CC183">
        <v>111.625</v>
      </c>
      <c r="CD183">
        <v>4.0960000000000001</v>
      </c>
      <c r="CE183">
        <v>9</v>
      </c>
      <c r="CF183">
        <v>2957</v>
      </c>
      <c r="CG183">
        <v>15</v>
      </c>
      <c r="CH183">
        <v>209.625</v>
      </c>
      <c r="CI183">
        <v>10.987</v>
      </c>
      <c r="CJ183">
        <v>4.75</v>
      </c>
      <c r="CK183">
        <v>3.75</v>
      </c>
      <c r="CL183">
        <v>3</v>
      </c>
      <c r="CM183">
        <v>16</v>
      </c>
      <c r="CN183">
        <v>0</v>
      </c>
      <c r="CO183">
        <v>100</v>
      </c>
      <c r="CP183">
        <v>77.778000000000006</v>
      </c>
      <c r="CQ183">
        <v>7</v>
      </c>
      <c r="CR183">
        <v>46</v>
      </c>
      <c r="CS183">
        <v>13.55</v>
      </c>
      <c r="CT183">
        <v>34</v>
      </c>
      <c r="CU183">
        <v>7</v>
      </c>
      <c r="CV183">
        <v>6</v>
      </c>
      <c r="CW183">
        <v>15</v>
      </c>
      <c r="CX183">
        <v>208</v>
      </c>
      <c r="CY183">
        <v>17.875</v>
      </c>
      <c r="CZ183">
        <v>78.570999999999998</v>
      </c>
      <c r="DA183">
        <v>33.332999999999998</v>
      </c>
      <c r="DB183">
        <v>87.14</v>
      </c>
      <c r="DC183">
        <v>4</v>
      </c>
      <c r="DD183">
        <v>2157</v>
      </c>
      <c r="DE183">
        <v>61.947000000000003</v>
      </c>
      <c r="DF183">
        <v>225.57142999999999</v>
      </c>
      <c r="DG183">
        <v>26</v>
      </c>
      <c r="DH183">
        <v>362.14285000000001</v>
      </c>
      <c r="DI183">
        <v>7.2880000000000003</v>
      </c>
      <c r="DJ183">
        <v>1087</v>
      </c>
      <c r="DK183">
        <v>124.571</v>
      </c>
      <c r="DL183">
        <v>4.4039999999999999</v>
      </c>
      <c r="DM183">
        <v>7</v>
      </c>
      <c r="DN183">
        <v>2678</v>
      </c>
      <c r="DO183">
        <v>9</v>
      </c>
      <c r="DP183">
        <v>237.571</v>
      </c>
      <c r="DQ183">
        <v>11.763999999999999</v>
      </c>
      <c r="DR183">
        <v>4.5709999999999997</v>
      </c>
      <c r="DS183">
        <v>2.9409999999999998</v>
      </c>
      <c r="DT183">
        <v>1</v>
      </c>
      <c r="DU183">
        <v>14</v>
      </c>
      <c r="DV183">
        <v>0</v>
      </c>
      <c r="DW183">
        <v>100</v>
      </c>
      <c r="DX183">
        <v>85</v>
      </c>
      <c r="DY183">
        <v>17</v>
      </c>
      <c r="DZ183">
        <v>66</v>
      </c>
      <c r="EA183">
        <v>11.909000000000001</v>
      </c>
      <c r="EB183">
        <v>7</v>
      </c>
      <c r="EC183">
        <v>24</v>
      </c>
      <c r="ED183">
        <v>6</v>
      </c>
      <c r="EE183">
        <v>9</v>
      </c>
      <c r="EF183">
        <v>168</v>
      </c>
      <c r="EG183">
        <v>19.286000000000001</v>
      </c>
      <c r="EH183">
        <v>37.5</v>
      </c>
      <c r="EI183">
        <v>41.110999999999997</v>
      </c>
      <c r="EJ183">
        <v>57.14</v>
      </c>
      <c r="EK183">
        <v>10</v>
      </c>
    </row>
    <row r="184" spans="1:141" x14ac:dyDescent="0.25">
      <c r="A184">
        <v>0</v>
      </c>
      <c r="B184">
        <v>0</v>
      </c>
      <c r="C184">
        <v>0</v>
      </c>
      <c r="D184">
        <v>2025</v>
      </c>
      <c r="E184">
        <v>13</v>
      </c>
      <c r="F184" t="str">
        <f>VLOOKUP(G184, Map!$A$1:$B$33, 2, FALSE)</f>
        <v>CLE</v>
      </c>
      <c r="G184" t="s">
        <v>162</v>
      </c>
      <c r="H184" t="str">
        <f>VLOOKUP(I184, Map!$A$1:$B$33, 2, FALSE)</f>
        <v>SF</v>
      </c>
      <c r="I184" t="s">
        <v>143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6</v>
      </c>
      <c r="P184">
        <v>23</v>
      </c>
      <c r="Q184">
        <v>15.75</v>
      </c>
      <c r="R184">
        <v>-58</v>
      </c>
      <c r="S184">
        <v>-1</v>
      </c>
      <c r="T184">
        <v>0.25</v>
      </c>
      <c r="U184">
        <v>0</v>
      </c>
      <c r="V184">
        <v>3</v>
      </c>
      <c r="W184">
        <v>2</v>
      </c>
      <c r="X184">
        <v>2</v>
      </c>
      <c r="Y184">
        <v>0</v>
      </c>
      <c r="Z184">
        <v>4</v>
      </c>
      <c r="AA184">
        <v>1</v>
      </c>
      <c r="AB184">
        <v>4</v>
      </c>
      <c r="AC184">
        <v>7</v>
      </c>
      <c r="AD184">
        <v>10</v>
      </c>
      <c r="AE184">
        <v>8</v>
      </c>
      <c r="AF184">
        <v>9</v>
      </c>
      <c r="AG184">
        <v>61</v>
      </c>
      <c r="AH184">
        <v>0</v>
      </c>
      <c r="AI184">
        <v>5</v>
      </c>
      <c r="AJ184">
        <v>3</v>
      </c>
      <c r="AK184">
        <v>20.5</v>
      </c>
      <c r="AL184">
        <v>20</v>
      </c>
      <c r="AM184">
        <v>-4</v>
      </c>
      <c r="AN184">
        <v>-1</v>
      </c>
      <c r="AO184">
        <v>0.625</v>
      </c>
      <c r="AP184">
        <v>3</v>
      </c>
      <c r="AQ184">
        <v>0</v>
      </c>
      <c r="AR184">
        <v>2</v>
      </c>
      <c r="AS184">
        <v>1</v>
      </c>
      <c r="AT184">
        <v>3</v>
      </c>
      <c r="AU184">
        <v>2</v>
      </c>
      <c r="AV184">
        <v>5</v>
      </c>
      <c r="AW184">
        <v>1</v>
      </c>
      <c r="AX184">
        <v>15</v>
      </c>
      <c r="AY184">
        <v>5</v>
      </c>
      <c r="AZ184">
        <v>13</v>
      </c>
      <c r="BA184">
        <v>7</v>
      </c>
      <c r="BB184">
        <v>68</v>
      </c>
      <c r="BC184">
        <v>0</v>
      </c>
      <c r="BD184">
        <v>0</v>
      </c>
      <c r="BE184">
        <v>0</v>
      </c>
      <c r="BF184">
        <v>0</v>
      </c>
      <c r="BG184">
        <v>24.814</v>
      </c>
      <c r="BH184">
        <v>46.344000000000001</v>
      </c>
      <c r="BI184">
        <v>74.986999999999995</v>
      </c>
      <c r="BJ184">
        <v>0</v>
      </c>
      <c r="BK184">
        <v>0</v>
      </c>
      <c r="BL184">
        <v>0</v>
      </c>
      <c r="BM184">
        <v>-10.183</v>
      </c>
      <c r="BN184">
        <v>74.986999999999995</v>
      </c>
      <c r="BO184">
        <v>46.344000000000001</v>
      </c>
      <c r="BP184">
        <v>0</v>
      </c>
      <c r="BQ184">
        <v>24.814</v>
      </c>
      <c r="BR184">
        <v>10.183</v>
      </c>
      <c r="BS184">
        <v>0</v>
      </c>
      <c r="BT184">
        <v>0</v>
      </c>
      <c r="BU184">
        <v>0</v>
      </c>
      <c r="BV184">
        <v>1756</v>
      </c>
      <c r="BW184">
        <v>58.94</v>
      </c>
      <c r="BX184">
        <v>174.125</v>
      </c>
      <c r="BY184">
        <v>14</v>
      </c>
      <c r="BZ184">
        <v>279.125</v>
      </c>
      <c r="CA184">
        <v>4.9870000000000001</v>
      </c>
      <c r="CB184">
        <v>896</v>
      </c>
      <c r="CC184">
        <v>89.5</v>
      </c>
      <c r="CD184">
        <v>3.7679999999999998</v>
      </c>
      <c r="CE184">
        <v>6</v>
      </c>
      <c r="CF184">
        <v>2652</v>
      </c>
      <c r="CG184">
        <v>7</v>
      </c>
      <c r="CH184">
        <v>189.625</v>
      </c>
      <c r="CI184">
        <v>8.4610000000000003</v>
      </c>
      <c r="CJ184">
        <v>6.9169999999999998</v>
      </c>
      <c r="CK184">
        <v>4.3029999999999999</v>
      </c>
      <c r="CL184">
        <v>1</v>
      </c>
      <c r="CM184">
        <v>24</v>
      </c>
      <c r="CN184">
        <v>0</v>
      </c>
      <c r="CO184">
        <v>92.308000000000007</v>
      </c>
      <c r="CP184">
        <v>76.923000000000002</v>
      </c>
      <c r="CQ184">
        <v>10</v>
      </c>
      <c r="CR184">
        <v>42</v>
      </c>
      <c r="CS184">
        <v>11.412000000000001</v>
      </c>
      <c r="CT184">
        <v>42</v>
      </c>
      <c r="CU184">
        <v>16</v>
      </c>
      <c r="CV184">
        <v>6</v>
      </c>
      <c r="CW184">
        <v>7</v>
      </c>
      <c r="CX184">
        <v>126</v>
      </c>
      <c r="CY184">
        <v>16.75</v>
      </c>
      <c r="CZ184">
        <v>57.895000000000003</v>
      </c>
      <c r="DA184">
        <v>33.042999999999999</v>
      </c>
      <c r="DB184">
        <v>69.39</v>
      </c>
      <c r="DC184">
        <v>0</v>
      </c>
      <c r="DD184">
        <v>2753</v>
      </c>
      <c r="DE184">
        <v>65.885999999999996</v>
      </c>
      <c r="DF184">
        <v>259.25</v>
      </c>
      <c r="DG184">
        <v>23</v>
      </c>
      <c r="DH184">
        <v>362.25</v>
      </c>
      <c r="DI184">
        <v>7.3010000000000002</v>
      </c>
      <c r="DJ184">
        <v>775</v>
      </c>
      <c r="DK184">
        <v>89.375</v>
      </c>
      <c r="DL184">
        <v>3.4049999999999998</v>
      </c>
      <c r="DM184">
        <v>3</v>
      </c>
      <c r="DN184">
        <v>3588</v>
      </c>
      <c r="DO184">
        <v>12</v>
      </c>
      <c r="DP184">
        <v>272.875</v>
      </c>
      <c r="DQ184">
        <v>11.081</v>
      </c>
      <c r="DR184">
        <v>6.6669999999999998</v>
      </c>
      <c r="DS184">
        <v>1.889</v>
      </c>
      <c r="DT184">
        <v>0</v>
      </c>
      <c r="DU184">
        <v>9</v>
      </c>
      <c r="DV184">
        <v>0</v>
      </c>
      <c r="DW184">
        <v>92.308000000000007</v>
      </c>
      <c r="DX184">
        <v>90</v>
      </c>
      <c r="DY184">
        <v>18</v>
      </c>
      <c r="DZ184">
        <v>66</v>
      </c>
      <c r="EA184">
        <v>14.308</v>
      </c>
      <c r="EB184">
        <v>12</v>
      </c>
      <c r="EC184">
        <v>25</v>
      </c>
      <c r="ED184">
        <v>0</v>
      </c>
      <c r="EE184">
        <v>12</v>
      </c>
      <c r="EF184">
        <v>160</v>
      </c>
      <c r="EG184">
        <v>20.875</v>
      </c>
      <c r="EH184">
        <v>54.545000000000002</v>
      </c>
      <c r="EI184">
        <v>46.363999999999997</v>
      </c>
      <c r="EJ184">
        <v>65.709999999999994</v>
      </c>
      <c r="EK184">
        <v>-5</v>
      </c>
    </row>
    <row r="185" spans="1:141" x14ac:dyDescent="0.25">
      <c r="A185">
        <v>0</v>
      </c>
      <c r="B185">
        <v>0</v>
      </c>
      <c r="C185">
        <v>0</v>
      </c>
      <c r="D185">
        <v>2025</v>
      </c>
      <c r="E185">
        <v>13</v>
      </c>
      <c r="F185" t="str">
        <f>VLOOKUP(G185, Map!$A$1:$B$33, 2, FALSE)</f>
        <v>TEN</v>
      </c>
      <c r="G185" t="s">
        <v>140</v>
      </c>
      <c r="H185" t="str">
        <f>VLOOKUP(I185, Map!$A$1:$B$33, 2, FALSE)</f>
        <v>JAX</v>
      </c>
      <c r="I185" t="s">
        <v>139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7</v>
      </c>
      <c r="P185">
        <v>28.75</v>
      </c>
      <c r="Q185">
        <v>13.75</v>
      </c>
      <c r="R185">
        <v>-120</v>
      </c>
      <c r="S185">
        <v>-3</v>
      </c>
      <c r="T185">
        <v>0.125</v>
      </c>
      <c r="U185">
        <v>0</v>
      </c>
      <c r="V185">
        <v>3</v>
      </c>
      <c r="W185">
        <v>0</v>
      </c>
      <c r="X185">
        <v>3</v>
      </c>
      <c r="Y185">
        <v>1</v>
      </c>
      <c r="Z185">
        <v>4</v>
      </c>
      <c r="AA185">
        <v>0</v>
      </c>
      <c r="AB185">
        <v>6</v>
      </c>
      <c r="AC185">
        <v>7</v>
      </c>
      <c r="AD185">
        <v>9</v>
      </c>
      <c r="AE185">
        <v>8</v>
      </c>
      <c r="AF185">
        <v>7</v>
      </c>
      <c r="AG185">
        <v>59</v>
      </c>
      <c r="AH185">
        <v>0</v>
      </c>
      <c r="AI185">
        <v>4</v>
      </c>
      <c r="AJ185">
        <v>3</v>
      </c>
      <c r="AK185">
        <v>22.142856999999999</v>
      </c>
      <c r="AL185">
        <v>20.857143000000001</v>
      </c>
      <c r="AM185">
        <v>-9</v>
      </c>
      <c r="AN185">
        <v>-2</v>
      </c>
      <c r="AO185">
        <v>0.57142859999999995</v>
      </c>
      <c r="AP185">
        <v>1</v>
      </c>
      <c r="AQ185">
        <v>0</v>
      </c>
      <c r="AR185">
        <v>3</v>
      </c>
      <c r="AS185">
        <v>2</v>
      </c>
      <c r="AT185">
        <v>1</v>
      </c>
      <c r="AU185">
        <v>1</v>
      </c>
      <c r="AV185">
        <v>2</v>
      </c>
      <c r="AW185">
        <v>1</v>
      </c>
      <c r="AX185">
        <v>10</v>
      </c>
      <c r="AY185">
        <v>8</v>
      </c>
      <c r="AZ185">
        <v>9</v>
      </c>
      <c r="BA185">
        <v>9</v>
      </c>
      <c r="BB185">
        <v>58</v>
      </c>
      <c r="BC185">
        <v>0</v>
      </c>
      <c r="BD185">
        <v>0</v>
      </c>
      <c r="BE185">
        <v>0</v>
      </c>
      <c r="BF185">
        <v>0</v>
      </c>
      <c r="BG185">
        <v>35.343000000000004</v>
      </c>
      <c r="BH185">
        <v>24.018999999999998</v>
      </c>
      <c r="BI185">
        <v>64.373000000000005</v>
      </c>
      <c r="BJ185">
        <v>0</v>
      </c>
      <c r="BK185">
        <v>0</v>
      </c>
      <c r="BL185">
        <v>0</v>
      </c>
      <c r="BM185">
        <v>-5.73</v>
      </c>
      <c r="BN185">
        <v>64.373000000000005</v>
      </c>
      <c r="BO185">
        <v>24.018999999999998</v>
      </c>
      <c r="BP185">
        <v>0</v>
      </c>
      <c r="BQ185">
        <v>35.343000000000004</v>
      </c>
      <c r="BR185">
        <v>5.73</v>
      </c>
      <c r="BS185">
        <v>0</v>
      </c>
      <c r="BT185">
        <v>0</v>
      </c>
      <c r="BU185">
        <v>0</v>
      </c>
      <c r="BV185">
        <v>1785</v>
      </c>
      <c r="BW185">
        <v>57.664000000000001</v>
      </c>
      <c r="BX185">
        <v>168.375</v>
      </c>
      <c r="BY185">
        <v>21</v>
      </c>
      <c r="BZ185">
        <v>282.25</v>
      </c>
      <c r="CA185">
        <v>5.8940000000000001</v>
      </c>
      <c r="CB185">
        <v>643</v>
      </c>
      <c r="CC185">
        <v>80.375</v>
      </c>
      <c r="CD185">
        <v>3.9209999999999998</v>
      </c>
      <c r="CE185">
        <v>3</v>
      </c>
      <c r="CF185">
        <v>2580</v>
      </c>
      <c r="CG185">
        <v>5</v>
      </c>
      <c r="CH185">
        <v>201.875</v>
      </c>
      <c r="CI185">
        <v>10.222</v>
      </c>
      <c r="CJ185">
        <v>6.8129999999999997</v>
      </c>
      <c r="CK185">
        <v>4.8949999999999996</v>
      </c>
      <c r="CL185">
        <v>0</v>
      </c>
      <c r="CM185">
        <v>16</v>
      </c>
      <c r="CN185">
        <v>0</v>
      </c>
      <c r="CO185">
        <v>88.888999999999996</v>
      </c>
      <c r="CP185">
        <v>76.19</v>
      </c>
      <c r="CQ185">
        <v>16</v>
      </c>
      <c r="CR185">
        <v>56</v>
      </c>
      <c r="CS185">
        <v>10.75</v>
      </c>
      <c r="CT185">
        <v>37</v>
      </c>
      <c r="CU185">
        <v>12</v>
      </c>
      <c r="CV185">
        <v>6</v>
      </c>
      <c r="CW185">
        <v>5</v>
      </c>
      <c r="CX185">
        <v>110</v>
      </c>
      <c r="CY185">
        <v>15.875</v>
      </c>
      <c r="CZ185">
        <v>38.462000000000003</v>
      </c>
      <c r="DA185">
        <v>29.907</v>
      </c>
      <c r="DB185">
        <v>65.31</v>
      </c>
      <c r="DC185">
        <v>-4</v>
      </c>
      <c r="DD185">
        <v>2100</v>
      </c>
      <c r="DE185">
        <v>58.686999999999998</v>
      </c>
      <c r="DF185">
        <v>215.14285000000001</v>
      </c>
      <c r="DG185">
        <v>21</v>
      </c>
      <c r="DH185">
        <v>351.14285000000001</v>
      </c>
      <c r="DI185">
        <v>6.2549999999999999</v>
      </c>
      <c r="DJ185">
        <v>1033</v>
      </c>
      <c r="DK185">
        <v>119.714</v>
      </c>
      <c r="DL185">
        <v>4.6820000000000004</v>
      </c>
      <c r="DM185">
        <v>6</v>
      </c>
      <c r="DN185">
        <v>2695</v>
      </c>
      <c r="DO185">
        <v>9</v>
      </c>
      <c r="DP185">
        <v>231.429</v>
      </c>
      <c r="DQ185">
        <v>10.657999999999999</v>
      </c>
      <c r="DR185">
        <v>7.375</v>
      </c>
      <c r="DS185">
        <v>3.1880000000000002</v>
      </c>
      <c r="DT185">
        <v>2</v>
      </c>
      <c r="DU185">
        <v>8</v>
      </c>
      <c r="DV185">
        <v>0</v>
      </c>
      <c r="DW185">
        <v>93.332999999999998</v>
      </c>
      <c r="DX185">
        <v>71.429000000000002</v>
      </c>
      <c r="DY185">
        <v>10</v>
      </c>
      <c r="DZ185">
        <v>44</v>
      </c>
      <c r="EA185">
        <v>4.4290000000000003</v>
      </c>
      <c r="EB185">
        <v>10</v>
      </c>
      <c r="EC185">
        <v>30</v>
      </c>
      <c r="ED185">
        <v>12</v>
      </c>
      <c r="EE185">
        <v>9</v>
      </c>
      <c r="EF185">
        <v>146</v>
      </c>
      <c r="EG185">
        <v>19.143000000000001</v>
      </c>
      <c r="EH185">
        <v>53.332999999999998</v>
      </c>
      <c r="EI185">
        <v>32.978999999999999</v>
      </c>
      <c r="EJ185">
        <v>59.74</v>
      </c>
      <c r="EK185">
        <v>8</v>
      </c>
    </row>
    <row r="186" spans="1:141" x14ac:dyDescent="0.25">
      <c r="A186">
        <v>0</v>
      </c>
      <c r="B186">
        <v>0</v>
      </c>
      <c r="C186">
        <v>0</v>
      </c>
      <c r="D186">
        <v>2025</v>
      </c>
      <c r="E186">
        <v>13</v>
      </c>
      <c r="F186" t="str">
        <f>VLOOKUP(G186, Map!$A$1:$B$33, 2, FALSE)</f>
        <v>IND</v>
      </c>
      <c r="G186" t="s">
        <v>138</v>
      </c>
      <c r="H186" t="str">
        <f>VLOOKUP(I186, Map!$A$1:$B$33, 2, FALSE)</f>
        <v>HOU</v>
      </c>
      <c r="I186" t="s">
        <v>137</v>
      </c>
      <c r="J186">
        <v>0</v>
      </c>
      <c r="K186">
        <v>0</v>
      </c>
      <c r="L186">
        <v>0</v>
      </c>
      <c r="M186">
        <v>0</v>
      </c>
      <c r="N186">
        <v>7</v>
      </c>
      <c r="O186">
        <v>1</v>
      </c>
      <c r="P186">
        <v>19.25</v>
      </c>
      <c r="Q186">
        <v>33.75</v>
      </c>
      <c r="R186">
        <v>116</v>
      </c>
      <c r="S186">
        <v>4</v>
      </c>
      <c r="T186">
        <v>0.875</v>
      </c>
      <c r="U186">
        <v>2</v>
      </c>
      <c r="V186">
        <v>0</v>
      </c>
      <c r="W186">
        <v>5</v>
      </c>
      <c r="X186">
        <v>0</v>
      </c>
      <c r="Y186">
        <v>2</v>
      </c>
      <c r="Z186">
        <v>1</v>
      </c>
      <c r="AA186">
        <v>6</v>
      </c>
      <c r="AB186">
        <v>0</v>
      </c>
      <c r="AC186">
        <v>4</v>
      </c>
      <c r="AD186">
        <v>12</v>
      </c>
      <c r="AE186">
        <v>6</v>
      </c>
      <c r="AF186">
        <v>11</v>
      </c>
      <c r="AG186">
        <v>68</v>
      </c>
      <c r="AH186">
        <v>0</v>
      </c>
      <c r="AI186">
        <v>3</v>
      </c>
      <c r="AJ186">
        <v>4</v>
      </c>
      <c r="AK186">
        <v>14.714286</v>
      </c>
      <c r="AL186">
        <v>21.857143000000001</v>
      </c>
      <c r="AM186">
        <v>50</v>
      </c>
      <c r="AN186">
        <v>1</v>
      </c>
      <c r="AO186">
        <v>0.42857142999999998</v>
      </c>
      <c r="AP186">
        <v>1</v>
      </c>
      <c r="AQ186">
        <v>1</v>
      </c>
      <c r="AR186">
        <v>2</v>
      </c>
      <c r="AS186">
        <v>1</v>
      </c>
      <c r="AT186">
        <v>1</v>
      </c>
      <c r="AU186">
        <v>3</v>
      </c>
      <c r="AV186">
        <v>2</v>
      </c>
      <c r="AW186">
        <v>1</v>
      </c>
      <c r="AX186">
        <v>3</v>
      </c>
      <c r="AY186">
        <v>13</v>
      </c>
      <c r="AZ186">
        <v>8</v>
      </c>
      <c r="BA186">
        <v>8</v>
      </c>
      <c r="BB186">
        <v>69</v>
      </c>
      <c r="BC186">
        <v>0</v>
      </c>
      <c r="BD186">
        <v>0</v>
      </c>
      <c r="BE186">
        <v>0</v>
      </c>
      <c r="BF186">
        <v>0</v>
      </c>
      <c r="BG186">
        <v>62.935000000000002</v>
      </c>
      <c r="BH186">
        <v>73.852999999999994</v>
      </c>
      <c r="BI186">
        <v>36.768999999999998</v>
      </c>
      <c r="BJ186">
        <v>0</v>
      </c>
      <c r="BK186">
        <v>0</v>
      </c>
      <c r="BL186">
        <v>0</v>
      </c>
      <c r="BM186">
        <v>5.1120000000000001</v>
      </c>
      <c r="BN186">
        <v>36.768999999999998</v>
      </c>
      <c r="BO186">
        <v>73.852999999999994</v>
      </c>
      <c r="BP186">
        <v>0</v>
      </c>
      <c r="BQ186">
        <v>62.935000000000002</v>
      </c>
      <c r="BR186">
        <v>-5.1120000000000001</v>
      </c>
      <c r="BS186">
        <v>0</v>
      </c>
      <c r="BT186">
        <v>0</v>
      </c>
      <c r="BU186">
        <v>0</v>
      </c>
      <c r="BV186">
        <v>2891</v>
      </c>
      <c r="BW186">
        <v>70.161000000000001</v>
      </c>
      <c r="BX186">
        <v>250.875</v>
      </c>
      <c r="BY186">
        <v>23</v>
      </c>
      <c r="BZ186">
        <v>393.25</v>
      </c>
      <c r="CA186">
        <v>8.3510000000000009</v>
      </c>
      <c r="CB186">
        <v>1690</v>
      </c>
      <c r="CC186">
        <v>134.375</v>
      </c>
      <c r="CD186">
        <v>5.0229999999999997</v>
      </c>
      <c r="CE186">
        <v>18</v>
      </c>
      <c r="CF186">
        <v>3396</v>
      </c>
      <c r="CG186">
        <v>13</v>
      </c>
      <c r="CH186">
        <v>258.875</v>
      </c>
      <c r="CI186">
        <v>11.901999999999999</v>
      </c>
      <c r="CJ186">
        <v>6.8259999999999996</v>
      </c>
      <c r="CK186">
        <v>6.0910000000000002</v>
      </c>
      <c r="CL186">
        <v>1</v>
      </c>
      <c r="CM186">
        <v>23</v>
      </c>
      <c r="CN186">
        <v>0</v>
      </c>
      <c r="CO186">
        <v>96.296000000000006</v>
      </c>
      <c r="CP186">
        <v>94.117999999999995</v>
      </c>
      <c r="CQ186">
        <v>16</v>
      </c>
      <c r="CR186">
        <v>74</v>
      </c>
      <c r="CS186">
        <v>4.25</v>
      </c>
      <c r="CT186">
        <v>16</v>
      </c>
      <c r="CU186">
        <v>8</v>
      </c>
      <c r="CV186">
        <v>6</v>
      </c>
      <c r="CW186">
        <v>13</v>
      </c>
      <c r="CX186">
        <v>270</v>
      </c>
      <c r="CY186">
        <v>23.25</v>
      </c>
      <c r="CZ186">
        <v>83.332999999999998</v>
      </c>
      <c r="DA186">
        <v>45.348999999999997</v>
      </c>
      <c r="DB186">
        <v>77.069999999999993</v>
      </c>
      <c r="DC186">
        <v>8</v>
      </c>
      <c r="DD186">
        <v>2266</v>
      </c>
      <c r="DE186">
        <v>66.525000000000006</v>
      </c>
      <c r="DF186">
        <v>215.28572</v>
      </c>
      <c r="DG186">
        <v>22</v>
      </c>
      <c r="DH186">
        <v>348.57144</v>
      </c>
      <c r="DI186">
        <v>6.9749999999999996</v>
      </c>
      <c r="DJ186">
        <v>869</v>
      </c>
      <c r="DK186">
        <v>113.429</v>
      </c>
      <c r="DL186">
        <v>4.2690000000000001</v>
      </c>
      <c r="DM186">
        <v>3</v>
      </c>
      <c r="DN186">
        <v>2816</v>
      </c>
      <c r="DO186">
        <v>11</v>
      </c>
      <c r="DP186">
        <v>235.143</v>
      </c>
      <c r="DQ186">
        <v>10.484</v>
      </c>
      <c r="DR186">
        <v>7.875</v>
      </c>
      <c r="DS186">
        <v>6.1109999999999998</v>
      </c>
      <c r="DT186">
        <v>1</v>
      </c>
      <c r="DU186">
        <v>16</v>
      </c>
      <c r="DV186">
        <v>0</v>
      </c>
      <c r="DW186">
        <v>100</v>
      </c>
      <c r="DX186">
        <v>89.474000000000004</v>
      </c>
      <c r="DY186">
        <v>17</v>
      </c>
      <c r="DZ186">
        <v>63</v>
      </c>
      <c r="EA186">
        <v>11.545</v>
      </c>
      <c r="EB186">
        <v>9</v>
      </c>
      <c r="EC186">
        <v>27</v>
      </c>
      <c r="ED186">
        <v>6</v>
      </c>
      <c r="EE186">
        <v>11</v>
      </c>
      <c r="EF186">
        <v>153</v>
      </c>
      <c r="EG186">
        <v>18.713999999999999</v>
      </c>
      <c r="EH186">
        <v>66.667000000000002</v>
      </c>
      <c r="EI186">
        <v>35.164999999999999</v>
      </c>
      <c r="EJ186">
        <v>60.15</v>
      </c>
      <c r="EK186">
        <v>4</v>
      </c>
    </row>
    <row r="187" spans="1:141" x14ac:dyDescent="0.25">
      <c r="A187">
        <v>0</v>
      </c>
      <c r="B187">
        <v>0</v>
      </c>
      <c r="C187">
        <v>0</v>
      </c>
      <c r="D187">
        <v>2025</v>
      </c>
      <c r="E187">
        <v>13</v>
      </c>
      <c r="F187" t="str">
        <f>VLOOKUP(G187, Map!$A$1:$B$33, 2, FALSE)</f>
        <v>MIA</v>
      </c>
      <c r="G187" t="s">
        <v>152</v>
      </c>
      <c r="H187" t="str">
        <f>VLOOKUP(I187, Map!$A$1:$B$33, 2, FALSE)</f>
        <v>NO</v>
      </c>
      <c r="I187" t="s">
        <v>168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6</v>
      </c>
      <c r="P187">
        <v>26.875</v>
      </c>
      <c r="Q187">
        <v>21.75</v>
      </c>
      <c r="R187">
        <v>-41</v>
      </c>
      <c r="S187">
        <v>1</v>
      </c>
      <c r="T187">
        <v>0.25</v>
      </c>
      <c r="U187">
        <v>1</v>
      </c>
      <c r="V187">
        <v>2</v>
      </c>
      <c r="W187">
        <v>1</v>
      </c>
      <c r="X187">
        <v>2</v>
      </c>
      <c r="Y187">
        <v>1</v>
      </c>
      <c r="Z187">
        <v>4</v>
      </c>
      <c r="AA187">
        <v>1</v>
      </c>
      <c r="AB187">
        <v>5</v>
      </c>
      <c r="AC187">
        <v>9</v>
      </c>
      <c r="AD187">
        <v>9</v>
      </c>
      <c r="AE187">
        <v>10</v>
      </c>
      <c r="AF187">
        <v>8</v>
      </c>
      <c r="AG187">
        <v>68</v>
      </c>
      <c r="AH187">
        <v>0</v>
      </c>
      <c r="AI187">
        <v>1</v>
      </c>
      <c r="AJ187">
        <v>7</v>
      </c>
      <c r="AK187">
        <v>26.125</v>
      </c>
      <c r="AL187">
        <v>16</v>
      </c>
      <c r="AM187">
        <v>-81</v>
      </c>
      <c r="AN187">
        <v>-3</v>
      </c>
      <c r="AO187">
        <v>0.125</v>
      </c>
      <c r="AP187">
        <v>0</v>
      </c>
      <c r="AQ187">
        <v>1</v>
      </c>
      <c r="AR187">
        <v>1</v>
      </c>
      <c r="AS187">
        <v>4</v>
      </c>
      <c r="AT187">
        <v>0</v>
      </c>
      <c r="AU187">
        <v>3</v>
      </c>
      <c r="AV187">
        <v>1</v>
      </c>
      <c r="AW187">
        <v>5</v>
      </c>
      <c r="AX187">
        <v>7</v>
      </c>
      <c r="AY187">
        <v>10</v>
      </c>
      <c r="AZ187">
        <v>7</v>
      </c>
      <c r="BA187">
        <v>10</v>
      </c>
      <c r="BB187">
        <v>64</v>
      </c>
      <c r="BC187">
        <v>0</v>
      </c>
      <c r="BD187">
        <v>0</v>
      </c>
      <c r="BE187">
        <v>0</v>
      </c>
      <c r="BF187">
        <v>0</v>
      </c>
      <c r="BG187">
        <v>70.783000000000001</v>
      </c>
      <c r="BH187">
        <v>19.326000000000001</v>
      </c>
      <c r="BI187">
        <v>28.984999999999999</v>
      </c>
      <c r="BJ187">
        <v>0</v>
      </c>
      <c r="BK187">
        <v>0</v>
      </c>
      <c r="BL187">
        <v>0</v>
      </c>
      <c r="BM187">
        <v>8.3290000000000006</v>
      </c>
      <c r="BN187">
        <v>28.984999999999999</v>
      </c>
      <c r="BO187">
        <v>19.326000000000001</v>
      </c>
      <c r="BP187">
        <v>0</v>
      </c>
      <c r="BQ187">
        <v>70.783000000000001</v>
      </c>
      <c r="BR187">
        <v>-8.3290000000000006</v>
      </c>
      <c r="BS187">
        <v>0</v>
      </c>
      <c r="BT187">
        <v>0</v>
      </c>
      <c r="BU187">
        <v>0</v>
      </c>
      <c r="BV187">
        <v>2361</v>
      </c>
      <c r="BW187">
        <v>68.674999999999997</v>
      </c>
      <c r="BX187">
        <v>187.875</v>
      </c>
      <c r="BY187">
        <v>17</v>
      </c>
      <c r="BZ187">
        <v>299.875</v>
      </c>
      <c r="CA187">
        <v>6.47</v>
      </c>
      <c r="CB187">
        <v>898</v>
      </c>
      <c r="CC187">
        <v>98.5</v>
      </c>
      <c r="CD187">
        <v>4.452</v>
      </c>
      <c r="CE187">
        <v>4</v>
      </c>
      <c r="CF187">
        <v>2991</v>
      </c>
      <c r="CG187">
        <v>15</v>
      </c>
      <c r="CH187">
        <v>201.375</v>
      </c>
      <c r="CI187">
        <v>9.4209999999999994</v>
      </c>
      <c r="CJ187">
        <v>6.4669999999999996</v>
      </c>
      <c r="CK187">
        <v>4.8239999999999998</v>
      </c>
      <c r="CL187">
        <v>1</v>
      </c>
      <c r="CM187">
        <v>15</v>
      </c>
      <c r="CN187">
        <v>0</v>
      </c>
      <c r="CO187">
        <v>100</v>
      </c>
      <c r="CP187">
        <v>91.667000000000002</v>
      </c>
      <c r="CQ187">
        <v>11</v>
      </c>
      <c r="CR187">
        <v>52</v>
      </c>
      <c r="CS187">
        <v>7</v>
      </c>
      <c r="CT187">
        <v>26</v>
      </c>
      <c r="CU187">
        <v>11</v>
      </c>
      <c r="CV187">
        <v>6</v>
      </c>
      <c r="CW187">
        <v>15</v>
      </c>
      <c r="CX187">
        <v>174</v>
      </c>
      <c r="CY187">
        <v>17</v>
      </c>
      <c r="CZ187">
        <v>53.845999999999997</v>
      </c>
      <c r="DA187">
        <v>41.237000000000002</v>
      </c>
      <c r="DB187">
        <v>72.05</v>
      </c>
      <c r="DC187">
        <v>-5</v>
      </c>
      <c r="DD187">
        <v>2083</v>
      </c>
      <c r="DE187">
        <v>66.206999999999994</v>
      </c>
      <c r="DF187">
        <v>201.375</v>
      </c>
      <c r="DG187">
        <v>13</v>
      </c>
      <c r="DH187">
        <v>310.25</v>
      </c>
      <c r="DI187">
        <v>5.976</v>
      </c>
      <c r="DJ187">
        <v>779</v>
      </c>
      <c r="DK187">
        <v>93.625</v>
      </c>
      <c r="DL187">
        <v>3.7829999999999999</v>
      </c>
      <c r="DM187">
        <v>3</v>
      </c>
      <c r="DN187">
        <v>2973</v>
      </c>
      <c r="DO187">
        <v>8</v>
      </c>
      <c r="DP187">
        <v>216.625</v>
      </c>
      <c r="DQ187">
        <v>9.0259999999999998</v>
      </c>
      <c r="DR187">
        <v>6.0590000000000002</v>
      </c>
      <c r="DS187">
        <v>4.7779999999999996</v>
      </c>
      <c r="DT187">
        <v>1</v>
      </c>
      <c r="DU187">
        <v>17</v>
      </c>
      <c r="DV187">
        <v>0</v>
      </c>
      <c r="DW187">
        <v>100</v>
      </c>
      <c r="DX187">
        <v>71.429000000000002</v>
      </c>
      <c r="DY187">
        <v>15</v>
      </c>
      <c r="DZ187">
        <v>56</v>
      </c>
      <c r="EA187">
        <v>15.25</v>
      </c>
      <c r="EB187">
        <v>7</v>
      </c>
      <c r="EC187">
        <v>27</v>
      </c>
      <c r="ED187">
        <v>6</v>
      </c>
      <c r="EE187">
        <v>8</v>
      </c>
      <c r="EF187">
        <v>128</v>
      </c>
      <c r="EG187">
        <v>19.125</v>
      </c>
      <c r="EH187">
        <v>33.332999999999998</v>
      </c>
      <c r="EI187">
        <v>38.835000000000001</v>
      </c>
      <c r="EJ187">
        <v>61.22</v>
      </c>
      <c r="EK187">
        <v>-2</v>
      </c>
    </row>
    <row r="188" spans="1:141" x14ac:dyDescent="0.25">
      <c r="A188">
        <v>0</v>
      </c>
      <c r="B188">
        <v>0</v>
      </c>
      <c r="C188">
        <v>0</v>
      </c>
      <c r="D188">
        <v>2025</v>
      </c>
      <c r="E188">
        <v>13</v>
      </c>
      <c r="F188" t="str">
        <f>VLOOKUP(G188, Map!$A$1:$B$33, 2, FALSE)</f>
        <v>NYJ</v>
      </c>
      <c r="G188" t="s">
        <v>166</v>
      </c>
      <c r="H188" t="str">
        <f>VLOOKUP(I188, Map!$A$1:$B$33, 2, FALSE)</f>
        <v>ATL</v>
      </c>
      <c r="I188" t="s">
        <v>167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7</v>
      </c>
      <c r="P188">
        <v>27.625</v>
      </c>
      <c r="Q188">
        <v>21</v>
      </c>
      <c r="R188">
        <v>-53</v>
      </c>
      <c r="S188">
        <v>1</v>
      </c>
      <c r="T188">
        <v>0.125</v>
      </c>
      <c r="U188">
        <v>0</v>
      </c>
      <c r="V188">
        <v>2</v>
      </c>
      <c r="W188">
        <v>0</v>
      </c>
      <c r="X188">
        <v>5</v>
      </c>
      <c r="Y188">
        <v>1</v>
      </c>
      <c r="Z188">
        <v>2</v>
      </c>
      <c r="AA188">
        <v>1</v>
      </c>
      <c r="AB188">
        <v>4</v>
      </c>
      <c r="AC188">
        <v>7</v>
      </c>
      <c r="AD188">
        <v>10</v>
      </c>
      <c r="AE188">
        <v>8</v>
      </c>
      <c r="AF188">
        <v>9</v>
      </c>
      <c r="AG188">
        <v>60</v>
      </c>
      <c r="AH188">
        <v>0</v>
      </c>
      <c r="AI188">
        <v>3</v>
      </c>
      <c r="AJ188">
        <v>4</v>
      </c>
      <c r="AK188">
        <v>22</v>
      </c>
      <c r="AL188">
        <v>17.142856999999999</v>
      </c>
      <c r="AM188">
        <v>-34</v>
      </c>
      <c r="AN188">
        <v>-2</v>
      </c>
      <c r="AO188">
        <v>0.42857142999999998</v>
      </c>
      <c r="AP188">
        <v>0</v>
      </c>
      <c r="AQ188">
        <v>2</v>
      </c>
      <c r="AR188">
        <v>2</v>
      </c>
      <c r="AS188">
        <v>2</v>
      </c>
      <c r="AT188">
        <v>1</v>
      </c>
      <c r="AU188">
        <v>2</v>
      </c>
      <c r="AV188">
        <v>2</v>
      </c>
      <c r="AW188">
        <v>3</v>
      </c>
      <c r="AX188">
        <v>7</v>
      </c>
      <c r="AY188">
        <v>10</v>
      </c>
      <c r="AZ188">
        <v>9</v>
      </c>
      <c r="BA188">
        <v>8</v>
      </c>
      <c r="BB188">
        <v>64</v>
      </c>
      <c r="BC188">
        <v>0</v>
      </c>
      <c r="BD188">
        <v>0</v>
      </c>
      <c r="BE188">
        <v>0</v>
      </c>
      <c r="BF188">
        <v>0</v>
      </c>
      <c r="BG188">
        <v>47.298000000000002</v>
      </c>
      <c r="BH188">
        <v>21.635999999999999</v>
      </c>
      <c r="BI188">
        <v>52.322000000000003</v>
      </c>
      <c r="BJ188">
        <v>0</v>
      </c>
      <c r="BK188">
        <v>0</v>
      </c>
      <c r="BL188">
        <v>0</v>
      </c>
      <c r="BM188">
        <v>-0.80800000000000005</v>
      </c>
      <c r="BN188">
        <v>52.322000000000003</v>
      </c>
      <c r="BO188">
        <v>21.635999999999999</v>
      </c>
      <c r="BP188">
        <v>0</v>
      </c>
      <c r="BQ188">
        <v>47.298000000000002</v>
      </c>
      <c r="BR188">
        <v>0.80800000000000005</v>
      </c>
      <c r="BS188">
        <v>0</v>
      </c>
      <c r="BT188">
        <v>0</v>
      </c>
      <c r="BU188">
        <v>0</v>
      </c>
      <c r="BV188">
        <v>2012</v>
      </c>
      <c r="BW188">
        <v>63.713000000000001</v>
      </c>
      <c r="BX188">
        <v>156.5</v>
      </c>
      <c r="BY188">
        <v>15</v>
      </c>
      <c r="BZ188">
        <v>327.625</v>
      </c>
      <c r="CA188">
        <v>6.2110000000000003</v>
      </c>
      <c r="CB188">
        <v>1254</v>
      </c>
      <c r="CC188">
        <v>143.625</v>
      </c>
      <c r="CD188">
        <v>5.1989999999999998</v>
      </c>
      <c r="CE188">
        <v>6</v>
      </c>
      <c r="CF188">
        <v>2542</v>
      </c>
      <c r="CG188">
        <v>9</v>
      </c>
      <c r="CH188">
        <v>184</v>
      </c>
      <c r="CI188">
        <v>9.7479999999999993</v>
      </c>
      <c r="CJ188">
        <v>6.2729999999999997</v>
      </c>
      <c r="CK188">
        <v>2.4169999999999998</v>
      </c>
      <c r="CL188">
        <v>1</v>
      </c>
      <c r="CM188">
        <v>11</v>
      </c>
      <c r="CN188">
        <v>0</v>
      </c>
      <c r="CO188">
        <v>100</v>
      </c>
      <c r="CP188">
        <v>100</v>
      </c>
      <c r="CQ188">
        <v>17</v>
      </c>
      <c r="CR188">
        <v>60</v>
      </c>
      <c r="CS188">
        <v>6.25</v>
      </c>
      <c r="CT188">
        <v>31</v>
      </c>
      <c r="CU188">
        <v>11</v>
      </c>
      <c r="CV188">
        <v>2</v>
      </c>
      <c r="CW188">
        <v>9</v>
      </c>
      <c r="CX188">
        <v>168</v>
      </c>
      <c r="CY188">
        <v>18.5</v>
      </c>
      <c r="CZ188">
        <v>52.631999999999998</v>
      </c>
      <c r="DA188">
        <v>34.905999999999999</v>
      </c>
      <c r="DB188">
        <v>69.17</v>
      </c>
      <c r="DC188">
        <v>-9</v>
      </c>
      <c r="DD188">
        <v>1871</v>
      </c>
      <c r="DE188">
        <v>62.231999999999999</v>
      </c>
      <c r="DF188">
        <v>219.42857000000001</v>
      </c>
      <c r="DG188">
        <v>19</v>
      </c>
      <c r="DH188">
        <v>353.42856</v>
      </c>
      <c r="DI188">
        <v>6.9139999999999997</v>
      </c>
      <c r="DJ188">
        <v>1048</v>
      </c>
      <c r="DK188">
        <v>123.286</v>
      </c>
      <c r="DL188">
        <v>4.4029999999999996</v>
      </c>
      <c r="DM188">
        <v>7</v>
      </c>
      <c r="DN188">
        <v>2511</v>
      </c>
      <c r="DO188">
        <v>5</v>
      </c>
      <c r="DP188">
        <v>230.143</v>
      </c>
      <c r="DQ188">
        <v>11.11</v>
      </c>
      <c r="DR188">
        <v>5.9379999999999997</v>
      </c>
      <c r="DS188">
        <v>5.6429999999999998</v>
      </c>
      <c r="DT188">
        <v>0</v>
      </c>
      <c r="DU188">
        <v>16</v>
      </c>
      <c r="DV188">
        <v>0</v>
      </c>
      <c r="DW188">
        <v>100</v>
      </c>
      <c r="DX188">
        <v>75</v>
      </c>
      <c r="DY188">
        <v>12</v>
      </c>
      <c r="DZ188">
        <v>48</v>
      </c>
      <c r="EA188">
        <v>7.5380000000000003</v>
      </c>
      <c r="EB188">
        <v>9</v>
      </c>
      <c r="EC188">
        <v>22</v>
      </c>
      <c r="ED188">
        <v>0</v>
      </c>
      <c r="EE188">
        <v>5</v>
      </c>
      <c r="EF188">
        <v>120</v>
      </c>
      <c r="EG188">
        <v>19.286000000000001</v>
      </c>
      <c r="EH188">
        <v>40</v>
      </c>
      <c r="EI188">
        <v>39.326000000000001</v>
      </c>
      <c r="EJ188">
        <v>57.86</v>
      </c>
      <c r="EK188">
        <v>2</v>
      </c>
    </row>
    <row r="189" spans="1:141" x14ac:dyDescent="0.25">
      <c r="A189">
        <v>0</v>
      </c>
      <c r="B189">
        <v>0</v>
      </c>
      <c r="C189">
        <v>0</v>
      </c>
      <c r="D189">
        <v>2025</v>
      </c>
      <c r="E189">
        <v>13</v>
      </c>
      <c r="F189" t="str">
        <f>VLOOKUP(G189, Map!$A$1:$B$33, 2, FALSE)</f>
        <v>TB</v>
      </c>
      <c r="G189" t="s">
        <v>141</v>
      </c>
      <c r="H189" t="str">
        <f>VLOOKUP(I189, Map!$A$1:$B$33, 2, FALSE)</f>
        <v>ARI</v>
      </c>
      <c r="I189" t="s">
        <v>156</v>
      </c>
      <c r="J189">
        <v>0</v>
      </c>
      <c r="K189">
        <v>0</v>
      </c>
      <c r="L189">
        <v>0</v>
      </c>
      <c r="M189">
        <v>0</v>
      </c>
      <c r="N189">
        <v>6</v>
      </c>
      <c r="O189">
        <v>2</v>
      </c>
      <c r="P189">
        <v>22.25</v>
      </c>
      <c r="Q189">
        <v>24.625</v>
      </c>
      <c r="R189">
        <v>19</v>
      </c>
      <c r="S189">
        <v>1</v>
      </c>
      <c r="T189">
        <v>0.75</v>
      </c>
      <c r="U189">
        <v>2</v>
      </c>
      <c r="V189">
        <v>0</v>
      </c>
      <c r="W189">
        <v>2</v>
      </c>
      <c r="X189">
        <v>1</v>
      </c>
      <c r="Y189">
        <v>4</v>
      </c>
      <c r="Z189">
        <v>1</v>
      </c>
      <c r="AA189">
        <v>4</v>
      </c>
      <c r="AB189">
        <v>2</v>
      </c>
      <c r="AC189">
        <v>8</v>
      </c>
      <c r="AD189">
        <v>9</v>
      </c>
      <c r="AE189">
        <v>4</v>
      </c>
      <c r="AF189">
        <v>12</v>
      </c>
      <c r="AG189">
        <v>59</v>
      </c>
      <c r="AH189">
        <v>0</v>
      </c>
      <c r="AI189">
        <v>2</v>
      </c>
      <c r="AJ189">
        <v>5</v>
      </c>
      <c r="AK189">
        <v>22</v>
      </c>
      <c r="AL189">
        <v>21.857143000000001</v>
      </c>
      <c r="AM189">
        <v>-1</v>
      </c>
      <c r="AN189">
        <v>-5</v>
      </c>
      <c r="AO189">
        <v>0.28571429999999998</v>
      </c>
      <c r="AP189">
        <v>0</v>
      </c>
      <c r="AQ189">
        <v>2</v>
      </c>
      <c r="AR189">
        <v>1</v>
      </c>
      <c r="AS189">
        <v>3</v>
      </c>
      <c r="AT189">
        <v>1</v>
      </c>
      <c r="AU189">
        <v>2</v>
      </c>
      <c r="AV189">
        <v>2</v>
      </c>
      <c r="AW189">
        <v>3</v>
      </c>
      <c r="AX189">
        <v>4</v>
      </c>
      <c r="AY189">
        <v>12</v>
      </c>
      <c r="AZ189">
        <v>8</v>
      </c>
      <c r="BA189">
        <v>8</v>
      </c>
      <c r="BB189">
        <v>69</v>
      </c>
      <c r="BC189">
        <v>0</v>
      </c>
      <c r="BD189">
        <v>0</v>
      </c>
      <c r="BE189">
        <v>0</v>
      </c>
      <c r="BF189">
        <v>0</v>
      </c>
      <c r="BG189">
        <v>60.268000000000001</v>
      </c>
      <c r="BH189">
        <v>52.906999999999996</v>
      </c>
      <c r="BI189">
        <v>39.414999999999999</v>
      </c>
      <c r="BJ189">
        <v>0</v>
      </c>
      <c r="BK189">
        <v>0</v>
      </c>
      <c r="BL189">
        <v>0</v>
      </c>
      <c r="BM189">
        <v>4.1479999999999997</v>
      </c>
      <c r="BN189">
        <v>39.414999999999999</v>
      </c>
      <c r="BO189">
        <v>52.906999999999996</v>
      </c>
      <c r="BP189">
        <v>0</v>
      </c>
      <c r="BQ189">
        <v>60.268000000000001</v>
      </c>
      <c r="BR189">
        <v>-4.1479999999999997</v>
      </c>
      <c r="BS189">
        <v>0</v>
      </c>
      <c r="BT189">
        <v>0</v>
      </c>
      <c r="BU189">
        <v>0</v>
      </c>
      <c r="BV189">
        <v>2769</v>
      </c>
      <c r="BW189">
        <v>63.941000000000003</v>
      </c>
      <c r="BX189">
        <v>224.875</v>
      </c>
      <c r="BY189">
        <v>29</v>
      </c>
      <c r="BZ189">
        <v>338</v>
      </c>
      <c r="CA189">
        <v>7.1340000000000003</v>
      </c>
      <c r="CB189">
        <v>950</v>
      </c>
      <c r="CC189">
        <v>98.125</v>
      </c>
      <c r="CD189">
        <v>3.8479999999999999</v>
      </c>
      <c r="CE189">
        <v>6</v>
      </c>
      <c r="CF189">
        <v>3234</v>
      </c>
      <c r="CG189">
        <v>13</v>
      </c>
      <c r="CH189">
        <v>239.875</v>
      </c>
      <c r="CI189">
        <v>11.157</v>
      </c>
      <c r="CJ189">
        <v>7.8</v>
      </c>
      <c r="CK189">
        <v>6.8</v>
      </c>
      <c r="CL189">
        <v>2</v>
      </c>
      <c r="CM189">
        <v>25</v>
      </c>
      <c r="CN189">
        <v>0</v>
      </c>
      <c r="CO189">
        <v>94.117999999999995</v>
      </c>
      <c r="CP189">
        <v>80.951999999999998</v>
      </c>
      <c r="CQ189">
        <v>17</v>
      </c>
      <c r="CR189">
        <v>67</v>
      </c>
      <c r="CS189">
        <v>14.667</v>
      </c>
      <c r="CT189">
        <v>32</v>
      </c>
      <c r="CU189">
        <v>12</v>
      </c>
      <c r="CV189">
        <v>14</v>
      </c>
      <c r="CW189">
        <v>13</v>
      </c>
      <c r="CX189">
        <v>197</v>
      </c>
      <c r="CY189">
        <v>18.875</v>
      </c>
      <c r="CZ189">
        <v>50</v>
      </c>
      <c r="DA189">
        <v>36.274999999999999</v>
      </c>
      <c r="DB189">
        <v>55.19</v>
      </c>
      <c r="DC189">
        <v>7</v>
      </c>
      <c r="DD189">
        <v>2113</v>
      </c>
      <c r="DE189">
        <v>66.941999999999993</v>
      </c>
      <c r="DF189">
        <v>199.85714999999999</v>
      </c>
      <c r="DG189">
        <v>18</v>
      </c>
      <c r="DH189">
        <v>333.42856</v>
      </c>
      <c r="DI189">
        <v>6.335</v>
      </c>
      <c r="DJ189">
        <v>888</v>
      </c>
      <c r="DK189">
        <v>110.429</v>
      </c>
      <c r="DL189">
        <v>4.4169999999999998</v>
      </c>
      <c r="DM189">
        <v>5</v>
      </c>
      <c r="DN189">
        <v>2721</v>
      </c>
      <c r="DO189">
        <v>10</v>
      </c>
      <c r="DP189">
        <v>223</v>
      </c>
      <c r="DQ189">
        <v>9.4629999999999992</v>
      </c>
      <c r="DR189">
        <v>6.6669999999999998</v>
      </c>
      <c r="DS189">
        <v>3.238</v>
      </c>
      <c r="DT189">
        <v>1</v>
      </c>
      <c r="DU189">
        <v>12</v>
      </c>
      <c r="DV189">
        <v>0</v>
      </c>
      <c r="DW189">
        <v>100</v>
      </c>
      <c r="DX189">
        <v>86.667000000000002</v>
      </c>
      <c r="DY189">
        <v>13</v>
      </c>
      <c r="DZ189">
        <v>55</v>
      </c>
      <c r="EA189">
        <v>8.25</v>
      </c>
      <c r="EB189">
        <v>9</v>
      </c>
      <c r="EC189">
        <v>25</v>
      </c>
      <c r="ED189">
        <v>8</v>
      </c>
      <c r="EE189">
        <v>10</v>
      </c>
      <c r="EF189">
        <v>153</v>
      </c>
      <c r="EG189">
        <v>19</v>
      </c>
      <c r="EH189">
        <v>57.143000000000001</v>
      </c>
      <c r="EI189">
        <v>44.792000000000002</v>
      </c>
      <c r="EJ189">
        <v>63.49</v>
      </c>
      <c r="EK189">
        <v>-1</v>
      </c>
    </row>
    <row r="190" spans="1:141" x14ac:dyDescent="0.25">
      <c r="A190">
        <v>0</v>
      </c>
      <c r="B190">
        <v>0</v>
      </c>
      <c r="C190">
        <v>0</v>
      </c>
      <c r="D190">
        <v>2025</v>
      </c>
      <c r="E190">
        <v>13</v>
      </c>
      <c r="F190" t="str">
        <f>VLOOKUP(G190, Map!$A$1:$B$33, 2, FALSE)</f>
        <v>CAR</v>
      </c>
      <c r="G190" t="s">
        <v>142</v>
      </c>
      <c r="H190" t="str">
        <f>VLOOKUP(I190, Map!$A$1:$B$33, 2, FALSE)</f>
        <v>LA</v>
      </c>
      <c r="I190" t="s">
        <v>155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4</v>
      </c>
      <c r="P190">
        <v>24</v>
      </c>
      <c r="Q190">
        <v>19.25</v>
      </c>
      <c r="R190">
        <v>-38</v>
      </c>
      <c r="S190">
        <v>-1</v>
      </c>
      <c r="T190">
        <v>0.5</v>
      </c>
      <c r="U190">
        <v>1</v>
      </c>
      <c r="V190">
        <v>0</v>
      </c>
      <c r="W190">
        <v>3</v>
      </c>
      <c r="X190">
        <v>1</v>
      </c>
      <c r="Y190">
        <v>1</v>
      </c>
      <c r="Z190">
        <v>3</v>
      </c>
      <c r="AA190">
        <v>2</v>
      </c>
      <c r="AB190">
        <v>1</v>
      </c>
      <c r="AC190">
        <v>7</v>
      </c>
      <c r="AD190">
        <v>10</v>
      </c>
      <c r="AE190">
        <v>9</v>
      </c>
      <c r="AF190">
        <v>8</v>
      </c>
      <c r="AG190">
        <v>58</v>
      </c>
      <c r="AH190">
        <v>0</v>
      </c>
      <c r="AI190">
        <v>5</v>
      </c>
      <c r="AJ190">
        <v>2</v>
      </c>
      <c r="AK190">
        <v>16.714285</v>
      </c>
      <c r="AL190">
        <v>25</v>
      </c>
      <c r="AM190">
        <v>58</v>
      </c>
      <c r="AN190">
        <v>2</v>
      </c>
      <c r="AO190">
        <v>0.71428572999999995</v>
      </c>
      <c r="AP190">
        <v>0</v>
      </c>
      <c r="AQ190">
        <v>1</v>
      </c>
      <c r="AR190">
        <v>2</v>
      </c>
      <c r="AS190">
        <v>1</v>
      </c>
      <c r="AT190">
        <v>3</v>
      </c>
      <c r="AU190">
        <v>1</v>
      </c>
      <c r="AV190">
        <v>0</v>
      </c>
      <c r="AW190">
        <v>2</v>
      </c>
      <c r="AX190">
        <v>5</v>
      </c>
      <c r="AY190">
        <v>11</v>
      </c>
      <c r="AZ190">
        <v>5</v>
      </c>
      <c r="BA190">
        <v>9</v>
      </c>
      <c r="BB190">
        <v>57</v>
      </c>
      <c r="BC190">
        <v>0</v>
      </c>
      <c r="BD190">
        <v>0</v>
      </c>
      <c r="BE190">
        <v>0</v>
      </c>
      <c r="BF190">
        <v>0</v>
      </c>
      <c r="BG190">
        <v>33.329000000000001</v>
      </c>
      <c r="BH190">
        <v>52.296999999999997</v>
      </c>
      <c r="BI190">
        <v>66.403999999999996</v>
      </c>
      <c r="BJ190">
        <v>0</v>
      </c>
      <c r="BK190">
        <v>0</v>
      </c>
      <c r="BL190">
        <v>0</v>
      </c>
      <c r="BM190">
        <v>-6.8609999999999998</v>
      </c>
      <c r="BN190">
        <v>66.403999999999996</v>
      </c>
      <c r="BO190">
        <v>52.296999999999997</v>
      </c>
      <c r="BP190">
        <v>0</v>
      </c>
      <c r="BQ190">
        <v>33.329000000000001</v>
      </c>
      <c r="BR190">
        <v>6.8609999999999998</v>
      </c>
      <c r="BS190">
        <v>0</v>
      </c>
      <c r="BT190">
        <v>0</v>
      </c>
      <c r="BU190">
        <v>0</v>
      </c>
      <c r="BV190">
        <v>2241</v>
      </c>
      <c r="BW190">
        <v>62.451999999999998</v>
      </c>
      <c r="BX190">
        <v>179.5</v>
      </c>
      <c r="BY190">
        <v>19</v>
      </c>
      <c r="BZ190">
        <v>334.5</v>
      </c>
      <c r="CA190">
        <v>6.0570000000000004</v>
      </c>
      <c r="CB190">
        <v>1145</v>
      </c>
      <c r="CC190">
        <v>136.875</v>
      </c>
      <c r="CD190">
        <v>4.6399999999999997</v>
      </c>
      <c r="CE190">
        <v>4</v>
      </c>
      <c r="CF190">
        <v>2816</v>
      </c>
      <c r="CG190">
        <v>12</v>
      </c>
      <c r="CH190">
        <v>197.625</v>
      </c>
      <c r="CI190">
        <v>9.6989999999999998</v>
      </c>
      <c r="CJ190">
        <v>6.8460000000000001</v>
      </c>
      <c r="CK190">
        <v>4.75</v>
      </c>
      <c r="CL190">
        <v>1</v>
      </c>
      <c r="CM190">
        <v>13</v>
      </c>
      <c r="CN190">
        <v>0</v>
      </c>
      <c r="CO190">
        <v>86.667000000000002</v>
      </c>
      <c r="CP190">
        <v>86.667000000000002</v>
      </c>
      <c r="CQ190">
        <v>13</v>
      </c>
      <c r="CR190">
        <v>52</v>
      </c>
      <c r="CS190">
        <v>16.411999999999999</v>
      </c>
      <c r="CT190">
        <v>27</v>
      </c>
      <c r="CU190">
        <v>11</v>
      </c>
      <c r="CV190">
        <v>6</v>
      </c>
      <c r="CW190">
        <v>12</v>
      </c>
      <c r="CX190">
        <v>154</v>
      </c>
      <c r="CY190">
        <v>20.75</v>
      </c>
      <c r="CZ190">
        <v>68.421000000000006</v>
      </c>
      <c r="DA190">
        <v>37.255000000000003</v>
      </c>
      <c r="DB190">
        <v>70.83</v>
      </c>
      <c r="DC190">
        <v>-5</v>
      </c>
      <c r="DD190">
        <v>2996</v>
      </c>
      <c r="DE190">
        <v>65.843999999999994</v>
      </c>
      <c r="DF190">
        <v>256.71429999999998</v>
      </c>
      <c r="DG190">
        <v>30</v>
      </c>
      <c r="DH190">
        <v>370</v>
      </c>
      <c r="DI190">
        <v>7.6790000000000003</v>
      </c>
      <c r="DJ190">
        <v>789</v>
      </c>
      <c r="DK190">
        <v>103.429</v>
      </c>
      <c r="DL190">
        <v>4.1369999999999996</v>
      </c>
      <c r="DM190">
        <v>4</v>
      </c>
      <c r="DN190">
        <v>3261</v>
      </c>
      <c r="DO190">
        <v>17</v>
      </c>
      <c r="DP190">
        <v>266.57100000000003</v>
      </c>
      <c r="DQ190">
        <v>11.663</v>
      </c>
      <c r="DR190">
        <v>6.577</v>
      </c>
      <c r="DS190">
        <v>16.111000000000001</v>
      </c>
      <c r="DT190">
        <v>0</v>
      </c>
      <c r="DU190">
        <v>26</v>
      </c>
      <c r="DV190">
        <v>0</v>
      </c>
      <c r="DW190">
        <v>90.475999999999999</v>
      </c>
      <c r="DX190">
        <v>71.429000000000002</v>
      </c>
      <c r="DY190">
        <v>10</v>
      </c>
      <c r="DZ190">
        <v>49</v>
      </c>
      <c r="EA190">
        <v>14.2</v>
      </c>
      <c r="EB190">
        <v>11</v>
      </c>
      <c r="EC190">
        <v>22</v>
      </c>
      <c r="ED190">
        <v>0</v>
      </c>
      <c r="EE190">
        <v>17</v>
      </c>
      <c r="EF190">
        <v>175</v>
      </c>
      <c r="EG190">
        <v>22</v>
      </c>
      <c r="EH190">
        <v>66.667000000000002</v>
      </c>
      <c r="EI190">
        <v>37.661999999999999</v>
      </c>
      <c r="EJ190">
        <v>65.239999999999995</v>
      </c>
      <c r="EK190">
        <v>3</v>
      </c>
    </row>
    <row r="191" spans="1:141" x14ac:dyDescent="0.25">
      <c r="A191">
        <v>0</v>
      </c>
      <c r="B191">
        <v>0</v>
      </c>
      <c r="C191">
        <v>0</v>
      </c>
      <c r="D191">
        <v>2025</v>
      </c>
      <c r="E191">
        <v>13</v>
      </c>
      <c r="F191" t="str">
        <f>VLOOKUP(G191, Map!$A$1:$B$33, 2, FALSE)</f>
        <v>SEA</v>
      </c>
      <c r="G191" t="s">
        <v>144</v>
      </c>
      <c r="H191" t="str">
        <f>VLOOKUP(I191, Map!$A$1:$B$33, 2, FALSE)</f>
        <v>MIN</v>
      </c>
      <c r="I191" t="s">
        <v>153</v>
      </c>
      <c r="J191">
        <v>0</v>
      </c>
      <c r="K191">
        <v>0</v>
      </c>
      <c r="L191">
        <v>0</v>
      </c>
      <c r="M191">
        <v>0</v>
      </c>
      <c r="N191">
        <v>5</v>
      </c>
      <c r="O191">
        <v>2</v>
      </c>
      <c r="P191">
        <v>19.428571999999999</v>
      </c>
      <c r="Q191">
        <v>27.571428000000001</v>
      </c>
      <c r="R191">
        <v>57</v>
      </c>
      <c r="S191">
        <v>2</v>
      </c>
      <c r="T191">
        <v>0.71428572999999995</v>
      </c>
      <c r="U191">
        <v>1</v>
      </c>
      <c r="V191">
        <v>1</v>
      </c>
      <c r="W191">
        <v>2</v>
      </c>
      <c r="X191">
        <v>2</v>
      </c>
      <c r="Y191">
        <v>3</v>
      </c>
      <c r="Z191">
        <v>0</v>
      </c>
      <c r="AA191">
        <v>2</v>
      </c>
      <c r="AB191">
        <v>2</v>
      </c>
      <c r="AC191">
        <v>9</v>
      </c>
      <c r="AD191">
        <v>8</v>
      </c>
      <c r="AE191">
        <v>7</v>
      </c>
      <c r="AF191">
        <v>10</v>
      </c>
      <c r="AG191">
        <v>61</v>
      </c>
      <c r="AH191">
        <v>0</v>
      </c>
      <c r="AI191">
        <v>3</v>
      </c>
      <c r="AJ191">
        <v>4</v>
      </c>
      <c r="AK191">
        <v>23.142856999999999</v>
      </c>
      <c r="AL191">
        <v>22.142856999999999</v>
      </c>
      <c r="AM191">
        <v>-7</v>
      </c>
      <c r="AN191">
        <v>-2</v>
      </c>
      <c r="AO191">
        <v>0.42857142999999998</v>
      </c>
      <c r="AP191">
        <v>1</v>
      </c>
      <c r="AQ191">
        <v>0</v>
      </c>
      <c r="AR191">
        <v>1</v>
      </c>
      <c r="AS191">
        <v>2</v>
      </c>
      <c r="AT191">
        <v>2</v>
      </c>
      <c r="AU191">
        <v>2</v>
      </c>
      <c r="AV191">
        <v>1</v>
      </c>
      <c r="AW191">
        <v>2</v>
      </c>
      <c r="AX191">
        <v>13</v>
      </c>
      <c r="AY191">
        <v>4</v>
      </c>
      <c r="AZ191">
        <v>7</v>
      </c>
      <c r="BA191">
        <v>9</v>
      </c>
      <c r="BB191">
        <v>61</v>
      </c>
      <c r="BC191">
        <v>0</v>
      </c>
      <c r="BD191">
        <v>0</v>
      </c>
      <c r="BE191">
        <v>0</v>
      </c>
      <c r="BF191">
        <v>0</v>
      </c>
      <c r="BG191">
        <v>63.426000000000002</v>
      </c>
      <c r="BH191">
        <v>47.173000000000002</v>
      </c>
      <c r="BI191">
        <v>36.281999999999996</v>
      </c>
      <c r="BJ191">
        <v>0</v>
      </c>
      <c r="BK191">
        <v>0</v>
      </c>
      <c r="BL191">
        <v>0</v>
      </c>
      <c r="BM191">
        <v>5.44</v>
      </c>
      <c r="BN191">
        <v>36.281999999999996</v>
      </c>
      <c r="BO191">
        <v>47.173000000000002</v>
      </c>
      <c r="BP191">
        <v>0</v>
      </c>
      <c r="BQ191">
        <v>63.426000000000002</v>
      </c>
      <c r="BR191">
        <v>-5.44</v>
      </c>
      <c r="BS191">
        <v>0</v>
      </c>
      <c r="BT191">
        <v>0</v>
      </c>
      <c r="BU191">
        <v>0</v>
      </c>
      <c r="BV191">
        <v>2459</v>
      </c>
      <c r="BW191">
        <v>67.856999999999999</v>
      </c>
      <c r="BX191">
        <v>244.42857000000001</v>
      </c>
      <c r="BY191">
        <v>27</v>
      </c>
      <c r="BZ191">
        <v>358.85714999999999</v>
      </c>
      <c r="CA191">
        <v>9.0259999999999998</v>
      </c>
      <c r="CB191">
        <v>918</v>
      </c>
      <c r="CC191">
        <v>106.143</v>
      </c>
      <c r="CD191">
        <v>3.6779999999999999</v>
      </c>
      <c r="CE191">
        <v>8</v>
      </c>
      <c r="CF191">
        <v>2854</v>
      </c>
      <c r="CG191">
        <v>12</v>
      </c>
      <c r="CH191">
        <v>252.714</v>
      </c>
      <c r="CI191">
        <v>13.301</v>
      </c>
      <c r="CJ191">
        <v>7.1740000000000004</v>
      </c>
      <c r="CK191">
        <v>7.8890000000000002</v>
      </c>
      <c r="CL191">
        <v>2</v>
      </c>
      <c r="CM191">
        <v>23</v>
      </c>
      <c r="CN191">
        <v>0</v>
      </c>
      <c r="CO191">
        <v>100</v>
      </c>
      <c r="CP191">
        <v>76.471000000000004</v>
      </c>
      <c r="CQ191">
        <v>13</v>
      </c>
      <c r="CR191">
        <v>61</v>
      </c>
      <c r="CS191">
        <v>11</v>
      </c>
      <c r="CT191">
        <v>26</v>
      </c>
      <c r="CU191">
        <v>10</v>
      </c>
      <c r="CV191">
        <v>6</v>
      </c>
      <c r="CW191">
        <v>12</v>
      </c>
      <c r="CX191">
        <v>193</v>
      </c>
      <c r="CY191">
        <v>19.428999999999998</v>
      </c>
      <c r="CZ191">
        <v>66.667000000000002</v>
      </c>
      <c r="DA191">
        <v>33.332999999999998</v>
      </c>
      <c r="DB191">
        <v>76.569999999999993</v>
      </c>
      <c r="DC191">
        <v>-4</v>
      </c>
      <c r="DD191">
        <v>1981</v>
      </c>
      <c r="DE191">
        <v>63.927</v>
      </c>
      <c r="DF191">
        <v>202.71428</v>
      </c>
      <c r="DG191">
        <v>21</v>
      </c>
      <c r="DH191">
        <v>321.14285000000001</v>
      </c>
      <c r="DI191">
        <v>7.2649999999999997</v>
      </c>
      <c r="DJ191">
        <v>772</v>
      </c>
      <c r="DK191">
        <v>93.856999999999999</v>
      </c>
      <c r="DL191">
        <v>4.2939999999999996</v>
      </c>
      <c r="DM191">
        <v>5</v>
      </c>
      <c r="DN191">
        <v>2606</v>
      </c>
      <c r="DO191">
        <v>9</v>
      </c>
      <c r="DP191">
        <v>227.286</v>
      </c>
      <c r="DQ191">
        <v>11.364000000000001</v>
      </c>
      <c r="DR191">
        <v>6.2220000000000004</v>
      </c>
      <c r="DS191">
        <v>3.3570000000000002</v>
      </c>
      <c r="DT191">
        <v>2</v>
      </c>
      <c r="DU191">
        <v>18</v>
      </c>
      <c r="DV191">
        <v>0</v>
      </c>
      <c r="DW191">
        <v>100</v>
      </c>
      <c r="DX191">
        <v>87.5</v>
      </c>
      <c r="DY191">
        <v>14</v>
      </c>
      <c r="DZ191">
        <v>55</v>
      </c>
      <c r="EA191">
        <v>7.8179999999999996</v>
      </c>
      <c r="EB191">
        <v>10</v>
      </c>
      <c r="EC191">
        <v>29</v>
      </c>
      <c r="ED191">
        <v>12</v>
      </c>
      <c r="EE191">
        <v>9</v>
      </c>
      <c r="EF191">
        <v>155</v>
      </c>
      <c r="EG191">
        <v>17.428999999999998</v>
      </c>
      <c r="EH191">
        <v>62.5</v>
      </c>
      <c r="EI191">
        <v>33.332999999999998</v>
      </c>
      <c r="EJ191">
        <v>70.13</v>
      </c>
      <c r="EK191">
        <v>-4</v>
      </c>
    </row>
    <row r="192" spans="1:141" x14ac:dyDescent="0.25">
      <c r="A192">
        <v>0</v>
      </c>
      <c r="B192">
        <v>0</v>
      </c>
      <c r="C192">
        <v>0</v>
      </c>
      <c r="D192">
        <v>2025</v>
      </c>
      <c r="E192">
        <v>13</v>
      </c>
      <c r="F192" t="str">
        <f>VLOOKUP(G192, Map!$A$1:$B$33, 2, FALSE)</f>
        <v>PIT</v>
      </c>
      <c r="G192" t="s">
        <v>145</v>
      </c>
      <c r="H192" t="str">
        <f>VLOOKUP(I192, Map!$A$1:$B$33, 2, FALSE)</f>
        <v>BUF</v>
      </c>
      <c r="I192" t="s">
        <v>165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3</v>
      </c>
      <c r="P192">
        <v>25</v>
      </c>
      <c r="Q192">
        <v>25</v>
      </c>
      <c r="R192">
        <v>0</v>
      </c>
      <c r="S192">
        <v>-2</v>
      </c>
      <c r="T192">
        <v>0.57142859999999995</v>
      </c>
      <c r="U192">
        <v>1</v>
      </c>
      <c r="V192">
        <v>1</v>
      </c>
      <c r="W192">
        <v>2</v>
      </c>
      <c r="X192">
        <v>2</v>
      </c>
      <c r="Y192">
        <v>2</v>
      </c>
      <c r="Z192">
        <v>1</v>
      </c>
      <c r="AA192">
        <v>3</v>
      </c>
      <c r="AB192">
        <v>1</v>
      </c>
      <c r="AC192">
        <v>9</v>
      </c>
      <c r="AD192">
        <v>8</v>
      </c>
      <c r="AE192">
        <v>10</v>
      </c>
      <c r="AF192">
        <v>6</v>
      </c>
      <c r="AG192">
        <v>66</v>
      </c>
      <c r="AH192">
        <v>0</v>
      </c>
      <c r="AI192">
        <v>5</v>
      </c>
      <c r="AJ192">
        <v>2</v>
      </c>
      <c r="AK192">
        <v>20.857143000000001</v>
      </c>
      <c r="AL192">
        <v>29.571428000000001</v>
      </c>
      <c r="AM192">
        <v>61</v>
      </c>
      <c r="AN192">
        <v>1</v>
      </c>
      <c r="AO192">
        <v>0.71428572999999995</v>
      </c>
      <c r="AP192">
        <v>2</v>
      </c>
      <c r="AQ192">
        <v>1</v>
      </c>
      <c r="AR192">
        <v>3</v>
      </c>
      <c r="AS192">
        <v>1</v>
      </c>
      <c r="AT192">
        <v>2</v>
      </c>
      <c r="AU192">
        <v>1</v>
      </c>
      <c r="AV192">
        <v>3</v>
      </c>
      <c r="AW192">
        <v>1</v>
      </c>
      <c r="AX192">
        <v>14</v>
      </c>
      <c r="AY192">
        <v>4</v>
      </c>
      <c r="AZ192">
        <v>8</v>
      </c>
      <c r="BA192">
        <v>9</v>
      </c>
      <c r="BB192">
        <v>68</v>
      </c>
      <c r="BC192">
        <v>0</v>
      </c>
      <c r="BD192">
        <v>0</v>
      </c>
      <c r="BE192">
        <v>0</v>
      </c>
      <c r="BF192">
        <v>0</v>
      </c>
      <c r="BG192">
        <v>43.271000000000001</v>
      </c>
      <c r="BH192">
        <v>66.305999999999997</v>
      </c>
      <c r="BI192">
        <v>56.381999999999998</v>
      </c>
      <c r="BJ192">
        <v>0</v>
      </c>
      <c r="BK192">
        <v>0</v>
      </c>
      <c r="BL192">
        <v>0</v>
      </c>
      <c r="BM192">
        <v>-2.464</v>
      </c>
      <c r="BN192">
        <v>56.381999999999998</v>
      </c>
      <c r="BO192">
        <v>66.305999999999997</v>
      </c>
      <c r="BP192">
        <v>0</v>
      </c>
      <c r="BQ192">
        <v>43.271000000000001</v>
      </c>
      <c r="BR192">
        <v>2.464</v>
      </c>
      <c r="BS192">
        <v>0</v>
      </c>
      <c r="BT192">
        <v>0</v>
      </c>
      <c r="BU192">
        <v>0</v>
      </c>
      <c r="BV192">
        <v>2471</v>
      </c>
      <c r="BW192">
        <v>68.570999999999998</v>
      </c>
      <c r="BX192">
        <v>202.85714999999999</v>
      </c>
      <c r="BY192">
        <v>20</v>
      </c>
      <c r="BZ192">
        <v>308.71429999999998</v>
      </c>
      <c r="CA192">
        <v>7.1479999999999997</v>
      </c>
      <c r="CB192">
        <v>750</v>
      </c>
      <c r="CC192">
        <v>94.286000000000001</v>
      </c>
      <c r="CD192">
        <v>4.0739999999999998</v>
      </c>
      <c r="CE192">
        <v>3</v>
      </c>
      <c r="CF192">
        <v>2781</v>
      </c>
      <c r="CG192">
        <v>16</v>
      </c>
      <c r="CH192">
        <v>214.429</v>
      </c>
      <c r="CI192">
        <v>10.423999999999999</v>
      </c>
      <c r="CJ192">
        <v>6.4089999999999998</v>
      </c>
      <c r="CK192">
        <v>7.4379999999999997</v>
      </c>
      <c r="CL192">
        <v>0</v>
      </c>
      <c r="CM192">
        <v>22</v>
      </c>
      <c r="CN192">
        <v>0</v>
      </c>
      <c r="CO192">
        <v>100</v>
      </c>
      <c r="CP192">
        <v>87.5</v>
      </c>
      <c r="CQ192">
        <v>14</v>
      </c>
      <c r="CR192">
        <v>59</v>
      </c>
      <c r="CS192">
        <v>8.25</v>
      </c>
      <c r="CT192">
        <v>23</v>
      </c>
      <c r="CU192">
        <v>8</v>
      </c>
      <c r="CV192">
        <v>0</v>
      </c>
      <c r="CW192">
        <v>16</v>
      </c>
      <c r="CX192">
        <v>175</v>
      </c>
      <c r="CY192">
        <v>17.428999999999998</v>
      </c>
      <c r="CZ192">
        <v>50</v>
      </c>
      <c r="DA192">
        <v>38.960999999999999</v>
      </c>
      <c r="DB192">
        <v>75.94</v>
      </c>
      <c r="DC192">
        <v>4</v>
      </c>
      <c r="DD192">
        <v>2334</v>
      </c>
      <c r="DE192">
        <v>67.488</v>
      </c>
      <c r="DF192">
        <v>218.42857000000001</v>
      </c>
      <c r="DG192">
        <v>22</v>
      </c>
      <c r="DH192">
        <v>395</v>
      </c>
      <c r="DI192">
        <v>7.9509999999999996</v>
      </c>
      <c r="DJ192">
        <v>1576</v>
      </c>
      <c r="DK192">
        <v>164.429</v>
      </c>
      <c r="DL192">
        <v>5.2080000000000002</v>
      </c>
      <c r="DM192">
        <v>13</v>
      </c>
      <c r="DN192">
        <v>2719</v>
      </c>
      <c r="DO192">
        <v>12</v>
      </c>
      <c r="DP192">
        <v>230.571</v>
      </c>
      <c r="DQ192">
        <v>11.781000000000001</v>
      </c>
      <c r="DR192">
        <v>5.8639999999999999</v>
      </c>
      <c r="DS192">
        <v>5.35</v>
      </c>
      <c r="DT192">
        <v>0</v>
      </c>
      <c r="DU192">
        <v>22</v>
      </c>
      <c r="DV192">
        <v>0</v>
      </c>
      <c r="DW192">
        <v>95.454999999999998</v>
      </c>
      <c r="DX192">
        <v>92.308000000000007</v>
      </c>
      <c r="DY192">
        <v>12</v>
      </c>
      <c r="DZ192">
        <v>57</v>
      </c>
      <c r="EA192">
        <v>8</v>
      </c>
      <c r="EB192">
        <v>10</v>
      </c>
      <c r="EC192">
        <v>22</v>
      </c>
      <c r="ED192">
        <v>0</v>
      </c>
      <c r="EE192">
        <v>12</v>
      </c>
      <c r="EF192">
        <v>207</v>
      </c>
      <c r="EG192">
        <v>23.143000000000001</v>
      </c>
      <c r="EH192">
        <v>60</v>
      </c>
      <c r="EI192">
        <v>43.75</v>
      </c>
      <c r="EJ192">
        <v>73.47</v>
      </c>
      <c r="EK192">
        <v>2</v>
      </c>
    </row>
    <row r="193" spans="1:141" x14ac:dyDescent="0.25">
      <c r="A193">
        <v>0</v>
      </c>
      <c r="B193">
        <v>0</v>
      </c>
      <c r="C193">
        <v>0</v>
      </c>
      <c r="D193">
        <v>2025</v>
      </c>
      <c r="E193">
        <v>13</v>
      </c>
      <c r="F193" t="str">
        <f>VLOOKUP(G193, Map!$A$1:$B$33, 2, FALSE)</f>
        <v>LAC</v>
      </c>
      <c r="G193" t="s">
        <v>160</v>
      </c>
      <c r="H193" t="str">
        <f>VLOOKUP(I193, Map!$A$1:$B$33, 2, FALSE)</f>
        <v>LV</v>
      </c>
      <c r="I193" t="s">
        <v>157</v>
      </c>
      <c r="J193">
        <v>0</v>
      </c>
      <c r="K193">
        <v>0</v>
      </c>
      <c r="L193">
        <v>0</v>
      </c>
      <c r="M193">
        <v>0</v>
      </c>
      <c r="N193">
        <v>5</v>
      </c>
      <c r="O193">
        <v>3</v>
      </c>
      <c r="P193">
        <v>21.625</v>
      </c>
      <c r="Q193">
        <v>23.5</v>
      </c>
      <c r="R193">
        <v>15</v>
      </c>
      <c r="S193">
        <v>1</v>
      </c>
      <c r="T193">
        <v>0.625</v>
      </c>
      <c r="U193">
        <v>3</v>
      </c>
      <c r="V193">
        <v>0</v>
      </c>
      <c r="W193">
        <v>3</v>
      </c>
      <c r="X193">
        <v>2</v>
      </c>
      <c r="Y193">
        <v>2</v>
      </c>
      <c r="Z193">
        <v>1</v>
      </c>
      <c r="AA193">
        <v>4</v>
      </c>
      <c r="AB193">
        <v>1</v>
      </c>
      <c r="AC193">
        <v>10</v>
      </c>
      <c r="AD193">
        <v>7</v>
      </c>
      <c r="AE193">
        <v>11</v>
      </c>
      <c r="AF193">
        <v>5</v>
      </c>
      <c r="AG193">
        <v>65</v>
      </c>
      <c r="AH193">
        <v>0</v>
      </c>
      <c r="AI193">
        <v>2</v>
      </c>
      <c r="AJ193">
        <v>5</v>
      </c>
      <c r="AK193">
        <v>25.714285</v>
      </c>
      <c r="AL193">
        <v>14.714286</v>
      </c>
      <c r="AM193">
        <v>-77</v>
      </c>
      <c r="AN193">
        <v>-1</v>
      </c>
      <c r="AO193">
        <v>0.28571429999999998</v>
      </c>
      <c r="AP193">
        <v>0</v>
      </c>
      <c r="AQ193">
        <v>2</v>
      </c>
      <c r="AR193">
        <v>1</v>
      </c>
      <c r="AS193">
        <v>2</v>
      </c>
      <c r="AT193">
        <v>1</v>
      </c>
      <c r="AU193">
        <v>3</v>
      </c>
      <c r="AV193">
        <v>2</v>
      </c>
      <c r="AW193">
        <v>3</v>
      </c>
      <c r="AX193">
        <v>6</v>
      </c>
      <c r="AY193">
        <v>10</v>
      </c>
      <c r="AZ193">
        <v>8</v>
      </c>
      <c r="BA193">
        <v>8</v>
      </c>
      <c r="BB193">
        <v>56</v>
      </c>
      <c r="BC193">
        <v>0</v>
      </c>
      <c r="BD193">
        <v>0</v>
      </c>
      <c r="BE193">
        <v>0</v>
      </c>
      <c r="BF193">
        <v>0</v>
      </c>
      <c r="BG193">
        <v>74.569000000000003</v>
      </c>
      <c r="BH193">
        <v>45.064</v>
      </c>
      <c r="BI193">
        <v>25.228999999999999</v>
      </c>
      <c r="BJ193">
        <v>0</v>
      </c>
      <c r="BK193">
        <v>0</v>
      </c>
      <c r="BL193">
        <v>0</v>
      </c>
      <c r="BM193">
        <v>10.090999999999999</v>
      </c>
      <c r="BN193">
        <v>25.228999999999999</v>
      </c>
      <c r="BO193">
        <v>45.064</v>
      </c>
      <c r="BP193">
        <v>0</v>
      </c>
      <c r="BQ193">
        <v>74.569000000000003</v>
      </c>
      <c r="BR193">
        <v>-10.090999999999999</v>
      </c>
      <c r="BS193">
        <v>0</v>
      </c>
      <c r="BT193">
        <v>0</v>
      </c>
      <c r="BU193">
        <v>0</v>
      </c>
      <c r="BV193">
        <v>3094</v>
      </c>
      <c r="BW193">
        <v>68</v>
      </c>
      <c r="BX193">
        <v>255.375</v>
      </c>
      <c r="BY193">
        <v>26</v>
      </c>
      <c r="BZ193">
        <v>396.125</v>
      </c>
      <c r="CA193">
        <v>7.28</v>
      </c>
      <c r="CB193">
        <v>1030</v>
      </c>
      <c r="CC193">
        <v>123.125</v>
      </c>
      <c r="CD193">
        <v>4.8520000000000003</v>
      </c>
      <c r="CE193">
        <v>3</v>
      </c>
      <c r="CF193">
        <v>3764</v>
      </c>
      <c r="CG193">
        <v>16</v>
      </c>
      <c r="CH193">
        <v>273</v>
      </c>
      <c r="CI193">
        <v>10.706</v>
      </c>
      <c r="CJ193">
        <v>5.5910000000000002</v>
      </c>
      <c r="CK193">
        <v>5.05</v>
      </c>
      <c r="CL193">
        <v>0</v>
      </c>
      <c r="CM193">
        <v>22</v>
      </c>
      <c r="CN193">
        <v>0</v>
      </c>
      <c r="CO193">
        <v>100</v>
      </c>
      <c r="CP193">
        <v>94.736999999999995</v>
      </c>
      <c r="CQ193">
        <v>18</v>
      </c>
      <c r="CR193">
        <v>72</v>
      </c>
      <c r="CS193">
        <v>12.5</v>
      </c>
      <c r="CT193">
        <v>20</v>
      </c>
      <c r="CU193">
        <v>8</v>
      </c>
      <c r="CV193">
        <v>0</v>
      </c>
      <c r="CW193">
        <v>16</v>
      </c>
      <c r="CX193">
        <v>188</v>
      </c>
      <c r="CY193">
        <v>21.875</v>
      </c>
      <c r="CZ193">
        <v>70</v>
      </c>
      <c r="DA193">
        <v>48.673000000000002</v>
      </c>
      <c r="DB193">
        <v>61.73</v>
      </c>
      <c r="DC193">
        <v>-3</v>
      </c>
      <c r="DD193">
        <v>1570</v>
      </c>
      <c r="DE193">
        <v>66.176000000000002</v>
      </c>
      <c r="DF193">
        <v>182.71428</v>
      </c>
      <c r="DG193">
        <v>19</v>
      </c>
      <c r="DH193">
        <v>297.28570000000002</v>
      </c>
      <c r="DI193">
        <v>6.7649999999999997</v>
      </c>
      <c r="DJ193">
        <v>731</v>
      </c>
      <c r="DK193">
        <v>93.713999999999999</v>
      </c>
      <c r="DL193">
        <v>3.859</v>
      </c>
      <c r="DM193">
        <v>3</v>
      </c>
      <c r="DN193">
        <v>2345</v>
      </c>
      <c r="DO193">
        <v>7</v>
      </c>
      <c r="DP193">
        <v>203.571</v>
      </c>
      <c r="DQ193">
        <v>10.222</v>
      </c>
      <c r="DR193">
        <v>6.7329999999999997</v>
      </c>
      <c r="DS193">
        <v>3.0710000000000002</v>
      </c>
      <c r="DT193">
        <v>0</v>
      </c>
      <c r="DU193">
        <v>15</v>
      </c>
      <c r="DV193">
        <v>0</v>
      </c>
      <c r="DW193">
        <v>100</v>
      </c>
      <c r="DX193">
        <v>78.570999999999998</v>
      </c>
      <c r="DY193">
        <v>11</v>
      </c>
      <c r="DZ193">
        <v>41</v>
      </c>
      <c r="EA193">
        <v>15.333</v>
      </c>
      <c r="EB193">
        <v>8</v>
      </c>
      <c r="EC193">
        <v>26</v>
      </c>
      <c r="ED193">
        <v>0</v>
      </c>
      <c r="EE193">
        <v>7</v>
      </c>
      <c r="EF193">
        <v>103</v>
      </c>
      <c r="EG193">
        <v>15.856999999999999</v>
      </c>
      <c r="EH193">
        <v>45.454999999999998</v>
      </c>
      <c r="EI193">
        <v>37.930999999999997</v>
      </c>
      <c r="EJ193">
        <v>53.17</v>
      </c>
      <c r="EK193">
        <v>-5</v>
      </c>
    </row>
    <row r="194" spans="1:141" x14ac:dyDescent="0.25">
      <c r="A194">
        <v>0</v>
      </c>
      <c r="B194">
        <v>0</v>
      </c>
      <c r="C194">
        <v>0</v>
      </c>
      <c r="D194">
        <v>2025</v>
      </c>
      <c r="E194">
        <v>13</v>
      </c>
      <c r="F194" t="str">
        <f>VLOOKUP(G194, Map!$A$1:$B$33, 2, FALSE)</f>
        <v>WAS</v>
      </c>
      <c r="G194" t="s">
        <v>148</v>
      </c>
      <c r="H194" t="str">
        <f>VLOOKUP(I194, Map!$A$1:$B$33, 2, FALSE)</f>
        <v>DEN</v>
      </c>
      <c r="I194" t="s">
        <v>159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5</v>
      </c>
      <c r="P194">
        <v>24.75</v>
      </c>
      <c r="Q194">
        <v>23.375</v>
      </c>
      <c r="R194">
        <v>-11</v>
      </c>
      <c r="S194">
        <v>-3</v>
      </c>
      <c r="T194">
        <v>0.375</v>
      </c>
      <c r="U194">
        <v>1</v>
      </c>
      <c r="V194">
        <v>1</v>
      </c>
      <c r="W194">
        <v>2</v>
      </c>
      <c r="X194">
        <v>1</v>
      </c>
      <c r="Y194">
        <v>1</v>
      </c>
      <c r="Z194">
        <v>4</v>
      </c>
      <c r="AA194">
        <v>1</v>
      </c>
      <c r="AB194">
        <v>4</v>
      </c>
      <c r="AC194">
        <v>7</v>
      </c>
      <c r="AD194">
        <v>8</v>
      </c>
      <c r="AE194">
        <v>7</v>
      </c>
      <c r="AF194">
        <v>8</v>
      </c>
      <c r="AG194">
        <v>65</v>
      </c>
      <c r="AH194">
        <v>0</v>
      </c>
      <c r="AI194">
        <v>6</v>
      </c>
      <c r="AJ194">
        <v>2</v>
      </c>
      <c r="AK194">
        <v>18.875</v>
      </c>
      <c r="AL194">
        <v>25.875</v>
      </c>
      <c r="AM194">
        <v>56</v>
      </c>
      <c r="AN194">
        <v>5</v>
      </c>
      <c r="AO194">
        <v>0.75</v>
      </c>
      <c r="AP194">
        <v>0</v>
      </c>
      <c r="AQ194">
        <v>1</v>
      </c>
      <c r="AR194">
        <v>4</v>
      </c>
      <c r="AS194">
        <v>0</v>
      </c>
      <c r="AT194">
        <v>2</v>
      </c>
      <c r="AU194">
        <v>2</v>
      </c>
      <c r="AV194">
        <v>3</v>
      </c>
      <c r="AW194">
        <v>2</v>
      </c>
      <c r="AX194">
        <v>4</v>
      </c>
      <c r="AY194">
        <v>12</v>
      </c>
      <c r="AZ194">
        <v>7</v>
      </c>
      <c r="BA194">
        <v>9</v>
      </c>
      <c r="BB194">
        <v>63</v>
      </c>
      <c r="BC194">
        <v>0</v>
      </c>
      <c r="BD194">
        <v>0</v>
      </c>
      <c r="BE194">
        <v>0</v>
      </c>
      <c r="BF194">
        <v>0</v>
      </c>
      <c r="BG194">
        <v>50.073999999999998</v>
      </c>
      <c r="BH194">
        <v>71.721999999999994</v>
      </c>
      <c r="BI194">
        <v>49.527999999999999</v>
      </c>
      <c r="BJ194">
        <v>0</v>
      </c>
      <c r="BK194">
        <v>0</v>
      </c>
      <c r="BL194">
        <v>0</v>
      </c>
      <c r="BM194">
        <v>0.26500000000000001</v>
      </c>
      <c r="BN194">
        <v>49.527999999999999</v>
      </c>
      <c r="BO194">
        <v>71.721999999999994</v>
      </c>
      <c r="BP194">
        <v>0</v>
      </c>
      <c r="BQ194">
        <v>50.073999999999998</v>
      </c>
      <c r="BR194">
        <v>-0.26500000000000001</v>
      </c>
      <c r="BS194">
        <v>0</v>
      </c>
      <c r="BT194">
        <v>0</v>
      </c>
      <c r="BU194">
        <v>0</v>
      </c>
      <c r="BV194">
        <v>2360</v>
      </c>
      <c r="BW194">
        <v>61.966000000000001</v>
      </c>
      <c r="BX194">
        <v>196.625</v>
      </c>
      <c r="BY194">
        <v>20</v>
      </c>
      <c r="BZ194">
        <v>346.5</v>
      </c>
      <c r="CA194">
        <v>7.1369999999999996</v>
      </c>
      <c r="CB194">
        <v>1342</v>
      </c>
      <c r="CC194">
        <v>137.75</v>
      </c>
      <c r="CD194">
        <v>5.1980000000000004</v>
      </c>
      <c r="CE194">
        <v>9</v>
      </c>
      <c r="CF194">
        <v>2815</v>
      </c>
      <c r="CG194">
        <v>12</v>
      </c>
      <c r="CH194">
        <v>208.75</v>
      </c>
      <c r="CI194">
        <v>11.516999999999999</v>
      </c>
      <c r="CJ194">
        <v>6.1360000000000001</v>
      </c>
      <c r="CK194">
        <v>5.9470000000000001</v>
      </c>
      <c r="CL194">
        <v>1</v>
      </c>
      <c r="CM194">
        <v>22</v>
      </c>
      <c r="CN194">
        <v>0</v>
      </c>
      <c r="CO194">
        <v>100</v>
      </c>
      <c r="CP194">
        <v>71.429000000000002</v>
      </c>
      <c r="CQ194">
        <v>10</v>
      </c>
      <c r="CR194">
        <v>49</v>
      </c>
      <c r="CS194">
        <v>4</v>
      </c>
      <c r="CT194">
        <v>25</v>
      </c>
      <c r="CU194">
        <v>11</v>
      </c>
      <c r="CV194">
        <v>8</v>
      </c>
      <c r="CW194">
        <v>12</v>
      </c>
      <c r="CX194">
        <v>187</v>
      </c>
      <c r="CY194">
        <v>18.75</v>
      </c>
      <c r="CZ194">
        <v>45.454999999999998</v>
      </c>
      <c r="DA194">
        <v>38.636000000000003</v>
      </c>
      <c r="DB194">
        <v>79.290000000000006</v>
      </c>
      <c r="DC194">
        <v>-5</v>
      </c>
      <c r="DD194">
        <v>2703</v>
      </c>
      <c r="DE194">
        <v>62.807000000000002</v>
      </c>
      <c r="DF194">
        <v>219.125</v>
      </c>
      <c r="DG194">
        <v>22</v>
      </c>
      <c r="DH194">
        <v>363.125</v>
      </c>
      <c r="DI194">
        <v>6.3259999999999996</v>
      </c>
      <c r="DJ194">
        <v>1407</v>
      </c>
      <c r="DK194">
        <v>137.75</v>
      </c>
      <c r="DL194">
        <v>5.0090000000000003</v>
      </c>
      <c r="DM194">
        <v>10</v>
      </c>
      <c r="DN194">
        <v>3223</v>
      </c>
      <c r="DO194">
        <v>15</v>
      </c>
      <c r="DP194">
        <v>225.375</v>
      </c>
      <c r="DQ194">
        <v>10.073</v>
      </c>
      <c r="DR194">
        <v>6.0279999999999996</v>
      </c>
      <c r="DS194">
        <v>90.5</v>
      </c>
      <c r="DT194">
        <v>0</v>
      </c>
      <c r="DU194">
        <v>36</v>
      </c>
      <c r="DV194">
        <v>0</v>
      </c>
      <c r="DW194">
        <v>100</v>
      </c>
      <c r="DX194">
        <v>90.909000000000006</v>
      </c>
      <c r="DY194">
        <v>10</v>
      </c>
      <c r="DZ194">
        <v>51</v>
      </c>
      <c r="EA194">
        <v>10.467000000000001</v>
      </c>
      <c r="EB194">
        <v>18</v>
      </c>
      <c r="EC194">
        <v>38</v>
      </c>
      <c r="ED194">
        <v>0</v>
      </c>
      <c r="EE194">
        <v>15</v>
      </c>
      <c r="EF194">
        <v>207</v>
      </c>
      <c r="EG194">
        <v>20.75</v>
      </c>
      <c r="EH194">
        <v>50</v>
      </c>
      <c r="EI194">
        <v>37.863999999999997</v>
      </c>
      <c r="EJ194">
        <v>73.02</v>
      </c>
      <c r="EK194">
        <v>-1</v>
      </c>
    </row>
    <row r="195" spans="1:141" x14ac:dyDescent="0.25">
      <c r="A195">
        <v>0</v>
      </c>
      <c r="B195">
        <v>0</v>
      </c>
      <c r="C195">
        <v>0</v>
      </c>
      <c r="D195">
        <v>2025</v>
      </c>
      <c r="E195">
        <v>13</v>
      </c>
      <c r="F195" t="str">
        <f>VLOOKUP(G195, Map!$A$1:$B$33, 2, FALSE)</f>
        <v>NE</v>
      </c>
      <c r="G195" t="s">
        <v>151</v>
      </c>
      <c r="H195" t="str">
        <f>VLOOKUP(I195, Map!$A$1:$B$33, 2, FALSE)</f>
        <v>NYG</v>
      </c>
      <c r="I195" t="s">
        <v>149</v>
      </c>
      <c r="J195">
        <v>0</v>
      </c>
      <c r="K195">
        <v>0</v>
      </c>
      <c r="L195">
        <v>0</v>
      </c>
      <c r="M195">
        <v>0</v>
      </c>
      <c r="N195">
        <v>6</v>
      </c>
      <c r="O195">
        <v>2</v>
      </c>
      <c r="P195">
        <v>18.25</v>
      </c>
      <c r="Q195">
        <v>26.625</v>
      </c>
      <c r="R195">
        <v>67</v>
      </c>
      <c r="S195">
        <v>5</v>
      </c>
      <c r="T195">
        <v>0.75</v>
      </c>
      <c r="U195">
        <v>2</v>
      </c>
      <c r="V195">
        <v>0</v>
      </c>
      <c r="W195">
        <v>2</v>
      </c>
      <c r="X195">
        <v>2</v>
      </c>
      <c r="Y195">
        <v>4</v>
      </c>
      <c r="Z195">
        <v>0</v>
      </c>
      <c r="AA195">
        <v>4</v>
      </c>
      <c r="AB195">
        <v>2</v>
      </c>
      <c r="AC195">
        <v>8</v>
      </c>
      <c r="AD195">
        <v>9</v>
      </c>
      <c r="AE195">
        <v>7</v>
      </c>
      <c r="AF195">
        <v>9</v>
      </c>
      <c r="AG195">
        <v>61</v>
      </c>
      <c r="AH195">
        <v>0</v>
      </c>
      <c r="AI195">
        <v>2</v>
      </c>
      <c r="AJ195">
        <v>6</v>
      </c>
      <c r="AK195">
        <v>26.875</v>
      </c>
      <c r="AL195">
        <v>21.625</v>
      </c>
      <c r="AM195">
        <v>-42</v>
      </c>
      <c r="AN195">
        <v>-2</v>
      </c>
      <c r="AO195">
        <v>0.25</v>
      </c>
      <c r="AP195">
        <v>1</v>
      </c>
      <c r="AQ195">
        <v>3</v>
      </c>
      <c r="AR195">
        <v>2</v>
      </c>
      <c r="AS195">
        <v>1</v>
      </c>
      <c r="AT195">
        <v>0</v>
      </c>
      <c r="AU195">
        <v>5</v>
      </c>
      <c r="AV195">
        <v>1</v>
      </c>
      <c r="AW195">
        <v>4</v>
      </c>
      <c r="AX195">
        <v>10</v>
      </c>
      <c r="AY195">
        <v>7</v>
      </c>
      <c r="AZ195">
        <v>14</v>
      </c>
      <c r="BA195">
        <v>4</v>
      </c>
      <c r="BB195">
        <v>67</v>
      </c>
      <c r="BC195">
        <v>0</v>
      </c>
      <c r="BD195">
        <v>0</v>
      </c>
      <c r="BE195">
        <v>0</v>
      </c>
      <c r="BF195">
        <v>0</v>
      </c>
      <c r="BG195">
        <v>54.44</v>
      </c>
      <c r="BH195">
        <v>47.017000000000003</v>
      </c>
      <c r="BI195">
        <v>45.197000000000003</v>
      </c>
      <c r="BJ195">
        <v>0</v>
      </c>
      <c r="BK195">
        <v>0</v>
      </c>
      <c r="BL195">
        <v>0</v>
      </c>
      <c r="BM195">
        <v>1.6890000000000001</v>
      </c>
      <c r="BN195">
        <v>45.197000000000003</v>
      </c>
      <c r="BO195">
        <v>47.017000000000003</v>
      </c>
      <c r="BP195">
        <v>0</v>
      </c>
      <c r="BQ195">
        <v>54.44</v>
      </c>
      <c r="BR195">
        <v>-1.6890000000000001</v>
      </c>
      <c r="BS195">
        <v>0</v>
      </c>
      <c r="BT195">
        <v>0</v>
      </c>
      <c r="BU195">
        <v>0</v>
      </c>
      <c r="BV195">
        <v>2965</v>
      </c>
      <c r="BW195">
        <v>75</v>
      </c>
      <c r="BX195">
        <v>240.5</v>
      </c>
      <c r="BY195">
        <v>29</v>
      </c>
      <c r="BZ195">
        <v>367.375</v>
      </c>
      <c r="CA195">
        <v>8.7940000000000005</v>
      </c>
      <c r="CB195">
        <v>1056</v>
      </c>
      <c r="CC195">
        <v>112.625</v>
      </c>
      <c r="CD195">
        <v>3.9340000000000002</v>
      </c>
      <c r="CE195">
        <v>7</v>
      </c>
      <c r="CF195">
        <v>3418</v>
      </c>
      <c r="CG195">
        <v>15</v>
      </c>
      <c r="CH195">
        <v>254.75</v>
      </c>
      <c r="CI195">
        <v>11.725</v>
      </c>
      <c r="CJ195">
        <v>6.3159999999999998</v>
      </c>
      <c r="CK195">
        <v>3.7410000000000001</v>
      </c>
      <c r="CL195">
        <v>4</v>
      </c>
      <c r="CM195">
        <v>19</v>
      </c>
      <c r="CN195">
        <v>0</v>
      </c>
      <c r="CO195">
        <v>91.304000000000002</v>
      </c>
      <c r="CP195">
        <v>92.308000000000007</v>
      </c>
      <c r="CQ195">
        <v>12</v>
      </c>
      <c r="CR195">
        <v>57</v>
      </c>
      <c r="CS195">
        <v>16.8</v>
      </c>
      <c r="CT195">
        <v>27</v>
      </c>
      <c r="CU195">
        <v>10</v>
      </c>
      <c r="CV195">
        <v>14</v>
      </c>
      <c r="CW195">
        <v>15</v>
      </c>
      <c r="CX195">
        <v>213</v>
      </c>
      <c r="CY195">
        <v>20.375</v>
      </c>
      <c r="CZ195">
        <v>83.332999999999998</v>
      </c>
      <c r="DA195">
        <v>39.784999999999997</v>
      </c>
      <c r="DB195">
        <v>67</v>
      </c>
      <c r="DC195">
        <v>2</v>
      </c>
      <c r="DD195">
        <v>2348</v>
      </c>
      <c r="DE195">
        <v>59.448999999999998</v>
      </c>
      <c r="DF195">
        <v>207.25</v>
      </c>
      <c r="DG195">
        <v>23</v>
      </c>
      <c r="DH195">
        <v>339.25</v>
      </c>
      <c r="DI195">
        <v>6.9210000000000003</v>
      </c>
      <c r="DJ195">
        <v>1249</v>
      </c>
      <c r="DK195">
        <v>118</v>
      </c>
      <c r="DL195">
        <v>4.0339999999999998</v>
      </c>
      <c r="DM195">
        <v>10</v>
      </c>
      <c r="DN195">
        <v>2910</v>
      </c>
      <c r="DO195">
        <v>11</v>
      </c>
      <c r="DP195">
        <v>221.25</v>
      </c>
      <c r="DQ195">
        <v>11.641999999999999</v>
      </c>
      <c r="DR195">
        <v>7.2629999999999999</v>
      </c>
      <c r="DS195">
        <v>5.1740000000000004</v>
      </c>
      <c r="DT195">
        <v>0</v>
      </c>
      <c r="DU195">
        <v>19</v>
      </c>
      <c r="DV195">
        <v>0</v>
      </c>
      <c r="DW195">
        <v>78.947000000000003</v>
      </c>
      <c r="DX195">
        <v>100</v>
      </c>
      <c r="DY195">
        <v>10</v>
      </c>
      <c r="DZ195">
        <v>45</v>
      </c>
      <c r="EA195">
        <v>7.1539999999999999</v>
      </c>
      <c r="EB195">
        <v>12</v>
      </c>
      <c r="EC195">
        <v>32</v>
      </c>
      <c r="ED195">
        <v>0</v>
      </c>
      <c r="EE195">
        <v>11</v>
      </c>
      <c r="EF195">
        <v>173</v>
      </c>
      <c r="EG195">
        <v>20.625</v>
      </c>
      <c r="EH195">
        <v>52.941000000000003</v>
      </c>
      <c r="EI195">
        <v>39.814999999999998</v>
      </c>
      <c r="EJ195">
        <v>59.26</v>
      </c>
      <c r="EK195">
        <v>-4</v>
      </c>
    </row>
    <row r="196" spans="1:141" x14ac:dyDescent="0.25">
      <c r="A196">
        <v>0</v>
      </c>
      <c r="B196">
        <v>0</v>
      </c>
      <c r="C196">
        <v>0</v>
      </c>
      <c r="D196">
        <v>2025</v>
      </c>
      <c r="E196">
        <v>14</v>
      </c>
      <c r="F196" t="str">
        <f>VLOOKUP(G196, Map!$A$1:$B$33, 2, FALSE)</f>
        <v>DET</v>
      </c>
      <c r="G196" t="s">
        <v>164</v>
      </c>
      <c r="H196" t="str">
        <f>VLOOKUP(I196, Map!$A$1:$B$33, 2, FALSE)</f>
        <v>DAL</v>
      </c>
      <c r="I196" t="s">
        <v>150</v>
      </c>
      <c r="J196">
        <v>0</v>
      </c>
      <c r="K196">
        <v>0</v>
      </c>
      <c r="L196">
        <v>0</v>
      </c>
      <c r="M196">
        <v>0</v>
      </c>
      <c r="N196">
        <v>5</v>
      </c>
      <c r="O196">
        <v>2</v>
      </c>
      <c r="P196">
        <v>21.571428000000001</v>
      </c>
      <c r="Q196">
        <v>30.714285</v>
      </c>
      <c r="R196">
        <v>64</v>
      </c>
      <c r="S196">
        <v>1</v>
      </c>
      <c r="T196">
        <v>0.71428572999999995</v>
      </c>
      <c r="U196">
        <v>1</v>
      </c>
      <c r="V196">
        <v>1</v>
      </c>
      <c r="W196">
        <v>3</v>
      </c>
      <c r="X196">
        <v>0</v>
      </c>
      <c r="Y196">
        <v>2</v>
      </c>
      <c r="Z196">
        <v>2</v>
      </c>
      <c r="AA196">
        <v>2</v>
      </c>
      <c r="AB196">
        <v>1</v>
      </c>
      <c r="AC196">
        <v>8</v>
      </c>
      <c r="AD196">
        <v>8</v>
      </c>
      <c r="AE196">
        <v>11</v>
      </c>
      <c r="AF196">
        <v>5</v>
      </c>
      <c r="AG196">
        <v>73</v>
      </c>
      <c r="AH196">
        <v>0</v>
      </c>
      <c r="AI196">
        <v>3</v>
      </c>
      <c r="AJ196">
        <v>4</v>
      </c>
      <c r="AK196">
        <v>31.25</v>
      </c>
      <c r="AL196">
        <v>30.75</v>
      </c>
      <c r="AM196">
        <v>-4</v>
      </c>
      <c r="AN196">
        <v>-1</v>
      </c>
      <c r="AO196">
        <v>0.4375</v>
      </c>
      <c r="AP196">
        <v>2</v>
      </c>
      <c r="AQ196">
        <v>1</v>
      </c>
      <c r="AR196">
        <v>2</v>
      </c>
      <c r="AS196">
        <v>0</v>
      </c>
      <c r="AT196">
        <v>1</v>
      </c>
      <c r="AU196">
        <v>4</v>
      </c>
      <c r="AV196">
        <v>2</v>
      </c>
      <c r="AW196">
        <v>3</v>
      </c>
      <c r="AX196">
        <v>13</v>
      </c>
      <c r="AY196">
        <v>5</v>
      </c>
      <c r="AZ196">
        <v>11</v>
      </c>
      <c r="BA196">
        <v>7</v>
      </c>
      <c r="BB196">
        <v>68</v>
      </c>
      <c r="BC196">
        <v>0</v>
      </c>
      <c r="BD196">
        <v>0</v>
      </c>
      <c r="BE196">
        <v>0</v>
      </c>
      <c r="BF196">
        <v>0</v>
      </c>
      <c r="BG196">
        <v>64.14</v>
      </c>
      <c r="BH196">
        <v>76.680000000000007</v>
      </c>
      <c r="BI196">
        <v>35.573999999999998</v>
      </c>
      <c r="BJ196">
        <v>0</v>
      </c>
      <c r="BK196">
        <v>0</v>
      </c>
      <c r="BL196">
        <v>0</v>
      </c>
      <c r="BM196">
        <v>5.7969999999999997</v>
      </c>
      <c r="BN196">
        <v>35.573999999999998</v>
      </c>
      <c r="BO196">
        <v>76.680000000000007</v>
      </c>
      <c r="BP196">
        <v>0</v>
      </c>
      <c r="BQ196">
        <v>64.14</v>
      </c>
      <c r="BR196">
        <v>-5.7969999999999997</v>
      </c>
      <c r="BS196">
        <v>0</v>
      </c>
      <c r="BT196">
        <v>0</v>
      </c>
      <c r="BU196">
        <v>0</v>
      </c>
      <c r="BV196">
        <v>2664</v>
      </c>
      <c r="BW196">
        <v>75</v>
      </c>
      <c r="BX196">
        <v>223.57142999999999</v>
      </c>
      <c r="BY196">
        <v>23</v>
      </c>
      <c r="BZ196">
        <v>367.14285000000001</v>
      </c>
      <c r="CA196">
        <v>8.01</v>
      </c>
      <c r="CB196">
        <v>1256</v>
      </c>
      <c r="CC196">
        <v>133.714</v>
      </c>
      <c r="CD196">
        <v>4.5220000000000002</v>
      </c>
      <c r="CE196">
        <v>10</v>
      </c>
      <c r="CF196">
        <v>2959</v>
      </c>
      <c r="CG196">
        <v>16</v>
      </c>
      <c r="CH196">
        <v>233.429</v>
      </c>
      <c r="CI196">
        <v>10.68</v>
      </c>
      <c r="CJ196">
        <v>6.2610000000000001</v>
      </c>
      <c r="CK196">
        <v>24.2</v>
      </c>
      <c r="CL196">
        <v>1</v>
      </c>
      <c r="CM196">
        <v>23</v>
      </c>
      <c r="CN196">
        <v>0</v>
      </c>
      <c r="CO196">
        <v>100</v>
      </c>
      <c r="CP196">
        <v>72.727000000000004</v>
      </c>
      <c r="CQ196">
        <v>8</v>
      </c>
      <c r="CR196">
        <v>51</v>
      </c>
      <c r="CS196">
        <v>10</v>
      </c>
      <c r="CT196">
        <v>27</v>
      </c>
      <c r="CU196">
        <v>14</v>
      </c>
      <c r="CV196">
        <v>8</v>
      </c>
      <c r="CW196">
        <v>16</v>
      </c>
      <c r="CX196">
        <v>215</v>
      </c>
      <c r="CY196">
        <v>19.856999999999999</v>
      </c>
      <c r="CZ196">
        <v>61.537999999999997</v>
      </c>
      <c r="DA196">
        <v>37.646999999999998</v>
      </c>
      <c r="DB196">
        <v>74.88</v>
      </c>
      <c r="DC196">
        <v>6</v>
      </c>
      <c r="DD196">
        <v>3160</v>
      </c>
      <c r="DE196">
        <v>70.233999999999995</v>
      </c>
      <c r="DF196">
        <v>263.75</v>
      </c>
      <c r="DG196">
        <v>25</v>
      </c>
      <c r="DH196">
        <v>391.375</v>
      </c>
      <c r="DI196">
        <v>7.1909999999999998</v>
      </c>
      <c r="DJ196">
        <v>1283</v>
      </c>
      <c r="DK196">
        <v>120.375</v>
      </c>
      <c r="DL196">
        <v>4.6749999999999998</v>
      </c>
      <c r="DM196">
        <v>10</v>
      </c>
      <c r="DN196">
        <v>3813</v>
      </c>
      <c r="DO196">
        <v>17</v>
      </c>
      <c r="DP196">
        <v>271</v>
      </c>
      <c r="DQ196">
        <v>10.238</v>
      </c>
      <c r="DR196">
        <v>7.7329999999999997</v>
      </c>
      <c r="DS196">
        <v>4.8099999999999996</v>
      </c>
      <c r="DT196">
        <v>1</v>
      </c>
      <c r="DU196">
        <v>15</v>
      </c>
      <c r="DV196">
        <v>0</v>
      </c>
      <c r="DW196">
        <v>96.296000000000006</v>
      </c>
      <c r="DX196">
        <v>100</v>
      </c>
      <c r="DY196">
        <v>16</v>
      </c>
      <c r="DZ196">
        <v>74</v>
      </c>
      <c r="EA196">
        <v>10</v>
      </c>
      <c r="EB196">
        <v>11</v>
      </c>
      <c r="EC196">
        <v>28</v>
      </c>
      <c r="ED196">
        <v>6</v>
      </c>
      <c r="EE196">
        <v>17</v>
      </c>
      <c r="EF196">
        <v>246</v>
      </c>
      <c r="EG196">
        <v>23.125</v>
      </c>
      <c r="EH196">
        <v>77.778000000000006</v>
      </c>
      <c r="EI196">
        <v>43.158000000000001</v>
      </c>
      <c r="EJ196">
        <v>74.19</v>
      </c>
      <c r="EK196">
        <v>-1</v>
      </c>
    </row>
    <row r="197" spans="1:141" x14ac:dyDescent="0.25">
      <c r="A197">
        <v>0</v>
      </c>
      <c r="B197">
        <v>0</v>
      </c>
      <c r="C197">
        <v>0</v>
      </c>
      <c r="D197">
        <v>2025</v>
      </c>
      <c r="E197">
        <v>14</v>
      </c>
      <c r="F197" t="str">
        <f>VLOOKUP(G197, Map!$A$1:$B$33, 2, FALSE)</f>
        <v>ATL</v>
      </c>
      <c r="G197" t="s">
        <v>167</v>
      </c>
      <c r="H197" t="str">
        <f>VLOOKUP(I197, Map!$A$1:$B$33, 2, FALSE)</f>
        <v>SEA</v>
      </c>
      <c r="I197" t="s">
        <v>144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4</v>
      </c>
      <c r="P197">
        <v>22</v>
      </c>
      <c r="Q197">
        <v>17.142856999999999</v>
      </c>
      <c r="R197">
        <v>-34</v>
      </c>
      <c r="S197">
        <v>-2</v>
      </c>
      <c r="T197">
        <v>0.42857142999999998</v>
      </c>
      <c r="U197">
        <v>0</v>
      </c>
      <c r="V197">
        <v>2</v>
      </c>
      <c r="W197">
        <v>2</v>
      </c>
      <c r="X197">
        <v>2</v>
      </c>
      <c r="Y197">
        <v>1</v>
      </c>
      <c r="Z197">
        <v>2</v>
      </c>
      <c r="AA197">
        <v>2</v>
      </c>
      <c r="AB197">
        <v>3</v>
      </c>
      <c r="AC197">
        <v>7</v>
      </c>
      <c r="AD197">
        <v>10</v>
      </c>
      <c r="AE197">
        <v>9</v>
      </c>
      <c r="AF197">
        <v>8</v>
      </c>
      <c r="AG197">
        <v>64</v>
      </c>
      <c r="AH197">
        <v>0</v>
      </c>
      <c r="AI197">
        <v>5</v>
      </c>
      <c r="AJ197">
        <v>2</v>
      </c>
      <c r="AK197">
        <v>19.428571999999999</v>
      </c>
      <c r="AL197">
        <v>27.571428000000001</v>
      </c>
      <c r="AM197">
        <v>57</v>
      </c>
      <c r="AN197">
        <v>2</v>
      </c>
      <c r="AO197">
        <v>0.71428572999999995</v>
      </c>
      <c r="AP197">
        <v>1</v>
      </c>
      <c r="AQ197">
        <v>1</v>
      </c>
      <c r="AR197">
        <v>2</v>
      </c>
      <c r="AS197">
        <v>2</v>
      </c>
      <c r="AT197">
        <v>3</v>
      </c>
      <c r="AU197">
        <v>0</v>
      </c>
      <c r="AV197">
        <v>2</v>
      </c>
      <c r="AW197">
        <v>2</v>
      </c>
      <c r="AX197">
        <v>9</v>
      </c>
      <c r="AY197">
        <v>8</v>
      </c>
      <c r="AZ197">
        <v>7</v>
      </c>
      <c r="BA197">
        <v>10</v>
      </c>
      <c r="BB197">
        <v>61</v>
      </c>
      <c r="BC197">
        <v>0</v>
      </c>
      <c r="BD197">
        <v>0</v>
      </c>
      <c r="BE197">
        <v>0</v>
      </c>
      <c r="BF197">
        <v>0</v>
      </c>
      <c r="BG197">
        <v>44.103000000000002</v>
      </c>
      <c r="BH197">
        <v>44.603999999999999</v>
      </c>
      <c r="BI197">
        <v>55.542999999999999</v>
      </c>
      <c r="BJ197">
        <v>0</v>
      </c>
      <c r="BK197">
        <v>0</v>
      </c>
      <c r="BL197">
        <v>0</v>
      </c>
      <c r="BM197">
        <v>-2.4089999999999998</v>
      </c>
      <c r="BN197">
        <v>55.542999999999999</v>
      </c>
      <c r="BO197">
        <v>44.603999999999999</v>
      </c>
      <c r="BP197">
        <v>0</v>
      </c>
      <c r="BQ197">
        <v>44.103000000000002</v>
      </c>
      <c r="BR197">
        <v>2.4089999999999998</v>
      </c>
      <c r="BS197">
        <v>0</v>
      </c>
      <c r="BT197">
        <v>0</v>
      </c>
      <c r="BU197">
        <v>0</v>
      </c>
      <c r="BV197">
        <v>1871</v>
      </c>
      <c r="BW197">
        <v>62.231999999999999</v>
      </c>
      <c r="BX197">
        <v>219.42857000000001</v>
      </c>
      <c r="BY197">
        <v>19</v>
      </c>
      <c r="BZ197">
        <v>353.42856</v>
      </c>
      <c r="CA197">
        <v>6.9139999999999997</v>
      </c>
      <c r="CB197">
        <v>1048</v>
      </c>
      <c r="CC197">
        <v>123.286</v>
      </c>
      <c r="CD197">
        <v>4.4029999999999996</v>
      </c>
      <c r="CE197">
        <v>7</v>
      </c>
      <c r="CF197">
        <v>2511</v>
      </c>
      <c r="CG197">
        <v>5</v>
      </c>
      <c r="CH197">
        <v>230.143</v>
      </c>
      <c r="CI197">
        <v>11.11</v>
      </c>
      <c r="CJ197">
        <v>5.9379999999999997</v>
      </c>
      <c r="CK197">
        <v>5.6429999999999998</v>
      </c>
      <c r="CL197">
        <v>0</v>
      </c>
      <c r="CM197">
        <v>16</v>
      </c>
      <c r="CN197">
        <v>0</v>
      </c>
      <c r="CO197">
        <v>100</v>
      </c>
      <c r="CP197">
        <v>75</v>
      </c>
      <c r="CQ197">
        <v>12</v>
      </c>
      <c r="CR197">
        <v>48</v>
      </c>
      <c r="CS197">
        <v>7.5380000000000003</v>
      </c>
      <c r="CT197">
        <v>22</v>
      </c>
      <c r="CU197">
        <v>9</v>
      </c>
      <c r="CV197">
        <v>0</v>
      </c>
      <c r="CW197">
        <v>5</v>
      </c>
      <c r="CX197">
        <v>120</v>
      </c>
      <c r="CY197">
        <v>19.286000000000001</v>
      </c>
      <c r="CZ197">
        <v>40</v>
      </c>
      <c r="DA197">
        <v>39.326000000000001</v>
      </c>
      <c r="DB197">
        <v>57.86</v>
      </c>
      <c r="DC197">
        <v>2</v>
      </c>
      <c r="DD197">
        <v>2459</v>
      </c>
      <c r="DE197">
        <v>67.856999999999999</v>
      </c>
      <c r="DF197">
        <v>244.42857000000001</v>
      </c>
      <c r="DG197">
        <v>27</v>
      </c>
      <c r="DH197">
        <v>358.85714999999999</v>
      </c>
      <c r="DI197">
        <v>9.0259999999999998</v>
      </c>
      <c r="DJ197">
        <v>918</v>
      </c>
      <c r="DK197">
        <v>106.143</v>
      </c>
      <c r="DL197">
        <v>3.6779999999999999</v>
      </c>
      <c r="DM197">
        <v>8</v>
      </c>
      <c r="DN197">
        <v>2854</v>
      </c>
      <c r="DO197">
        <v>12</v>
      </c>
      <c r="DP197">
        <v>252.714</v>
      </c>
      <c r="DQ197">
        <v>13.301</v>
      </c>
      <c r="DR197">
        <v>7.1740000000000004</v>
      </c>
      <c r="DS197">
        <v>7.8890000000000002</v>
      </c>
      <c r="DT197">
        <v>2</v>
      </c>
      <c r="DU197">
        <v>23</v>
      </c>
      <c r="DV197">
        <v>0</v>
      </c>
      <c r="DW197">
        <v>100</v>
      </c>
      <c r="DX197">
        <v>76.471000000000004</v>
      </c>
      <c r="DY197">
        <v>13</v>
      </c>
      <c r="DZ197">
        <v>61</v>
      </c>
      <c r="EA197">
        <v>11</v>
      </c>
      <c r="EB197">
        <v>10</v>
      </c>
      <c r="EC197">
        <v>26</v>
      </c>
      <c r="ED197">
        <v>6</v>
      </c>
      <c r="EE197">
        <v>12</v>
      </c>
      <c r="EF197">
        <v>193</v>
      </c>
      <c r="EG197">
        <v>19.428999999999998</v>
      </c>
      <c r="EH197">
        <v>66.667000000000002</v>
      </c>
      <c r="EI197">
        <v>33.332999999999998</v>
      </c>
      <c r="EJ197">
        <v>76.569999999999993</v>
      </c>
      <c r="EK197">
        <v>-4</v>
      </c>
    </row>
    <row r="198" spans="1:141" x14ac:dyDescent="0.25">
      <c r="A198">
        <v>0</v>
      </c>
      <c r="B198">
        <v>0</v>
      </c>
      <c r="C198">
        <v>0</v>
      </c>
      <c r="D198">
        <v>2025</v>
      </c>
      <c r="E198">
        <v>14</v>
      </c>
      <c r="F198" t="str">
        <f>VLOOKUP(G198, Map!$A$1:$B$33, 2, FALSE)</f>
        <v>CLE</v>
      </c>
      <c r="G198" t="s">
        <v>162</v>
      </c>
      <c r="H198" t="str">
        <f>VLOOKUP(I198, Map!$A$1:$B$33, 2, FALSE)</f>
        <v>TEN</v>
      </c>
      <c r="I198" t="s">
        <v>140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6</v>
      </c>
      <c r="P198">
        <v>23</v>
      </c>
      <c r="Q198">
        <v>15.75</v>
      </c>
      <c r="R198">
        <v>-58</v>
      </c>
      <c r="S198">
        <v>-1</v>
      </c>
      <c r="T198">
        <v>0.25</v>
      </c>
      <c r="U198">
        <v>0</v>
      </c>
      <c r="V198">
        <v>3</v>
      </c>
      <c r="W198">
        <v>2</v>
      </c>
      <c r="X198">
        <v>2</v>
      </c>
      <c r="Y198">
        <v>0</v>
      </c>
      <c r="Z198">
        <v>4</v>
      </c>
      <c r="AA198">
        <v>1</v>
      </c>
      <c r="AB198">
        <v>4</v>
      </c>
      <c r="AC198">
        <v>7</v>
      </c>
      <c r="AD198">
        <v>10</v>
      </c>
      <c r="AE198">
        <v>8</v>
      </c>
      <c r="AF198">
        <v>9</v>
      </c>
      <c r="AG198">
        <v>61</v>
      </c>
      <c r="AH198">
        <v>0</v>
      </c>
      <c r="AI198">
        <v>1</v>
      </c>
      <c r="AJ198">
        <v>7</v>
      </c>
      <c r="AK198">
        <v>28.75</v>
      </c>
      <c r="AL198">
        <v>13.75</v>
      </c>
      <c r="AM198">
        <v>-120</v>
      </c>
      <c r="AN198">
        <v>-3</v>
      </c>
      <c r="AO198">
        <v>0.125</v>
      </c>
      <c r="AP198">
        <v>0</v>
      </c>
      <c r="AQ198">
        <v>3</v>
      </c>
      <c r="AR198">
        <v>0</v>
      </c>
      <c r="AS198">
        <v>3</v>
      </c>
      <c r="AT198">
        <v>1</v>
      </c>
      <c r="AU198">
        <v>4</v>
      </c>
      <c r="AV198">
        <v>0</v>
      </c>
      <c r="AW198">
        <v>6</v>
      </c>
      <c r="AX198">
        <v>7</v>
      </c>
      <c r="AY198">
        <v>9</v>
      </c>
      <c r="AZ198">
        <v>8</v>
      </c>
      <c r="BA198">
        <v>7</v>
      </c>
      <c r="BB198">
        <v>59</v>
      </c>
      <c r="BC198">
        <v>0</v>
      </c>
      <c r="BD198">
        <v>0</v>
      </c>
      <c r="BE198">
        <v>0</v>
      </c>
      <c r="BF198">
        <v>0</v>
      </c>
      <c r="BG198">
        <v>51.887999999999998</v>
      </c>
      <c r="BH198">
        <v>12.497</v>
      </c>
      <c r="BI198">
        <v>47.728000000000002</v>
      </c>
      <c r="BJ198">
        <v>0</v>
      </c>
      <c r="BK198">
        <v>0</v>
      </c>
      <c r="BL198">
        <v>0</v>
      </c>
      <c r="BM198">
        <v>0.77500000000000002</v>
      </c>
      <c r="BN198">
        <v>47.728000000000002</v>
      </c>
      <c r="BO198">
        <v>12.497</v>
      </c>
      <c r="BP198">
        <v>0</v>
      </c>
      <c r="BQ198">
        <v>51.887999999999998</v>
      </c>
      <c r="BR198">
        <v>-0.77500000000000002</v>
      </c>
      <c r="BS198">
        <v>0</v>
      </c>
      <c r="BT198">
        <v>0</v>
      </c>
      <c r="BU198">
        <v>0</v>
      </c>
      <c r="BV198">
        <v>1756</v>
      </c>
      <c r="BW198">
        <v>58.94</v>
      </c>
      <c r="BX198">
        <v>174.125</v>
      </c>
      <c r="BY198">
        <v>14</v>
      </c>
      <c r="BZ198">
        <v>279.125</v>
      </c>
      <c r="CA198">
        <v>4.9870000000000001</v>
      </c>
      <c r="CB198">
        <v>896</v>
      </c>
      <c r="CC198">
        <v>89.5</v>
      </c>
      <c r="CD198">
        <v>3.7679999999999998</v>
      </c>
      <c r="CE198">
        <v>6</v>
      </c>
      <c r="CF198">
        <v>2652</v>
      </c>
      <c r="CG198">
        <v>7</v>
      </c>
      <c r="CH198">
        <v>189.625</v>
      </c>
      <c r="CI198">
        <v>8.4610000000000003</v>
      </c>
      <c r="CJ198">
        <v>6.9169999999999998</v>
      </c>
      <c r="CK198">
        <v>4.3029999999999999</v>
      </c>
      <c r="CL198">
        <v>1</v>
      </c>
      <c r="CM198">
        <v>24</v>
      </c>
      <c r="CN198">
        <v>0</v>
      </c>
      <c r="CO198">
        <v>92.308000000000007</v>
      </c>
      <c r="CP198">
        <v>76.923000000000002</v>
      </c>
      <c r="CQ198">
        <v>10</v>
      </c>
      <c r="CR198">
        <v>42</v>
      </c>
      <c r="CS198">
        <v>11.412000000000001</v>
      </c>
      <c r="CT198">
        <v>42</v>
      </c>
      <c r="CU198">
        <v>16</v>
      </c>
      <c r="CV198">
        <v>6</v>
      </c>
      <c r="CW198">
        <v>7</v>
      </c>
      <c r="CX198">
        <v>126</v>
      </c>
      <c r="CY198">
        <v>16.75</v>
      </c>
      <c r="CZ198">
        <v>57.895000000000003</v>
      </c>
      <c r="DA198">
        <v>33.042999999999999</v>
      </c>
      <c r="DB198">
        <v>69.39</v>
      </c>
      <c r="DC198">
        <v>0</v>
      </c>
      <c r="DD198">
        <v>1785</v>
      </c>
      <c r="DE198">
        <v>57.664000000000001</v>
      </c>
      <c r="DF198">
        <v>168.375</v>
      </c>
      <c r="DG198">
        <v>21</v>
      </c>
      <c r="DH198">
        <v>282.25</v>
      </c>
      <c r="DI198">
        <v>5.8940000000000001</v>
      </c>
      <c r="DJ198">
        <v>643</v>
      </c>
      <c r="DK198">
        <v>80.375</v>
      </c>
      <c r="DL198">
        <v>3.9209999999999998</v>
      </c>
      <c r="DM198">
        <v>3</v>
      </c>
      <c r="DN198">
        <v>2580</v>
      </c>
      <c r="DO198">
        <v>5</v>
      </c>
      <c r="DP198">
        <v>201.875</v>
      </c>
      <c r="DQ198">
        <v>10.222</v>
      </c>
      <c r="DR198">
        <v>6.8129999999999997</v>
      </c>
      <c r="DS198">
        <v>4.8949999999999996</v>
      </c>
      <c r="DT198">
        <v>0</v>
      </c>
      <c r="DU198">
        <v>16</v>
      </c>
      <c r="DV198">
        <v>0</v>
      </c>
      <c r="DW198">
        <v>88.888999999999996</v>
      </c>
      <c r="DX198">
        <v>76.19</v>
      </c>
      <c r="DY198">
        <v>16</v>
      </c>
      <c r="DZ198">
        <v>56</v>
      </c>
      <c r="EA198">
        <v>10.75</v>
      </c>
      <c r="EB198">
        <v>12</v>
      </c>
      <c r="EC198">
        <v>37</v>
      </c>
      <c r="ED198">
        <v>6</v>
      </c>
      <c r="EE198">
        <v>5</v>
      </c>
      <c r="EF198">
        <v>110</v>
      </c>
      <c r="EG198">
        <v>15.875</v>
      </c>
      <c r="EH198">
        <v>38.462000000000003</v>
      </c>
      <c r="EI198">
        <v>29.907</v>
      </c>
      <c r="EJ198">
        <v>65.31</v>
      </c>
      <c r="EK198">
        <v>-4</v>
      </c>
    </row>
    <row r="199" spans="1:141" x14ac:dyDescent="0.25">
      <c r="A199">
        <v>0</v>
      </c>
      <c r="B199">
        <v>0</v>
      </c>
      <c r="C199">
        <v>0</v>
      </c>
      <c r="D199">
        <v>2025</v>
      </c>
      <c r="E199">
        <v>14</v>
      </c>
      <c r="F199" t="str">
        <f>VLOOKUP(G199, Map!$A$1:$B$33, 2, FALSE)</f>
        <v>GB</v>
      </c>
      <c r="G199" t="s">
        <v>154</v>
      </c>
      <c r="H199" t="str">
        <f>VLOOKUP(I199, Map!$A$1:$B$33, 2, FALSE)</f>
        <v>CHI</v>
      </c>
      <c r="I199" t="s">
        <v>163</v>
      </c>
      <c r="J199">
        <v>0</v>
      </c>
      <c r="K199">
        <v>0</v>
      </c>
      <c r="L199">
        <v>0</v>
      </c>
      <c r="M199">
        <v>0</v>
      </c>
      <c r="N199">
        <v>5</v>
      </c>
      <c r="O199">
        <v>1</v>
      </c>
      <c r="P199">
        <v>21.428571999999999</v>
      </c>
      <c r="Q199">
        <v>27.571428000000001</v>
      </c>
      <c r="R199">
        <v>43</v>
      </c>
      <c r="S199">
        <v>3</v>
      </c>
      <c r="T199">
        <v>0.78571427000000005</v>
      </c>
      <c r="U199">
        <v>1</v>
      </c>
      <c r="V199">
        <v>0</v>
      </c>
      <c r="W199">
        <v>3</v>
      </c>
      <c r="X199">
        <v>0</v>
      </c>
      <c r="Y199">
        <v>2</v>
      </c>
      <c r="Z199">
        <v>1</v>
      </c>
      <c r="AA199">
        <v>3</v>
      </c>
      <c r="AB199">
        <v>0</v>
      </c>
      <c r="AC199">
        <v>8</v>
      </c>
      <c r="AD199">
        <v>8</v>
      </c>
      <c r="AE199">
        <v>8</v>
      </c>
      <c r="AF199">
        <v>8</v>
      </c>
      <c r="AG199">
        <v>61</v>
      </c>
      <c r="AH199">
        <v>0</v>
      </c>
      <c r="AI199">
        <v>4</v>
      </c>
      <c r="AJ199">
        <v>3</v>
      </c>
      <c r="AK199">
        <v>26.428571999999999</v>
      </c>
      <c r="AL199">
        <v>24</v>
      </c>
      <c r="AM199">
        <v>-17</v>
      </c>
      <c r="AN199">
        <v>-1</v>
      </c>
      <c r="AO199">
        <v>0.57142859999999995</v>
      </c>
      <c r="AP199">
        <v>0</v>
      </c>
      <c r="AQ199">
        <v>2</v>
      </c>
      <c r="AR199">
        <v>2</v>
      </c>
      <c r="AS199">
        <v>1</v>
      </c>
      <c r="AT199">
        <v>2</v>
      </c>
      <c r="AU199">
        <v>2</v>
      </c>
      <c r="AV199">
        <v>3</v>
      </c>
      <c r="AW199">
        <v>2</v>
      </c>
      <c r="AX199">
        <v>3</v>
      </c>
      <c r="AY199">
        <v>14</v>
      </c>
      <c r="AZ199">
        <v>5</v>
      </c>
      <c r="BA199">
        <v>11</v>
      </c>
      <c r="BB199">
        <v>61</v>
      </c>
      <c r="BC199">
        <v>0</v>
      </c>
      <c r="BD199">
        <v>0</v>
      </c>
      <c r="BE199">
        <v>0</v>
      </c>
      <c r="BF199">
        <v>0</v>
      </c>
      <c r="BG199">
        <v>70.715000000000003</v>
      </c>
      <c r="BH199">
        <v>64.442999999999998</v>
      </c>
      <c r="BI199">
        <v>29.052</v>
      </c>
      <c r="BJ199">
        <v>0</v>
      </c>
      <c r="BK199">
        <v>0</v>
      </c>
      <c r="BL199">
        <v>0</v>
      </c>
      <c r="BM199">
        <v>8.6159999999999997</v>
      </c>
      <c r="BN199">
        <v>29.052</v>
      </c>
      <c r="BO199">
        <v>64.442999999999998</v>
      </c>
      <c r="BP199">
        <v>0</v>
      </c>
      <c r="BQ199">
        <v>70.715000000000003</v>
      </c>
      <c r="BR199">
        <v>-8.6159999999999997</v>
      </c>
      <c r="BS199">
        <v>0</v>
      </c>
      <c r="BT199">
        <v>0</v>
      </c>
      <c r="BU199">
        <v>0</v>
      </c>
      <c r="BV199">
        <v>2648</v>
      </c>
      <c r="BW199">
        <v>70.891999999999996</v>
      </c>
      <c r="BX199">
        <v>245</v>
      </c>
      <c r="BY199">
        <v>26</v>
      </c>
      <c r="BZ199">
        <v>371</v>
      </c>
      <c r="CA199">
        <v>8.4410000000000007</v>
      </c>
      <c r="CB199">
        <v>1099</v>
      </c>
      <c r="CC199">
        <v>114.143</v>
      </c>
      <c r="CD199">
        <v>3.9359999999999999</v>
      </c>
      <c r="CE199">
        <v>9</v>
      </c>
      <c r="CF199">
        <v>3008</v>
      </c>
      <c r="CG199">
        <v>13</v>
      </c>
      <c r="CH199">
        <v>256.85700000000003</v>
      </c>
      <c r="CI199">
        <v>11.907</v>
      </c>
      <c r="CJ199">
        <v>6.1429999999999998</v>
      </c>
      <c r="CK199">
        <v>6.75</v>
      </c>
      <c r="CL199">
        <v>0</v>
      </c>
      <c r="CM199">
        <v>21</v>
      </c>
      <c r="CN199">
        <v>0</v>
      </c>
      <c r="CO199">
        <v>95.238</v>
      </c>
      <c r="CP199">
        <v>76.471000000000004</v>
      </c>
      <c r="CQ199">
        <v>13</v>
      </c>
      <c r="CR199">
        <v>59</v>
      </c>
      <c r="CS199">
        <v>11.909000000000001</v>
      </c>
      <c r="CT199">
        <v>22</v>
      </c>
      <c r="CU199">
        <v>6</v>
      </c>
      <c r="CV199">
        <v>0</v>
      </c>
      <c r="CW199">
        <v>13</v>
      </c>
      <c r="CX199">
        <v>193</v>
      </c>
      <c r="CY199">
        <v>21</v>
      </c>
      <c r="CZ199">
        <v>75</v>
      </c>
      <c r="DA199">
        <v>48.276000000000003</v>
      </c>
      <c r="DB199">
        <v>78.569999999999993</v>
      </c>
      <c r="DC199">
        <v>1</v>
      </c>
      <c r="DD199">
        <v>2157</v>
      </c>
      <c r="DE199">
        <v>61.947000000000003</v>
      </c>
      <c r="DF199">
        <v>225.57142999999999</v>
      </c>
      <c r="DG199">
        <v>26</v>
      </c>
      <c r="DH199">
        <v>362.14285000000001</v>
      </c>
      <c r="DI199">
        <v>7.2880000000000003</v>
      </c>
      <c r="DJ199">
        <v>1087</v>
      </c>
      <c r="DK199">
        <v>124.571</v>
      </c>
      <c r="DL199">
        <v>4.4039999999999999</v>
      </c>
      <c r="DM199">
        <v>7</v>
      </c>
      <c r="DN199">
        <v>2678</v>
      </c>
      <c r="DO199">
        <v>9</v>
      </c>
      <c r="DP199">
        <v>237.571</v>
      </c>
      <c r="DQ199">
        <v>11.763999999999999</v>
      </c>
      <c r="DR199">
        <v>4.5709999999999997</v>
      </c>
      <c r="DS199">
        <v>2.9409999999999998</v>
      </c>
      <c r="DT199">
        <v>1</v>
      </c>
      <c r="DU199">
        <v>14</v>
      </c>
      <c r="DV199">
        <v>0</v>
      </c>
      <c r="DW199">
        <v>100</v>
      </c>
      <c r="DX199">
        <v>85</v>
      </c>
      <c r="DY199">
        <v>17</v>
      </c>
      <c r="DZ199">
        <v>66</v>
      </c>
      <c r="EA199">
        <v>11.909000000000001</v>
      </c>
      <c r="EB199">
        <v>7</v>
      </c>
      <c r="EC199">
        <v>24</v>
      </c>
      <c r="ED199">
        <v>6</v>
      </c>
      <c r="EE199">
        <v>9</v>
      </c>
      <c r="EF199">
        <v>168</v>
      </c>
      <c r="EG199">
        <v>19.286000000000001</v>
      </c>
      <c r="EH199">
        <v>37.5</v>
      </c>
      <c r="EI199">
        <v>41.110999999999997</v>
      </c>
      <c r="EJ199">
        <v>57.14</v>
      </c>
      <c r="EK199">
        <v>10</v>
      </c>
    </row>
    <row r="200" spans="1:141" x14ac:dyDescent="0.25">
      <c r="A200">
        <v>0</v>
      </c>
      <c r="B200">
        <v>0</v>
      </c>
      <c r="C200">
        <v>0</v>
      </c>
      <c r="D200">
        <v>2025</v>
      </c>
      <c r="E200">
        <v>14</v>
      </c>
      <c r="F200" t="str">
        <f>VLOOKUP(G200, Map!$A$1:$B$33, 2, FALSE)</f>
        <v>MIN</v>
      </c>
      <c r="G200" t="s">
        <v>153</v>
      </c>
      <c r="H200" t="str">
        <f>VLOOKUP(I200, Map!$A$1:$B$33, 2, FALSE)</f>
        <v>WAS</v>
      </c>
      <c r="I200" t="s">
        <v>148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4</v>
      </c>
      <c r="P200">
        <v>23.142856999999999</v>
      </c>
      <c r="Q200">
        <v>22.142856999999999</v>
      </c>
      <c r="R200">
        <v>-7</v>
      </c>
      <c r="S200">
        <v>-2</v>
      </c>
      <c r="T200">
        <v>0.42857142999999998</v>
      </c>
      <c r="U200">
        <v>1</v>
      </c>
      <c r="V200">
        <v>0</v>
      </c>
      <c r="W200">
        <v>1</v>
      </c>
      <c r="X200">
        <v>2</v>
      </c>
      <c r="Y200">
        <v>2</v>
      </c>
      <c r="Z200">
        <v>2</v>
      </c>
      <c r="AA200">
        <v>1</v>
      </c>
      <c r="AB200">
        <v>2</v>
      </c>
      <c r="AC200">
        <v>13</v>
      </c>
      <c r="AD200">
        <v>4</v>
      </c>
      <c r="AE200">
        <v>7</v>
      </c>
      <c r="AF200">
        <v>9</v>
      </c>
      <c r="AG200">
        <v>61</v>
      </c>
      <c r="AH200">
        <v>0</v>
      </c>
      <c r="AI200">
        <v>3</v>
      </c>
      <c r="AJ200">
        <v>5</v>
      </c>
      <c r="AK200">
        <v>24.75</v>
      </c>
      <c r="AL200">
        <v>23.375</v>
      </c>
      <c r="AM200">
        <v>-11</v>
      </c>
      <c r="AN200">
        <v>-3</v>
      </c>
      <c r="AO200">
        <v>0.375</v>
      </c>
      <c r="AP200">
        <v>1</v>
      </c>
      <c r="AQ200">
        <v>1</v>
      </c>
      <c r="AR200">
        <v>2</v>
      </c>
      <c r="AS200">
        <v>1</v>
      </c>
      <c r="AT200">
        <v>1</v>
      </c>
      <c r="AU200">
        <v>4</v>
      </c>
      <c r="AV200">
        <v>1</v>
      </c>
      <c r="AW200">
        <v>4</v>
      </c>
      <c r="AX200">
        <v>7</v>
      </c>
      <c r="AY200">
        <v>8</v>
      </c>
      <c r="AZ200">
        <v>7</v>
      </c>
      <c r="BA200">
        <v>8</v>
      </c>
      <c r="BB200">
        <v>65</v>
      </c>
      <c r="BC200">
        <v>0</v>
      </c>
      <c r="BD200">
        <v>0</v>
      </c>
      <c r="BE200">
        <v>0</v>
      </c>
      <c r="BF200">
        <v>0</v>
      </c>
      <c r="BG200">
        <v>41.942999999999998</v>
      </c>
      <c r="BH200">
        <v>48.959000000000003</v>
      </c>
      <c r="BI200">
        <v>57.72</v>
      </c>
      <c r="BJ200">
        <v>0</v>
      </c>
      <c r="BK200">
        <v>0</v>
      </c>
      <c r="BL200">
        <v>0</v>
      </c>
      <c r="BM200">
        <v>-2.7989999999999999</v>
      </c>
      <c r="BN200">
        <v>57.72</v>
      </c>
      <c r="BO200">
        <v>48.959000000000003</v>
      </c>
      <c r="BP200">
        <v>0</v>
      </c>
      <c r="BQ200">
        <v>41.942999999999998</v>
      </c>
      <c r="BR200">
        <v>2.7989999999999999</v>
      </c>
      <c r="BS200">
        <v>0</v>
      </c>
      <c r="BT200">
        <v>0</v>
      </c>
      <c r="BU200">
        <v>0</v>
      </c>
      <c r="BV200">
        <v>1981</v>
      </c>
      <c r="BW200">
        <v>63.927</v>
      </c>
      <c r="BX200">
        <v>202.71428</v>
      </c>
      <c r="BY200">
        <v>21</v>
      </c>
      <c r="BZ200">
        <v>321.14285000000001</v>
      </c>
      <c r="CA200">
        <v>7.2649999999999997</v>
      </c>
      <c r="CB200">
        <v>772</v>
      </c>
      <c r="CC200">
        <v>93.856999999999999</v>
      </c>
      <c r="CD200">
        <v>4.2939999999999996</v>
      </c>
      <c r="CE200">
        <v>5</v>
      </c>
      <c r="CF200">
        <v>2606</v>
      </c>
      <c r="CG200">
        <v>9</v>
      </c>
      <c r="CH200">
        <v>227.286</v>
      </c>
      <c r="CI200">
        <v>11.364000000000001</v>
      </c>
      <c r="CJ200">
        <v>6.2220000000000004</v>
      </c>
      <c r="CK200">
        <v>3.3570000000000002</v>
      </c>
      <c r="CL200">
        <v>2</v>
      </c>
      <c r="CM200">
        <v>18</v>
      </c>
      <c r="CN200">
        <v>0</v>
      </c>
      <c r="CO200">
        <v>100</v>
      </c>
      <c r="CP200">
        <v>87.5</v>
      </c>
      <c r="CQ200">
        <v>14</v>
      </c>
      <c r="CR200">
        <v>55</v>
      </c>
      <c r="CS200">
        <v>7.8179999999999996</v>
      </c>
      <c r="CT200">
        <v>29</v>
      </c>
      <c r="CU200">
        <v>10</v>
      </c>
      <c r="CV200">
        <v>12</v>
      </c>
      <c r="CW200">
        <v>9</v>
      </c>
      <c r="CX200">
        <v>155</v>
      </c>
      <c r="CY200">
        <v>17.428999999999998</v>
      </c>
      <c r="CZ200">
        <v>62.5</v>
      </c>
      <c r="DA200">
        <v>33.332999999999998</v>
      </c>
      <c r="DB200">
        <v>70.13</v>
      </c>
      <c r="DC200">
        <v>-4</v>
      </c>
      <c r="DD200">
        <v>2360</v>
      </c>
      <c r="DE200">
        <v>61.966000000000001</v>
      </c>
      <c r="DF200">
        <v>196.625</v>
      </c>
      <c r="DG200">
        <v>20</v>
      </c>
      <c r="DH200">
        <v>346.5</v>
      </c>
      <c r="DI200">
        <v>7.1369999999999996</v>
      </c>
      <c r="DJ200">
        <v>1342</v>
      </c>
      <c r="DK200">
        <v>137.75</v>
      </c>
      <c r="DL200">
        <v>5.1980000000000004</v>
      </c>
      <c r="DM200">
        <v>9</v>
      </c>
      <c r="DN200">
        <v>2815</v>
      </c>
      <c r="DO200">
        <v>12</v>
      </c>
      <c r="DP200">
        <v>208.75</v>
      </c>
      <c r="DQ200">
        <v>11.516999999999999</v>
      </c>
      <c r="DR200">
        <v>6.1360000000000001</v>
      </c>
      <c r="DS200">
        <v>5.9470000000000001</v>
      </c>
      <c r="DT200">
        <v>1</v>
      </c>
      <c r="DU200">
        <v>22</v>
      </c>
      <c r="DV200">
        <v>0</v>
      </c>
      <c r="DW200">
        <v>100</v>
      </c>
      <c r="DX200">
        <v>71.429000000000002</v>
      </c>
      <c r="DY200">
        <v>10</v>
      </c>
      <c r="DZ200">
        <v>49</v>
      </c>
      <c r="EA200">
        <v>4</v>
      </c>
      <c r="EB200">
        <v>11</v>
      </c>
      <c r="EC200">
        <v>25</v>
      </c>
      <c r="ED200">
        <v>8</v>
      </c>
      <c r="EE200">
        <v>12</v>
      </c>
      <c r="EF200">
        <v>187</v>
      </c>
      <c r="EG200">
        <v>18.75</v>
      </c>
      <c r="EH200">
        <v>45.454999999999998</v>
      </c>
      <c r="EI200">
        <v>38.636000000000003</v>
      </c>
      <c r="EJ200">
        <v>79.290000000000006</v>
      </c>
      <c r="EK200">
        <v>-5</v>
      </c>
    </row>
    <row r="201" spans="1:141" x14ac:dyDescent="0.25">
      <c r="A201">
        <v>0</v>
      </c>
      <c r="B201">
        <v>0</v>
      </c>
      <c r="C201">
        <v>0</v>
      </c>
      <c r="D201">
        <v>2025</v>
      </c>
      <c r="E201">
        <v>14</v>
      </c>
      <c r="F201" t="str">
        <f>VLOOKUP(G201, Map!$A$1:$B$33, 2, FALSE)</f>
        <v>NYJ</v>
      </c>
      <c r="G201" t="s">
        <v>166</v>
      </c>
      <c r="H201" t="str">
        <f>VLOOKUP(I201, Map!$A$1:$B$33, 2, FALSE)</f>
        <v>MIA</v>
      </c>
      <c r="I201" t="s">
        <v>152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7</v>
      </c>
      <c r="P201">
        <v>27.625</v>
      </c>
      <c r="Q201">
        <v>21</v>
      </c>
      <c r="R201">
        <v>-53</v>
      </c>
      <c r="S201">
        <v>1</v>
      </c>
      <c r="T201">
        <v>0.125</v>
      </c>
      <c r="U201">
        <v>0</v>
      </c>
      <c r="V201">
        <v>2</v>
      </c>
      <c r="W201">
        <v>0</v>
      </c>
      <c r="X201">
        <v>5</v>
      </c>
      <c r="Y201">
        <v>1</v>
      </c>
      <c r="Z201">
        <v>2</v>
      </c>
      <c r="AA201">
        <v>1</v>
      </c>
      <c r="AB201">
        <v>4</v>
      </c>
      <c r="AC201">
        <v>7</v>
      </c>
      <c r="AD201">
        <v>10</v>
      </c>
      <c r="AE201">
        <v>8</v>
      </c>
      <c r="AF201">
        <v>9</v>
      </c>
      <c r="AG201">
        <v>60</v>
      </c>
      <c r="AH201">
        <v>0</v>
      </c>
      <c r="AI201">
        <v>2</v>
      </c>
      <c r="AJ201">
        <v>6</v>
      </c>
      <c r="AK201">
        <v>26.875</v>
      </c>
      <c r="AL201">
        <v>21.75</v>
      </c>
      <c r="AM201">
        <v>-41</v>
      </c>
      <c r="AN201">
        <v>1</v>
      </c>
      <c r="AO201">
        <v>0.25</v>
      </c>
      <c r="AP201">
        <v>1</v>
      </c>
      <c r="AQ201">
        <v>2</v>
      </c>
      <c r="AR201">
        <v>1</v>
      </c>
      <c r="AS201">
        <v>2</v>
      </c>
      <c r="AT201">
        <v>1</v>
      </c>
      <c r="AU201">
        <v>4</v>
      </c>
      <c r="AV201">
        <v>1</v>
      </c>
      <c r="AW201">
        <v>5</v>
      </c>
      <c r="AX201">
        <v>9</v>
      </c>
      <c r="AY201">
        <v>9</v>
      </c>
      <c r="AZ201">
        <v>10</v>
      </c>
      <c r="BA201">
        <v>8</v>
      </c>
      <c r="BB201">
        <v>68</v>
      </c>
      <c r="BC201">
        <v>0</v>
      </c>
      <c r="BD201">
        <v>0</v>
      </c>
      <c r="BE201">
        <v>0</v>
      </c>
      <c r="BF201">
        <v>0</v>
      </c>
      <c r="BG201">
        <v>48.298999999999999</v>
      </c>
      <c r="BH201">
        <v>22.472999999999999</v>
      </c>
      <c r="BI201">
        <v>51.313000000000002</v>
      </c>
      <c r="BJ201">
        <v>0</v>
      </c>
      <c r="BK201">
        <v>0</v>
      </c>
      <c r="BL201">
        <v>0</v>
      </c>
      <c r="BM201">
        <v>-0.73599999999999999</v>
      </c>
      <c r="BN201">
        <v>51.313000000000002</v>
      </c>
      <c r="BO201">
        <v>22.472999999999999</v>
      </c>
      <c r="BP201">
        <v>0</v>
      </c>
      <c r="BQ201">
        <v>48.298999999999999</v>
      </c>
      <c r="BR201">
        <v>0.73599999999999999</v>
      </c>
      <c r="BS201">
        <v>0</v>
      </c>
      <c r="BT201">
        <v>0</v>
      </c>
      <c r="BU201">
        <v>0</v>
      </c>
      <c r="BV201">
        <v>2012</v>
      </c>
      <c r="BW201">
        <v>63.713000000000001</v>
      </c>
      <c r="BX201">
        <v>156.5</v>
      </c>
      <c r="BY201">
        <v>15</v>
      </c>
      <c r="BZ201">
        <v>327.625</v>
      </c>
      <c r="CA201">
        <v>6.2110000000000003</v>
      </c>
      <c r="CB201">
        <v>1254</v>
      </c>
      <c r="CC201">
        <v>143.625</v>
      </c>
      <c r="CD201">
        <v>5.1989999999999998</v>
      </c>
      <c r="CE201">
        <v>6</v>
      </c>
      <c r="CF201">
        <v>2542</v>
      </c>
      <c r="CG201">
        <v>9</v>
      </c>
      <c r="CH201">
        <v>184</v>
      </c>
      <c r="CI201">
        <v>9.7479999999999993</v>
      </c>
      <c r="CJ201">
        <v>6.2729999999999997</v>
      </c>
      <c r="CK201">
        <v>2.4169999999999998</v>
      </c>
      <c r="CL201">
        <v>1</v>
      </c>
      <c r="CM201">
        <v>11</v>
      </c>
      <c r="CN201">
        <v>0</v>
      </c>
      <c r="CO201">
        <v>100</v>
      </c>
      <c r="CP201">
        <v>100</v>
      </c>
      <c r="CQ201">
        <v>17</v>
      </c>
      <c r="CR201">
        <v>60</v>
      </c>
      <c r="CS201">
        <v>6.25</v>
      </c>
      <c r="CT201">
        <v>31</v>
      </c>
      <c r="CU201">
        <v>11</v>
      </c>
      <c r="CV201">
        <v>2</v>
      </c>
      <c r="CW201">
        <v>9</v>
      </c>
      <c r="CX201">
        <v>168</v>
      </c>
      <c r="CY201">
        <v>18.5</v>
      </c>
      <c r="CZ201">
        <v>52.631999999999998</v>
      </c>
      <c r="DA201">
        <v>34.905999999999999</v>
      </c>
      <c r="DB201">
        <v>69.17</v>
      </c>
      <c r="DC201">
        <v>-9</v>
      </c>
      <c r="DD201">
        <v>2361</v>
      </c>
      <c r="DE201">
        <v>68.674999999999997</v>
      </c>
      <c r="DF201">
        <v>187.875</v>
      </c>
      <c r="DG201">
        <v>17</v>
      </c>
      <c r="DH201">
        <v>299.875</v>
      </c>
      <c r="DI201">
        <v>6.47</v>
      </c>
      <c r="DJ201">
        <v>898</v>
      </c>
      <c r="DK201">
        <v>98.5</v>
      </c>
      <c r="DL201">
        <v>4.452</v>
      </c>
      <c r="DM201">
        <v>4</v>
      </c>
      <c r="DN201">
        <v>2991</v>
      </c>
      <c r="DO201">
        <v>15</v>
      </c>
      <c r="DP201">
        <v>201.375</v>
      </c>
      <c r="DQ201">
        <v>9.4209999999999994</v>
      </c>
      <c r="DR201">
        <v>6.4669999999999996</v>
      </c>
      <c r="DS201">
        <v>4.8239999999999998</v>
      </c>
      <c r="DT201">
        <v>1</v>
      </c>
      <c r="DU201">
        <v>15</v>
      </c>
      <c r="DV201">
        <v>0</v>
      </c>
      <c r="DW201">
        <v>100</v>
      </c>
      <c r="DX201">
        <v>91.667000000000002</v>
      </c>
      <c r="DY201">
        <v>11</v>
      </c>
      <c r="DZ201">
        <v>52</v>
      </c>
      <c r="EA201">
        <v>7</v>
      </c>
      <c r="EB201">
        <v>11</v>
      </c>
      <c r="EC201">
        <v>26</v>
      </c>
      <c r="ED201">
        <v>6</v>
      </c>
      <c r="EE201">
        <v>15</v>
      </c>
      <c r="EF201">
        <v>174</v>
      </c>
      <c r="EG201">
        <v>17</v>
      </c>
      <c r="EH201">
        <v>53.845999999999997</v>
      </c>
      <c r="EI201">
        <v>41.237000000000002</v>
      </c>
      <c r="EJ201">
        <v>72.05</v>
      </c>
      <c r="EK201">
        <v>-5</v>
      </c>
    </row>
    <row r="202" spans="1:141" x14ac:dyDescent="0.25">
      <c r="A202">
        <v>0</v>
      </c>
      <c r="B202">
        <v>0</v>
      </c>
      <c r="C202">
        <v>0</v>
      </c>
      <c r="D202">
        <v>2025</v>
      </c>
      <c r="E202">
        <v>14</v>
      </c>
      <c r="F202" t="str">
        <f>VLOOKUP(G202, Map!$A$1:$B$33, 2, FALSE)</f>
        <v>TB</v>
      </c>
      <c r="G202" t="s">
        <v>141</v>
      </c>
      <c r="H202" t="str">
        <f>VLOOKUP(I202, Map!$A$1:$B$33, 2, FALSE)</f>
        <v>NO</v>
      </c>
      <c r="I202" t="s">
        <v>168</v>
      </c>
      <c r="J202">
        <v>0</v>
      </c>
      <c r="K202">
        <v>0</v>
      </c>
      <c r="L202">
        <v>0</v>
      </c>
      <c r="M202">
        <v>0</v>
      </c>
      <c r="N202">
        <v>6</v>
      </c>
      <c r="O202">
        <v>2</v>
      </c>
      <c r="P202">
        <v>22.25</v>
      </c>
      <c r="Q202">
        <v>24.625</v>
      </c>
      <c r="R202">
        <v>19</v>
      </c>
      <c r="S202">
        <v>1</v>
      </c>
      <c r="T202">
        <v>0.75</v>
      </c>
      <c r="U202">
        <v>2</v>
      </c>
      <c r="V202">
        <v>0</v>
      </c>
      <c r="W202">
        <v>2</v>
      </c>
      <c r="X202">
        <v>1</v>
      </c>
      <c r="Y202">
        <v>4</v>
      </c>
      <c r="Z202">
        <v>1</v>
      </c>
      <c r="AA202">
        <v>4</v>
      </c>
      <c r="AB202">
        <v>2</v>
      </c>
      <c r="AC202">
        <v>8</v>
      </c>
      <c r="AD202">
        <v>9</v>
      </c>
      <c r="AE202">
        <v>4</v>
      </c>
      <c r="AF202">
        <v>12</v>
      </c>
      <c r="AG202">
        <v>59</v>
      </c>
      <c r="AH202">
        <v>0</v>
      </c>
      <c r="AI202">
        <v>1</v>
      </c>
      <c r="AJ202">
        <v>7</v>
      </c>
      <c r="AK202">
        <v>26.125</v>
      </c>
      <c r="AL202">
        <v>16</v>
      </c>
      <c r="AM202">
        <v>-81</v>
      </c>
      <c r="AN202">
        <v>-3</v>
      </c>
      <c r="AO202">
        <v>0.125</v>
      </c>
      <c r="AP202">
        <v>0</v>
      </c>
      <c r="AQ202">
        <v>1</v>
      </c>
      <c r="AR202">
        <v>1</v>
      </c>
      <c r="AS202">
        <v>4</v>
      </c>
      <c r="AT202">
        <v>0</v>
      </c>
      <c r="AU202">
        <v>3</v>
      </c>
      <c r="AV202">
        <v>1</v>
      </c>
      <c r="AW202">
        <v>5</v>
      </c>
      <c r="AX202">
        <v>7</v>
      </c>
      <c r="AY202">
        <v>10</v>
      </c>
      <c r="AZ202">
        <v>7</v>
      </c>
      <c r="BA202">
        <v>10</v>
      </c>
      <c r="BB202">
        <v>64</v>
      </c>
      <c r="BC202">
        <v>0</v>
      </c>
      <c r="BD202">
        <v>0</v>
      </c>
      <c r="BE202">
        <v>0</v>
      </c>
      <c r="BF202">
        <v>0</v>
      </c>
      <c r="BG202">
        <v>79.039000000000001</v>
      </c>
      <c r="BH202">
        <v>35.56</v>
      </c>
      <c r="BI202">
        <v>20.794</v>
      </c>
      <c r="BJ202">
        <v>0</v>
      </c>
      <c r="BK202">
        <v>0</v>
      </c>
      <c r="BL202">
        <v>0</v>
      </c>
      <c r="BM202">
        <v>12.571999999999999</v>
      </c>
      <c r="BN202">
        <v>20.794</v>
      </c>
      <c r="BO202">
        <v>35.56</v>
      </c>
      <c r="BP202">
        <v>0</v>
      </c>
      <c r="BQ202">
        <v>79.039000000000001</v>
      </c>
      <c r="BR202">
        <v>-12.571999999999999</v>
      </c>
      <c r="BS202">
        <v>0</v>
      </c>
      <c r="BT202">
        <v>0</v>
      </c>
      <c r="BU202">
        <v>0</v>
      </c>
      <c r="BV202">
        <v>2769</v>
      </c>
      <c r="BW202">
        <v>63.941000000000003</v>
      </c>
      <c r="BX202">
        <v>224.875</v>
      </c>
      <c r="BY202">
        <v>29</v>
      </c>
      <c r="BZ202">
        <v>338</v>
      </c>
      <c r="CA202">
        <v>7.1340000000000003</v>
      </c>
      <c r="CB202">
        <v>950</v>
      </c>
      <c r="CC202">
        <v>98.125</v>
      </c>
      <c r="CD202">
        <v>3.8479999999999999</v>
      </c>
      <c r="CE202">
        <v>6</v>
      </c>
      <c r="CF202">
        <v>3234</v>
      </c>
      <c r="CG202">
        <v>13</v>
      </c>
      <c r="CH202">
        <v>239.875</v>
      </c>
      <c r="CI202">
        <v>11.157</v>
      </c>
      <c r="CJ202">
        <v>7.8</v>
      </c>
      <c r="CK202">
        <v>6.8</v>
      </c>
      <c r="CL202">
        <v>2</v>
      </c>
      <c r="CM202">
        <v>25</v>
      </c>
      <c r="CN202">
        <v>0</v>
      </c>
      <c r="CO202">
        <v>94.117999999999995</v>
      </c>
      <c r="CP202">
        <v>80.951999999999998</v>
      </c>
      <c r="CQ202">
        <v>17</v>
      </c>
      <c r="CR202">
        <v>67</v>
      </c>
      <c r="CS202">
        <v>14.667</v>
      </c>
      <c r="CT202">
        <v>32</v>
      </c>
      <c r="CU202">
        <v>12</v>
      </c>
      <c r="CV202">
        <v>14</v>
      </c>
      <c r="CW202">
        <v>13</v>
      </c>
      <c r="CX202">
        <v>197</v>
      </c>
      <c r="CY202">
        <v>18.875</v>
      </c>
      <c r="CZ202">
        <v>50</v>
      </c>
      <c r="DA202">
        <v>36.274999999999999</v>
      </c>
      <c r="DB202">
        <v>55.19</v>
      </c>
      <c r="DC202">
        <v>7</v>
      </c>
      <c r="DD202">
        <v>2083</v>
      </c>
      <c r="DE202">
        <v>66.206999999999994</v>
      </c>
      <c r="DF202">
        <v>201.375</v>
      </c>
      <c r="DG202">
        <v>13</v>
      </c>
      <c r="DH202">
        <v>310.25</v>
      </c>
      <c r="DI202">
        <v>5.976</v>
      </c>
      <c r="DJ202">
        <v>779</v>
      </c>
      <c r="DK202">
        <v>93.625</v>
      </c>
      <c r="DL202">
        <v>3.7829999999999999</v>
      </c>
      <c r="DM202">
        <v>3</v>
      </c>
      <c r="DN202">
        <v>2973</v>
      </c>
      <c r="DO202">
        <v>8</v>
      </c>
      <c r="DP202">
        <v>216.625</v>
      </c>
      <c r="DQ202">
        <v>9.0259999999999998</v>
      </c>
      <c r="DR202">
        <v>6.0590000000000002</v>
      </c>
      <c r="DS202">
        <v>4.7779999999999996</v>
      </c>
      <c r="DT202">
        <v>1</v>
      </c>
      <c r="DU202">
        <v>17</v>
      </c>
      <c r="DV202">
        <v>0</v>
      </c>
      <c r="DW202">
        <v>100</v>
      </c>
      <c r="DX202">
        <v>71.429000000000002</v>
      </c>
      <c r="DY202">
        <v>15</v>
      </c>
      <c r="DZ202">
        <v>56</v>
      </c>
      <c r="EA202">
        <v>15.25</v>
      </c>
      <c r="EB202">
        <v>7</v>
      </c>
      <c r="EC202">
        <v>27</v>
      </c>
      <c r="ED202">
        <v>6</v>
      </c>
      <c r="EE202">
        <v>8</v>
      </c>
      <c r="EF202">
        <v>128</v>
      </c>
      <c r="EG202">
        <v>19.125</v>
      </c>
      <c r="EH202">
        <v>33.332999999999998</v>
      </c>
      <c r="EI202">
        <v>38.835000000000001</v>
      </c>
      <c r="EJ202">
        <v>61.22</v>
      </c>
      <c r="EK202">
        <v>-2</v>
      </c>
    </row>
    <row r="203" spans="1:141" x14ac:dyDescent="0.25">
      <c r="A203">
        <v>0</v>
      </c>
      <c r="B203">
        <v>0</v>
      </c>
      <c r="C203">
        <v>0</v>
      </c>
      <c r="D203">
        <v>2025</v>
      </c>
      <c r="E203">
        <v>14</v>
      </c>
      <c r="F203" t="str">
        <f>VLOOKUP(G203, Map!$A$1:$B$33, 2, FALSE)</f>
        <v>JAX</v>
      </c>
      <c r="G203" t="s">
        <v>139</v>
      </c>
      <c r="H203" t="str">
        <f>VLOOKUP(I203, Map!$A$1:$B$33, 2, FALSE)</f>
        <v>IND</v>
      </c>
      <c r="I203" t="s">
        <v>138</v>
      </c>
      <c r="J203">
        <v>0</v>
      </c>
      <c r="K203">
        <v>0</v>
      </c>
      <c r="L203">
        <v>0</v>
      </c>
      <c r="M203">
        <v>0</v>
      </c>
      <c r="N203">
        <v>4</v>
      </c>
      <c r="O203">
        <v>3</v>
      </c>
      <c r="P203">
        <v>22.142856999999999</v>
      </c>
      <c r="Q203">
        <v>20.857143000000001</v>
      </c>
      <c r="R203">
        <v>-9</v>
      </c>
      <c r="S203">
        <v>-2</v>
      </c>
      <c r="T203">
        <v>0.57142859999999995</v>
      </c>
      <c r="U203">
        <v>1</v>
      </c>
      <c r="V203">
        <v>0</v>
      </c>
      <c r="W203">
        <v>3</v>
      </c>
      <c r="X203">
        <v>2</v>
      </c>
      <c r="Y203">
        <v>1</v>
      </c>
      <c r="Z203">
        <v>1</v>
      </c>
      <c r="AA203">
        <v>2</v>
      </c>
      <c r="AB203">
        <v>1</v>
      </c>
      <c r="AC203">
        <v>10</v>
      </c>
      <c r="AD203">
        <v>8</v>
      </c>
      <c r="AE203">
        <v>9</v>
      </c>
      <c r="AF203">
        <v>9</v>
      </c>
      <c r="AG203">
        <v>58</v>
      </c>
      <c r="AH203">
        <v>0</v>
      </c>
      <c r="AI203">
        <v>7</v>
      </c>
      <c r="AJ203">
        <v>1</v>
      </c>
      <c r="AK203">
        <v>19.25</v>
      </c>
      <c r="AL203">
        <v>33.75</v>
      </c>
      <c r="AM203">
        <v>116</v>
      </c>
      <c r="AN203">
        <v>4</v>
      </c>
      <c r="AO203">
        <v>0.875</v>
      </c>
      <c r="AP203">
        <v>2</v>
      </c>
      <c r="AQ203">
        <v>0</v>
      </c>
      <c r="AR203">
        <v>5</v>
      </c>
      <c r="AS203">
        <v>0</v>
      </c>
      <c r="AT203">
        <v>2</v>
      </c>
      <c r="AU203">
        <v>1</v>
      </c>
      <c r="AV203">
        <v>6</v>
      </c>
      <c r="AW203">
        <v>0</v>
      </c>
      <c r="AX203">
        <v>4</v>
      </c>
      <c r="AY203">
        <v>12</v>
      </c>
      <c r="AZ203">
        <v>6</v>
      </c>
      <c r="BA203">
        <v>11</v>
      </c>
      <c r="BB203">
        <v>68</v>
      </c>
      <c r="BC203">
        <v>0</v>
      </c>
      <c r="BD203">
        <v>0</v>
      </c>
      <c r="BE203">
        <v>0</v>
      </c>
      <c r="BF203">
        <v>0</v>
      </c>
      <c r="BG203">
        <v>39.238</v>
      </c>
      <c r="BH203">
        <v>65.55</v>
      </c>
      <c r="BI203">
        <v>60.447000000000003</v>
      </c>
      <c r="BJ203">
        <v>0</v>
      </c>
      <c r="BK203">
        <v>0</v>
      </c>
      <c r="BL203">
        <v>0</v>
      </c>
      <c r="BM203">
        <v>-3.8519999999999999</v>
      </c>
      <c r="BN203">
        <v>60.447000000000003</v>
      </c>
      <c r="BO203">
        <v>65.55</v>
      </c>
      <c r="BP203">
        <v>0</v>
      </c>
      <c r="BQ203">
        <v>39.238</v>
      </c>
      <c r="BR203">
        <v>3.8519999999999999</v>
      </c>
      <c r="BS203">
        <v>0</v>
      </c>
      <c r="BT203">
        <v>0</v>
      </c>
      <c r="BU203">
        <v>0</v>
      </c>
      <c r="BV203">
        <v>2100</v>
      </c>
      <c r="BW203">
        <v>58.686999999999998</v>
      </c>
      <c r="BX203">
        <v>215.14285000000001</v>
      </c>
      <c r="BY203">
        <v>21</v>
      </c>
      <c r="BZ203">
        <v>351.14285000000001</v>
      </c>
      <c r="CA203">
        <v>6.2549999999999999</v>
      </c>
      <c r="CB203">
        <v>1033</v>
      </c>
      <c r="CC203">
        <v>119.714</v>
      </c>
      <c r="CD203">
        <v>4.6820000000000004</v>
      </c>
      <c r="CE203">
        <v>6</v>
      </c>
      <c r="CF203">
        <v>2695</v>
      </c>
      <c r="CG203">
        <v>9</v>
      </c>
      <c r="CH203">
        <v>231.429</v>
      </c>
      <c r="CI203">
        <v>10.657999999999999</v>
      </c>
      <c r="CJ203">
        <v>7.375</v>
      </c>
      <c r="CK203">
        <v>3.1880000000000002</v>
      </c>
      <c r="CL203">
        <v>2</v>
      </c>
      <c r="CM203">
        <v>8</v>
      </c>
      <c r="CN203">
        <v>0</v>
      </c>
      <c r="CO203">
        <v>93.332999999999998</v>
      </c>
      <c r="CP203">
        <v>71.429000000000002</v>
      </c>
      <c r="CQ203">
        <v>10</v>
      </c>
      <c r="CR203">
        <v>44</v>
      </c>
      <c r="CS203">
        <v>4.4290000000000003</v>
      </c>
      <c r="CT203">
        <v>30</v>
      </c>
      <c r="CU203">
        <v>10</v>
      </c>
      <c r="CV203">
        <v>12</v>
      </c>
      <c r="CW203">
        <v>9</v>
      </c>
      <c r="CX203">
        <v>146</v>
      </c>
      <c r="CY203">
        <v>19.143000000000001</v>
      </c>
      <c r="CZ203">
        <v>53.332999999999998</v>
      </c>
      <c r="DA203">
        <v>32.978999999999999</v>
      </c>
      <c r="DB203">
        <v>59.74</v>
      </c>
      <c r="DC203">
        <v>8</v>
      </c>
      <c r="DD203">
        <v>2891</v>
      </c>
      <c r="DE203">
        <v>70.161000000000001</v>
      </c>
      <c r="DF203">
        <v>250.875</v>
      </c>
      <c r="DG203">
        <v>23</v>
      </c>
      <c r="DH203">
        <v>393.25</v>
      </c>
      <c r="DI203">
        <v>8.3510000000000009</v>
      </c>
      <c r="DJ203">
        <v>1690</v>
      </c>
      <c r="DK203">
        <v>134.375</v>
      </c>
      <c r="DL203">
        <v>5.0229999999999997</v>
      </c>
      <c r="DM203">
        <v>18</v>
      </c>
      <c r="DN203">
        <v>3396</v>
      </c>
      <c r="DO203">
        <v>13</v>
      </c>
      <c r="DP203">
        <v>258.875</v>
      </c>
      <c r="DQ203">
        <v>11.901999999999999</v>
      </c>
      <c r="DR203">
        <v>6.8259999999999996</v>
      </c>
      <c r="DS203">
        <v>6.0910000000000002</v>
      </c>
      <c r="DT203">
        <v>1</v>
      </c>
      <c r="DU203">
        <v>23</v>
      </c>
      <c r="DV203">
        <v>0</v>
      </c>
      <c r="DW203">
        <v>96.296000000000006</v>
      </c>
      <c r="DX203">
        <v>94.117999999999995</v>
      </c>
      <c r="DY203">
        <v>16</v>
      </c>
      <c r="DZ203">
        <v>74</v>
      </c>
      <c r="EA203">
        <v>4.25</v>
      </c>
      <c r="EB203">
        <v>8</v>
      </c>
      <c r="EC203">
        <v>16</v>
      </c>
      <c r="ED203">
        <v>6</v>
      </c>
      <c r="EE203">
        <v>13</v>
      </c>
      <c r="EF203">
        <v>270</v>
      </c>
      <c r="EG203">
        <v>23.25</v>
      </c>
      <c r="EH203">
        <v>83.332999999999998</v>
      </c>
      <c r="EI203">
        <v>45.348999999999997</v>
      </c>
      <c r="EJ203">
        <v>77.069999999999993</v>
      </c>
      <c r="EK203">
        <v>8</v>
      </c>
    </row>
    <row r="204" spans="1:141" x14ac:dyDescent="0.25">
      <c r="A204">
        <v>0</v>
      </c>
      <c r="B204">
        <v>0</v>
      </c>
      <c r="C204">
        <v>0</v>
      </c>
      <c r="D204">
        <v>2025</v>
      </c>
      <c r="E204">
        <v>14</v>
      </c>
      <c r="F204" t="str">
        <f>VLOOKUP(G204, Map!$A$1:$B$33, 2, FALSE)</f>
        <v>BAL</v>
      </c>
      <c r="G204" t="s">
        <v>146</v>
      </c>
      <c r="H204" t="str">
        <f>VLOOKUP(I204, Map!$A$1:$B$33, 2, FALSE)</f>
        <v>PIT</v>
      </c>
      <c r="I204" t="s">
        <v>145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5</v>
      </c>
      <c r="P204">
        <v>30</v>
      </c>
      <c r="Q204">
        <v>24.857143000000001</v>
      </c>
      <c r="R204">
        <v>-36</v>
      </c>
      <c r="S204">
        <v>1</v>
      </c>
      <c r="T204">
        <v>0.28571429999999998</v>
      </c>
      <c r="U204">
        <v>1</v>
      </c>
      <c r="V204">
        <v>0</v>
      </c>
      <c r="W204">
        <v>2</v>
      </c>
      <c r="X204">
        <v>3</v>
      </c>
      <c r="Y204">
        <v>0</v>
      </c>
      <c r="Z204">
        <v>2</v>
      </c>
      <c r="AA204">
        <v>1</v>
      </c>
      <c r="AB204">
        <v>3</v>
      </c>
      <c r="AC204">
        <v>10</v>
      </c>
      <c r="AD204">
        <v>7</v>
      </c>
      <c r="AE204">
        <v>7</v>
      </c>
      <c r="AF204">
        <v>9</v>
      </c>
      <c r="AG204">
        <v>61</v>
      </c>
      <c r="AH204">
        <v>0</v>
      </c>
      <c r="AI204">
        <v>4</v>
      </c>
      <c r="AJ204">
        <v>3</v>
      </c>
      <c r="AK204">
        <v>25</v>
      </c>
      <c r="AL204">
        <v>25</v>
      </c>
      <c r="AM204">
        <v>0</v>
      </c>
      <c r="AN204">
        <v>-2</v>
      </c>
      <c r="AO204">
        <v>0.57142859999999995</v>
      </c>
      <c r="AP204">
        <v>1</v>
      </c>
      <c r="AQ204">
        <v>1</v>
      </c>
      <c r="AR204">
        <v>2</v>
      </c>
      <c r="AS204">
        <v>2</v>
      </c>
      <c r="AT204">
        <v>2</v>
      </c>
      <c r="AU204">
        <v>1</v>
      </c>
      <c r="AV204">
        <v>3</v>
      </c>
      <c r="AW204">
        <v>1</v>
      </c>
      <c r="AX204">
        <v>9</v>
      </c>
      <c r="AY204">
        <v>8</v>
      </c>
      <c r="AZ204">
        <v>10</v>
      </c>
      <c r="BA204">
        <v>6</v>
      </c>
      <c r="BB204">
        <v>66</v>
      </c>
      <c r="BC204">
        <v>0</v>
      </c>
      <c r="BD204">
        <v>0</v>
      </c>
      <c r="BE204">
        <v>0</v>
      </c>
      <c r="BF204">
        <v>0</v>
      </c>
      <c r="BG204">
        <v>63.335999999999999</v>
      </c>
      <c r="BH204">
        <v>64.81</v>
      </c>
      <c r="BI204">
        <v>36.372</v>
      </c>
      <c r="BJ204">
        <v>0</v>
      </c>
      <c r="BK204">
        <v>0</v>
      </c>
      <c r="BL204">
        <v>0</v>
      </c>
      <c r="BM204">
        <v>5.0650000000000004</v>
      </c>
      <c r="BN204">
        <v>36.372</v>
      </c>
      <c r="BO204">
        <v>64.81</v>
      </c>
      <c r="BP204">
        <v>0</v>
      </c>
      <c r="BQ204">
        <v>63.335999999999999</v>
      </c>
      <c r="BR204">
        <v>-5.0650000000000004</v>
      </c>
      <c r="BS204">
        <v>0</v>
      </c>
      <c r="BT204">
        <v>0</v>
      </c>
      <c r="BU204">
        <v>0</v>
      </c>
      <c r="BV204">
        <v>2046</v>
      </c>
      <c r="BW204">
        <v>69.73</v>
      </c>
      <c r="BX204">
        <v>182.28572</v>
      </c>
      <c r="BY204">
        <v>19</v>
      </c>
      <c r="BZ204">
        <v>337.14285000000001</v>
      </c>
      <c r="CA204">
        <v>7.7080000000000002</v>
      </c>
      <c r="CB204">
        <v>1139</v>
      </c>
      <c r="CC204">
        <v>133.429</v>
      </c>
      <c r="CD204">
        <v>5.2770000000000001</v>
      </c>
      <c r="CE204">
        <v>8</v>
      </c>
      <c r="CF204">
        <v>2456</v>
      </c>
      <c r="CG204">
        <v>11</v>
      </c>
      <c r="CH204">
        <v>203.714</v>
      </c>
      <c r="CI204">
        <v>11.054</v>
      </c>
      <c r="CJ204">
        <v>6.8890000000000002</v>
      </c>
      <c r="CK204">
        <v>2.4089999999999998</v>
      </c>
      <c r="CL204">
        <v>1</v>
      </c>
      <c r="CM204">
        <v>9</v>
      </c>
      <c r="CN204">
        <v>0</v>
      </c>
      <c r="CO204">
        <v>94.736999999999995</v>
      </c>
      <c r="CP204">
        <v>92.308000000000007</v>
      </c>
      <c r="CQ204">
        <v>12</v>
      </c>
      <c r="CR204">
        <v>54</v>
      </c>
      <c r="CS204">
        <v>5.8330000000000002</v>
      </c>
      <c r="CT204">
        <v>19</v>
      </c>
      <c r="CU204">
        <v>8</v>
      </c>
      <c r="CV204">
        <v>6</v>
      </c>
      <c r="CW204">
        <v>11</v>
      </c>
      <c r="CX204">
        <v>174</v>
      </c>
      <c r="CY204">
        <v>18.143000000000001</v>
      </c>
      <c r="CZ204">
        <v>38.462000000000003</v>
      </c>
      <c r="DA204">
        <v>40.506</v>
      </c>
      <c r="DB204">
        <v>52.38</v>
      </c>
      <c r="DC204">
        <v>-6</v>
      </c>
      <c r="DD204">
        <v>2471</v>
      </c>
      <c r="DE204">
        <v>68.570999999999998</v>
      </c>
      <c r="DF204">
        <v>202.85714999999999</v>
      </c>
      <c r="DG204">
        <v>20</v>
      </c>
      <c r="DH204">
        <v>308.71429999999998</v>
      </c>
      <c r="DI204">
        <v>7.1479999999999997</v>
      </c>
      <c r="DJ204">
        <v>750</v>
      </c>
      <c r="DK204">
        <v>94.286000000000001</v>
      </c>
      <c r="DL204">
        <v>4.0739999999999998</v>
      </c>
      <c r="DM204">
        <v>3</v>
      </c>
      <c r="DN204">
        <v>2781</v>
      </c>
      <c r="DO204">
        <v>16</v>
      </c>
      <c r="DP204">
        <v>214.429</v>
      </c>
      <c r="DQ204">
        <v>10.423999999999999</v>
      </c>
      <c r="DR204">
        <v>6.4089999999999998</v>
      </c>
      <c r="DS204">
        <v>7.4379999999999997</v>
      </c>
      <c r="DT204">
        <v>0</v>
      </c>
      <c r="DU204">
        <v>22</v>
      </c>
      <c r="DV204">
        <v>0</v>
      </c>
      <c r="DW204">
        <v>100</v>
      </c>
      <c r="DX204">
        <v>87.5</v>
      </c>
      <c r="DY204">
        <v>14</v>
      </c>
      <c r="DZ204">
        <v>59</v>
      </c>
      <c r="EA204">
        <v>8.25</v>
      </c>
      <c r="EB204">
        <v>8</v>
      </c>
      <c r="EC204">
        <v>23</v>
      </c>
      <c r="ED204">
        <v>0</v>
      </c>
      <c r="EE204">
        <v>16</v>
      </c>
      <c r="EF204">
        <v>175</v>
      </c>
      <c r="EG204">
        <v>17.428999999999998</v>
      </c>
      <c r="EH204">
        <v>50</v>
      </c>
      <c r="EI204">
        <v>38.960999999999999</v>
      </c>
      <c r="EJ204">
        <v>75.94</v>
      </c>
      <c r="EK204">
        <v>4</v>
      </c>
    </row>
    <row r="205" spans="1:141" x14ac:dyDescent="0.25">
      <c r="A205">
        <v>0</v>
      </c>
      <c r="B205">
        <v>0</v>
      </c>
      <c r="C205">
        <v>0</v>
      </c>
      <c r="D205">
        <v>2025</v>
      </c>
      <c r="E205">
        <v>14</v>
      </c>
      <c r="F205" t="str">
        <f>VLOOKUP(G205, Map!$A$1:$B$33, 2, FALSE)</f>
        <v>LV</v>
      </c>
      <c r="G205" t="s">
        <v>157</v>
      </c>
      <c r="H205" t="str">
        <f>VLOOKUP(I205, Map!$A$1:$B$33, 2, FALSE)</f>
        <v>DEN</v>
      </c>
      <c r="I205" t="s">
        <v>159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5</v>
      </c>
      <c r="P205">
        <v>25.714285</v>
      </c>
      <c r="Q205">
        <v>14.714286</v>
      </c>
      <c r="R205">
        <v>-77</v>
      </c>
      <c r="S205">
        <v>-1</v>
      </c>
      <c r="T205">
        <v>0.28571429999999998</v>
      </c>
      <c r="U205">
        <v>0</v>
      </c>
      <c r="V205">
        <v>2</v>
      </c>
      <c r="W205">
        <v>1</v>
      </c>
      <c r="X205">
        <v>2</v>
      </c>
      <c r="Y205">
        <v>1</v>
      </c>
      <c r="Z205">
        <v>3</v>
      </c>
      <c r="AA205">
        <v>2</v>
      </c>
      <c r="AB205">
        <v>3</v>
      </c>
      <c r="AC205">
        <v>6</v>
      </c>
      <c r="AD205">
        <v>10</v>
      </c>
      <c r="AE205">
        <v>8</v>
      </c>
      <c r="AF205">
        <v>8</v>
      </c>
      <c r="AG205">
        <v>56</v>
      </c>
      <c r="AH205">
        <v>0</v>
      </c>
      <c r="AI205">
        <v>6</v>
      </c>
      <c r="AJ205">
        <v>2</v>
      </c>
      <c r="AK205">
        <v>18.875</v>
      </c>
      <c r="AL205">
        <v>25.875</v>
      </c>
      <c r="AM205">
        <v>56</v>
      </c>
      <c r="AN205">
        <v>5</v>
      </c>
      <c r="AO205">
        <v>0.75</v>
      </c>
      <c r="AP205">
        <v>0</v>
      </c>
      <c r="AQ205">
        <v>1</v>
      </c>
      <c r="AR205">
        <v>4</v>
      </c>
      <c r="AS205">
        <v>0</v>
      </c>
      <c r="AT205">
        <v>2</v>
      </c>
      <c r="AU205">
        <v>2</v>
      </c>
      <c r="AV205">
        <v>3</v>
      </c>
      <c r="AW205">
        <v>2</v>
      </c>
      <c r="AX205">
        <v>4</v>
      </c>
      <c r="AY205">
        <v>12</v>
      </c>
      <c r="AZ205">
        <v>7</v>
      </c>
      <c r="BA205">
        <v>9</v>
      </c>
      <c r="BB205">
        <v>63</v>
      </c>
      <c r="BC205">
        <v>0</v>
      </c>
      <c r="BD205">
        <v>0</v>
      </c>
      <c r="BE205">
        <v>0</v>
      </c>
      <c r="BF205">
        <v>0</v>
      </c>
      <c r="BG205">
        <v>32.99</v>
      </c>
      <c r="BH205">
        <v>47.838999999999999</v>
      </c>
      <c r="BI205">
        <v>66.745000000000005</v>
      </c>
      <c r="BJ205">
        <v>0</v>
      </c>
      <c r="BK205">
        <v>0</v>
      </c>
      <c r="BL205">
        <v>0</v>
      </c>
      <c r="BM205">
        <v>-6.8209999999999997</v>
      </c>
      <c r="BN205">
        <v>66.745000000000005</v>
      </c>
      <c r="BO205">
        <v>47.838999999999999</v>
      </c>
      <c r="BP205">
        <v>0</v>
      </c>
      <c r="BQ205">
        <v>32.99</v>
      </c>
      <c r="BR205">
        <v>6.8209999999999997</v>
      </c>
      <c r="BS205">
        <v>0</v>
      </c>
      <c r="BT205">
        <v>0</v>
      </c>
      <c r="BU205">
        <v>0</v>
      </c>
      <c r="BV205">
        <v>1570</v>
      </c>
      <c r="BW205">
        <v>66.176000000000002</v>
      </c>
      <c r="BX205">
        <v>182.71428</v>
      </c>
      <c r="BY205">
        <v>19</v>
      </c>
      <c r="BZ205">
        <v>297.28570000000002</v>
      </c>
      <c r="CA205">
        <v>6.7649999999999997</v>
      </c>
      <c r="CB205">
        <v>731</v>
      </c>
      <c r="CC205">
        <v>93.713999999999999</v>
      </c>
      <c r="CD205">
        <v>3.859</v>
      </c>
      <c r="CE205">
        <v>3</v>
      </c>
      <c r="CF205">
        <v>2345</v>
      </c>
      <c r="CG205">
        <v>7</v>
      </c>
      <c r="CH205">
        <v>203.571</v>
      </c>
      <c r="CI205">
        <v>10.222</v>
      </c>
      <c r="CJ205">
        <v>6.7329999999999997</v>
      </c>
      <c r="CK205">
        <v>3.0710000000000002</v>
      </c>
      <c r="CL205">
        <v>0</v>
      </c>
      <c r="CM205">
        <v>15</v>
      </c>
      <c r="CN205">
        <v>0</v>
      </c>
      <c r="CO205">
        <v>100</v>
      </c>
      <c r="CP205">
        <v>78.570999999999998</v>
      </c>
      <c r="CQ205">
        <v>11</v>
      </c>
      <c r="CR205">
        <v>41</v>
      </c>
      <c r="CS205">
        <v>15.333</v>
      </c>
      <c r="CT205">
        <v>26</v>
      </c>
      <c r="CU205">
        <v>8</v>
      </c>
      <c r="CV205">
        <v>0</v>
      </c>
      <c r="CW205">
        <v>7</v>
      </c>
      <c r="CX205">
        <v>103</v>
      </c>
      <c r="CY205">
        <v>15.856999999999999</v>
      </c>
      <c r="CZ205">
        <v>45.454999999999998</v>
      </c>
      <c r="DA205">
        <v>37.930999999999997</v>
      </c>
      <c r="DB205">
        <v>53.17</v>
      </c>
      <c r="DC205">
        <v>-5</v>
      </c>
      <c r="DD205">
        <v>2703</v>
      </c>
      <c r="DE205">
        <v>62.807000000000002</v>
      </c>
      <c r="DF205">
        <v>219.125</v>
      </c>
      <c r="DG205">
        <v>22</v>
      </c>
      <c r="DH205">
        <v>363.125</v>
      </c>
      <c r="DI205">
        <v>6.3259999999999996</v>
      </c>
      <c r="DJ205">
        <v>1407</v>
      </c>
      <c r="DK205">
        <v>137.75</v>
      </c>
      <c r="DL205">
        <v>5.0090000000000003</v>
      </c>
      <c r="DM205">
        <v>10</v>
      </c>
      <c r="DN205">
        <v>3223</v>
      </c>
      <c r="DO205">
        <v>15</v>
      </c>
      <c r="DP205">
        <v>225.375</v>
      </c>
      <c r="DQ205">
        <v>10.073</v>
      </c>
      <c r="DR205">
        <v>6.0279999999999996</v>
      </c>
      <c r="DS205">
        <v>90.5</v>
      </c>
      <c r="DT205">
        <v>0</v>
      </c>
      <c r="DU205">
        <v>36</v>
      </c>
      <c r="DV205">
        <v>0</v>
      </c>
      <c r="DW205">
        <v>100</v>
      </c>
      <c r="DX205">
        <v>90.909000000000006</v>
      </c>
      <c r="DY205">
        <v>10</v>
      </c>
      <c r="DZ205">
        <v>51</v>
      </c>
      <c r="EA205">
        <v>10.467000000000001</v>
      </c>
      <c r="EB205">
        <v>18</v>
      </c>
      <c r="EC205">
        <v>38</v>
      </c>
      <c r="ED205">
        <v>0</v>
      </c>
      <c r="EE205">
        <v>15</v>
      </c>
      <c r="EF205">
        <v>207</v>
      </c>
      <c r="EG205">
        <v>20.75</v>
      </c>
      <c r="EH205">
        <v>50</v>
      </c>
      <c r="EI205">
        <v>37.863999999999997</v>
      </c>
      <c r="EJ205">
        <v>73.02</v>
      </c>
      <c r="EK205">
        <v>-1</v>
      </c>
    </row>
    <row r="206" spans="1:141" x14ac:dyDescent="0.25">
      <c r="A206">
        <v>0</v>
      </c>
      <c r="B206">
        <v>0</v>
      </c>
      <c r="C206">
        <v>0</v>
      </c>
      <c r="D206">
        <v>2025</v>
      </c>
      <c r="E206">
        <v>14</v>
      </c>
      <c r="F206" t="str">
        <f>VLOOKUP(G206, Map!$A$1:$B$33, 2, FALSE)</f>
        <v>BUF</v>
      </c>
      <c r="G206" t="s">
        <v>165</v>
      </c>
      <c r="H206" t="str">
        <f>VLOOKUP(I206, Map!$A$1:$B$33, 2, FALSE)</f>
        <v>CIN</v>
      </c>
      <c r="I206" t="s">
        <v>161</v>
      </c>
      <c r="J206">
        <v>0</v>
      </c>
      <c r="K206">
        <v>0</v>
      </c>
      <c r="L206">
        <v>0</v>
      </c>
      <c r="M206">
        <v>0</v>
      </c>
      <c r="N206">
        <v>5</v>
      </c>
      <c r="O206">
        <v>2</v>
      </c>
      <c r="P206">
        <v>20.857143000000001</v>
      </c>
      <c r="Q206">
        <v>29.571428000000001</v>
      </c>
      <c r="R206">
        <v>61</v>
      </c>
      <c r="S206">
        <v>1</v>
      </c>
      <c r="T206">
        <v>0.71428572999999995</v>
      </c>
      <c r="U206">
        <v>2</v>
      </c>
      <c r="V206">
        <v>1</v>
      </c>
      <c r="W206">
        <v>3</v>
      </c>
      <c r="X206">
        <v>1</v>
      </c>
      <c r="Y206">
        <v>2</v>
      </c>
      <c r="Z206">
        <v>1</v>
      </c>
      <c r="AA206">
        <v>3</v>
      </c>
      <c r="AB206">
        <v>1</v>
      </c>
      <c r="AC206">
        <v>14</v>
      </c>
      <c r="AD206">
        <v>4</v>
      </c>
      <c r="AE206">
        <v>8</v>
      </c>
      <c r="AF206">
        <v>9</v>
      </c>
      <c r="AG206">
        <v>68</v>
      </c>
      <c r="AH206">
        <v>0</v>
      </c>
      <c r="AI206">
        <v>3</v>
      </c>
      <c r="AJ206">
        <v>5</v>
      </c>
      <c r="AK206">
        <v>31.625</v>
      </c>
      <c r="AL206">
        <v>21.75</v>
      </c>
      <c r="AM206">
        <v>-79</v>
      </c>
      <c r="AN206">
        <v>-1</v>
      </c>
      <c r="AO206">
        <v>0.375</v>
      </c>
      <c r="AP206">
        <v>2</v>
      </c>
      <c r="AQ206">
        <v>0</v>
      </c>
      <c r="AR206">
        <v>2</v>
      </c>
      <c r="AS206">
        <v>2</v>
      </c>
      <c r="AT206">
        <v>1</v>
      </c>
      <c r="AU206">
        <v>3</v>
      </c>
      <c r="AV206">
        <v>3</v>
      </c>
      <c r="AW206">
        <v>2</v>
      </c>
      <c r="AX206">
        <v>14</v>
      </c>
      <c r="AY206">
        <v>4</v>
      </c>
      <c r="AZ206">
        <v>13</v>
      </c>
      <c r="BA206">
        <v>5</v>
      </c>
      <c r="BB206">
        <v>59</v>
      </c>
      <c r="BC206">
        <v>0</v>
      </c>
      <c r="BD206">
        <v>0</v>
      </c>
      <c r="BE206">
        <v>0</v>
      </c>
      <c r="BF206">
        <v>0</v>
      </c>
      <c r="BG206">
        <v>75.088999999999999</v>
      </c>
      <c r="BH206">
        <v>69.468999999999994</v>
      </c>
      <c r="BI206">
        <v>24.713000000000001</v>
      </c>
      <c r="BJ206">
        <v>0</v>
      </c>
      <c r="BK206">
        <v>0</v>
      </c>
      <c r="BL206">
        <v>0</v>
      </c>
      <c r="BM206">
        <v>10.443</v>
      </c>
      <c r="BN206">
        <v>24.713000000000001</v>
      </c>
      <c r="BO206">
        <v>69.468999999999994</v>
      </c>
      <c r="BP206">
        <v>0</v>
      </c>
      <c r="BQ206">
        <v>75.088999999999999</v>
      </c>
      <c r="BR206">
        <v>-10.443</v>
      </c>
      <c r="BS206">
        <v>0</v>
      </c>
      <c r="BT206">
        <v>0</v>
      </c>
      <c r="BU206">
        <v>0</v>
      </c>
      <c r="BV206">
        <v>2334</v>
      </c>
      <c r="BW206">
        <v>67.488</v>
      </c>
      <c r="BX206">
        <v>218.42857000000001</v>
      </c>
      <c r="BY206">
        <v>22</v>
      </c>
      <c r="BZ206">
        <v>395</v>
      </c>
      <c r="CA206">
        <v>7.9509999999999996</v>
      </c>
      <c r="CB206">
        <v>1576</v>
      </c>
      <c r="CC206">
        <v>164.429</v>
      </c>
      <c r="CD206">
        <v>5.2080000000000002</v>
      </c>
      <c r="CE206">
        <v>13</v>
      </c>
      <c r="CF206">
        <v>2719</v>
      </c>
      <c r="CG206">
        <v>12</v>
      </c>
      <c r="CH206">
        <v>230.571</v>
      </c>
      <c r="CI206">
        <v>11.781000000000001</v>
      </c>
      <c r="CJ206">
        <v>5.8639999999999999</v>
      </c>
      <c r="CK206">
        <v>5.35</v>
      </c>
      <c r="CL206">
        <v>0</v>
      </c>
      <c r="CM206">
        <v>22</v>
      </c>
      <c r="CN206">
        <v>0</v>
      </c>
      <c r="CO206">
        <v>95.454999999999998</v>
      </c>
      <c r="CP206">
        <v>92.308000000000007</v>
      </c>
      <c r="CQ206">
        <v>12</v>
      </c>
      <c r="CR206">
        <v>57</v>
      </c>
      <c r="CS206">
        <v>8</v>
      </c>
      <c r="CT206">
        <v>22</v>
      </c>
      <c r="CU206">
        <v>10</v>
      </c>
      <c r="CV206">
        <v>0</v>
      </c>
      <c r="CW206">
        <v>12</v>
      </c>
      <c r="CX206">
        <v>207</v>
      </c>
      <c r="CY206">
        <v>23.143000000000001</v>
      </c>
      <c r="CZ206">
        <v>60</v>
      </c>
      <c r="DA206">
        <v>43.75</v>
      </c>
      <c r="DB206">
        <v>73.47</v>
      </c>
      <c r="DC206">
        <v>2</v>
      </c>
      <c r="DD206">
        <v>2540</v>
      </c>
      <c r="DE206">
        <v>63.636000000000003</v>
      </c>
      <c r="DF206">
        <v>202</v>
      </c>
      <c r="DG206">
        <v>15</v>
      </c>
      <c r="DH206">
        <v>299.125</v>
      </c>
      <c r="DI206">
        <v>6.0490000000000004</v>
      </c>
      <c r="DJ206">
        <v>793</v>
      </c>
      <c r="DK206">
        <v>82.875</v>
      </c>
      <c r="DL206">
        <v>4.3049999999999997</v>
      </c>
      <c r="DM206">
        <v>5</v>
      </c>
      <c r="DN206">
        <v>3165</v>
      </c>
      <c r="DO206">
        <v>15</v>
      </c>
      <c r="DP206">
        <v>216.25</v>
      </c>
      <c r="DQ206">
        <v>9.5050000000000008</v>
      </c>
      <c r="DR206">
        <v>5.2729999999999997</v>
      </c>
      <c r="DS206">
        <v>3.3570000000000002</v>
      </c>
      <c r="DT206">
        <v>0</v>
      </c>
      <c r="DU206">
        <v>11</v>
      </c>
      <c r="DV206">
        <v>0</v>
      </c>
      <c r="DW206">
        <v>100</v>
      </c>
      <c r="DX206">
        <v>84.614999999999995</v>
      </c>
      <c r="DY206">
        <v>11</v>
      </c>
      <c r="DZ206">
        <v>52</v>
      </c>
      <c r="EA206">
        <v>11.523999999999999</v>
      </c>
      <c r="EB206">
        <v>11</v>
      </c>
      <c r="EC206">
        <v>37</v>
      </c>
      <c r="ED206">
        <v>0</v>
      </c>
      <c r="EE206">
        <v>15</v>
      </c>
      <c r="EF206">
        <v>174</v>
      </c>
      <c r="EG206">
        <v>18.5</v>
      </c>
      <c r="EH206">
        <v>80</v>
      </c>
      <c r="EI206">
        <v>39.393999999999998</v>
      </c>
      <c r="EJ206">
        <v>79.87</v>
      </c>
      <c r="EK206">
        <v>-2</v>
      </c>
    </row>
    <row r="207" spans="1:141" x14ac:dyDescent="0.25">
      <c r="A207">
        <v>0</v>
      </c>
      <c r="B207">
        <v>0</v>
      </c>
      <c r="C207">
        <v>0</v>
      </c>
      <c r="D207">
        <v>2025</v>
      </c>
      <c r="E207">
        <v>14</v>
      </c>
      <c r="F207" t="str">
        <f>VLOOKUP(G207, Map!$A$1:$B$33, 2, FALSE)</f>
        <v>ARI</v>
      </c>
      <c r="G207" t="s">
        <v>156</v>
      </c>
      <c r="H207" t="str">
        <f>VLOOKUP(I207, Map!$A$1:$B$33, 2, FALSE)</f>
        <v>LA</v>
      </c>
      <c r="I207" t="s">
        <v>155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5</v>
      </c>
      <c r="P207">
        <v>22</v>
      </c>
      <c r="Q207">
        <v>21.857143000000001</v>
      </c>
      <c r="R207">
        <v>-1</v>
      </c>
      <c r="S207">
        <v>-5</v>
      </c>
      <c r="T207">
        <v>0.28571429999999998</v>
      </c>
      <c r="U207">
        <v>0</v>
      </c>
      <c r="V207">
        <v>2</v>
      </c>
      <c r="W207">
        <v>1</v>
      </c>
      <c r="X207">
        <v>3</v>
      </c>
      <c r="Y207">
        <v>1</v>
      </c>
      <c r="Z207">
        <v>2</v>
      </c>
      <c r="AA207">
        <v>2</v>
      </c>
      <c r="AB207">
        <v>3</v>
      </c>
      <c r="AC207">
        <v>4</v>
      </c>
      <c r="AD207">
        <v>12</v>
      </c>
      <c r="AE207">
        <v>8</v>
      </c>
      <c r="AF207">
        <v>8</v>
      </c>
      <c r="AG207">
        <v>69</v>
      </c>
      <c r="AH207">
        <v>0</v>
      </c>
      <c r="AI207">
        <v>5</v>
      </c>
      <c r="AJ207">
        <v>2</v>
      </c>
      <c r="AK207">
        <v>16.714285</v>
      </c>
      <c r="AL207">
        <v>25</v>
      </c>
      <c r="AM207">
        <v>58</v>
      </c>
      <c r="AN207">
        <v>2</v>
      </c>
      <c r="AO207">
        <v>0.71428572999999995</v>
      </c>
      <c r="AP207">
        <v>0</v>
      </c>
      <c r="AQ207">
        <v>1</v>
      </c>
      <c r="AR207">
        <v>2</v>
      </c>
      <c r="AS207">
        <v>1</v>
      </c>
      <c r="AT207">
        <v>3</v>
      </c>
      <c r="AU207">
        <v>1</v>
      </c>
      <c r="AV207">
        <v>0</v>
      </c>
      <c r="AW207">
        <v>2</v>
      </c>
      <c r="AX207">
        <v>5</v>
      </c>
      <c r="AY207">
        <v>11</v>
      </c>
      <c r="AZ207">
        <v>5</v>
      </c>
      <c r="BA207">
        <v>9</v>
      </c>
      <c r="BB207">
        <v>57</v>
      </c>
      <c r="BC207">
        <v>0</v>
      </c>
      <c r="BD207">
        <v>0</v>
      </c>
      <c r="BE207">
        <v>0</v>
      </c>
      <c r="BF207">
        <v>0</v>
      </c>
      <c r="BG207">
        <v>40.719000000000001</v>
      </c>
      <c r="BH207">
        <v>62.499000000000002</v>
      </c>
      <c r="BI207">
        <v>58.954000000000001</v>
      </c>
      <c r="BJ207">
        <v>0</v>
      </c>
      <c r="BK207">
        <v>0</v>
      </c>
      <c r="BL207">
        <v>0</v>
      </c>
      <c r="BM207">
        <v>-3.746</v>
      </c>
      <c r="BN207">
        <v>58.954000000000001</v>
      </c>
      <c r="BO207">
        <v>62.499000000000002</v>
      </c>
      <c r="BP207">
        <v>0</v>
      </c>
      <c r="BQ207">
        <v>40.719000000000001</v>
      </c>
      <c r="BR207">
        <v>3.746</v>
      </c>
      <c r="BS207">
        <v>0</v>
      </c>
      <c r="BT207">
        <v>0</v>
      </c>
      <c r="BU207">
        <v>0</v>
      </c>
      <c r="BV207">
        <v>2113</v>
      </c>
      <c r="BW207">
        <v>66.941999999999993</v>
      </c>
      <c r="BX207">
        <v>199.85714999999999</v>
      </c>
      <c r="BY207">
        <v>18</v>
      </c>
      <c r="BZ207">
        <v>333.42856</v>
      </c>
      <c r="CA207">
        <v>6.335</v>
      </c>
      <c r="CB207">
        <v>888</v>
      </c>
      <c r="CC207">
        <v>110.429</v>
      </c>
      <c r="CD207">
        <v>4.4169999999999998</v>
      </c>
      <c r="CE207">
        <v>5</v>
      </c>
      <c r="CF207">
        <v>2721</v>
      </c>
      <c r="CG207">
        <v>10</v>
      </c>
      <c r="CH207">
        <v>223</v>
      </c>
      <c r="CI207">
        <v>9.4629999999999992</v>
      </c>
      <c r="CJ207">
        <v>6.6669999999999998</v>
      </c>
      <c r="CK207">
        <v>3.238</v>
      </c>
      <c r="CL207">
        <v>1</v>
      </c>
      <c r="CM207">
        <v>12</v>
      </c>
      <c r="CN207">
        <v>0</v>
      </c>
      <c r="CO207">
        <v>100</v>
      </c>
      <c r="CP207">
        <v>86.667000000000002</v>
      </c>
      <c r="CQ207">
        <v>13</v>
      </c>
      <c r="CR207">
        <v>55</v>
      </c>
      <c r="CS207">
        <v>8.25</v>
      </c>
      <c r="CT207">
        <v>25</v>
      </c>
      <c r="CU207">
        <v>9</v>
      </c>
      <c r="CV207">
        <v>8</v>
      </c>
      <c r="CW207">
        <v>10</v>
      </c>
      <c r="CX207">
        <v>153</v>
      </c>
      <c r="CY207">
        <v>19</v>
      </c>
      <c r="CZ207">
        <v>57.143000000000001</v>
      </c>
      <c r="DA207">
        <v>44.792000000000002</v>
      </c>
      <c r="DB207">
        <v>63.49</v>
      </c>
      <c r="DC207">
        <v>-1</v>
      </c>
      <c r="DD207">
        <v>2996</v>
      </c>
      <c r="DE207">
        <v>65.843999999999994</v>
      </c>
      <c r="DF207">
        <v>256.71429999999998</v>
      </c>
      <c r="DG207">
        <v>30</v>
      </c>
      <c r="DH207">
        <v>370</v>
      </c>
      <c r="DI207">
        <v>7.6790000000000003</v>
      </c>
      <c r="DJ207">
        <v>789</v>
      </c>
      <c r="DK207">
        <v>103.429</v>
      </c>
      <c r="DL207">
        <v>4.1369999999999996</v>
      </c>
      <c r="DM207">
        <v>4</v>
      </c>
      <c r="DN207">
        <v>3261</v>
      </c>
      <c r="DO207">
        <v>17</v>
      </c>
      <c r="DP207">
        <v>266.57100000000003</v>
      </c>
      <c r="DQ207">
        <v>11.663</v>
      </c>
      <c r="DR207">
        <v>6.577</v>
      </c>
      <c r="DS207">
        <v>16.111000000000001</v>
      </c>
      <c r="DT207">
        <v>0</v>
      </c>
      <c r="DU207">
        <v>26</v>
      </c>
      <c r="DV207">
        <v>0</v>
      </c>
      <c r="DW207">
        <v>90.475999999999999</v>
      </c>
      <c r="DX207">
        <v>71.429000000000002</v>
      </c>
      <c r="DY207">
        <v>10</v>
      </c>
      <c r="DZ207">
        <v>49</v>
      </c>
      <c r="EA207">
        <v>14.2</v>
      </c>
      <c r="EB207">
        <v>11</v>
      </c>
      <c r="EC207">
        <v>22</v>
      </c>
      <c r="ED207">
        <v>0</v>
      </c>
      <c r="EE207">
        <v>17</v>
      </c>
      <c r="EF207">
        <v>175</v>
      </c>
      <c r="EG207">
        <v>22</v>
      </c>
      <c r="EH207">
        <v>66.667000000000002</v>
      </c>
      <c r="EI207">
        <v>37.661999999999999</v>
      </c>
      <c r="EJ207">
        <v>65.239999999999995</v>
      </c>
      <c r="EK207">
        <v>3</v>
      </c>
    </row>
    <row r="208" spans="1:141" x14ac:dyDescent="0.25">
      <c r="A208">
        <v>0</v>
      </c>
      <c r="B208">
        <v>0</v>
      </c>
      <c r="C208">
        <v>0</v>
      </c>
      <c r="D208">
        <v>2025</v>
      </c>
      <c r="E208">
        <v>14</v>
      </c>
      <c r="F208" t="str">
        <f>VLOOKUP(G208, Map!$A$1:$B$33, 2, FALSE)</f>
        <v>KC</v>
      </c>
      <c r="G208" t="s">
        <v>158</v>
      </c>
      <c r="H208" t="str">
        <f>VLOOKUP(I208, Map!$A$1:$B$33, 2, FALSE)</f>
        <v>HOU</v>
      </c>
      <c r="I208" t="s">
        <v>137</v>
      </c>
      <c r="J208">
        <v>0</v>
      </c>
      <c r="K208">
        <v>0</v>
      </c>
      <c r="L208">
        <v>0</v>
      </c>
      <c r="M208">
        <v>0</v>
      </c>
      <c r="N208">
        <v>5</v>
      </c>
      <c r="O208">
        <v>3</v>
      </c>
      <c r="P208">
        <v>16.375</v>
      </c>
      <c r="Q208">
        <v>26.75</v>
      </c>
      <c r="R208">
        <v>83</v>
      </c>
      <c r="S208">
        <v>3</v>
      </c>
      <c r="T208">
        <v>0.625</v>
      </c>
      <c r="U208">
        <v>1</v>
      </c>
      <c r="V208">
        <v>1</v>
      </c>
      <c r="W208">
        <v>4</v>
      </c>
      <c r="X208">
        <v>1</v>
      </c>
      <c r="Y208">
        <v>1</v>
      </c>
      <c r="Z208">
        <v>2</v>
      </c>
      <c r="AA208">
        <v>2</v>
      </c>
      <c r="AB208">
        <v>2</v>
      </c>
      <c r="AC208">
        <v>16</v>
      </c>
      <c r="AD208">
        <v>3</v>
      </c>
      <c r="AE208">
        <v>7</v>
      </c>
      <c r="AF208">
        <v>11</v>
      </c>
      <c r="AG208">
        <v>65</v>
      </c>
      <c r="AH208">
        <v>0</v>
      </c>
      <c r="AI208">
        <v>3</v>
      </c>
      <c r="AJ208">
        <v>4</v>
      </c>
      <c r="AK208">
        <v>14.714286</v>
      </c>
      <c r="AL208">
        <v>21.857143000000001</v>
      </c>
      <c r="AM208">
        <v>50</v>
      </c>
      <c r="AN208">
        <v>1</v>
      </c>
      <c r="AO208">
        <v>0.42857142999999998</v>
      </c>
      <c r="AP208">
        <v>1</v>
      </c>
      <c r="AQ208">
        <v>1</v>
      </c>
      <c r="AR208">
        <v>2</v>
      </c>
      <c r="AS208">
        <v>1</v>
      </c>
      <c r="AT208">
        <v>1</v>
      </c>
      <c r="AU208">
        <v>3</v>
      </c>
      <c r="AV208">
        <v>2</v>
      </c>
      <c r="AW208">
        <v>1</v>
      </c>
      <c r="AX208">
        <v>3</v>
      </c>
      <c r="AY208">
        <v>13</v>
      </c>
      <c r="AZ208">
        <v>8</v>
      </c>
      <c r="BA208">
        <v>8</v>
      </c>
      <c r="BB208">
        <v>69</v>
      </c>
      <c r="BC208">
        <v>0</v>
      </c>
      <c r="BD208">
        <v>0</v>
      </c>
      <c r="BE208">
        <v>0</v>
      </c>
      <c r="BF208">
        <v>0</v>
      </c>
      <c r="BG208">
        <v>71.944000000000003</v>
      </c>
      <c r="BH208">
        <v>79.137</v>
      </c>
      <c r="BI208">
        <v>27.832999999999998</v>
      </c>
      <c r="BJ208">
        <v>0</v>
      </c>
      <c r="BK208">
        <v>0</v>
      </c>
      <c r="BL208">
        <v>0</v>
      </c>
      <c r="BM208">
        <v>9.1590000000000007</v>
      </c>
      <c r="BN208">
        <v>27.832999999999998</v>
      </c>
      <c r="BO208">
        <v>79.137</v>
      </c>
      <c r="BP208">
        <v>0</v>
      </c>
      <c r="BQ208">
        <v>71.944000000000003</v>
      </c>
      <c r="BR208">
        <v>-9.1590000000000007</v>
      </c>
      <c r="BS208">
        <v>0</v>
      </c>
      <c r="BT208">
        <v>0</v>
      </c>
      <c r="BU208">
        <v>0</v>
      </c>
      <c r="BV208">
        <v>3149</v>
      </c>
      <c r="BW208">
        <v>67.021000000000001</v>
      </c>
      <c r="BX208">
        <v>251.75</v>
      </c>
      <c r="BY208">
        <v>25</v>
      </c>
      <c r="BZ208">
        <v>388.875</v>
      </c>
      <c r="CA208">
        <v>7.3719999999999999</v>
      </c>
      <c r="CB208">
        <v>1327</v>
      </c>
      <c r="CC208">
        <v>126.5</v>
      </c>
      <c r="CD208">
        <v>4.4980000000000002</v>
      </c>
      <c r="CE208">
        <v>9</v>
      </c>
      <c r="CF208">
        <v>3639</v>
      </c>
      <c r="CG208">
        <v>17</v>
      </c>
      <c r="CH208">
        <v>262.375</v>
      </c>
      <c r="CI208">
        <v>11</v>
      </c>
      <c r="CJ208">
        <v>4</v>
      </c>
      <c r="CK208">
        <v>3.4</v>
      </c>
      <c r="CL208">
        <v>0</v>
      </c>
      <c r="CM208">
        <v>17</v>
      </c>
      <c r="CN208">
        <v>0</v>
      </c>
      <c r="CO208">
        <v>88</v>
      </c>
      <c r="CP208">
        <v>80</v>
      </c>
      <c r="CQ208">
        <v>12</v>
      </c>
      <c r="CR208">
        <v>58</v>
      </c>
      <c r="CS208">
        <v>8.3330000000000002</v>
      </c>
      <c r="CT208">
        <v>19</v>
      </c>
      <c r="CU208">
        <v>11</v>
      </c>
      <c r="CV208">
        <v>0</v>
      </c>
      <c r="CW208">
        <v>17</v>
      </c>
      <c r="CX208">
        <v>214</v>
      </c>
      <c r="CY208">
        <v>23.625</v>
      </c>
      <c r="CZ208">
        <v>82.352999999999994</v>
      </c>
      <c r="DA208">
        <v>44</v>
      </c>
      <c r="DB208">
        <v>78.150000000000006</v>
      </c>
      <c r="DC208">
        <v>5</v>
      </c>
      <c r="DD208">
        <v>2266</v>
      </c>
      <c r="DE208">
        <v>66.525000000000006</v>
      </c>
      <c r="DF208">
        <v>215.28572</v>
      </c>
      <c r="DG208">
        <v>22</v>
      </c>
      <c r="DH208">
        <v>348.57144</v>
      </c>
      <c r="DI208">
        <v>6.9749999999999996</v>
      </c>
      <c r="DJ208">
        <v>869</v>
      </c>
      <c r="DK208">
        <v>113.429</v>
      </c>
      <c r="DL208">
        <v>4.2690000000000001</v>
      </c>
      <c r="DM208">
        <v>3</v>
      </c>
      <c r="DN208">
        <v>2816</v>
      </c>
      <c r="DO208">
        <v>11</v>
      </c>
      <c r="DP208">
        <v>235.143</v>
      </c>
      <c r="DQ208">
        <v>10.484</v>
      </c>
      <c r="DR208">
        <v>7.875</v>
      </c>
      <c r="DS208">
        <v>6.1109999999999998</v>
      </c>
      <c r="DT208">
        <v>1</v>
      </c>
      <c r="DU208">
        <v>16</v>
      </c>
      <c r="DV208">
        <v>0</v>
      </c>
      <c r="DW208">
        <v>100</v>
      </c>
      <c r="DX208">
        <v>89.474000000000004</v>
      </c>
      <c r="DY208">
        <v>17</v>
      </c>
      <c r="DZ208">
        <v>63</v>
      </c>
      <c r="EA208">
        <v>11.545</v>
      </c>
      <c r="EB208">
        <v>9</v>
      </c>
      <c r="EC208">
        <v>27</v>
      </c>
      <c r="ED208">
        <v>6</v>
      </c>
      <c r="EE208">
        <v>11</v>
      </c>
      <c r="EF208">
        <v>153</v>
      </c>
      <c r="EG208">
        <v>18.713999999999999</v>
      </c>
      <c r="EH208">
        <v>66.667000000000002</v>
      </c>
      <c r="EI208">
        <v>35.164999999999999</v>
      </c>
      <c r="EJ208">
        <v>60.15</v>
      </c>
      <c r="EK208">
        <v>4</v>
      </c>
    </row>
    <row r="209" spans="1:141" x14ac:dyDescent="0.25">
      <c r="A209">
        <v>0</v>
      </c>
      <c r="B209">
        <v>0</v>
      </c>
      <c r="C209">
        <v>0</v>
      </c>
      <c r="D209">
        <v>2025</v>
      </c>
      <c r="E209">
        <v>14</v>
      </c>
      <c r="F209" t="str">
        <f>VLOOKUP(G209, Map!$A$1:$B$33, 2, FALSE)</f>
        <v>LAC</v>
      </c>
      <c r="G209" t="s">
        <v>160</v>
      </c>
      <c r="H209" t="str">
        <f>VLOOKUP(I209, Map!$A$1:$B$33, 2, FALSE)</f>
        <v>PHI</v>
      </c>
      <c r="I209" t="s">
        <v>147</v>
      </c>
      <c r="J209">
        <v>0</v>
      </c>
      <c r="K209">
        <v>0</v>
      </c>
      <c r="L209">
        <v>0</v>
      </c>
      <c r="M209">
        <v>0</v>
      </c>
      <c r="N209">
        <v>5</v>
      </c>
      <c r="O209">
        <v>3</v>
      </c>
      <c r="P209">
        <v>21.625</v>
      </c>
      <c r="Q209">
        <v>23.5</v>
      </c>
      <c r="R209">
        <v>15</v>
      </c>
      <c r="S209">
        <v>1</v>
      </c>
      <c r="T209">
        <v>0.625</v>
      </c>
      <c r="U209">
        <v>3</v>
      </c>
      <c r="V209">
        <v>0</v>
      </c>
      <c r="W209">
        <v>3</v>
      </c>
      <c r="X209">
        <v>2</v>
      </c>
      <c r="Y209">
        <v>2</v>
      </c>
      <c r="Z209">
        <v>1</v>
      </c>
      <c r="AA209">
        <v>4</v>
      </c>
      <c r="AB209">
        <v>1</v>
      </c>
      <c r="AC209">
        <v>10</v>
      </c>
      <c r="AD209">
        <v>7</v>
      </c>
      <c r="AE209">
        <v>11</v>
      </c>
      <c r="AF209">
        <v>5</v>
      </c>
      <c r="AG209">
        <v>65</v>
      </c>
      <c r="AH209">
        <v>0</v>
      </c>
      <c r="AI209">
        <v>6</v>
      </c>
      <c r="AJ209">
        <v>2</v>
      </c>
      <c r="AK209">
        <v>23.125</v>
      </c>
      <c r="AL209">
        <v>26</v>
      </c>
      <c r="AM209">
        <v>23</v>
      </c>
      <c r="AN209">
        <v>2</v>
      </c>
      <c r="AO209">
        <v>0.75</v>
      </c>
      <c r="AP209">
        <v>2</v>
      </c>
      <c r="AQ209">
        <v>1</v>
      </c>
      <c r="AR209">
        <v>3</v>
      </c>
      <c r="AS209">
        <v>1</v>
      </c>
      <c r="AT209">
        <v>3</v>
      </c>
      <c r="AU209">
        <v>1</v>
      </c>
      <c r="AV209">
        <v>5</v>
      </c>
      <c r="AW209">
        <v>1</v>
      </c>
      <c r="AX209">
        <v>16</v>
      </c>
      <c r="AY209">
        <v>3</v>
      </c>
      <c r="AZ209">
        <v>10</v>
      </c>
      <c r="BA209">
        <v>9</v>
      </c>
      <c r="BB209">
        <v>63</v>
      </c>
      <c r="BC209">
        <v>0</v>
      </c>
      <c r="BD209">
        <v>0</v>
      </c>
      <c r="BE209">
        <v>0</v>
      </c>
      <c r="BF209">
        <v>0</v>
      </c>
      <c r="BG209">
        <v>49.798999999999999</v>
      </c>
      <c r="BH209">
        <v>79.176000000000002</v>
      </c>
      <c r="BI209">
        <v>49.801000000000002</v>
      </c>
      <c r="BJ209">
        <v>0</v>
      </c>
      <c r="BK209">
        <v>0</v>
      </c>
      <c r="BL209">
        <v>0</v>
      </c>
      <c r="BM209">
        <v>-0.28399999999999997</v>
      </c>
      <c r="BN209">
        <v>49.801000000000002</v>
      </c>
      <c r="BO209">
        <v>79.176000000000002</v>
      </c>
      <c r="BP209">
        <v>0</v>
      </c>
      <c r="BQ209">
        <v>49.798999999999999</v>
      </c>
      <c r="BR209">
        <v>0.28399999999999997</v>
      </c>
      <c r="BS209">
        <v>0</v>
      </c>
      <c r="BT209">
        <v>0</v>
      </c>
      <c r="BU209">
        <v>0</v>
      </c>
      <c r="BV209">
        <v>3094</v>
      </c>
      <c r="BW209">
        <v>68</v>
      </c>
      <c r="BX209">
        <v>255.375</v>
      </c>
      <c r="BY209">
        <v>26</v>
      </c>
      <c r="BZ209">
        <v>396.125</v>
      </c>
      <c r="CA209">
        <v>7.28</v>
      </c>
      <c r="CB209">
        <v>1030</v>
      </c>
      <c r="CC209">
        <v>123.125</v>
      </c>
      <c r="CD209">
        <v>4.8520000000000003</v>
      </c>
      <c r="CE209">
        <v>3</v>
      </c>
      <c r="CF209">
        <v>3764</v>
      </c>
      <c r="CG209">
        <v>16</v>
      </c>
      <c r="CH209">
        <v>273</v>
      </c>
      <c r="CI209">
        <v>10.706</v>
      </c>
      <c r="CJ209">
        <v>5.5910000000000002</v>
      </c>
      <c r="CK209">
        <v>5.05</v>
      </c>
      <c r="CL209">
        <v>0</v>
      </c>
      <c r="CM209">
        <v>22</v>
      </c>
      <c r="CN209">
        <v>0</v>
      </c>
      <c r="CO209">
        <v>100</v>
      </c>
      <c r="CP209">
        <v>94.736999999999995</v>
      </c>
      <c r="CQ209">
        <v>18</v>
      </c>
      <c r="CR209">
        <v>72</v>
      </c>
      <c r="CS209">
        <v>12.5</v>
      </c>
      <c r="CT209">
        <v>20</v>
      </c>
      <c r="CU209">
        <v>8</v>
      </c>
      <c r="CV209">
        <v>0</v>
      </c>
      <c r="CW209">
        <v>16</v>
      </c>
      <c r="CX209">
        <v>188</v>
      </c>
      <c r="CY209">
        <v>21.875</v>
      </c>
      <c r="CZ209">
        <v>70</v>
      </c>
      <c r="DA209">
        <v>48.673000000000002</v>
      </c>
      <c r="DB209">
        <v>61.73</v>
      </c>
      <c r="DC209">
        <v>-3</v>
      </c>
      <c r="DD209">
        <v>2679</v>
      </c>
      <c r="DE209">
        <v>70.233000000000004</v>
      </c>
      <c r="DF209">
        <v>192.75</v>
      </c>
      <c r="DG209">
        <v>23</v>
      </c>
      <c r="DH209">
        <v>321.25</v>
      </c>
      <c r="DI209">
        <v>7.7160000000000002</v>
      </c>
      <c r="DJ209">
        <v>1178</v>
      </c>
      <c r="DK209">
        <v>111.625</v>
      </c>
      <c r="DL209">
        <v>4.0960000000000001</v>
      </c>
      <c r="DM209">
        <v>9</v>
      </c>
      <c r="DN209">
        <v>2957</v>
      </c>
      <c r="DO209">
        <v>15</v>
      </c>
      <c r="DP209">
        <v>209.625</v>
      </c>
      <c r="DQ209">
        <v>10.987</v>
      </c>
      <c r="DR209">
        <v>4.75</v>
      </c>
      <c r="DS209">
        <v>3.75</v>
      </c>
      <c r="DT209">
        <v>3</v>
      </c>
      <c r="DU209">
        <v>16</v>
      </c>
      <c r="DV209">
        <v>0</v>
      </c>
      <c r="DW209">
        <v>100</v>
      </c>
      <c r="DX209">
        <v>77.778000000000006</v>
      </c>
      <c r="DY209">
        <v>7</v>
      </c>
      <c r="DZ209">
        <v>46</v>
      </c>
      <c r="EA209">
        <v>13.55</v>
      </c>
      <c r="EB209">
        <v>7</v>
      </c>
      <c r="EC209">
        <v>34</v>
      </c>
      <c r="ED209">
        <v>6</v>
      </c>
      <c r="EE209">
        <v>15</v>
      </c>
      <c r="EF209">
        <v>208</v>
      </c>
      <c r="EG209">
        <v>17.875</v>
      </c>
      <c r="EH209">
        <v>78.570999999999998</v>
      </c>
      <c r="EI209">
        <v>33.332999999999998</v>
      </c>
      <c r="EJ209">
        <v>87.14</v>
      </c>
      <c r="EK209">
        <v>4</v>
      </c>
    </row>
    <row r="210" spans="1:141" x14ac:dyDescent="0.25">
      <c r="A210">
        <v>0</v>
      </c>
      <c r="B210">
        <v>0</v>
      </c>
      <c r="C210">
        <v>0</v>
      </c>
      <c r="D210">
        <v>2025</v>
      </c>
      <c r="E210">
        <v>15</v>
      </c>
      <c r="F210" t="str">
        <f>VLOOKUP(G210, Map!$A$1:$B$33, 2, FALSE)</f>
        <v>TB</v>
      </c>
      <c r="G210" t="s">
        <v>141</v>
      </c>
      <c r="H210" t="str">
        <f>VLOOKUP(I210, Map!$A$1:$B$33, 2, FALSE)</f>
        <v>ATL</v>
      </c>
      <c r="I210" t="s">
        <v>167</v>
      </c>
      <c r="J210">
        <v>0</v>
      </c>
      <c r="K210">
        <v>0</v>
      </c>
      <c r="L210">
        <v>0</v>
      </c>
      <c r="M210">
        <v>0</v>
      </c>
      <c r="N210">
        <v>6</v>
      </c>
      <c r="O210">
        <v>2</v>
      </c>
      <c r="P210">
        <v>22.25</v>
      </c>
      <c r="Q210">
        <v>24.625</v>
      </c>
      <c r="R210">
        <v>19</v>
      </c>
      <c r="S210">
        <v>1</v>
      </c>
      <c r="T210">
        <v>0.75</v>
      </c>
      <c r="U210">
        <v>2</v>
      </c>
      <c r="V210">
        <v>0</v>
      </c>
      <c r="W210">
        <v>2</v>
      </c>
      <c r="X210">
        <v>1</v>
      </c>
      <c r="Y210">
        <v>4</v>
      </c>
      <c r="Z210">
        <v>1</v>
      </c>
      <c r="AA210">
        <v>4</v>
      </c>
      <c r="AB210">
        <v>2</v>
      </c>
      <c r="AC210">
        <v>8</v>
      </c>
      <c r="AD210">
        <v>9</v>
      </c>
      <c r="AE210">
        <v>4</v>
      </c>
      <c r="AF210">
        <v>12</v>
      </c>
      <c r="AG210">
        <v>59</v>
      </c>
      <c r="AH210">
        <v>0</v>
      </c>
      <c r="AI210">
        <v>3</v>
      </c>
      <c r="AJ210">
        <v>4</v>
      </c>
      <c r="AK210">
        <v>22</v>
      </c>
      <c r="AL210">
        <v>17.142856999999999</v>
      </c>
      <c r="AM210">
        <v>-34</v>
      </c>
      <c r="AN210">
        <v>-2</v>
      </c>
      <c r="AO210">
        <v>0.42857142999999998</v>
      </c>
      <c r="AP210">
        <v>0</v>
      </c>
      <c r="AQ210">
        <v>2</v>
      </c>
      <c r="AR210">
        <v>2</v>
      </c>
      <c r="AS210">
        <v>2</v>
      </c>
      <c r="AT210">
        <v>1</v>
      </c>
      <c r="AU210">
        <v>2</v>
      </c>
      <c r="AV210">
        <v>2</v>
      </c>
      <c r="AW210">
        <v>3</v>
      </c>
      <c r="AX210">
        <v>7</v>
      </c>
      <c r="AY210">
        <v>10</v>
      </c>
      <c r="AZ210">
        <v>9</v>
      </c>
      <c r="BA210">
        <v>8</v>
      </c>
      <c r="BB210">
        <v>64</v>
      </c>
      <c r="BC210">
        <v>0</v>
      </c>
      <c r="BD210">
        <v>0</v>
      </c>
      <c r="BE210">
        <v>0</v>
      </c>
      <c r="BF210">
        <v>0</v>
      </c>
      <c r="BG210">
        <v>65.167000000000002</v>
      </c>
      <c r="BH210">
        <v>44.347999999999999</v>
      </c>
      <c r="BI210">
        <v>34.555999999999997</v>
      </c>
      <c r="BJ210">
        <v>0</v>
      </c>
      <c r="BK210">
        <v>0</v>
      </c>
      <c r="BL210">
        <v>0</v>
      </c>
      <c r="BM210">
        <v>6.2009999999999996</v>
      </c>
      <c r="BN210">
        <v>34.555999999999997</v>
      </c>
      <c r="BO210">
        <v>44.347999999999999</v>
      </c>
      <c r="BP210">
        <v>0</v>
      </c>
      <c r="BQ210">
        <v>65.167000000000002</v>
      </c>
      <c r="BR210">
        <v>-6.2009999999999996</v>
      </c>
      <c r="BS210">
        <v>0</v>
      </c>
      <c r="BT210">
        <v>0</v>
      </c>
      <c r="BU210">
        <v>0</v>
      </c>
      <c r="BV210">
        <v>2769</v>
      </c>
      <c r="BW210">
        <v>63.941000000000003</v>
      </c>
      <c r="BX210">
        <v>224.875</v>
      </c>
      <c r="BY210">
        <v>29</v>
      </c>
      <c r="BZ210">
        <v>338</v>
      </c>
      <c r="CA210">
        <v>7.1340000000000003</v>
      </c>
      <c r="CB210">
        <v>950</v>
      </c>
      <c r="CC210">
        <v>98.125</v>
      </c>
      <c r="CD210">
        <v>3.8479999999999999</v>
      </c>
      <c r="CE210">
        <v>6</v>
      </c>
      <c r="CF210">
        <v>3234</v>
      </c>
      <c r="CG210">
        <v>13</v>
      </c>
      <c r="CH210">
        <v>239.875</v>
      </c>
      <c r="CI210">
        <v>11.157</v>
      </c>
      <c r="CJ210">
        <v>7.8</v>
      </c>
      <c r="CK210">
        <v>6.8</v>
      </c>
      <c r="CL210">
        <v>2</v>
      </c>
      <c r="CM210">
        <v>25</v>
      </c>
      <c r="CN210">
        <v>0</v>
      </c>
      <c r="CO210">
        <v>94.117999999999995</v>
      </c>
      <c r="CP210">
        <v>80.951999999999998</v>
      </c>
      <c r="CQ210">
        <v>17</v>
      </c>
      <c r="CR210">
        <v>67</v>
      </c>
      <c r="CS210">
        <v>14.667</v>
      </c>
      <c r="CT210">
        <v>32</v>
      </c>
      <c r="CU210">
        <v>12</v>
      </c>
      <c r="CV210">
        <v>14</v>
      </c>
      <c r="CW210">
        <v>13</v>
      </c>
      <c r="CX210">
        <v>197</v>
      </c>
      <c r="CY210">
        <v>18.875</v>
      </c>
      <c r="CZ210">
        <v>50</v>
      </c>
      <c r="DA210">
        <v>36.274999999999999</v>
      </c>
      <c r="DB210">
        <v>55.19</v>
      </c>
      <c r="DC210">
        <v>7</v>
      </c>
      <c r="DD210">
        <v>1871</v>
      </c>
      <c r="DE210">
        <v>62.231999999999999</v>
      </c>
      <c r="DF210">
        <v>219.42857000000001</v>
      </c>
      <c r="DG210">
        <v>19</v>
      </c>
      <c r="DH210">
        <v>353.42856</v>
      </c>
      <c r="DI210">
        <v>6.9139999999999997</v>
      </c>
      <c r="DJ210">
        <v>1048</v>
      </c>
      <c r="DK210">
        <v>123.286</v>
      </c>
      <c r="DL210">
        <v>4.4029999999999996</v>
      </c>
      <c r="DM210">
        <v>7</v>
      </c>
      <c r="DN210">
        <v>2511</v>
      </c>
      <c r="DO210">
        <v>5</v>
      </c>
      <c r="DP210">
        <v>230.143</v>
      </c>
      <c r="DQ210">
        <v>11.11</v>
      </c>
      <c r="DR210">
        <v>5.9379999999999997</v>
      </c>
      <c r="DS210">
        <v>5.6429999999999998</v>
      </c>
      <c r="DT210">
        <v>0</v>
      </c>
      <c r="DU210">
        <v>16</v>
      </c>
      <c r="DV210">
        <v>0</v>
      </c>
      <c r="DW210">
        <v>100</v>
      </c>
      <c r="DX210">
        <v>75</v>
      </c>
      <c r="DY210">
        <v>12</v>
      </c>
      <c r="DZ210">
        <v>48</v>
      </c>
      <c r="EA210">
        <v>7.5380000000000003</v>
      </c>
      <c r="EB210">
        <v>9</v>
      </c>
      <c r="EC210">
        <v>22</v>
      </c>
      <c r="ED210">
        <v>0</v>
      </c>
      <c r="EE210">
        <v>5</v>
      </c>
      <c r="EF210">
        <v>120</v>
      </c>
      <c r="EG210">
        <v>19.286000000000001</v>
      </c>
      <c r="EH210">
        <v>40</v>
      </c>
      <c r="EI210">
        <v>39.326000000000001</v>
      </c>
      <c r="EJ210">
        <v>57.86</v>
      </c>
      <c r="EK210">
        <v>2</v>
      </c>
    </row>
    <row r="211" spans="1:141" x14ac:dyDescent="0.25">
      <c r="A211">
        <v>0</v>
      </c>
      <c r="B211">
        <v>0</v>
      </c>
      <c r="C211">
        <v>0</v>
      </c>
      <c r="D211">
        <v>2025</v>
      </c>
      <c r="E211">
        <v>15</v>
      </c>
      <c r="F211" t="str">
        <f>VLOOKUP(G211, Map!$A$1:$B$33, 2, FALSE)</f>
        <v>CHI</v>
      </c>
      <c r="G211" t="s">
        <v>163</v>
      </c>
      <c r="H211" t="str">
        <f>VLOOKUP(I211, Map!$A$1:$B$33, 2, FALSE)</f>
        <v>CLE</v>
      </c>
      <c r="I211" t="s">
        <v>162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3</v>
      </c>
      <c r="P211">
        <v>26.428571999999999</v>
      </c>
      <c r="Q211">
        <v>24</v>
      </c>
      <c r="R211">
        <v>-17</v>
      </c>
      <c r="S211">
        <v>-1</v>
      </c>
      <c r="T211">
        <v>0.57142859999999995</v>
      </c>
      <c r="U211">
        <v>0</v>
      </c>
      <c r="V211">
        <v>2</v>
      </c>
      <c r="W211">
        <v>2</v>
      </c>
      <c r="X211">
        <v>1</v>
      </c>
      <c r="Y211">
        <v>2</v>
      </c>
      <c r="Z211">
        <v>2</v>
      </c>
      <c r="AA211">
        <v>3</v>
      </c>
      <c r="AB211">
        <v>2</v>
      </c>
      <c r="AC211">
        <v>3</v>
      </c>
      <c r="AD211">
        <v>14</v>
      </c>
      <c r="AE211">
        <v>5</v>
      </c>
      <c r="AF211">
        <v>11</v>
      </c>
      <c r="AG211">
        <v>61</v>
      </c>
      <c r="AH211">
        <v>0</v>
      </c>
      <c r="AI211">
        <v>2</v>
      </c>
      <c r="AJ211">
        <v>6</v>
      </c>
      <c r="AK211">
        <v>23</v>
      </c>
      <c r="AL211">
        <v>15.75</v>
      </c>
      <c r="AM211">
        <v>-58</v>
      </c>
      <c r="AN211">
        <v>-1</v>
      </c>
      <c r="AO211">
        <v>0.25</v>
      </c>
      <c r="AP211">
        <v>0</v>
      </c>
      <c r="AQ211">
        <v>3</v>
      </c>
      <c r="AR211">
        <v>2</v>
      </c>
      <c r="AS211">
        <v>2</v>
      </c>
      <c r="AT211">
        <v>0</v>
      </c>
      <c r="AU211">
        <v>4</v>
      </c>
      <c r="AV211">
        <v>1</v>
      </c>
      <c r="AW211">
        <v>4</v>
      </c>
      <c r="AX211">
        <v>7</v>
      </c>
      <c r="AY211">
        <v>10</v>
      </c>
      <c r="AZ211">
        <v>8</v>
      </c>
      <c r="BA211">
        <v>9</v>
      </c>
      <c r="BB211">
        <v>61</v>
      </c>
      <c r="BC211">
        <v>0</v>
      </c>
      <c r="BD211">
        <v>0</v>
      </c>
      <c r="BE211">
        <v>0</v>
      </c>
      <c r="BF211">
        <v>0</v>
      </c>
      <c r="BG211">
        <v>73.286000000000001</v>
      </c>
      <c r="BH211">
        <v>31.52</v>
      </c>
      <c r="BI211">
        <v>26.501000000000001</v>
      </c>
      <c r="BJ211">
        <v>0</v>
      </c>
      <c r="BK211">
        <v>0</v>
      </c>
      <c r="BL211">
        <v>0</v>
      </c>
      <c r="BM211">
        <v>9.4760000000000009</v>
      </c>
      <c r="BN211">
        <v>26.501000000000001</v>
      </c>
      <c r="BO211">
        <v>31.52</v>
      </c>
      <c r="BP211">
        <v>0</v>
      </c>
      <c r="BQ211">
        <v>73.286000000000001</v>
      </c>
      <c r="BR211">
        <v>-9.4760000000000009</v>
      </c>
      <c r="BS211">
        <v>0</v>
      </c>
      <c r="BT211">
        <v>0</v>
      </c>
      <c r="BU211">
        <v>0</v>
      </c>
      <c r="BV211">
        <v>2157</v>
      </c>
      <c r="BW211">
        <v>61.947000000000003</v>
      </c>
      <c r="BX211">
        <v>225.57142999999999</v>
      </c>
      <c r="BY211">
        <v>26</v>
      </c>
      <c r="BZ211">
        <v>362.14285000000001</v>
      </c>
      <c r="CA211">
        <v>7.2880000000000003</v>
      </c>
      <c r="CB211">
        <v>1087</v>
      </c>
      <c r="CC211">
        <v>124.571</v>
      </c>
      <c r="CD211">
        <v>4.4039999999999999</v>
      </c>
      <c r="CE211">
        <v>7</v>
      </c>
      <c r="CF211">
        <v>2678</v>
      </c>
      <c r="CG211">
        <v>9</v>
      </c>
      <c r="CH211">
        <v>237.571</v>
      </c>
      <c r="CI211">
        <v>11.763999999999999</v>
      </c>
      <c r="CJ211">
        <v>4.5709999999999997</v>
      </c>
      <c r="CK211">
        <v>2.9409999999999998</v>
      </c>
      <c r="CL211">
        <v>1</v>
      </c>
      <c r="CM211">
        <v>14</v>
      </c>
      <c r="CN211">
        <v>0</v>
      </c>
      <c r="CO211">
        <v>100</v>
      </c>
      <c r="CP211">
        <v>85</v>
      </c>
      <c r="CQ211">
        <v>17</v>
      </c>
      <c r="CR211">
        <v>66</v>
      </c>
      <c r="CS211">
        <v>11.909000000000001</v>
      </c>
      <c r="CT211">
        <v>24</v>
      </c>
      <c r="CU211">
        <v>7</v>
      </c>
      <c r="CV211">
        <v>6</v>
      </c>
      <c r="CW211">
        <v>9</v>
      </c>
      <c r="CX211">
        <v>168</v>
      </c>
      <c r="CY211">
        <v>19.286000000000001</v>
      </c>
      <c r="CZ211">
        <v>37.5</v>
      </c>
      <c r="DA211">
        <v>41.110999999999997</v>
      </c>
      <c r="DB211">
        <v>57.14</v>
      </c>
      <c r="DC211">
        <v>10</v>
      </c>
      <c r="DD211">
        <v>1756</v>
      </c>
      <c r="DE211">
        <v>58.94</v>
      </c>
      <c r="DF211">
        <v>174.125</v>
      </c>
      <c r="DG211">
        <v>14</v>
      </c>
      <c r="DH211">
        <v>279.125</v>
      </c>
      <c r="DI211">
        <v>4.9870000000000001</v>
      </c>
      <c r="DJ211">
        <v>896</v>
      </c>
      <c r="DK211">
        <v>89.5</v>
      </c>
      <c r="DL211">
        <v>3.7679999999999998</v>
      </c>
      <c r="DM211">
        <v>6</v>
      </c>
      <c r="DN211">
        <v>2652</v>
      </c>
      <c r="DO211">
        <v>7</v>
      </c>
      <c r="DP211">
        <v>189.625</v>
      </c>
      <c r="DQ211">
        <v>8.4610000000000003</v>
      </c>
      <c r="DR211">
        <v>6.9169999999999998</v>
      </c>
      <c r="DS211">
        <v>4.3029999999999999</v>
      </c>
      <c r="DT211">
        <v>1</v>
      </c>
      <c r="DU211">
        <v>24</v>
      </c>
      <c r="DV211">
        <v>0</v>
      </c>
      <c r="DW211">
        <v>92.308000000000007</v>
      </c>
      <c r="DX211">
        <v>76.923000000000002</v>
      </c>
      <c r="DY211">
        <v>10</v>
      </c>
      <c r="DZ211">
        <v>42</v>
      </c>
      <c r="EA211">
        <v>11.412000000000001</v>
      </c>
      <c r="EB211">
        <v>16</v>
      </c>
      <c r="EC211">
        <v>42</v>
      </c>
      <c r="ED211">
        <v>6</v>
      </c>
      <c r="EE211">
        <v>7</v>
      </c>
      <c r="EF211">
        <v>126</v>
      </c>
      <c r="EG211">
        <v>16.75</v>
      </c>
      <c r="EH211">
        <v>57.895000000000003</v>
      </c>
      <c r="EI211">
        <v>33.042999999999999</v>
      </c>
      <c r="EJ211">
        <v>69.39</v>
      </c>
      <c r="EK211">
        <v>0</v>
      </c>
    </row>
    <row r="212" spans="1:141" x14ac:dyDescent="0.25">
      <c r="A212">
        <v>0</v>
      </c>
      <c r="B212">
        <v>0</v>
      </c>
      <c r="C212">
        <v>0</v>
      </c>
      <c r="D212">
        <v>2025</v>
      </c>
      <c r="E212">
        <v>15</v>
      </c>
      <c r="F212" t="str">
        <f>VLOOKUP(G212, Map!$A$1:$B$33, 2, FALSE)</f>
        <v>CIN</v>
      </c>
      <c r="G212" t="s">
        <v>161</v>
      </c>
      <c r="H212" t="str">
        <f>VLOOKUP(I212, Map!$A$1:$B$33, 2, FALSE)</f>
        <v>BAL</v>
      </c>
      <c r="I212" t="s">
        <v>146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5</v>
      </c>
      <c r="P212">
        <v>31.625</v>
      </c>
      <c r="Q212">
        <v>21.75</v>
      </c>
      <c r="R212">
        <v>-79</v>
      </c>
      <c r="S212">
        <v>-1</v>
      </c>
      <c r="T212">
        <v>0.375</v>
      </c>
      <c r="U212">
        <v>2</v>
      </c>
      <c r="V212">
        <v>0</v>
      </c>
      <c r="W212">
        <v>2</v>
      </c>
      <c r="X212">
        <v>2</v>
      </c>
      <c r="Y212">
        <v>1</v>
      </c>
      <c r="Z212">
        <v>3</v>
      </c>
      <c r="AA212">
        <v>3</v>
      </c>
      <c r="AB212">
        <v>2</v>
      </c>
      <c r="AC212">
        <v>14</v>
      </c>
      <c r="AD212">
        <v>4</v>
      </c>
      <c r="AE212">
        <v>13</v>
      </c>
      <c r="AF212">
        <v>5</v>
      </c>
      <c r="AG212">
        <v>59</v>
      </c>
      <c r="AH212">
        <v>0</v>
      </c>
      <c r="AI212">
        <v>2</v>
      </c>
      <c r="AJ212">
        <v>5</v>
      </c>
      <c r="AK212">
        <v>30</v>
      </c>
      <c r="AL212">
        <v>24.857143000000001</v>
      </c>
      <c r="AM212">
        <v>-36</v>
      </c>
      <c r="AN212">
        <v>1</v>
      </c>
      <c r="AO212">
        <v>0.28571429999999998</v>
      </c>
      <c r="AP212">
        <v>1</v>
      </c>
      <c r="AQ212">
        <v>0</v>
      </c>
      <c r="AR212">
        <v>2</v>
      </c>
      <c r="AS212">
        <v>3</v>
      </c>
      <c r="AT212">
        <v>0</v>
      </c>
      <c r="AU212">
        <v>2</v>
      </c>
      <c r="AV212">
        <v>1</v>
      </c>
      <c r="AW212">
        <v>3</v>
      </c>
      <c r="AX212">
        <v>10</v>
      </c>
      <c r="AY212">
        <v>7</v>
      </c>
      <c r="AZ212">
        <v>7</v>
      </c>
      <c r="BA212">
        <v>9</v>
      </c>
      <c r="BB212">
        <v>61</v>
      </c>
      <c r="BC212">
        <v>0</v>
      </c>
      <c r="BD212">
        <v>0</v>
      </c>
      <c r="BE212">
        <v>0</v>
      </c>
      <c r="BF212">
        <v>0</v>
      </c>
      <c r="BG212">
        <v>34.899000000000001</v>
      </c>
      <c r="BH212">
        <v>66.206000000000003</v>
      </c>
      <c r="BI212">
        <v>64.820999999999998</v>
      </c>
      <c r="BJ212">
        <v>0</v>
      </c>
      <c r="BK212">
        <v>0</v>
      </c>
      <c r="BL212">
        <v>0</v>
      </c>
      <c r="BM212">
        <v>-6.0590000000000002</v>
      </c>
      <c r="BN212">
        <v>64.820999999999998</v>
      </c>
      <c r="BO212">
        <v>66.206000000000003</v>
      </c>
      <c r="BP212">
        <v>0</v>
      </c>
      <c r="BQ212">
        <v>34.899000000000001</v>
      </c>
      <c r="BR212">
        <v>6.0590000000000002</v>
      </c>
      <c r="BS212">
        <v>0</v>
      </c>
      <c r="BT212">
        <v>0</v>
      </c>
      <c r="BU212">
        <v>0</v>
      </c>
      <c r="BV212">
        <v>2540</v>
      </c>
      <c r="BW212">
        <v>63.636000000000003</v>
      </c>
      <c r="BX212">
        <v>202</v>
      </c>
      <c r="BY212">
        <v>15</v>
      </c>
      <c r="BZ212">
        <v>299.125</v>
      </c>
      <c r="CA212">
        <v>6.0490000000000004</v>
      </c>
      <c r="CB212">
        <v>793</v>
      </c>
      <c r="CC212">
        <v>82.875</v>
      </c>
      <c r="CD212">
        <v>4.3049999999999997</v>
      </c>
      <c r="CE212">
        <v>5</v>
      </c>
      <c r="CF212">
        <v>3165</v>
      </c>
      <c r="CG212">
        <v>15</v>
      </c>
      <c r="CH212">
        <v>216.25</v>
      </c>
      <c r="CI212">
        <v>9.5050000000000008</v>
      </c>
      <c r="CJ212">
        <v>5.2729999999999997</v>
      </c>
      <c r="CK212">
        <v>3.3570000000000002</v>
      </c>
      <c r="CL212">
        <v>0</v>
      </c>
      <c r="CM212">
        <v>11</v>
      </c>
      <c r="CN212">
        <v>0</v>
      </c>
      <c r="CO212">
        <v>100</v>
      </c>
      <c r="CP212">
        <v>84.614999999999995</v>
      </c>
      <c r="CQ212">
        <v>11</v>
      </c>
      <c r="CR212">
        <v>52</v>
      </c>
      <c r="CS212">
        <v>11.523999999999999</v>
      </c>
      <c r="CT212">
        <v>37</v>
      </c>
      <c r="CU212">
        <v>11</v>
      </c>
      <c r="CV212">
        <v>0</v>
      </c>
      <c r="CW212">
        <v>15</v>
      </c>
      <c r="CX212">
        <v>174</v>
      </c>
      <c r="CY212">
        <v>18.5</v>
      </c>
      <c r="CZ212">
        <v>80</v>
      </c>
      <c r="DA212">
        <v>39.393999999999998</v>
      </c>
      <c r="DB212">
        <v>79.87</v>
      </c>
      <c r="DC212">
        <v>-2</v>
      </c>
      <c r="DD212">
        <v>2046</v>
      </c>
      <c r="DE212">
        <v>69.73</v>
      </c>
      <c r="DF212">
        <v>182.28572</v>
      </c>
      <c r="DG212">
        <v>19</v>
      </c>
      <c r="DH212">
        <v>337.14285000000001</v>
      </c>
      <c r="DI212">
        <v>7.7080000000000002</v>
      </c>
      <c r="DJ212">
        <v>1139</v>
      </c>
      <c r="DK212">
        <v>133.429</v>
      </c>
      <c r="DL212">
        <v>5.2770000000000001</v>
      </c>
      <c r="DM212">
        <v>8</v>
      </c>
      <c r="DN212">
        <v>2456</v>
      </c>
      <c r="DO212">
        <v>11</v>
      </c>
      <c r="DP212">
        <v>203.714</v>
      </c>
      <c r="DQ212">
        <v>11.054</v>
      </c>
      <c r="DR212">
        <v>6.8890000000000002</v>
      </c>
      <c r="DS212">
        <v>2.4089999999999998</v>
      </c>
      <c r="DT212">
        <v>1</v>
      </c>
      <c r="DU212">
        <v>9</v>
      </c>
      <c r="DV212">
        <v>0</v>
      </c>
      <c r="DW212">
        <v>94.736999999999995</v>
      </c>
      <c r="DX212">
        <v>92.308000000000007</v>
      </c>
      <c r="DY212">
        <v>12</v>
      </c>
      <c r="DZ212">
        <v>54</v>
      </c>
      <c r="EA212">
        <v>5.8330000000000002</v>
      </c>
      <c r="EB212">
        <v>8</v>
      </c>
      <c r="EC212">
        <v>19</v>
      </c>
      <c r="ED212">
        <v>6</v>
      </c>
      <c r="EE212">
        <v>11</v>
      </c>
      <c r="EF212">
        <v>174</v>
      </c>
      <c r="EG212">
        <v>18.143000000000001</v>
      </c>
      <c r="EH212">
        <v>38.462000000000003</v>
      </c>
      <c r="EI212">
        <v>40.506</v>
      </c>
      <c r="EJ212">
        <v>52.38</v>
      </c>
      <c r="EK212">
        <v>-6</v>
      </c>
    </row>
    <row r="213" spans="1:141" x14ac:dyDescent="0.25">
      <c r="A213">
        <v>0</v>
      </c>
      <c r="B213">
        <v>0</v>
      </c>
      <c r="C213">
        <v>0</v>
      </c>
      <c r="D213">
        <v>2025</v>
      </c>
      <c r="E213">
        <v>15</v>
      </c>
      <c r="F213" t="str">
        <f>VLOOKUP(G213, Map!$A$1:$B$33, 2, FALSE)</f>
        <v>KC</v>
      </c>
      <c r="G213" t="s">
        <v>158</v>
      </c>
      <c r="H213" t="str">
        <f>VLOOKUP(I213, Map!$A$1:$B$33, 2, FALSE)</f>
        <v>LAC</v>
      </c>
      <c r="I213" t="s">
        <v>160</v>
      </c>
      <c r="J213">
        <v>0</v>
      </c>
      <c r="K213">
        <v>0</v>
      </c>
      <c r="L213">
        <v>0</v>
      </c>
      <c r="M213">
        <v>0</v>
      </c>
      <c r="N213">
        <v>5</v>
      </c>
      <c r="O213">
        <v>3</v>
      </c>
      <c r="P213">
        <v>16.375</v>
      </c>
      <c r="Q213">
        <v>26.75</v>
      </c>
      <c r="R213">
        <v>83</v>
      </c>
      <c r="S213">
        <v>3</v>
      </c>
      <c r="T213">
        <v>0.625</v>
      </c>
      <c r="U213">
        <v>1</v>
      </c>
      <c r="V213">
        <v>1</v>
      </c>
      <c r="W213">
        <v>4</v>
      </c>
      <c r="X213">
        <v>1</v>
      </c>
      <c r="Y213">
        <v>1</v>
      </c>
      <c r="Z213">
        <v>2</v>
      </c>
      <c r="AA213">
        <v>2</v>
      </c>
      <c r="AB213">
        <v>2</v>
      </c>
      <c r="AC213">
        <v>16</v>
      </c>
      <c r="AD213">
        <v>3</v>
      </c>
      <c r="AE213">
        <v>7</v>
      </c>
      <c r="AF213">
        <v>11</v>
      </c>
      <c r="AG213">
        <v>65</v>
      </c>
      <c r="AH213">
        <v>0</v>
      </c>
      <c r="AI213">
        <v>5</v>
      </c>
      <c r="AJ213">
        <v>3</v>
      </c>
      <c r="AK213">
        <v>21.625</v>
      </c>
      <c r="AL213">
        <v>23.5</v>
      </c>
      <c r="AM213">
        <v>15</v>
      </c>
      <c r="AN213">
        <v>1</v>
      </c>
      <c r="AO213">
        <v>0.625</v>
      </c>
      <c r="AP213">
        <v>3</v>
      </c>
      <c r="AQ213">
        <v>0</v>
      </c>
      <c r="AR213">
        <v>3</v>
      </c>
      <c r="AS213">
        <v>2</v>
      </c>
      <c r="AT213">
        <v>2</v>
      </c>
      <c r="AU213">
        <v>1</v>
      </c>
      <c r="AV213">
        <v>4</v>
      </c>
      <c r="AW213">
        <v>1</v>
      </c>
      <c r="AX213">
        <v>10</v>
      </c>
      <c r="AY213">
        <v>7</v>
      </c>
      <c r="AZ213">
        <v>11</v>
      </c>
      <c r="BA213">
        <v>5</v>
      </c>
      <c r="BB213">
        <v>65</v>
      </c>
      <c r="BC213">
        <v>0</v>
      </c>
      <c r="BD213">
        <v>0</v>
      </c>
      <c r="BE213">
        <v>0</v>
      </c>
      <c r="BF213">
        <v>0</v>
      </c>
      <c r="BG213">
        <v>68.549000000000007</v>
      </c>
      <c r="BH213">
        <v>85.381</v>
      </c>
      <c r="BI213">
        <v>31.201000000000001</v>
      </c>
      <c r="BJ213">
        <v>0</v>
      </c>
      <c r="BK213">
        <v>0</v>
      </c>
      <c r="BL213">
        <v>0</v>
      </c>
      <c r="BM213">
        <v>7.5519999999999996</v>
      </c>
      <c r="BN213">
        <v>31.201000000000001</v>
      </c>
      <c r="BO213">
        <v>85.381</v>
      </c>
      <c r="BP213">
        <v>0</v>
      </c>
      <c r="BQ213">
        <v>68.549000000000007</v>
      </c>
      <c r="BR213">
        <v>-7.5519999999999996</v>
      </c>
      <c r="BS213">
        <v>0</v>
      </c>
      <c r="BT213">
        <v>0</v>
      </c>
      <c r="BU213">
        <v>0</v>
      </c>
      <c r="BV213">
        <v>3149</v>
      </c>
      <c r="BW213">
        <v>67.021000000000001</v>
      </c>
      <c r="BX213">
        <v>251.75</v>
      </c>
      <c r="BY213">
        <v>25</v>
      </c>
      <c r="BZ213">
        <v>388.875</v>
      </c>
      <c r="CA213">
        <v>7.3719999999999999</v>
      </c>
      <c r="CB213">
        <v>1327</v>
      </c>
      <c r="CC213">
        <v>126.5</v>
      </c>
      <c r="CD213">
        <v>4.4980000000000002</v>
      </c>
      <c r="CE213">
        <v>9</v>
      </c>
      <c r="CF213">
        <v>3639</v>
      </c>
      <c r="CG213">
        <v>17</v>
      </c>
      <c r="CH213">
        <v>262.375</v>
      </c>
      <c r="CI213">
        <v>11</v>
      </c>
      <c r="CJ213">
        <v>4</v>
      </c>
      <c r="CK213">
        <v>3.4</v>
      </c>
      <c r="CL213">
        <v>0</v>
      </c>
      <c r="CM213">
        <v>17</v>
      </c>
      <c r="CN213">
        <v>0</v>
      </c>
      <c r="CO213">
        <v>88</v>
      </c>
      <c r="CP213">
        <v>80</v>
      </c>
      <c r="CQ213">
        <v>12</v>
      </c>
      <c r="CR213">
        <v>58</v>
      </c>
      <c r="CS213">
        <v>8.3330000000000002</v>
      </c>
      <c r="CT213">
        <v>19</v>
      </c>
      <c r="CU213">
        <v>11</v>
      </c>
      <c r="CV213">
        <v>0</v>
      </c>
      <c r="CW213">
        <v>17</v>
      </c>
      <c r="CX213">
        <v>214</v>
      </c>
      <c r="CY213">
        <v>23.625</v>
      </c>
      <c r="CZ213">
        <v>82.352999999999994</v>
      </c>
      <c r="DA213">
        <v>44</v>
      </c>
      <c r="DB213">
        <v>78.150000000000006</v>
      </c>
      <c r="DC213">
        <v>5</v>
      </c>
      <c r="DD213">
        <v>3094</v>
      </c>
      <c r="DE213">
        <v>68</v>
      </c>
      <c r="DF213">
        <v>255.375</v>
      </c>
      <c r="DG213">
        <v>26</v>
      </c>
      <c r="DH213">
        <v>396.125</v>
      </c>
      <c r="DI213">
        <v>7.28</v>
      </c>
      <c r="DJ213">
        <v>1030</v>
      </c>
      <c r="DK213">
        <v>123.125</v>
      </c>
      <c r="DL213">
        <v>4.8520000000000003</v>
      </c>
      <c r="DM213">
        <v>3</v>
      </c>
      <c r="DN213">
        <v>3764</v>
      </c>
      <c r="DO213">
        <v>16</v>
      </c>
      <c r="DP213">
        <v>273</v>
      </c>
      <c r="DQ213">
        <v>10.706</v>
      </c>
      <c r="DR213">
        <v>5.5910000000000002</v>
      </c>
      <c r="DS213">
        <v>5.05</v>
      </c>
      <c r="DT213">
        <v>0</v>
      </c>
      <c r="DU213">
        <v>22</v>
      </c>
      <c r="DV213">
        <v>0</v>
      </c>
      <c r="DW213">
        <v>100</v>
      </c>
      <c r="DX213">
        <v>94.736999999999995</v>
      </c>
      <c r="DY213">
        <v>18</v>
      </c>
      <c r="DZ213">
        <v>72</v>
      </c>
      <c r="EA213">
        <v>12.5</v>
      </c>
      <c r="EB213">
        <v>8</v>
      </c>
      <c r="EC213">
        <v>20</v>
      </c>
      <c r="ED213">
        <v>0</v>
      </c>
      <c r="EE213">
        <v>16</v>
      </c>
      <c r="EF213">
        <v>188</v>
      </c>
      <c r="EG213">
        <v>21.875</v>
      </c>
      <c r="EH213">
        <v>70</v>
      </c>
      <c r="EI213">
        <v>48.673000000000002</v>
      </c>
      <c r="EJ213">
        <v>61.73</v>
      </c>
      <c r="EK213">
        <v>-3</v>
      </c>
    </row>
    <row r="214" spans="1:141" x14ac:dyDescent="0.25">
      <c r="A214">
        <v>0</v>
      </c>
      <c r="B214">
        <v>0</v>
      </c>
      <c r="C214">
        <v>0</v>
      </c>
      <c r="D214">
        <v>2025</v>
      </c>
      <c r="E214">
        <v>15</v>
      </c>
      <c r="F214" t="str">
        <f>VLOOKUP(G214, Map!$A$1:$B$33, 2, FALSE)</f>
        <v>NE</v>
      </c>
      <c r="G214" t="s">
        <v>151</v>
      </c>
      <c r="H214" t="str">
        <f>VLOOKUP(I214, Map!$A$1:$B$33, 2, FALSE)</f>
        <v>BUF</v>
      </c>
      <c r="I214" t="s">
        <v>165</v>
      </c>
      <c r="J214">
        <v>0</v>
      </c>
      <c r="K214">
        <v>0</v>
      </c>
      <c r="L214">
        <v>0</v>
      </c>
      <c r="M214">
        <v>0</v>
      </c>
      <c r="N214">
        <v>6</v>
      </c>
      <c r="O214">
        <v>2</v>
      </c>
      <c r="P214">
        <v>18.25</v>
      </c>
      <c r="Q214">
        <v>26.625</v>
      </c>
      <c r="R214">
        <v>67</v>
      </c>
      <c r="S214">
        <v>5</v>
      </c>
      <c r="T214">
        <v>0.75</v>
      </c>
      <c r="U214">
        <v>2</v>
      </c>
      <c r="V214">
        <v>0</v>
      </c>
      <c r="W214">
        <v>2</v>
      </c>
      <c r="X214">
        <v>2</v>
      </c>
      <c r="Y214">
        <v>4</v>
      </c>
      <c r="Z214">
        <v>0</v>
      </c>
      <c r="AA214">
        <v>4</v>
      </c>
      <c r="AB214">
        <v>2</v>
      </c>
      <c r="AC214">
        <v>8</v>
      </c>
      <c r="AD214">
        <v>9</v>
      </c>
      <c r="AE214">
        <v>7</v>
      </c>
      <c r="AF214">
        <v>9</v>
      </c>
      <c r="AG214">
        <v>61</v>
      </c>
      <c r="AH214">
        <v>0</v>
      </c>
      <c r="AI214">
        <v>5</v>
      </c>
      <c r="AJ214">
        <v>2</v>
      </c>
      <c r="AK214">
        <v>20.857143000000001</v>
      </c>
      <c r="AL214">
        <v>29.571428000000001</v>
      </c>
      <c r="AM214">
        <v>61</v>
      </c>
      <c r="AN214">
        <v>1</v>
      </c>
      <c r="AO214">
        <v>0.71428572999999995</v>
      </c>
      <c r="AP214">
        <v>2</v>
      </c>
      <c r="AQ214">
        <v>1</v>
      </c>
      <c r="AR214">
        <v>3</v>
      </c>
      <c r="AS214">
        <v>1</v>
      </c>
      <c r="AT214">
        <v>2</v>
      </c>
      <c r="AU214">
        <v>1</v>
      </c>
      <c r="AV214">
        <v>3</v>
      </c>
      <c r="AW214">
        <v>1</v>
      </c>
      <c r="AX214">
        <v>14</v>
      </c>
      <c r="AY214">
        <v>4</v>
      </c>
      <c r="AZ214">
        <v>8</v>
      </c>
      <c r="BA214">
        <v>9</v>
      </c>
      <c r="BB214">
        <v>68</v>
      </c>
      <c r="BC214">
        <v>0</v>
      </c>
      <c r="BD214">
        <v>0</v>
      </c>
      <c r="BE214">
        <v>0</v>
      </c>
      <c r="BF214">
        <v>0</v>
      </c>
      <c r="BG214">
        <v>45.723999999999997</v>
      </c>
      <c r="BH214">
        <v>69.686999999999998</v>
      </c>
      <c r="BI214">
        <v>53.908999999999999</v>
      </c>
      <c r="BJ214">
        <v>0</v>
      </c>
      <c r="BK214">
        <v>0</v>
      </c>
      <c r="BL214">
        <v>0</v>
      </c>
      <c r="BM214">
        <v>-1.5329999999999999</v>
      </c>
      <c r="BN214">
        <v>53.908999999999999</v>
      </c>
      <c r="BO214">
        <v>69.686999999999998</v>
      </c>
      <c r="BP214">
        <v>0</v>
      </c>
      <c r="BQ214">
        <v>45.723999999999997</v>
      </c>
      <c r="BR214">
        <v>1.5329999999999999</v>
      </c>
      <c r="BS214">
        <v>0</v>
      </c>
      <c r="BT214">
        <v>0</v>
      </c>
      <c r="BU214">
        <v>0</v>
      </c>
      <c r="BV214">
        <v>2965</v>
      </c>
      <c r="BW214">
        <v>75</v>
      </c>
      <c r="BX214">
        <v>240.5</v>
      </c>
      <c r="BY214">
        <v>29</v>
      </c>
      <c r="BZ214">
        <v>367.375</v>
      </c>
      <c r="CA214">
        <v>8.7940000000000005</v>
      </c>
      <c r="CB214">
        <v>1056</v>
      </c>
      <c r="CC214">
        <v>112.625</v>
      </c>
      <c r="CD214">
        <v>3.9340000000000002</v>
      </c>
      <c r="CE214">
        <v>7</v>
      </c>
      <c r="CF214">
        <v>3418</v>
      </c>
      <c r="CG214">
        <v>15</v>
      </c>
      <c r="CH214">
        <v>254.75</v>
      </c>
      <c r="CI214">
        <v>11.725</v>
      </c>
      <c r="CJ214">
        <v>6.3159999999999998</v>
      </c>
      <c r="CK214">
        <v>3.7410000000000001</v>
      </c>
      <c r="CL214">
        <v>4</v>
      </c>
      <c r="CM214">
        <v>19</v>
      </c>
      <c r="CN214">
        <v>0</v>
      </c>
      <c r="CO214">
        <v>91.304000000000002</v>
      </c>
      <c r="CP214">
        <v>92.308000000000007</v>
      </c>
      <c r="CQ214">
        <v>12</v>
      </c>
      <c r="CR214">
        <v>57</v>
      </c>
      <c r="CS214">
        <v>16.8</v>
      </c>
      <c r="CT214">
        <v>27</v>
      </c>
      <c r="CU214">
        <v>10</v>
      </c>
      <c r="CV214">
        <v>14</v>
      </c>
      <c r="CW214">
        <v>15</v>
      </c>
      <c r="CX214">
        <v>213</v>
      </c>
      <c r="CY214">
        <v>20.375</v>
      </c>
      <c r="CZ214">
        <v>83.332999999999998</v>
      </c>
      <c r="DA214">
        <v>39.784999999999997</v>
      </c>
      <c r="DB214">
        <v>67</v>
      </c>
      <c r="DC214">
        <v>2</v>
      </c>
      <c r="DD214">
        <v>2334</v>
      </c>
      <c r="DE214">
        <v>67.488</v>
      </c>
      <c r="DF214">
        <v>218.42857000000001</v>
      </c>
      <c r="DG214">
        <v>22</v>
      </c>
      <c r="DH214">
        <v>395</v>
      </c>
      <c r="DI214">
        <v>7.9509999999999996</v>
      </c>
      <c r="DJ214">
        <v>1576</v>
      </c>
      <c r="DK214">
        <v>164.429</v>
      </c>
      <c r="DL214">
        <v>5.2080000000000002</v>
      </c>
      <c r="DM214">
        <v>13</v>
      </c>
      <c r="DN214">
        <v>2719</v>
      </c>
      <c r="DO214">
        <v>12</v>
      </c>
      <c r="DP214">
        <v>230.571</v>
      </c>
      <c r="DQ214">
        <v>11.781000000000001</v>
      </c>
      <c r="DR214">
        <v>5.8639999999999999</v>
      </c>
      <c r="DS214">
        <v>5.35</v>
      </c>
      <c r="DT214">
        <v>0</v>
      </c>
      <c r="DU214">
        <v>22</v>
      </c>
      <c r="DV214">
        <v>0</v>
      </c>
      <c r="DW214">
        <v>95.454999999999998</v>
      </c>
      <c r="DX214">
        <v>92.308000000000007</v>
      </c>
      <c r="DY214">
        <v>12</v>
      </c>
      <c r="DZ214">
        <v>57</v>
      </c>
      <c r="EA214">
        <v>8</v>
      </c>
      <c r="EB214">
        <v>10</v>
      </c>
      <c r="EC214">
        <v>22</v>
      </c>
      <c r="ED214">
        <v>0</v>
      </c>
      <c r="EE214">
        <v>12</v>
      </c>
      <c r="EF214">
        <v>207</v>
      </c>
      <c r="EG214">
        <v>23.143000000000001</v>
      </c>
      <c r="EH214">
        <v>60</v>
      </c>
      <c r="EI214">
        <v>43.75</v>
      </c>
      <c r="EJ214">
        <v>73.47</v>
      </c>
      <c r="EK214">
        <v>2</v>
      </c>
    </row>
    <row r="215" spans="1:141" x14ac:dyDescent="0.25">
      <c r="A215">
        <v>0</v>
      </c>
      <c r="B215">
        <v>0</v>
      </c>
      <c r="C215">
        <v>0</v>
      </c>
      <c r="D215">
        <v>2025</v>
      </c>
      <c r="E215">
        <v>15</v>
      </c>
      <c r="F215" t="str">
        <f>VLOOKUP(G215, Map!$A$1:$B$33, 2, FALSE)</f>
        <v>NYG</v>
      </c>
      <c r="G215" t="s">
        <v>149</v>
      </c>
      <c r="H215" t="str">
        <f>VLOOKUP(I215, Map!$A$1:$B$33, 2, FALSE)</f>
        <v>WAS</v>
      </c>
      <c r="I215" t="s">
        <v>148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6</v>
      </c>
      <c r="P215">
        <v>26.875</v>
      </c>
      <c r="Q215">
        <v>21.625</v>
      </c>
      <c r="R215">
        <v>-42</v>
      </c>
      <c r="S215">
        <v>-2</v>
      </c>
      <c r="T215">
        <v>0.25</v>
      </c>
      <c r="U215">
        <v>1</v>
      </c>
      <c r="V215">
        <v>3</v>
      </c>
      <c r="W215">
        <v>2</v>
      </c>
      <c r="X215">
        <v>1</v>
      </c>
      <c r="Y215">
        <v>0</v>
      </c>
      <c r="Z215">
        <v>5</v>
      </c>
      <c r="AA215">
        <v>1</v>
      </c>
      <c r="AB215">
        <v>4</v>
      </c>
      <c r="AC215">
        <v>10</v>
      </c>
      <c r="AD215">
        <v>7</v>
      </c>
      <c r="AE215">
        <v>14</v>
      </c>
      <c r="AF215">
        <v>4</v>
      </c>
      <c r="AG215">
        <v>67</v>
      </c>
      <c r="AH215">
        <v>0</v>
      </c>
      <c r="AI215">
        <v>3</v>
      </c>
      <c r="AJ215">
        <v>5</v>
      </c>
      <c r="AK215">
        <v>24.75</v>
      </c>
      <c r="AL215">
        <v>23.375</v>
      </c>
      <c r="AM215">
        <v>-11</v>
      </c>
      <c r="AN215">
        <v>-3</v>
      </c>
      <c r="AO215">
        <v>0.375</v>
      </c>
      <c r="AP215">
        <v>1</v>
      </c>
      <c r="AQ215">
        <v>1</v>
      </c>
      <c r="AR215">
        <v>2</v>
      </c>
      <c r="AS215">
        <v>1</v>
      </c>
      <c r="AT215">
        <v>1</v>
      </c>
      <c r="AU215">
        <v>4</v>
      </c>
      <c r="AV215">
        <v>1</v>
      </c>
      <c r="AW215">
        <v>4</v>
      </c>
      <c r="AX215">
        <v>7</v>
      </c>
      <c r="AY215">
        <v>8</v>
      </c>
      <c r="AZ215">
        <v>7</v>
      </c>
      <c r="BA215">
        <v>8</v>
      </c>
      <c r="BB215">
        <v>65</v>
      </c>
      <c r="BC215">
        <v>0</v>
      </c>
      <c r="BD215">
        <v>0</v>
      </c>
      <c r="BE215">
        <v>0</v>
      </c>
      <c r="BF215">
        <v>0</v>
      </c>
      <c r="BG215">
        <v>51.365000000000002</v>
      </c>
      <c r="BH215">
        <v>52.845999999999997</v>
      </c>
      <c r="BI215">
        <v>48.247999999999998</v>
      </c>
      <c r="BJ215">
        <v>0</v>
      </c>
      <c r="BK215">
        <v>0</v>
      </c>
      <c r="BL215">
        <v>0</v>
      </c>
      <c r="BM215">
        <v>0.747</v>
      </c>
      <c r="BN215">
        <v>48.247999999999998</v>
      </c>
      <c r="BO215">
        <v>52.845999999999997</v>
      </c>
      <c r="BP215">
        <v>0</v>
      </c>
      <c r="BQ215">
        <v>51.365000000000002</v>
      </c>
      <c r="BR215">
        <v>-0.747</v>
      </c>
      <c r="BS215">
        <v>0</v>
      </c>
      <c r="BT215">
        <v>0</v>
      </c>
      <c r="BU215">
        <v>0</v>
      </c>
      <c r="BV215">
        <v>2348</v>
      </c>
      <c r="BW215">
        <v>59.448999999999998</v>
      </c>
      <c r="BX215">
        <v>207.25</v>
      </c>
      <c r="BY215">
        <v>23</v>
      </c>
      <c r="BZ215">
        <v>339.25</v>
      </c>
      <c r="CA215">
        <v>6.9210000000000003</v>
      </c>
      <c r="CB215">
        <v>1249</v>
      </c>
      <c r="CC215">
        <v>118</v>
      </c>
      <c r="CD215">
        <v>4.0339999999999998</v>
      </c>
      <c r="CE215">
        <v>10</v>
      </c>
      <c r="CF215">
        <v>2910</v>
      </c>
      <c r="CG215">
        <v>11</v>
      </c>
      <c r="CH215">
        <v>221.25</v>
      </c>
      <c r="CI215">
        <v>11.641999999999999</v>
      </c>
      <c r="CJ215">
        <v>7.2629999999999999</v>
      </c>
      <c r="CK215">
        <v>5.1740000000000004</v>
      </c>
      <c r="CL215">
        <v>0</v>
      </c>
      <c r="CM215">
        <v>19</v>
      </c>
      <c r="CN215">
        <v>0</v>
      </c>
      <c r="CO215">
        <v>78.947000000000003</v>
      </c>
      <c r="CP215">
        <v>100</v>
      </c>
      <c r="CQ215">
        <v>10</v>
      </c>
      <c r="CR215">
        <v>45</v>
      </c>
      <c r="CS215">
        <v>7.1539999999999999</v>
      </c>
      <c r="CT215">
        <v>32</v>
      </c>
      <c r="CU215">
        <v>12</v>
      </c>
      <c r="CV215">
        <v>0</v>
      </c>
      <c r="CW215">
        <v>11</v>
      </c>
      <c r="CX215">
        <v>173</v>
      </c>
      <c r="CY215">
        <v>20.625</v>
      </c>
      <c r="CZ215">
        <v>52.941000000000003</v>
      </c>
      <c r="DA215">
        <v>39.814999999999998</v>
      </c>
      <c r="DB215">
        <v>59.26</v>
      </c>
      <c r="DC215">
        <v>-4</v>
      </c>
      <c r="DD215">
        <v>2360</v>
      </c>
      <c r="DE215">
        <v>61.966000000000001</v>
      </c>
      <c r="DF215">
        <v>196.625</v>
      </c>
      <c r="DG215">
        <v>20</v>
      </c>
      <c r="DH215">
        <v>346.5</v>
      </c>
      <c r="DI215">
        <v>7.1369999999999996</v>
      </c>
      <c r="DJ215">
        <v>1342</v>
      </c>
      <c r="DK215">
        <v>137.75</v>
      </c>
      <c r="DL215">
        <v>5.1980000000000004</v>
      </c>
      <c r="DM215">
        <v>9</v>
      </c>
      <c r="DN215">
        <v>2815</v>
      </c>
      <c r="DO215">
        <v>12</v>
      </c>
      <c r="DP215">
        <v>208.75</v>
      </c>
      <c r="DQ215">
        <v>11.516999999999999</v>
      </c>
      <c r="DR215">
        <v>6.1360000000000001</v>
      </c>
      <c r="DS215">
        <v>5.9470000000000001</v>
      </c>
      <c r="DT215">
        <v>1</v>
      </c>
      <c r="DU215">
        <v>22</v>
      </c>
      <c r="DV215">
        <v>0</v>
      </c>
      <c r="DW215">
        <v>100</v>
      </c>
      <c r="DX215">
        <v>71.429000000000002</v>
      </c>
      <c r="DY215">
        <v>10</v>
      </c>
      <c r="DZ215">
        <v>49</v>
      </c>
      <c r="EA215">
        <v>4</v>
      </c>
      <c r="EB215">
        <v>11</v>
      </c>
      <c r="EC215">
        <v>25</v>
      </c>
      <c r="ED215">
        <v>8</v>
      </c>
      <c r="EE215">
        <v>12</v>
      </c>
      <c r="EF215">
        <v>187</v>
      </c>
      <c r="EG215">
        <v>18.75</v>
      </c>
      <c r="EH215">
        <v>45.454999999999998</v>
      </c>
      <c r="EI215">
        <v>38.636000000000003</v>
      </c>
      <c r="EJ215">
        <v>79.290000000000006</v>
      </c>
      <c r="EK215">
        <v>-5</v>
      </c>
    </row>
    <row r="216" spans="1:141" x14ac:dyDescent="0.25">
      <c r="A216">
        <v>0</v>
      </c>
      <c r="B216">
        <v>0</v>
      </c>
      <c r="C216">
        <v>0</v>
      </c>
      <c r="D216">
        <v>2025</v>
      </c>
      <c r="E216">
        <v>15</v>
      </c>
      <c r="F216" t="str">
        <f>VLOOKUP(G216, Map!$A$1:$B$33, 2, FALSE)</f>
        <v>PHI</v>
      </c>
      <c r="G216" t="s">
        <v>147</v>
      </c>
      <c r="H216" t="str">
        <f>VLOOKUP(I216, Map!$A$1:$B$33, 2, FALSE)</f>
        <v>LV</v>
      </c>
      <c r="I216" t="s">
        <v>157</v>
      </c>
      <c r="J216">
        <v>0</v>
      </c>
      <c r="K216">
        <v>0</v>
      </c>
      <c r="L216">
        <v>0</v>
      </c>
      <c r="M216">
        <v>0</v>
      </c>
      <c r="N216">
        <v>6</v>
      </c>
      <c r="O216">
        <v>2</v>
      </c>
      <c r="P216">
        <v>23.125</v>
      </c>
      <c r="Q216">
        <v>26</v>
      </c>
      <c r="R216">
        <v>23</v>
      </c>
      <c r="S216">
        <v>2</v>
      </c>
      <c r="T216">
        <v>0.75</v>
      </c>
      <c r="U216">
        <v>2</v>
      </c>
      <c r="V216">
        <v>1</v>
      </c>
      <c r="W216">
        <v>3</v>
      </c>
      <c r="X216">
        <v>1</v>
      </c>
      <c r="Y216">
        <v>3</v>
      </c>
      <c r="Z216">
        <v>1</v>
      </c>
      <c r="AA216">
        <v>5</v>
      </c>
      <c r="AB216">
        <v>1</v>
      </c>
      <c r="AC216">
        <v>16</v>
      </c>
      <c r="AD216">
        <v>3</v>
      </c>
      <c r="AE216">
        <v>10</v>
      </c>
      <c r="AF216">
        <v>9</v>
      </c>
      <c r="AG216">
        <v>63</v>
      </c>
      <c r="AH216">
        <v>0</v>
      </c>
      <c r="AI216">
        <v>2</v>
      </c>
      <c r="AJ216">
        <v>5</v>
      </c>
      <c r="AK216">
        <v>25.714285</v>
      </c>
      <c r="AL216">
        <v>14.714286</v>
      </c>
      <c r="AM216">
        <v>-77</v>
      </c>
      <c r="AN216">
        <v>-1</v>
      </c>
      <c r="AO216">
        <v>0.28571429999999998</v>
      </c>
      <c r="AP216">
        <v>0</v>
      </c>
      <c r="AQ216">
        <v>2</v>
      </c>
      <c r="AR216">
        <v>1</v>
      </c>
      <c r="AS216">
        <v>2</v>
      </c>
      <c r="AT216">
        <v>1</v>
      </c>
      <c r="AU216">
        <v>3</v>
      </c>
      <c r="AV216">
        <v>2</v>
      </c>
      <c r="AW216">
        <v>3</v>
      </c>
      <c r="AX216">
        <v>6</v>
      </c>
      <c r="AY216">
        <v>10</v>
      </c>
      <c r="AZ216">
        <v>8</v>
      </c>
      <c r="BA216">
        <v>8</v>
      </c>
      <c r="BB216">
        <v>56</v>
      </c>
      <c r="BC216">
        <v>0</v>
      </c>
      <c r="BD216">
        <v>0</v>
      </c>
      <c r="BE216">
        <v>0</v>
      </c>
      <c r="BF216">
        <v>0</v>
      </c>
      <c r="BG216">
        <v>77.498000000000005</v>
      </c>
      <c r="BH216">
        <v>51.106000000000002</v>
      </c>
      <c r="BI216">
        <v>22.323</v>
      </c>
      <c r="BJ216">
        <v>0</v>
      </c>
      <c r="BK216">
        <v>0</v>
      </c>
      <c r="BL216">
        <v>0</v>
      </c>
      <c r="BM216">
        <v>11.712</v>
      </c>
      <c r="BN216">
        <v>22.323</v>
      </c>
      <c r="BO216">
        <v>51.106000000000002</v>
      </c>
      <c r="BP216">
        <v>0</v>
      </c>
      <c r="BQ216">
        <v>77.498000000000005</v>
      </c>
      <c r="BR216">
        <v>-11.712</v>
      </c>
      <c r="BS216">
        <v>0</v>
      </c>
      <c r="BT216">
        <v>0</v>
      </c>
      <c r="BU216">
        <v>0</v>
      </c>
      <c r="BV216">
        <v>2679</v>
      </c>
      <c r="BW216">
        <v>70.233000000000004</v>
      </c>
      <c r="BX216">
        <v>192.75</v>
      </c>
      <c r="BY216">
        <v>23</v>
      </c>
      <c r="BZ216">
        <v>321.25</v>
      </c>
      <c r="CA216">
        <v>7.7160000000000002</v>
      </c>
      <c r="CB216">
        <v>1178</v>
      </c>
      <c r="CC216">
        <v>111.625</v>
      </c>
      <c r="CD216">
        <v>4.0960000000000001</v>
      </c>
      <c r="CE216">
        <v>9</v>
      </c>
      <c r="CF216">
        <v>2957</v>
      </c>
      <c r="CG216">
        <v>15</v>
      </c>
      <c r="CH216">
        <v>209.625</v>
      </c>
      <c r="CI216">
        <v>10.987</v>
      </c>
      <c r="CJ216">
        <v>4.75</v>
      </c>
      <c r="CK216">
        <v>3.75</v>
      </c>
      <c r="CL216">
        <v>3</v>
      </c>
      <c r="CM216">
        <v>16</v>
      </c>
      <c r="CN216">
        <v>0</v>
      </c>
      <c r="CO216">
        <v>100</v>
      </c>
      <c r="CP216">
        <v>77.778000000000006</v>
      </c>
      <c r="CQ216">
        <v>7</v>
      </c>
      <c r="CR216">
        <v>46</v>
      </c>
      <c r="CS216">
        <v>13.55</v>
      </c>
      <c r="CT216">
        <v>34</v>
      </c>
      <c r="CU216">
        <v>7</v>
      </c>
      <c r="CV216">
        <v>6</v>
      </c>
      <c r="CW216">
        <v>15</v>
      </c>
      <c r="CX216">
        <v>208</v>
      </c>
      <c r="CY216">
        <v>17.875</v>
      </c>
      <c r="CZ216">
        <v>78.570999999999998</v>
      </c>
      <c r="DA216">
        <v>33.332999999999998</v>
      </c>
      <c r="DB216">
        <v>87.14</v>
      </c>
      <c r="DC216">
        <v>4</v>
      </c>
      <c r="DD216">
        <v>1570</v>
      </c>
      <c r="DE216">
        <v>66.176000000000002</v>
      </c>
      <c r="DF216">
        <v>182.71428</v>
      </c>
      <c r="DG216">
        <v>19</v>
      </c>
      <c r="DH216">
        <v>297.28570000000002</v>
      </c>
      <c r="DI216">
        <v>6.7649999999999997</v>
      </c>
      <c r="DJ216">
        <v>731</v>
      </c>
      <c r="DK216">
        <v>93.713999999999999</v>
      </c>
      <c r="DL216">
        <v>3.859</v>
      </c>
      <c r="DM216">
        <v>3</v>
      </c>
      <c r="DN216">
        <v>2345</v>
      </c>
      <c r="DO216">
        <v>7</v>
      </c>
      <c r="DP216">
        <v>203.571</v>
      </c>
      <c r="DQ216">
        <v>10.222</v>
      </c>
      <c r="DR216">
        <v>6.7329999999999997</v>
      </c>
      <c r="DS216">
        <v>3.0710000000000002</v>
      </c>
      <c r="DT216">
        <v>0</v>
      </c>
      <c r="DU216">
        <v>15</v>
      </c>
      <c r="DV216">
        <v>0</v>
      </c>
      <c r="DW216">
        <v>100</v>
      </c>
      <c r="DX216">
        <v>78.570999999999998</v>
      </c>
      <c r="DY216">
        <v>11</v>
      </c>
      <c r="DZ216">
        <v>41</v>
      </c>
      <c r="EA216">
        <v>15.333</v>
      </c>
      <c r="EB216">
        <v>8</v>
      </c>
      <c r="EC216">
        <v>26</v>
      </c>
      <c r="ED216">
        <v>0</v>
      </c>
      <c r="EE216">
        <v>7</v>
      </c>
      <c r="EF216">
        <v>103</v>
      </c>
      <c r="EG216">
        <v>15.856999999999999</v>
      </c>
      <c r="EH216">
        <v>45.454999999999998</v>
      </c>
      <c r="EI216">
        <v>37.930999999999997</v>
      </c>
      <c r="EJ216">
        <v>53.17</v>
      </c>
      <c r="EK216">
        <v>-5</v>
      </c>
    </row>
    <row r="217" spans="1:141" x14ac:dyDescent="0.25">
      <c r="A217">
        <v>0</v>
      </c>
      <c r="B217">
        <v>0</v>
      </c>
      <c r="C217">
        <v>0</v>
      </c>
      <c r="D217">
        <v>2025</v>
      </c>
      <c r="E217">
        <v>15</v>
      </c>
      <c r="F217" t="str">
        <f>VLOOKUP(G217, Map!$A$1:$B$33, 2, FALSE)</f>
        <v>JAX</v>
      </c>
      <c r="G217" t="s">
        <v>139</v>
      </c>
      <c r="H217" t="str">
        <f>VLOOKUP(I217, Map!$A$1:$B$33, 2, FALSE)</f>
        <v>NYJ</v>
      </c>
      <c r="I217" t="s">
        <v>166</v>
      </c>
      <c r="J217">
        <v>0</v>
      </c>
      <c r="K217">
        <v>0</v>
      </c>
      <c r="L217">
        <v>0</v>
      </c>
      <c r="M217">
        <v>0</v>
      </c>
      <c r="N217">
        <v>4</v>
      </c>
      <c r="O217">
        <v>3</v>
      </c>
      <c r="P217">
        <v>22.142856999999999</v>
      </c>
      <c r="Q217">
        <v>20.857143000000001</v>
      </c>
      <c r="R217">
        <v>-9</v>
      </c>
      <c r="S217">
        <v>-2</v>
      </c>
      <c r="T217">
        <v>0.57142859999999995</v>
      </c>
      <c r="U217">
        <v>1</v>
      </c>
      <c r="V217">
        <v>0</v>
      </c>
      <c r="W217">
        <v>3</v>
      </c>
      <c r="X217">
        <v>2</v>
      </c>
      <c r="Y217">
        <v>1</v>
      </c>
      <c r="Z217">
        <v>1</v>
      </c>
      <c r="AA217">
        <v>2</v>
      </c>
      <c r="AB217">
        <v>1</v>
      </c>
      <c r="AC217">
        <v>10</v>
      </c>
      <c r="AD217">
        <v>8</v>
      </c>
      <c r="AE217">
        <v>9</v>
      </c>
      <c r="AF217">
        <v>9</v>
      </c>
      <c r="AG217">
        <v>58</v>
      </c>
      <c r="AH217">
        <v>0</v>
      </c>
      <c r="AI217">
        <v>1</v>
      </c>
      <c r="AJ217">
        <v>7</v>
      </c>
      <c r="AK217">
        <v>27.625</v>
      </c>
      <c r="AL217">
        <v>21</v>
      </c>
      <c r="AM217">
        <v>-53</v>
      </c>
      <c r="AN217">
        <v>1</v>
      </c>
      <c r="AO217">
        <v>0.125</v>
      </c>
      <c r="AP217">
        <v>0</v>
      </c>
      <c r="AQ217">
        <v>2</v>
      </c>
      <c r="AR217">
        <v>0</v>
      </c>
      <c r="AS217">
        <v>5</v>
      </c>
      <c r="AT217">
        <v>1</v>
      </c>
      <c r="AU217">
        <v>2</v>
      </c>
      <c r="AV217">
        <v>1</v>
      </c>
      <c r="AW217">
        <v>4</v>
      </c>
      <c r="AX217">
        <v>7</v>
      </c>
      <c r="AY217">
        <v>10</v>
      </c>
      <c r="AZ217">
        <v>8</v>
      </c>
      <c r="BA217">
        <v>9</v>
      </c>
      <c r="BB217">
        <v>60</v>
      </c>
      <c r="BC217">
        <v>0</v>
      </c>
      <c r="BD217">
        <v>0</v>
      </c>
      <c r="BE217">
        <v>0</v>
      </c>
      <c r="BF217">
        <v>0</v>
      </c>
      <c r="BG217">
        <v>66.855000000000004</v>
      </c>
      <c r="BH217">
        <v>30.591999999999999</v>
      </c>
      <c r="BI217">
        <v>32.880000000000003</v>
      </c>
      <c r="BJ217">
        <v>0</v>
      </c>
      <c r="BK217">
        <v>0</v>
      </c>
      <c r="BL217">
        <v>0</v>
      </c>
      <c r="BM217">
        <v>6.7469999999999999</v>
      </c>
      <c r="BN217">
        <v>32.880000000000003</v>
      </c>
      <c r="BO217">
        <v>30.591999999999999</v>
      </c>
      <c r="BP217">
        <v>0</v>
      </c>
      <c r="BQ217">
        <v>66.855000000000004</v>
      </c>
      <c r="BR217">
        <v>-6.7469999999999999</v>
      </c>
      <c r="BS217">
        <v>0</v>
      </c>
      <c r="BT217">
        <v>0</v>
      </c>
      <c r="BU217">
        <v>0</v>
      </c>
      <c r="BV217">
        <v>2100</v>
      </c>
      <c r="BW217">
        <v>58.686999999999998</v>
      </c>
      <c r="BX217">
        <v>215.14285000000001</v>
      </c>
      <c r="BY217">
        <v>21</v>
      </c>
      <c r="BZ217">
        <v>351.14285000000001</v>
      </c>
      <c r="CA217">
        <v>6.2549999999999999</v>
      </c>
      <c r="CB217">
        <v>1033</v>
      </c>
      <c r="CC217">
        <v>119.714</v>
      </c>
      <c r="CD217">
        <v>4.6820000000000004</v>
      </c>
      <c r="CE217">
        <v>6</v>
      </c>
      <c r="CF217">
        <v>2695</v>
      </c>
      <c r="CG217">
        <v>9</v>
      </c>
      <c r="CH217">
        <v>231.429</v>
      </c>
      <c r="CI217">
        <v>10.657999999999999</v>
      </c>
      <c r="CJ217">
        <v>7.375</v>
      </c>
      <c r="CK217">
        <v>3.1880000000000002</v>
      </c>
      <c r="CL217">
        <v>2</v>
      </c>
      <c r="CM217">
        <v>8</v>
      </c>
      <c r="CN217">
        <v>0</v>
      </c>
      <c r="CO217">
        <v>93.332999999999998</v>
      </c>
      <c r="CP217">
        <v>71.429000000000002</v>
      </c>
      <c r="CQ217">
        <v>10</v>
      </c>
      <c r="CR217">
        <v>44</v>
      </c>
      <c r="CS217">
        <v>4.4290000000000003</v>
      </c>
      <c r="CT217">
        <v>30</v>
      </c>
      <c r="CU217">
        <v>10</v>
      </c>
      <c r="CV217">
        <v>12</v>
      </c>
      <c r="CW217">
        <v>9</v>
      </c>
      <c r="CX217">
        <v>146</v>
      </c>
      <c r="CY217">
        <v>19.143000000000001</v>
      </c>
      <c r="CZ217">
        <v>53.332999999999998</v>
      </c>
      <c r="DA217">
        <v>32.978999999999999</v>
      </c>
      <c r="DB217">
        <v>59.74</v>
      </c>
      <c r="DC217">
        <v>8</v>
      </c>
      <c r="DD217">
        <v>2012</v>
      </c>
      <c r="DE217">
        <v>63.713000000000001</v>
      </c>
      <c r="DF217">
        <v>156.5</v>
      </c>
      <c r="DG217">
        <v>15</v>
      </c>
      <c r="DH217">
        <v>327.625</v>
      </c>
      <c r="DI217">
        <v>6.2110000000000003</v>
      </c>
      <c r="DJ217">
        <v>1254</v>
      </c>
      <c r="DK217">
        <v>143.625</v>
      </c>
      <c r="DL217">
        <v>5.1989999999999998</v>
      </c>
      <c r="DM217">
        <v>6</v>
      </c>
      <c r="DN217">
        <v>2542</v>
      </c>
      <c r="DO217">
        <v>9</v>
      </c>
      <c r="DP217">
        <v>184</v>
      </c>
      <c r="DQ217">
        <v>9.7479999999999993</v>
      </c>
      <c r="DR217">
        <v>6.2729999999999997</v>
      </c>
      <c r="DS217">
        <v>2.4169999999999998</v>
      </c>
      <c r="DT217">
        <v>1</v>
      </c>
      <c r="DU217">
        <v>11</v>
      </c>
      <c r="DV217">
        <v>0</v>
      </c>
      <c r="DW217">
        <v>100</v>
      </c>
      <c r="DX217">
        <v>100</v>
      </c>
      <c r="DY217">
        <v>17</v>
      </c>
      <c r="DZ217">
        <v>60</v>
      </c>
      <c r="EA217">
        <v>6.25</v>
      </c>
      <c r="EB217">
        <v>11</v>
      </c>
      <c r="EC217">
        <v>31</v>
      </c>
      <c r="ED217">
        <v>2</v>
      </c>
      <c r="EE217">
        <v>9</v>
      </c>
      <c r="EF217">
        <v>168</v>
      </c>
      <c r="EG217">
        <v>18.5</v>
      </c>
      <c r="EH217">
        <v>52.631999999999998</v>
      </c>
      <c r="EI217">
        <v>34.905999999999999</v>
      </c>
      <c r="EJ217">
        <v>69.17</v>
      </c>
      <c r="EK217">
        <v>-9</v>
      </c>
    </row>
    <row r="218" spans="1:141" x14ac:dyDescent="0.25">
      <c r="A218">
        <v>0</v>
      </c>
      <c r="B218">
        <v>0</v>
      </c>
      <c r="C218">
        <v>0</v>
      </c>
      <c r="D218">
        <v>2025</v>
      </c>
      <c r="E218">
        <v>15</v>
      </c>
      <c r="F218" t="str">
        <f>VLOOKUP(G218, Map!$A$1:$B$33, 2, FALSE)</f>
        <v>HOU</v>
      </c>
      <c r="G218" t="s">
        <v>137</v>
      </c>
      <c r="H218" t="str">
        <f>VLOOKUP(I218, Map!$A$1:$B$33, 2, FALSE)</f>
        <v>ARI</v>
      </c>
      <c r="I218" t="s">
        <v>156</v>
      </c>
      <c r="J218">
        <v>0</v>
      </c>
      <c r="K218">
        <v>0</v>
      </c>
      <c r="L218">
        <v>0</v>
      </c>
      <c r="M218">
        <v>0</v>
      </c>
      <c r="N218">
        <v>3</v>
      </c>
      <c r="O218">
        <v>4</v>
      </c>
      <c r="P218">
        <v>14.714286</v>
      </c>
      <c r="Q218">
        <v>21.857143000000001</v>
      </c>
      <c r="R218">
        <v>50</v>
      </c>
      <c r="S218">
        <v>1</v>
      </c>
      <c r="T218">
        <v>0.42857142999999998</v>
      </c>
      <c r="U218">
        <v>1</v>
      </c>
      <c r="V218">
        <v>1</v>
      </c>
      <c r="W218">
        <v>2</v>
      </c>
      <c r="X218">
        <v>1</v>
      </c>
      <c r="Y218">
        <v>1</v>
      </c>
      <c r="Z218">
        <v>3</v>
      </c>
      <c r="AA218">
        <v>2</v>
      </c>
      <c r="AB218">
        <v>1</v>
      </c>
      <c r="AC218">
        <v>3</v>
      </c>
      <c r="AD218">
        <v>13</v>
      </c>
      <c r="AE218">
        <v>8</v>
      </c>
      <c r="AF218">
        <v>8</v>
      </c>
      <c r="AG218">
        <v>69</v>
      </c>
      <c r="AH218">
        <v>0</v>
      </c>
      <c r="AI218">
        <v>2</v>
      </c>
      <c r="AJ218">
        <v>5</v>
      </c>
      <c r="AK218">
        <v>22</v>
      </c>
      <c r="AL218">
        <v>21.857143000000001</v>
      </c>
      <c r="AM218">
        <v>-1</v>
      </c>
      <c r="AN218">
        <v>-5</v>
      </c>
      <c r="AO218">
        <v>0.28571429999999998</v>
      </c>
      <c r="AP218">
        <v>0</v>
      </c>
      <c r="AQ218">
        <v>2</v>
      </c>
      <c r="AR218">
        <v>1</v>
      </c>
      <c r="AS218">
        <v>3</v>
      </c>
      <c r="AT218">
        <v>1</v>
      </c>
      <c r="AU218">
        <v>2</v>
      </c>
      <c r="AV218">
        <v>2</v>
      </c>
      <c r="AW218">
        <v>3</v>
      </c>
      <c r="AX218">
        <v>4</v>
      </c>
      <c r="AY218">
        <v>12</v>
      </c>
      <c r="AZ218">
        <v>8</v>
      </c>
      <c r="BA218">
        <v>8</v>
      </c>
      <c r="BB218">
        <v>69</v>
      </c>
      <c r="BC218">
        <v>0</v>
      </c>
      <c r="BD218">
        <v>0</v>
      </c>
      <c r="BE218">
        <v>0</v>
      </c>
      <c r="BF218">
        <v>0</v>
      </c>
      <c r="BG218">
        <v>60.536999999999999</v>
      </c>
      <c r="BH218">
        <v>54.426000000000002</v>
      </c>
      <c r="BI218">
        <v>39.148000000000003</v>
      </c>
      <c r="BJ218">
        <v>0</v>
      </c>
      <c r="BK218">
        <v>0</v>
      </c>
      <c r="BL218">
        <v>0</v>
      </c>
      <c r="BM218">
        <v>4.18</v>
      </c>
      <c r="BN218">
        <v>39.148000000000003</v>
      </c>
      <c r="BO218">
        <v>54.426000000000002</v>
      </c>
      <c r="BP218">
        <v>0</v>
      </c>
      <c r="BQ218">
        <v>60.536999999999999</v>
      </c>
      <c r="BR218">
        <v>-4.18</v>
      </c>
      <c r="BS218">
        <v>0</v>
      </c>
      <c r="BT218">
        <v>0</v>
      </c>
      <c r="BU218">
        <v>0</v>
      </c>
      <c r="BV218">
        <v>2266</v>
      </c>
      <c r="BW218">
        <v>66.525000000000006</v>
      </c>
      <c r="BX218">
        <v>215.28572</v>
      </c>
      <c r="BY218">
        <v>22</v>
      </c>
      <c r="BZ218">
        <v>348.57144</v>
      </c>
      <c r="CA218">
        <v>6.9749999999999996</v>
      </c>
      <c r="CB218">
        <v>869</v>
      </c>
      <c r="CC218">
        <v>113.429</v>
      </c>
      <c r="CD218">
        <v>4.2690000000000001</v>
      </c>
      <c r="CE218">
        <v>3</v>
      </c>
      <c r="CF218">
        <v>2816</v>
      </c>
      <c r="CG218">
        <v>11</v>
      </c>
      <c r="CH218">
        <v>235.143</v>
      </c>
      <c r="CI218">
        <v>10.484</v>
      </c>
      <c r="CJ218">
        <v>7.875</v>
      </c>
      <c r="CK218">
        <v>6.1109999999999998</v>
      </c>
      <c r="CL218">
        <v>1</v>
      </c>
      <c r="CM218">
        <v>16</v>
      </c>
      <c r="CN218">
        <v>0</v>
      </c>
      <c r="CO218">
        <v>100</v>
      </c>
      <c r="CP218">
        <v>89.474000000000004</v>
      </c>
      <c r="CQ218">
        <v>17</v>
      </c>
      <c r="CR218">
        <v>63</v>
      </c>
      <c r="CS218">
        <v>11.545</v>
      </c>
      <c r="CT218">
        <v>27</v>
      </c>
      <c r="CU218">
        <v>9</v>
      </c>
      <c r="CV218">
        <v>6</v>
      </c>
      <c r="CW218">
        <v>11</v>
      </c>
      <c r="CX218">
        <v>153</v>
      </c>
      <c r="CY218">
        <v>18.713999999999999</v>
      </c>
      <c r="CZ218">
        <v>66.667000000000002</v>
      </c>
      <c r="DA218">
        <v>35.164999999999999</v>
      </c>
      <c r="DB218">
        <v>60.15</v>
      </c>
      <c r="DC218">
        <v>4</v>
      </c>
      <c r="DD218">
        <v>2113</v>
      </c>
      <c r="DE218">
        <v>66.941999999999993</v>
      </c>
      <c r="DF218">
        <v>199.85714999999999</v>
      </c>
      <c r="DG218">
        <v>18</v>
      </c>
      <c r="DH218">
        <v>333.42856</v>
      </c>
      <c r="DI218">
        <v>6.335</v>
      </c>
      <c r="DJ218">
        <v>888</v>
      </c>
      <c r="DK218">
        <v>110.429</v>
      </c>
      <c r="DL218">
        <v>4.4169999999999998</v>
      </c>
      <c r="DM218">
        <v>5</v>
      </c>
      <c r="DN218">
        <v>2721</v>
      </c>
      <c r="DO218">
        <v>10</v>
      </c>
      <c r="DP218">
        <v>223</v>
      </c>
      <c r="DQ218">
        <v>9.4629999999999992</v>
      </c>
      <c r="DR218">
        <v>6.6669999999999998</v>
      </c>
      <c r="DS218">
        <v>3.238</v>
      </c>
      <c r="DT218">
        <v>1</v>
      </c>
      <c r="DU218">
        <v>12</v>
      </c>
      <c r="DV218">
        <v>0</v>
      </c>
      <c r="DW218">
        <v>100</v>
      </c>
      <c r="DX218">
        <v>86.667000000000002</v>
      </c>
      <c r="DY218">
        <v>13</v>
      </c>
      <c r="DZ218">
        <v>55</v>
      </c>
      <c r="EA218">
        <v>8.25</v>
      </c>
      <c r="EB218">
        <v>9</v>
      </c>
      <c r="EC218">
        <v>25</v>
      </c>
      <c r="ED218">
        <v>8</v>
      </c>
      <c r="EE218">
        <v>10</v>
      </c>
      <c r="EF218">
        <v>153</v>
      </c>
      <c r="EG218">
        <v>19</v>
      </c>
      <c r="EH218">
        <v>57.143000000000001</v>
      </c>
      <c r="EI218">
        <v>44.792000000000002</v>
      </c>
      <c r="EJ218">
        <v>63.49</v>
      </c>
      <c r="EK218">
        <v>-1</v>
      </c>
    </row>
    <row r="219" spans="1:141" x14ac:dyDescent="0.25">
      <c r="A219">
        <v>0</v>
      </c>
      <c r="B219">
        <v>0</v>
      </c>
      <c r="C219">
        <v>0</v>
      </c>
      <c r="D219">
        <v>2025</v>
      </c>
      <c r="E219">
        <v>15</v>
      </c>
      <c r="F219" t="str">
        <f>VLOOKUP(G219, Map!$A$1:$B$33, 2, FALSE)</f>
        <v>DEN</v>
      </c>
      <c r="G219" t="s">
        <v>159</v>
      </c>
      <c r="H219" t="str">
        <f>VLOOKUP(I219, Map!$A$1:$B$33, 2, FALSE)</f>
        <v>GB</v>
      </c>
      <c r="I219" t="s">
        <v>154</v>
      </c>
      <c r="J219">
        <v>0</v>
      </c>
      <c r="K219">
        <v>0</v>
      </c>
      <c r="L219">
        <v>0</v>
      </c>
      <c r="M219">
        <v>0</v>
      </c>
      <c r="N219">
        <v>6</v>
      </c>
      <c r="O219">
        <v>2</v>
      </c>
      <c r="P219">
        <v>18.875</v>
      </c>
      <c r="Q219">
        <v>25.875</v>
      </c>
      <c r="R219">
        <v>56</v>
      </c>
      <c r="S219">
        <v>5</v>
      </c>
      <c r="T219">
        <v>0.75</v>
      </c>
      <c r="U219">
        <v>0</v>
      </c>
      <c r="V219">
        <v>1</v>
      </c>
      <c r="W219">
        <v>4</v>
      </c>
      <c r="X219">
        <v>0</v>
      </c>
      <c r="Y219">
        <v>2</v>
      </c>
      <c r="Z219">
        <v>2</v>
      </c>
      <c r="AA219">
        <v>3</v>
      </c>
      <c r="AB219">
        <v>2</v>
      </c>
      <c r="AC219">
        <v>4</v>
      </c>
      <c r="AD219">
        <v>12</v>
      </c>
      <c r="AE219">
        <v>7</v>
      </c>
      <c r="AF219">
        <v>9</v>
      </c>
      <c r="AG219">
        <v>63</v>
      </c>
      <c r="AH219">
        <v>0</v>
      </c>
      <c r="AI219">
        <v>5</v>
      </c>
      <c r="AJ219">
        <v>1</v>
      </c>
      <c r="AK219">
        <v>21.428571999999999</v>
      </c>
      <c r="AL219">
        <v>27.571428000000001</v>
      </c>
      <c r="AM219">
        <v>43</v>
      </c>
      <c r="AN219">
        <v>3</v>
      </c>
      <c r="AO219">
        <v>0.78571427000000005</v>
      </c>
      <c r="AP219">
        <v>1</v>
      </c>
      <c r="AQ219">
        <v>0</v>
      </c>
      <c r="AR219">
        <v>3</v>
      </c>
      <c r="AS219">
        <v>0</v>
      </c>
      <c r="AT219">
        <v>2</v>
      </c>
      <c r="AU219">
        <v>1</v>
      </c>
      <c r="AV219">
        <v>3</v>
      </c>
      <c r="AW219">
        <v>0</v>
      </c>
      <c r="AX219">
        <v>8</v>
      </c>
      <c r="AY219">
        <v>8</v>
      </c>
      <c r="AZ219">
        <v>8</v>
      </c>
      <c r="BA219">
        <v>8</v>
      </c>
      <c r="BB219">
        <v>61</v>
      </c>
      <c r="BC219">
        <v>0</v>
      </c>
      <c r="BD219">
        <v>0</v>
      </c>
      <c r="BE219">
        <v>0</v>
      </c>
      <c r="BF219">
        <v>0</v>
      </c>
      <c r="BG219">
        <v>49.689</v>
      </c>
      <c r="BH219">
        <v>82.820999999999998</v>
      </c>
      <c r="BI219">
        <v>49.911999999999999</v>
      </c>
      <c r="BJ219">
        <v>0</v>
      </c>
      <c r="BK219">
        <v>0</v>
      </c>
      <c r="BL219">
        <v>0</v>
      </c>
      <c r="BM219">
        <v>-8.3000000000000004E-2</v>
      </c>
      <c r="BN219">
        <v>49.911999999999999</v>
      </c>
      <c r="BO219">
        <v>82.820999999999998</v>
      </c>
      <c r="BP219">
        <v>0</v>
      </c>
      <c r="BQ219">
        <v>49.689</v>
      </c>
      <c r="BR219">
        <v>8.3000000000000004E-2</v>
      </c>
      <c r="BS219">
        <v>0</v>
      </c>
      <c r="BT219">
        <v>0</v>
      </c>
      <c r="BU219">
        <v>0</v>
      </c>
      <c r="BV219">
        <v>2703</v>
      </c>
      <c r="BW219">
        <v>62.807000000000002</v>
      </c>
      <c r="BX219">
        <v>219.125</v>
      </c>
      <c r="BY219">
        <v>22</v>
      </c>
      <c r="BZ219">
        <v>363.125</v>
      </c>
      <c r="CA219">
        <v>6.3259999999999996</v>
      </c>
      <c r="CB219">
        <v>1407</v>
      </c>
      <c r="CC219">
        <v>137.75</v>
      </c>
      <c r="CD219">
        <v>5.0090000000000003</v>
      </c>
      <c r="CE219">
        <v>10</v>
      </c>
      <c r="CF219">
        <v>3223</v>
      </c>
      <c r="CG219">
        <v>15</v>
      </c>
      <c r="CH219">
        <v>225.375</v>
      </c>
      <c r="CI219">
        <v>10.073</v>
      </c>
      <c r="CJ219">
        <v>6.0279999999999996</v>
      </c>
      <c r="CK219">
        <v>90.5</v>
      </c>
      <c r="CL219">
        <v>0</v>
      </c>
      <c r="CM219">
        <v>36</v>
      </c>
      <c r="CN219">
        <v>0</v>
      </c>
      <c r="CO219">
        <v>100</v>
      </c>
      <c r="CP219">
        <v>90.909000000000006</v>
      </c>
      <c r="CQ219">
        <v>10</v>
      </c>
      <c r="CR219">
        <v>51</v>
      </c>
      <c r="CS219">
        <v>10.467000000000001</v>
      </c>
      <c r="CT219">
        <v>38</v>
      </c>
      <c r="CU219">
        <v>18</v>
      </c>
      <c r="CV219">
        <v>0</v>
      </c>
      <c r="CW219">
        <v>15</v>
      </c>
      <c r="CX219">
        <v>207</v>
      </c>
      <c r="CY219">
        <v>20.75</v>
      </c>
      <c r="CZ219">
        <v>50</v>
      </c>
      <c r="DA219">
        <v>37.863999999999997</v>
      </c>
      <c r="DB219">
        <v>73.02</v>
      </c>
      <c r="DC219">
        <v>-1</v>
      </c>
      <c r="DD219">
        <v>2648</v>
      </c>
      <c r="DE219">
        <v>70.891999999999996</v>
      </c>
      <c r="DF219">
        <v>245</v>
      </c>
      <c r="DG219">
        <v>26</v>
      </c>
      <c r="DH219">
        <v>371</v>
      </c>
      <c r="DI219">
        <v>8.4410000000000007</v>
      </c>
      <c r="DJ219">
        <v>1099</v>
      </c>
      <c r="DK219">
        <v>114.143</v>
      </c>
      <c r="DL219">
        <v>3.9359999999999999</v>
      </c>
      <c r="DM219">
        <v>9</v>
      </c>
      <c r="DN219">
        <v>3008</v>
      </c>
      <c r="DO219">
        <v>13</v>
      </c>
      <c r="DP219">
        <v>256.85700000000003</v>
      </c>
      <c r="DQ219">
        <v>11.907</v>
      </c>
      <c r="DR219">
        <v>6.1429999999999998</v>
      </c>
      <c r="DS219">
        <v>6.75</v>
      </c>
      <c r="DT219">
        <v>0</v>
      </c>
      <c r="DU219">
        <v>21</v>
      </c>
      <c r="DV219">
        <v>0</v>
      </c>
      <c r="DW219">
        <v>95.238</v>
      </c>
      <c r="DX219">
        <v>76.471000000000004</v>
      </c>
      <c r="DY219">
        <v>13</v>
      </c>
      <c r="DZ219">
        <v>59</v>
      </c>
      <c r="EA219">
        <v>11.909000000000001</v>
      </c>
      <c r="EB219">
        <v>6</v>
      </c>
      <c r="EC219">
        <v>22</v>
      </c>
      <c r="ED219">
        <v>0</v>
      </c>
      <c r="EE219">
        <v>13</v>
      </c>
      <c r="EF219">
        <v>193</v>
      </c>
      <c r="EG219">
        <v>21</v>
      </c>
      <c r="EH219">
        <v>75</v>
      </c>
      <c r="EI219">
        <v>48.276000000000003</v>
      </c>
      <c r="EJ219">
        <v>78.569999999999993</v>
      </c>
      <c r="EK219">
        <v>1</v>
      </c>
    </row>
    <row r="220" spans="1:141" x14ac:dyDescent="0.25">
      <c r="A220">
        <v>0</v>
      </c>
      <c r="B220">
        <v>0</v>
      </c>
      <c r="C220">
        <v>0</v>
      </c>
      <c r="D220">
        <v>2025</v>
      </c>
      <c r="E220">
        <v>15</v>
      </c>
      <c r="F220" t="str">
        <f>VLOOKUP(G220, Map!$A$1:$B$33, 2, FALSE)</f>
        <v>LA</v>
      </c>
      <c r="G220" t="s">
        <v>155</v>
      </c>
      <c r="H220" t="str">
        <f>VLOOKUP(I220, Map!$A$1:$B$33, 2, FALSE)</f>
        <v>DET</v>
      </c>
      <c r="I220" t="s">
        <v>164</v>
      </c>
      <c r="J220">
        <v>0</v>
      </c>
      <c r="K220">
        <v>0</v>
      </c>
      <c r="L220">
        <v>0</v>
      </c>
      <c r="M220">
        <v>0</v>
      </c>
      <c r="N220">
        <v>5</v>
      </c>
      <c r="O220">
        <v>2</v>
      </c>
      <c r="P220">
        <v>16.714285</v>
      </c>
      <c r="Q220">
        <v>25</v>
      </c>
      <c r="R220">
        <v>58</v>
      </c>
      <c r="S220">
        <v>2</v>
      </c>
      <c r="T220">
        <v>0.71428572999999995</v>
      </c>
      <c r="U220">
        <v>0</v>
      </c>
      <c r="V220">
        <v>1</v>
      </c>
      <c r="W220">
        <v>2</v>
      </c>
      <c r="X220">
        <v>1</v>
      </c>
      <c r="Y220">
        <v>3</v>
      </c>
      <c r="Z220">
        <v>1</v>
      </c>
      <c r="AA220">
        <v>0</v>
      </c>
      <c r="AB220">
        <v>2</v>
      </c>
      <c r="AC220">
        <v>5</v>
      </c>
      <c r="AD220">
        <v>11</v>
      </c>
      <c r="AE220">
        <v>5</v>
      </c>
      <c r="AF220">
        <v>9</v>
      </c>
      <c r="AG220">
        <v>57</v>
      </c>
      <c r="AH220">
        <v>0</v>
      </c>
      <c r="AI220">
        <v>5</v>
      </c>
      <c r="AJ220">
        <v>2</v>
      </c>
      <c r="AK220">
        <v>21.571428000000001</v>
      </c>
      <c r="AL220">
        <v>30.714285</v>
      </c>
      <c r="AM220">
        <v>64</v>
      </c>
      <c r="AN220">
        <v>1</v>
      </c>
      <c r="AO220">
        <v>0.71428572999999995</v>
      </c>
      <c r="AP220">
        <v>1</v>
      </c>
      <c r="AQ220">
        <v>1</v>
      </c>
      <c r="AR220">
        <v>3</v>
      </c>
      <c r="AS220">
        <v>0</v>
      </c>
      <c r="AT220">
        <v>2</v>
      </c>
      <c r="AU220">
        <v>2</v>
      </c>
      <c r="AV220">
        <v>2</v>
      </c>
      <c r="AW220">
        <v>1</v>
      </c>
      <c r="AX220">
        <v>8</v>
      </c>
      <c r="AY220">
        <v>8</v>
      </c>
      <c r="AZ220">
        <v>11</v>
      </c>
      <c r="BA220">
        <v>5</v>
      </c>
      <c r="BB220">
        <v>73</v>
      </c>
      <c r="BC220">
        <v>0</v>
      </c>
      <c r="BD220">
        <v>0</v>
      </c>
      <c r="BE220">
        <v>0</v>
      </c>
      <c r="BF220">
        <v>0</v>
      </c>
      <c r="BG220">
        <v>50.725999999999999</v>
      </c>
      <c r="BH220">
        <v>85.828000000000003</v>
      </c>
      <c r="BI220">
        <v>48.881999999999998</v>
      </c>
      <c r="BJ220">
        <v>0</v>
      </c>
      <c r="BK220">
        <v>0</v>
      </c>
      <c r="BL220">
        <v>0</v>
      </c>
      <c r="BM220">
        <v>0.63300000000000001</v>
      </c>
      <c r="BN220">
        <v>48.881999999999998</v>
      </c>
      <c r="BO220">
        <v>85.828000000000003</v>
      </c>
      <c r="BP220">
        <v>0</v>
      </c>
      <c r="BQ220">
        <v>50.725999999999999</v>
      </c>
      <c r="BR220">
        <v>-0.63300000000000001</v>
      </c>
      <c r="BS220">
        <v>0</v>
      </c>
      <c r="BT220">
        <v>0</v>
      </c>
      <c r="BU220">
        <v>0</v>
      </c>
      <c r="BV220">
        <v>2996</v>
      </c>
      <c r="BW220">
        <v>65.843999999999994</v>
      </c>
      <c r="BX220">
        <v>256.71429999999998</v>
      </c>
      <c r="BY220">
        <v>30</v>
      </c>
      <c r="BZ220">
        <v>370</v>
      </c>
      <c r="CA220">
        <v>7.6790000000000003</v>
      </c>
      <c r="CB220">
        <v>789</v>
      </c>
      <c r="CC220">
        <v>103.429</v>
      </c>
      <c r="CD220">
        <v>4.1369999999999996</v>
      </c>
      <c r="CE220">
        <v>4</v>
      </c>
      <c r="CF220">
        <v>3261</v>
      </c>
      <c r="CG220">
        <v>17</v>
      </c>
      <c r="CH220">
        <v>266.57100000000003</v>
      </c>
      <c r="CI220">
        <v>11.663</v>
      </c>
      <c r="CJ220">
        <v>6.577</v>
      </c>
      <c r="CK220">
        <v>16.111000000000001</v>
      </c>
      <c r="CL220">
        <v>0</v>
      </c>
      <c r="CM220">
        <v>26</v>
      </c>
      <c r="CN220">
        <v>0</v>
      </c>
      <c r="CO220">
        <v>90.475999999999999</v>
      </c>
      <c r="CP220">
        <v>71.429000000000002</v>
      </c>
      <c r="CQ220">
        <v>10</v>
      </c>
      <c r="CR220">
        <v>49</v>
      </c>
      <c r="CS220">
        <v>14.2</v>
      </c>
      <c r="CT220">
        <v>22</v>
      </c>
      <c r="CU220">
        <v>11</v>
      </c>
      <c r="CV220">
        <v>0</v>
      </c>
      <c r="CW220">
        <v>17</v>
      </c>
      <c r="CX220">
        <v>175</v>
      </c>
      <c r="CY220">
        <v>22</v>
      </c>
      <c r="CZ220">
        <v>66.667000000000002</v>
      </c>
      <c r="DA220">
        <v>37.661999999999999</v>
      </c>
      <c r="DB220">
        <v>65.239999999999995</v>
      </c>
      <c r="DC220">
        <v>3</v>
      </c>
      <c r="DD220">
        <v>2664</v>
      </c>
      <c r="DE220">
        <v>75</v>
      </c>
      <c r="DF220">
        <v>223.57142999999999</v>
      </c>
      <c r="DG220">
        <v>23</v>
      </c>
      <c r="DH220">
        <v>367.14285000000001</v>
      </c>
      <c r="DI220">
        <v>8.01</v>
      </c>
      <c r="DJ220">
        <v>1256</v>
      </c>
      <c r="DK220">
        <v>133.714</v>
      </c>
      <c r="DL220">
        <v>4.5220000000000002</v>
      </c>
      <c r="DM220">
        <v>10</v>
      </c>
      <c r="DN220">
        <v>2959</v>
      </c>
      <c r="DO220">
        <v>16</v>
      </c>
      <c r="DP220">
        <v>233.429</v>
      </c>
      <c r="DQ220">
        <v>10.68</v>
      </c>
      <c r="DR220">
        <v>6.2610000000000001</v>
      </c>
      <c r="DS220">
        <v>24.2</v>
      </c>
      <c r="DT220">
        <v>1</v>
      </c>
      <c r="DU220">
        <v>23</v>
      </c>
      <c r="DV220">
        <v>0</v>
      </c>
      <c r="DW220">
        <v>100</v>
      </c>
      <c r="DX220">
        <v>72.727000000000004</v>
      </c>
      <c r="DY220">
        <v>8</v>
      </c>
      <c r="DZ220">
        <v>51</v>
      </c>
      <c r="EA220">
        <v>10</v>
      </c>
      <c r="EB220">
        <v>14</v>
      </c>
      <c r="EC220">
        <v>27</v>
      </c>
      <c r="ED220">
        <v>8</v>
      </c>
      <c r="EE220">
        <v>16</v>
      </c>
      <c r="EF220">
        <v>215</v>
      </c>
      <c r="EG220">
        <v>19.856999999999999</v>
      </c>
      <c r="EH220">
        <v>61.537999999999997</v>
      </c>
      <c r="EI220">
        <v>37.646999999999998</v>
      </c>
      <c r="EJ220">
        <v>74.88</v>
      </c>
      <c r="EK220">
        <v>6</v>
      </c>
    </row>
    <row r="221" spans="1:141" x14ac:dyDescent="0.25">
      <c r="A221">
        <v>0</v>
      </c>
      <c r="B221">
        <v>0</v>
      </c>
      <c r="C221">
        <v>0</v>
      </c>
      <c r="D221">
        <v>2025</v>
      </c>
      <c r="E221">
        <v>15</v>
      </c>
      <c r="F221" t="str">
        <f>VLOOKUP(G221, Map!$A$1:$B$33, 2, FALSE)</f>
        <v>NO</v>
      </c>
      <c r="G221" t="s">
        <v>168</v>
      </c>
      <c r="H221" t="str">
        <f>VLOOKUP(I221, Map!$A$1:$B$33, 2, FALSE)</f>
        <v>CAR</v>
      </c>
      <c r="I221" t="s">
        <v>142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7</v>
      </c>
      <c r="P221">
        <v>26.125</v>
      </c>
      <c r="Q221">
        <v>16</v>
      </c>
      <c r="R221">
        <v>-81</v>
      </c>
      <c r="S221">
        <v>-3</v>
      </c>
      <c r="T221">
        <v>0.125</v>
      </c>
      <c r="U221">
        <v>0</v>
      </c>
      <c r="V221">
        <v>1</v>
      </c>
      <c r="W221">
        <v>1</v>
      </c>
      <c r="X221">
        <v>4</v>
      </c>
      <c r="Y221">
        <v>0</v>
      </c>
      <c r="Z221">
        <v>3</v>
      </c>
      <c r="AA221">
        <v>1</v>
      </c>
      <c r="AB221">
        <v>5</v>
      </c>
      <c r="AC221">
        <v>7</v>
      </c>
      <c r="AD221">
        <v>10</v>
      </c>
      <c r="AE221">
        <v>7</v>
      </c>
      <c r="AF221">
        <v>10</v>
      </c>
      <c r="AG221">
        <v>64</v>
      </c>
      <c r="AH221">
        <v>0</v>
      </c>
      <c r="AI221">
        <v>4</v>
      </c>
      <c r="AJ221">
        <v>4</v>
      </c>
      <c r="AK221">
        <v>24</v>
      </c>
      <c r="AL221">
        <v>19.25</v>
      </c>
      <c r="AM221">
        <v>-38</v>
      </c>
      <c r="AN221">
        <v>-1</v>
      </c>
      <c r="AO221">
        <v>0.5</v>
      </c>
      <c r="AP221">
        <v>1</v>
      </c>
      <c r="AQ221">
        <v>0</v>
      </c>
      <c r="AR221">
        <v>3</v>
      </c>
      <c r="AS221">
        <v>1</v>
      </c>
      <c r="AT221">
        <v>1</v>
      </c>
      <c r="AU221">
        <v>3</v>
      </c>
      <c r="AV221">
        <v>2</v>
      </c>
      <c r="AW221">
        <v>1</v>
      </c>
      <c r="AX221">
        <v>7</v>
      </c>
      <c r="AY221">
        <v>10</v>
      </c>
      <c r="AZ221">
        <v>9</v>
      </c>
      <c r="BA221">
        <v>8</v>
      </c>
      <c r="BB221">
        <v>58</v>
      </c>
      <c r="BC221">
        <v>0</v>
      </c>
      <c r="BD221">
        <v>0</v>
      </c>
      <c r="BE221">
        <v>0</v>
      </c>
      <c r="BF221">
        <v>0</v>
      </c>
      <c r="BG221">
        <v>39.805</v>
      </c>
      <c r="BH221">
        <v>17.097999999999999</v>
      </c>
      <c r="BI221">
        <v>59.875999999999998</v>
      </c>
      <c r="BJ221">
        <v>0</v>
      </c>
      <c r="BK221">
        <v>0</v>
      </c>
      <c r="BL221">
        <v>0</v>
      </c>
      <c r="BM221">
        <v>-3.831</v>
      </c>
      <c r="BN221">
        <v>59.875999999999998</v>
      </c>
      <c r="BO221">
        <v>17.097999999999999</v>
      </c>
      <c r="BP221">
        <v>0</v>
      </c>
      <c r="BQ221">
        <v>39.805</v>
      </c>
      <c r="BR221">
        <v>3.831</v>
      </c>
      <c r="BS221">
        <v>0</v>
      </c>
      <c r="BT221">
        <v>0</v>
      </c>
      <c r="BU221">
        <v>0</v>
      </c>
      <c r="BV221">
        <v>2083</v>
      </c>
      <c r="BW221">
        <v>66.206999999999994</v>
      </c>
      <c r="BX221">
        <v>201.375</v>
      </c>
      <c r="BY221">
        <v>13</v>
      </c>
      <c r="BZ221">
        <v>310.25</v>
      </c>
      <c r="CA221">
        <v>5.976</v>
      </c>
      <c r="CB221">
        <v>779</v>
      </c>
      <c r="CC221">
        <v>93.625</v>
      </c>
      <c r="CD221">
        <v>3.7829999999999999</v>
      </c>
      <c r="CE221">
        <v>3</v>
      </c>
      <c r="CF221">
        <v>2973</v>
      </c>
      <c r="CG221">
        <v>8</v>
      </c>
      <c r="CH221">
        <v>216.625</v>
      </c>
      <c r="CI221">
        <v>9.0259999999999998</v>
      </c>
      <c r="CJ221">
        <v>6.0590000000000002</v>
      </c>
      <c r="CK221">
        <v>4.7779999999999996</v>
      </c>
      <c r="CL221">
        <v>1</v>
      </c>
      <c r="CM221">
        <v>17</v>
      </c>
      <c r="CN221">
        <v>0</v>
      </c>
      <c r="CO221">
        <v>100</v>
      </c>
      <c r="CP221">
        <v>71.429000000000002</v>
      </c>
      <c r="CQ221">
        <v>15</v>
      </c>
      <c r="CR221">
        <v>56</v>
      </c>
      <c r="CS221">
        <v>15.25</v>
      </c>
      <c r="CT221">
        <v>27</v>
      </c>
      <c r="CU221">
        <v>7</v>
      </c>
      <c r="CV221">
        <v>6</v>
      </c>
      <c r="CW221">
        <v>8</v>
      </c>
      <c r="CX221">
        <v>128</v>
      </c>
      <c r="CY221">
        <v>19.125</v>
      </c>
      <c r="CZ221">
        <v>33.332999999999998</v>
      </c>
      <c r="DA221">
        <v>38.835000000000001</v>
      </c>
      <c r="DB221">
        <v>61.22</v>
      </c>
      <c r="DC221">
        <v>-2</v>
      </c>
      <c r="DD221">
        <v>2241</v>
      </c>
      <c r="DE221">
        <v>62.451999999999998</v>
      </c>
      <c r="DF221">
        <v>179.5</v>
      </c>
      <c r="DG221">
        <v>19</v>
      </c>
      <c r="DH221">
        <v>334.5</v>
      </c>
      <c r="DI221">
        <v>6.0570000000000004</v>
      </c>
      <c r="DJ221">
        <v>1145</v>
      </c>
      <c r="DK221">
        <v>136.875</v>
      </c>
      <c r="DL221">
        <v>4.6399999999999997</v>
      </c>
      <c r="DM221">
        <v>4</v>
      </c>
      <c r="DN221">
        <v>2816</v>
      </c>
      <c r="DO221">
        <v>12</v>
      </c>
      <c r="DP221">
        <v>197.625</v>
      </c>
      <c r="DQ221">
        <v>9.6989999999999998</v>
      </c>
      <c r="DR221">
        <v>6.8460000000000001</v>
      </c>
      <c r="DS221">
        <v>4.75</v>
      </c>
      <c r="DT221">
        <v>1</v>
      </c>
      <c r="DU221">
        <v>13</v>
      </c>
      <c r="DV221">
        <v>0</v>
      </c>
      <c r="DW221">
        <v>86.667000000000002</v>
      </c>
      <c r="DX221">
        <v>86.667000000000002</v>
      </c>
      <c r="DY221">
        <v>13</v>
      </c>
      <c r="DZ221">
        <v>52</v>
      </c>
      <c r="EA221">
        <v>16.411999999999999</v>
      </c>
      <c r="EB221">
        <v>11</v>
      </c>
      <c r="EC221">
        <v>27</v>
      </c>
      <c r="ED221">
        <v>6</v>
      </c>
      <c r="EE221">
        <v>12</v>
      </c>
      <c r="EF221">
        <v>154</v>
      </c>
      <c r="EG221">
        <v>20.75</v>
      </c>
      <c r="EH221">
        <v>68.421000000000006</v>
      </c>
      <c r="EI221">
        <v>37.255000000000003</v>
      </c>
      <c r="EJ221">
        <v>70.83</v>
      </c>
      <c r="EK221">
        <v>-5</v>
      </c>
    </row>
    <row r="222" spans="1:141" x14ac:dyDescent="0.25">
      <c r="A222">
        <v>0</v>
      </c>
      <c r="B222">
        <v>0</v>
      </c>
      <c r="C222">
        <v>0</v>
      </c>
      <c r="D222">
        <v>2025</v>
      </c>
      <c r="E222">
        <v>15</v>
      </c>
      <c r="F222" t="str">
        <f>VLOOKUP(G222, Map!$A$1:$B$33, 2, FALSE)</f>
        <v>SF</v>
      </c>
      <c r="G222" t="s">
        <v>143</v>
      </c>
      <c r="H222" t="str">
        <f>VLOOKUP(I222, Map!$A$1:$B$33, 2, FALSE)</f>
        <v>TEN</v>
      </c>
      <c r="I222" t="s">
        <v>140</v>
      </c>
      <c r="J222">
        <v>0</v>
      </c>
      <c r="K222">
        <v>0</v>
      </c>
      <c r="L222">
        <v>0</v>
      </c>
      <c r="M222">
        <v>0</v>
      </c>
      <c r="N222">
        <v>5</v>
      </c>
      <c r="O222">
        <v>3</v>
      </c>
      <c r="P222">
        <v>20.5</v>
      </c>
      <c r="Q222">
        <v>20</v>
      </c>
      <c r="R222">
        <v>-4</v>
      </c>
      <c r="S222">
        <v>-1</v>
      </c>
      <c r="T222">
        <v>0.625</v>
      </c>
      <c r="U222">
        <v>3</v>
      </c>
      <c r="V222">
        <v>0</v>
      </c>
      <c r="W222">
        <v>2</v>
      </c>
      <c r="X222">
        <v>1</v>
      </c>
      <c r="Y222">
        <v>3</v>
      </c>
      <c r="Z222">
        <v>2</v>
      </c>
      <c r="AA222">
        <v>5</v>
      </c>
      <c r="AB222">
        <v>1</v>
      </c>
      <c r="AC222">
        <v>15</v>
      </c>
      <c r="AD222">
        <v>5</v>
      </c>
      <c r="AE222">
        <v>13</v>
      </c>
      <c r="AF222">
        <v>7</v>
      </c>
      <c r="AG222">
        <v>68</v>
      </c>
      <c r="AH222">
        <v>0</v>
      </c>
      <c r="AI222">
        <v>1</v>
      </c>
      <c r="AJ222">
        <v>7</v>
      </c>
      <c r="AK222">
        <v>28.75</v>
      </c>
      <c r="AL222">
        <v>13.75</v>
      </c>
      <c r="AM222">
        <v>-120</v>
      </c>
      <c r="AN222">
        <v>-3</v>
      </c>
      <c r="AO222">
        <v>0.125</v>
      </c>
      <c r="AP222">
        <v>0</v>
      </c>
      <c r="AQ222">
        <v>3</v>
      </c>
      <c r="AR222">
        <v>0</v>
      </c>
      <c r="AS222">
        <v>3</v>
      </c>
      <c r="AT222">
        <v>1</v>
      </c>
      <c r="AU222">
        <v>4</v>
      </c>
      <c r="AV222">
        <v>0</v>
      </c>
      <c r="AW222">
        <v>6</v>
      </c>
      <c r="AX222">
        <v>7</v>
      </c>
      <c r="AY222">
        <v>9</v>
      </c>
      <c r="AZ222">
        <v>8</v>
      </c>
      <c r="BA222">
        <v>7</v>
      </c>
      <c r="BB222">
        <v>59</v>
      </c>
      <c r="BC222">
        <v>0</v>
      </c>
      <c r="BD222">
        <v>0</v>
      </c>
      <c r="BE222">
        <v>0</v>
      </c>
      <c r="BF222">
        <v>0</v>
      </c>
      <c r="BG222">
        <v>80.582999999999998</v>
      </c>
      <c r="BH222">
        <v>38.426000000000002</v>
      </c>
      <c r="BI222">
        <v>19.262</v>
      </c>
      <c r="BJ222">
        <v>0</v>
      </c>
      <c r="BK222">
        <v>0</v>
      </c>
      <c r="BL222">
        <v>0</v>
      </c>
      <c r="BM222">
        <v>12.856999999999999</v>
      </c>
      <c r="BN222">
        <v>19.262</v>
      </c>
      <c r="BO222">
        <v>38.426000000000002</v>
      </c>
      <c r="BP222">
        <v>0</v>
      </c>
      <c r="BQ222">
        <v>80.582999999999998</v>
      </c>
      <c r="BR222">
        <v>-12.856999999999999</v>
      </c>
      <c r="BS222">
        <v>0</v>
      </c>
      <c r="BT222">
        <v>0</v>
      </c>
      <c r="BU222">
        <v>0</v>
      </c>
      <c r="BV222">
        <v>2753</v>
      </c>
      <c r="BW222">
        <v>65.885999999999996</v>
      </c>
      <c r="BX222">
        <v>259.25</v>
      </c>
      <c r="BY222">
        <v>23</v>
      </c>
      <c r="BZ222">
        <v>362.25</v>
      </c>
      <c r="CA222">
        <v>7.3010000000000002</v>
      </c>
      <c r="CB222">
        <v>775</v>
      </c>
      <c r="CC222">
        <v>89.375</v>
      </c>
      <c r="CD222">
        <v>3.4049999999999998</v>
      </c>
      <c r="CE222">
        <v>3</v>
      </c>
      <c r="CF222">
        <v>3588</v>
      </c>
      <c r="CG222">
        <v>12</v>
      </c>
      <c r="CH222">
        <v>272.875</v>
      </c>
      <c r="CI222">
        <v>11.081</v>
      </c>
      <c r="CJ222">
        <v>6.6669999999999998</v>
      </c>
      <c r="CK222">
        <v>1.889</v>
      </c>
      <c r="CL222">
        <v>0</v>
      </c>
      <c r="CM222">
        <v>9</v>
      </c>
      <c r="CN222">
        <v>0</v>
      </c>
      <c r="CO222">
        <v>92.308000000000007</v>
      </c>
      <c r="CP222">
        <v>90</v>
      </c>
      <c r="CQ222">
        <v>18</v>
      </c>
      <c r="CR222">
        <v>66</v>
      </c>
      <c r="CS222">
        <v>14.308</v>
      </c>
      <c r="CT222">
        <v>25</v>
      </c>
      <c r="CU222">
        <v>12</v>
      </c>
      <c r="CV222">
        <v>0</v>
      </c>
      <c r="CW222">
        <v>12</v>
      </c>
      <c r="CX222">
        <v>160</v>
      </c>
      <c r="CY222">
        <v>20.875</v>
      </c>
      <c r="CZ222">
        <v>54.545000000000002</v>
      </c>
      <c r="DA222">
        <v>46.363999999999997</v>
      </c>
      <c r="DB222">
        <v>65.709999999999994</v>
      </c>
      <c r="DC222">
        <v>-5</v>
      </c>
      <c r="DD222">
        <v>1785</v>
      </c>
      <c r="DE222">
        <v>57.664000000000001</v>
      </c>
      <c r="DF222">
        <v>168.375</v>
      </c>
      <c r="DG222">
        <v>21</v>
      </c>
      <c r="DH222">
        <v>282.25</v>
      </c>
      <c r="DI222">
        <v>5.8940000000000001</v>
      </c>
      <c r="DJ222">
        <v>643</v>
      </c>
      <c r="DK222">
        <v>80.375</v>
      </c>
      <c r="DL222">
        <v>3.9209999999999998</v>
      </c>
      <c r="DM222">
        <v>3</v>
      </c>
      <c r="DN222">
        <v>2580</v>
      </c>
      <c r="DO222">
        <v>5</v>
      </c>
      <c r="DP222">
        <v>201.875</v>
      </c>
      <c r="DQ222">
        <v>10.222</v>
      </c>
      <c r="DR222">
        <v>6.8129999999999997</v>
      </c>
      <c r="DS222">
        <v>4.8949999999999996</v>
      </c>
      <c r="DT222">
        <v>0</v>
      </c>
      <c r="DU222">
        <v>16</v>
      </c>
      <c r="DV222">
        <v>0</v>
      </c>
      <c r="DW222">
        <v>88.888999999999996</v>
      </c>
      <c r="DX222">
        <v>76.19</v>
      </c>
      <c r="DY222">
        <v>16</v>
      </c>
      <c r="DZ222">
        <v>56</v>
      </c>
      <c r="EA222">
        <v>10.75</v>
      </c>
      <c r="EB222">
        <v>12</v>
      </c>
      <c r="EC222">
        <v>37</v>
      </c>
      <c r="ED222">
        <v>6</v>
      </c>
      <c r="EE222">
        <v>5</v>
      </c>
      <c r="EF222">
        <v>110</v>
      </c>
      <c r="EG222">
        <v>15.875</v>
      </c>
      <c r="EH222">
        <v>38.462000000000003</v>
      </c>
      <c r="EI222">
        <v>29.907</v>
      </c>
      <c r="EJ222">
        <v>65.31</v>
      </c>
      <c r="EK222">
        <v>-4</v>
      </c>
    </row>
    <row r="223" spans="1:141" x14ac:dyDescent="0.25">
      <c r="A223">
        <v>0</v>
      </c>
      <c r="B223">
        <v>0</v>
      </c>
      <c r="C223">
        <v>0</v>
      </c>
      <c r="D223">
        <v>2025</v>
      </c>
      <c r="E223">
        <v>15</v>
      </c>
      <c r="F223" t="str">
        <f>VLOOKUP(G223, Map!$A$1:$B$33, 2, FALSE)</f>
        <v>SEA</v>
      </c>
      <c r="G223" t="s">
        <v>144</v>
      </c>
      <c r="H223" t="str">
        <f>VLOOKUP(I223, Map!$A$1:$B$33, 2, FALSE)</f>
        <v>IND</v>
      </c>
      <c r="I223" t="s">
        <v>138</v>
      </c>
      <c r="J223">
        <v>0</v>
      </c>
      <c r="K223">
        <v>0</v>
      </c>
      <c r="L223">
        <v>0</v>
      </c>
      <c r="M223">
        <v>0</v>
      </c>
      <c r="N223">
        <v>5</v>
      </c>
      <c r="O223">
        <v>2</v>
      </c>
      <c r="P223">
        <v>19.428571999999999</v>
      </c>
      <c r="Q223">
        <v>27.571428000000001</v>
      </c>
      <c r="R223">
        <v>57</v>
      </c>
      <c r="S223">
        <v>2</v>
      </c>
      <c r="T223">
        <v>0.71428572999999995</v>
      </c>
      <c r="U223">
        <v>1</v>
      </c>
      <c r="V223">
        <v>1</v>
      </c>
      <c r="W223">
        <v>2</v>
      </c>
      <c r="X223">
        <v>2</v>
      </c>
      <c r="Y223">
        <v>3</v>
      </c>
      <c r="Z223">
        <v>0</v>
      </c>
      <c r="AA223">
        <v>2</v>
      </c>
      <c r="AB223">
        <v>2</v>
      </c>
      <c r="AC223">
        <v>9</v>
      </c>
      <c r="AD223">
        <v>8</v>
      </c>
      <c r="AE223">
        <v>7</v>
      </c>
      <c r="AF223">
        <v>10</v>
      </c>
      <c r="AG223">
        <v>61</v>
      </c>
      <c r="AH223">
        <v>0</v>
      </c>
      <c r="AI223">
        <v>7</v>
      </c>
      <c r="AJ223">
        <v>1</v>
      </c>
      <c r="AK223">
        <v>19.25</v>
      </c>
      <c r="AL223">
        <v>33.75</v>
      </c>
      <c r="AM223">
        <v>116</v>
      </c>
      <c r="AN223">
        <v>4</v>
      </c>
      <c r="AO223">
        <v>0.875</v>
      </c>
      <c r="AP223">
        <v>2</v>
      </c>
      <c r="AQ223">
        <v>0</v>
      </c>
      <c r="AR223">
        <v>5</v>
      </c>
      <c r="AS223">
        <v>0</v>
      </c>
      <c r="AT223">
        <v>2</v>
      </c>
      <c r="AU223">
        <v>1</v>
      </c>
      <c r="AV223">
        <v>6</v>
      </c>
      <c r="AW223">
        <v>0</v>
      </c>
      <c r="AX223">
        <v>4</v>
      </c>
      <c r="AY223">
        <v>12</v>
      </c>
      <c r="AZ223">
        <v>6</v>
      </c>
      <c r="BA223">
        <v>11</v>
      </c>
      <c r="BB223">
        <v>68</v>
      </c>
      <c r="BC223">
        <v>0</v>
      </c>
      <c r="BD223">
        <v>0</v>
      </c>
      <c r="BE223">
        <v>0</v>
      </c>
      <c r="BF223">
        <v>0</v>
      </c>
      <c r="BG223">
        <v>44.951000000000001</v>
      </c>
      <c r="BH223">
        <v>72.671999999999997</v>
      </c>
      <c r="BI223">
        <v>54.688000000000002</v>
      </c>
      <c r="BJ223">
        <v>0</v>
      </c>
      <c r="BK223">
        <v>0</v>
      </c>
      <c r="BL223">
        <v>0</v>
      </c>
      <c r="BM223">
        <v>-2.0350000000000001</v>
      </c>
      <c r="BN223">
        <v>54.688000000000002</v>
      </c>
      <c r="BO223">
        <v>72.671999999999997</v>
      </c>
      <c r="BP223">
        <v>0</v>
      </c>
      <c r="BQ223">
        <v>44.951000000000001</v>
      </c>
      <c r="BR223">
        <v>2.0350000000000001</v>
      </c>
      <c r="BS223">
        <v>0</v>
      </c>
      <c r="BT223">
        <v>0</v>
      </c>
      <c r="BU223">
        <v>0</v>
      </c>
      <c r="BV223">
        <v>2459</v>
      </c>
      <c r="BW223">
        <v>67.856999999999999</v>
      </c>
      <c r="BX223">
        <v>244.42857000000001</v>
      </c>
      <c r="BY223">
        <v>27</v>
      </c>
      <c r="BZ223">
        <v>358.85714999999999</v>
      </c>
      <c r="CA223">
        <v>9.0259999999999998</v>
      </c>
      <c r="CB223">
        <v>918</v>
      </c>
      <c r="CC223">
        <v>106.143</v>
      </c>
      <c r="CD223">
        <v>3.6779999999999999</v>
      </c>
      <c r="CE223">
        <v>8</v>
      </c>
      <c r="CF223">
        <v>2854</v>
      </c>
      <c r="CG223">
        <v>12</v>
      </c>
      <c r="CH223">
        <v>252.714</v>
      </c>
      <c r="CI223">
        <v>13.301</v>
      </c>
      <c r="CJ223">
        <v>7.1740000000000004</v>
      </c>
      <c r="CK223">
        <v>7.8890000000000002</v>
      </c>
      <c r="CL223">
        <v>2</v>
      </c>
      <c r="CM223">
        <v>23</v>
      </c>
      <c r="CN223">
        <v>0</v>
      </c>
      <c r="CO223">
        <v>100</v>
      </c>
      <c r="CP223">
        <v>76.471000000000004</v>
      </c>
      <c r="CQ223">
        <v>13</v>
      </c>
      <c r="CR223">
        <v>61</v>
      </c>
      <c r="CS223">
        <v>11</v>
      </c>
      <c r="CT223">
        <v>26</v>
      </c>
      <c r="CU223">
        <v>10</v>
      </c>
      <c r="CV223">
        <v>6</v>
      </c>
      <c r="CW223">
        <v>12</v>
      </c>
      <c r="CX223">
        <v>193</v>
      </c>
      <c r="CY223">
        <v>19.428999999999998</v>
      </c>
      <c r="CZ223">
        <v>66.667000000000002</v>
      </c>
      <c r="DA223">
        <v>33.332999999999998</v>
      </c>
      <c r="DB223">
        <v>76.569999999999993</v>
      </c>
      <c r="DC223">
        <v>-4</v>
      </c>
      <c r="DD223">
        <v>2891</v>
      </c>
      <c r="DE223">
        <v>70.161000000000001</v>
      </c>
      <c r="DF223">
        <v>250.875</v>
      </c>
      <c r="DG223">
        <v>23</v>
      </c>
      <c r="DH223">
        <v>393.25</v>
      </c>
      <c r="DI223">
        <v>8.3510000000000009</v>
      </c>
      <c r="DJ223">
        <v>1690</v>
      </c>
      <c r="DK223">
        <v>134.375</v>
      </c>
      <c r="DL223">
        <v>5.0229999999999997</v>
      </c>
      <c r="DM223">
        <v>18</v>
      </c>
      <c r="DN223">
        <v>3396</v>
      </c>
      <c r="DO223">
        <v>13</v>
      </c>
      <c r="DP223">
        <v>258.875</v>
      </c>
      <c r="DQ223">
        <v>11.901999999999999</v>
      </c>
      <c r="DR223">
        <v>6.8259999999999996</v>
      </c>
      <c r="DS223">
        <v>6.0910000000000002</v>
      </c>
      <c r="DT223">
        <v>1</v>
      </c>
      <c r="DU223">
        <v>23</v>
      </c>
      <c r="DV223">
        <v>0</v>
      </c>
      <c r="DW223">
        <v>96.296000000000006</v>
      </c>
      <c r="DX223">
        <v>94.117999999999995</v>
      </c>
      <c r="DY223">
        <v>16</v>
      </c>
      <c r="DZ223">
        <v>74</v>
      </c>
      <c r="EA223">
        <v>4.25</v>
      </c>
      <c r="EB223">
        <v>8</v>
      </c>
      <c r="EC223">
        <v>16</v>
      </c>
      <c r="ED223">
        <v>6</v>
      </c>
      <c r="EE223">
        <v>13</v>
      </c>
      <c r="EF223">
        <v>270</v>
      </c>
      <c r="EG223">
        <v>23.25</v>
      </c>
      <c r="EH223">
        <v>83.332999999999998</v>
      </c>
      <c r="EI223">
        <v>45.348999999999997</v>
      </c>
      <c r="EJ223">
        <v>77.069999999999993</v>
      </c>
      <c r="EK223">
        <v>8</v>
      </c>
    </row>
    <row r="224" spans="1:141" x14ac:dyDescent="0.25">
      <c r="A224">
        <v>0</v>
      </c>
      <c r="B224">
        <v>0</v>
      </c>
      <c r="C224">
        <v>0</v>
      </c>
      <c r="D224">
        <v>2025</v>
      </c>
      <c r="E224">
        <v>15</v>
      </c>
      <c r="F224" t="str">
        <f>VLOOKUP(G224, Map!$A$1:$B$33, 2, FALSE)</f>
        <v>DAL</v>
      </c>
      <c r="G224" t="s">
        <v>150</v>
      </c>
      <c r="H224" t="str">
        <f>VLOOKUP(I224, Map!$A$1:$B$33, 2, FALSE)</f>
        <v>MIN</v>
      </c>
      <c r="I224" t="s">
        <v>153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4</v>
      </c>
      <c r="P224">
        <v>31.25</v>
      </c>
      <c r="Q224">
        <v>30.75</v>
      </c>
      <c r="R224">
        <v>-4</v>
      </c>
      <c r="S224">
        <v>-1</v>
      </c>
      <c r="T224">
        <v>0.4375</v>
      </c>
      <c r="U224">
        <v>2</v>
      </c>
      <c r="V224">
        <v>1</v>
      </c>
      <c r="W224">
        <v>2</v>
      </c>
      <c r="X224">
        <v>0</v>
      </c>
      <c r="Y224">
        <v>1</v>
      </c>
      <c r="Z224">
        <v>4</v>
      </c>
      <c r="AA224">
        <v>2</v>
      </c>
      <c r="AB224">
        <v>3</v>
      </c>
      <c r="AC224">
        <v>13</v>
      </c>
      <c r="AD224">
        <v>5</v>
      </c>
      <c r="AE224">
        <v>11</v>
      </c>
      <c r="AF224">
        <v>7</v>
      </c>
      <c r="AG224">
        <v>68</v>
      </c>
      <c r="AH224">
        <v>0</v>
      </c>
      <c r="AI224">
        <v>3</v>
      </c>
      <c r="AJ224">
        <v>4</v>
      </c>
      <c r="AK224">
        <v>23.142856999999999</v>
      </c>
      <c r="AL224">
        <v>22.142856999999999</v>
      </c>
      <c r="AM224">
        <v>-7</v>
      </c>
      <c r="AN224">
        <v>-2</v>
      </c>
      <c r="AO224">
        <v>0.42857142999999998</v>
      </c>
      <c r="AP224">
        <v>1</v>
      </c>
      <c r="AQ224">
        <v>0</v>
      </c>
      <c r="AR224">
        <v>1</v>
      </c>
      <c r="AS224">
        <v>2</v>
      </c>
      <c r="AT224">
        <v>2</v>
      </c>
      <c r="AU224">
        <v>2</v>
      </c>
      <c r="AV224">
        <v>1</v>
      </c>
      <c r="AW224">
        <v>2</v>
      </c>
      <c r="AX224">
        <v>13</v>
      </c>
      <c r="AY224">
        <v>4</v>
      </c>
      <c r="AZ224">
        <v>7</v>
      </c>
      <c r="BA224">
        <v>9</v>
      </c>
      <c r="BB224">
        <v>61</v>
      </c>
      <c r="BC224">
        <v>0</v>
      </c>
      <c r="BD224">
        <v>0</v>
      </c>
      <c r="BE224">
        <v>0</v>
      </c>
      <c r="BF224">
        <v>0</v>
      </c>
      <c r="BG224">
        <v>64.683000000000007</v>
      </c>
      <c r="BH224">
        <v>48.252000000000002</v>
      </c>
      <c r="BI224">
        <v>35.034999999999997</v>
      </c>
      <c r="BJ224">
        <v>0</v>
      </c>
      <c r="BK224">
        <v>0</v>
      </c>
      <c r="BL224">
        <v>0</v>
      </c>
      <c r="BM224">
        <v>5.859</v>
      </c>
      <c r="BN224">
        <v>35.034999999999997</v>
      </c>
      <c r="BO224">
        <v>48.252000000000002</v>
      </c>
      <c r="BP224">
        <v>0</v>
      </c>
      <c r="BQ224">
        <v>64.683000000000007</v>
      </c>
      <c r="BR224">
        <v>-5.859</v>
      </c>
      <c r="BS224">
        <v>0</v>
      </c>
      <c r="BT224">
        <v>0</v>
      </c>
      <c r="BU224">
        <v>0</v>
      </c>
      <c r="BV224">
        <v>3160</v>
      </c>
      <c r="BW224">
        <v>70.233999999999995</v>
      </c>
      <c r="BX224">
        <v>263.75</v>
      </c>
      <c r="BY224">
        <v>25</v>
      </c>
      <c r="BZ224">
        <v>391.375</v>
      </c>
      <c r="CA224">
        <v>7.1909999999999998</v>
      </c>
      <c r="CB224">
        <v>1283</v>
      </c>
      <c r="CC224">
        <v>120.375</v>
      </c>
      <c r="CD224">
        <v>4.6749999999999998</v>
      </c>
      <c r="CE224">
        <v>10</v>
      </c>
      <c r="CF224">
        <v>3813</v>
      </c>
      <c r="CG224">
        <v>17</v>
      </c>
      <c r="CH224">
        <v>271</v>
      </c>
      <c r="CI224">
        <v>10.238</v>
      </c>
      <c r="CJ224">
        <v>7.7329999999999997</v>
      </c>
      <c r="CK224">
        <v>4.8099999999999996</v>
      </c>
      <c r="CL224">
        <v>1</v>
      </c>
      <c r="CM224">
        <v>15</v>
      </c>
      <c r="CN224">
        <v>0</v>
      </c>
      <c r="CO224">
        <v>96.296000000000006</v>
      </c>
      <c r="CP224">
        <v>100</v>
      </c>
      <c r="CQ224">
        <v>16</v>
      </c>
      <c r="CR224">
        <v>74</v>
      </c>
      <c r="CS224">
        <v>10</v>
      </c>
      <c r="CT224">
        <v>28</v>
      </c>
      <c r="CU224">
        <v>11</v>
      </c>
      <c r="CV224">
        <v>6</v>
      </c>
      <c r="CW224">
        <v>17</v>
      </c>
      <c r="CX224">
        <v>246</v>
      </c>
      <c r="CY224">
        <v>23.125</v>
      </c>
      <c r="CZ224">
        <v>77.778000000000006</v>
      </c>
      <c r="DA224">
        <v>43.158000000000001</v>
      </c>
      <c r="DB224">
        <v>74.19</v>
      </c>
      <c r="DC224">
        <v>-1</v>
      </c>
      <c r="DD224">
        <v>1981</v>
      </c>
      <c r="DE224">
        <v>63.927</v>
      </c>
      <c r="DF224">
        <v>202.71428</v>
      </c>
      <c r="DG224">
        <v>21</v>
      </c>
      <c r="DH224">
        <v>321.14285000000001</v>
      </c>
      <c r="DI224">
        <v>7.2649999999999997</v>
      </c>
      <c r="DJ224">
        <v>772</v>
      </c>
      <c r="DK224">
        <v>93.856999999999999</v>
      </c>
      <c r="DL224">
        <v>4.2939999999999996</v>
      </c>
      <c r="DM224">
        <v>5</v>
      </c>
      <c r="DN224">
        <v>2606</v>
      </c>
      <c r="DO224">
        <v>9</v>
      </c>
      <c r="DP224">
        <v>227.286</v>
      </c>
      <c r="DQ224">
        <v>11.364000000000001</v>
      </c>
      <c r="DR224">
        <v>6.2220000000000004</v>
      </c>
      <c r="DS224">
        <v>3.3570000000000002</v>
      </c>
      <c r="DT224">
        <v>2</v>
      </c>
      <c r="DU224">
        <v>18</v>
      </c>
      <c r="DV224">
        <v>0</v>
      </c>
      <c r="DW224">
        <v>100</v>
      </c>
      <c r="DX224">
        <v>87.5</v>
      </c>
      <c r="DY224">
        <v>14</v>
      </c>
      <c r="DZ224">
        <v>55</v>
      </c>
      <c r="EA224">
        <v>7.8179999999999996</v>
      </c>
      <c r="EB224">
        <v>10</v>
      </c>
      <c r="EC224">
        <v>29</v>
      </c>
      <c r="ED224">
        <v>12</v>
      </c>
      <c r="EE224">
        <v>9</v>
      </c>
      <c r="EF224">
        <v>155</v>
      </c>
      <c r="EG224">
        <v>17.428999999999998</v>
      </c>
      <c r="EH224">
        <v>62.5</v>
      </c>
      <c r="EI224">
        <v>33.332999999999998</v>
      </c>
      <c r="EJ224">
        <v>70.13</v>
      </c>
      <c r="EK224">
        <v>-4</v>
      </c>
    </row>
    <row r="225" spans="1:141" x14ac:dyDescent="0.25">
      <c r="A225">
        <v>0</v>
      </c>
      <c r="B225">
        <v>0</v>
      </c>
      <c r="C225">
        <v>0</v>
      </c>
      <c r="D225">
        <v>2025</v>
      </c>
      <c r="E225">
        <v>15</v>
      </c>
      <c r="F225" t="str">
        <f>VLOOKUP(G225, Map!$A$1:$B$33, 2, FALSE)</f>
        <v>PIT</v>
      </c>
      <c r="G225" t="s">
        <v>145</v>
      </c>
      <c r="H225" t="str">
        <f>VLOOKUP(I225, Map!$A$1:$B$33, 2, FALSE)</f>
        <v>MIA</v>
      </c>
      <c r="I225" t="s">
        <v>152</v>
      </c>
      <c r="J225">
        <v>0</v>
      </c>
      <c r="K225">
        <v>0</v>
      </c>
      <c r="L225">
        <v>0</v>
      </c>
      <c r="M225">
        <v>0</v>
      </c>
      <c r="N225">
        <v>4</v>
      </c>
      <c r="O225">
        <v>3</v>
      </c>
      <c r="P225">
        <v>25</v>
      </c>
      <c r="Q225">
        <v>25</v>
      </c>
      <c r="R225">
        <v>0</v>
      </c>
      <c r="S225">
        <v>-2</v>
      </c>
      <c r="T225">
        <v>0.57142859999999995</v>
      </c>
      <c r="U225">
        <v>1</v>
      </c>
      <c r="V225">
        <v>1</v>
      </c>
      <c r="W225">
        <v>2</v>
      </c>
      <c r="X225">
        <v>2</v>
      </c>
      <c r="Y225">
        <v>2</v>
      </c>
      <c r="Z225">
        <v>1</v>
      </c>
      <c r="AA225">
        <v>3</v>
      </c>
      <c r="AB225">
        <v>1</v>
      </c>
      <c r="AC225">
        <v>9</v>
      </c>
      <c r="AD225">
        <v>8</v>
      </c>
      <c r="AE225">
        <v>10</v>
      </c>
      <c r="AF225">
        <v>6</v>
      </c>
      <c r="AG225">
        <v>66</v>
      </c>
      <c r="AH225">
        <v>0</v>
      </c>
      <c r="AI225">
        <v>2</v>
      </c>
      <c r="AJ225">
        <v>6</v>
      </c>
      <c r="AK225">
        <v>26.875</v>
      </c>
      <c r="AL225">
        <v>21.75</v>
      </c>
      <c r="AM225">
        <v>-41</v>
      </c>
      <c r="AN225">
        <v>1</v>
      </c>
      <c r="AO225">
        <v>0.25</v>
      </c>
      <c r="AP225">
        <v>1</v>
      </c>
      <c r="AQ225">
        <v>2</v>
      </c>
      <c r="AR225">
        <v>1</v>
      </c>
      <c r="AS225">
        <v>2</v>
      </c>
      <c r="AT225">
        <v>1</v>
      </c>
      <c r="AU225">
        <v>4</v>
      </c>
      <c r="AV225">
        <v>1</v>
      </c>
      <c r="AW225">
        <v>5</v>
      </c>
      <c r="AX225">
        <v>9</v>
      </c>
      <c r="AY225">
        <v>9</v>
      </c>
      <c r="AZ225">
        <v>10</v>
      </c>
      <c r="BA225">
        <v>8</v>
      </c>
      <c r="BB225">
        <v>68</v>
      </c>
      <c r="BC225">
        <v>0</v>
      </c>
      <c r="BD225">
        <v>0</v>
      </c>
      <c r="BE225">
        <v>0</v>
      </c>
      <c r="BF225">
        <v>0</v>
      </c>
      <c r="BG225">
        <v>62.442</v>
      </c>
      <c r="BH225">
        <v>40.351999999999997</v>
      </c>
      <c r="BI225">
        <v>37.258000000000003</v>
      </c>
      <c r="BJ225">
        <v>0</v>
      </c>
      <c r="BK225">
        <v>0</v>
      </c>
      <c r="BL225">
        <v>0</v>
      </c>
      <c r="BM225">
        <v>5.1470000000000002</v>
      </c>
      <c r="BN225">
        <v>37.258000000000003</v>
      </c>
      <c r="BO225">
        <v>40.351999999999997</v>
      </c>
      <c r="BP225">
        <v>0</v>
      </c>
      <c r="BQ225">
        <v>62.442</v>
      </c>
      <c r="BR225">
        <v>-5.1470000000000002</v>
      </c>
      <c r="BS225">
        <v>0</v>
      </c>
      <c r="BT225">
        <v>0</v>
      </c>
      <c r="BU225">
        <v>0</v>
      </c>
      <c r="BV225">
        <v>2471</v>
      </c>
      <c r="BW225">
        <v>68.570999999999998</v>
      </c>
      <c r="BX225">
        <v>202.85714999999999</v>
      </c>
      <c r="BY225">
        <v>20</v>
      </c>
      <c r="BZ225">
        <v>308.71429999999998</v>
      </c>
      <c r="CA225">
        <v>7.1479999999999997</v>
      </c>
      <c r="CB225">
        <v>750</v>
      </c>
      <c r="CC225">
        <v>94.286000000000001</v>
      </c>
      <c r="CD225">
        <v>4.0739999999999998</v>
      </c>
      <c r="CE225">
        <v>3</v>
      </c>
      <c r="CF225">
        <v>2781</v>
      </c>
      <c r="CG225">
        <v>16</v>
      </c>
      <c r="CH225">
        <v>214.429</v>
      </c>
      <c r="CI225">
        <v>10.423999999999999</v>
      </c>
      <c r="CJ225">
        <v>6.4089999999999998</v>
      </c>
      <c r="CK225">
        <v>7.4379999999999997</v>
      </c>
      <c r="CL225">
        <v>0</v>
      </c>
      <c r="CM225">
        <v>22</v>
      </c>
      <c r="CN225">
        <v>0</v>
      </c>
      <c r="CO225">
        <v>100</v>
      </c>
      <c r="CP225">
        <v>87.5</v>
      </c>
      <c r="CQ225">
        <v>14</v>
      </c>
      <c r="CR225">
        <v>59</v>
      </c>
      <c r="CS225">
        <v>8.25</v>
      </c>
      <c r="CT225">
        <v>23</v>
      </c>
      <c r="CU225">
        <v>8</v>
      </c>
      <c r="CV225">
        <v>0</v>
      </c>
      <c r="CW225">
        <v>16</v>
      </c>
      <c r="CX225">
        <v>175</v>
      </c>
      <c r="CY225">
        <v>17.428999999999998</v>
      </c>
      <c r="CZ225">
        <v>50</v>
      </c>
      <c r="DA225">
        <v>38.960999999999999</v>
      </c>
      <c r="DB225">
        <v>75.94</v>
      </c>
      <c r="DC225">
        <v>4</v>
      </c>
      <c r="DD225">
        <v>2361</v>
      </c>
      <c r="DE225">
        <v>68.674999999999997</v>
      </c>
      <c r="DF225">
        <v>187.875</v>
      </c>
      <c r="DG225">
        <v>17</v>
      </c>
      <c r="DH225">
        <v>299.875</v>
      </c>
      <c r="DI225">
        <v>6.47</v>
      </c>
      <c r="DJ225">
        <v>898</v>
      </c>
      <c r="DK225">
        <v>98.5</v>
      </c>
      <c r="DL225">
        <v>4.452</v>
      </c>
      <c r="DM225">
        <v>4</v>
      </c>
      <c r="DN225">
        <v>2991</v>
      </c>
      <c r="DO225">
        <v>15</v>
      </c>
      <c r="DP225">
        <v>201.375</v>
      </c>
      <c r="DQ225">
        <v>9.4209999999999994</v>
      </c>
      <c r="DR225">
        <v>6.4669999999999996</v>
      </c>
      <c r="DS225">
        <v>4.8239999999999998</v>
      </c>
      <c r="DT225">
        <v>1</v>
      </c>
      <c r="DU225">
        <v>15</v>
      </c>
      <c r="DV225">
        <v>0</v>
      </c>
      <c r="DW225">
        <v>100</v>
      </c>
      <c r="DX225">
        <v>91.667000000000002</v>
      </c>
      <c r="DY225">
        <v>11</v>
      </c>
      <c r="DZ225">
        <v>52</v>
      </c>
      <c r="EA225">
        <v>7</v>
      </c>
      <c r="EB225">
        <v>11</v>
      </c>
      <c r="EC225">
        <v>26</v>
      </c>
      <c r="ED225">
        <v>6</v>
      </c>
      <c r="EE225">
        <v>15</v>
      </c>
      <c r="EF225">
        <v>174</v>
      </c>
      <c r="EG225">
        <v>17</v>
      </c>
      <c r="EH225">
        <v>53.845999999999997</v>
      </c>
      <c r="EI225">
        <v>41.237000000000002</v>
      </c>
      <c r="EJ225">
        <v>72.05</v>
      </c>
      <c r="EK225">
        <v>-5</v>
      </c>
    </row>
    <row r="226" spans="1:141" x14ac:dyDescent="0.25">
      <c r="A226">
        <v>0</v>
      </c>
      <c r="B226">
        <v>0</v>
      </c>
      <c r="C226">
        <v>0</v>
      </c>
      <c r="D226">
        <v>2025</v>
      </c>
      <c r="E226">
        <v>16</v>
      </c>
      <c r="F226" t="str">
        <f>VLOOKUP(G226, Map!$A$1:$B$33, 2, FALSE)</f>
        <v>SEA</v>
      </c>
      <c r="G226" t="s">
        <v>144</v>
      </c>
      <c r="H226" t="str">
        <f>VLOOKUP(I226, Map!$A$1:$B$33, 2, FALSE)</f>
        <v>LA</v>
      </c>
      <c r="I226" t="s">
        <v>155</v>
      </c>
      <c r="J226">
        <v>0</v>
      </c>
      <c r="K226">
        <v>0</v>
      </c>
      <c r="L226">
        <v>0</v>
      </c>
      <c r="M226">
        <v>0</v>
      </c>
      <c r="N226">
        <v>5</v>
      </c>
      <c r="O226">
        <v>2</v>
      </c>
      <c r="P226">
        <v>19.428571999999999</v>
      </c>
      <c r="Q226">
        <v>27.571428000000001</v>
      </c>
      <c r="R226">
        <v>57</v>
      </c>
      <c r="S226">
        <v>2</v>
      </c>
      <c r="T226">
        <v>0.71428572999999995</v>
      </c>
      <c r="U226">
        <v>1</v>
      </c>
      <c r="V226">
        <v>1</v>
      </c>
      <c r="W226">
        <v>2</v>
      </c>
      <c r="X226">
        <v>2</v>
      </c>
      <c r="Y226">
        <v>3</v>
      </c>
      <c r="Z226">
        <v>0</v>
      </c>
      <c r="AA226">
        <v>2</v>
      </c>
      <c r="AB226">
        <v>2</v>
      </c>
      <c r="AC226">
        <v>9</v>
      </c>
      <c r="AD226">
        <v>8</v>
      </c>
      <c r="AE226">
        <v>7</v>
      </c>
      <c r="AF226">
        <v>10</v>
      </c>
      <c r="AG226">
        <v>61</v>
      </c>
      <c r="AH226">
        <v>0</v>
      </c>
      <c r="AI226">
        <v>5</v>
      </c>
      <c r="AJ226">
        <v>2</v>
      </c>
      <c r="AK226">
        <v>16.714285</v>
      </c>
      <c r="AL226">
        <v>25</v>
      </c>
      <c r="AM226">
        <v>58</v>
      </c>
      <c r="AN226">
        <v>2</v>
      </c>
      <c r="AO226">
        <v>0.71428572999999995</v>
      </c>
      <c r="AP226">
        <v>0</v>
      </c>
      <c r="AQ226">
        <v>1</v>
      </c>
      <c r="AR226">
        <v>2</v>
      </c>
      <c r="AS226">
        <v>1</v>
      </c>
      <c r="AT226">
        <v>3</v>
      </c>
      <c r="AU226">
        <v>1</v>
      </c>
      <c r="AV226">
        <v>0</v>
      </c>
      <c r="AW226">
        <v>2</v>
      </c>
      <c r="AX226">
        <v>5</v>
      </c>
      <c r="AY226">
        <v>11</v>
      </c>
      <c r="AZ226">
        <v>5</v>
      </c>
      <c r="BA226">
        <v>9</v>
      </c>
      <c r="BB226">
        <v>57</v>
      </c>
      <c r="BC226">
        <v>0</v>
      </c>
      <c r="BD226">
        <v>0</v>
      </c>
      <c r="BE226">
        <v>0</v>
      </c>
      <c r="BF226">
        <v>0</v>
      </c>
      <c r="BG226">
        <v>45.465000000000003</v>
      </c>
      <c r="BH226">
        <v>71.632999999999996</v>
      </c>
      <c r="BI226">
        <v>54.17</v>
      </c>
      <c r="BJ226">
        <v>0</v>
      </c>
      <c r="BK226">
        <v>0</v>
      </c>
      <c r="BL226">
        <v>0</v>
      </c>
      <c r="BM226">
        <v>-1.722</v>
      </c>
      <c r="BN226">
        <v>54.17</v>
      </c>
      <c r="BO226">
        <v>71.632999999999996</v>
      </c>
      <c r="BP226">
        <v>0</v>
      </c>
      <c r="BQ226">
        <v>45.465000000000003</v>
      </c>
      <c r="BR226">
        <v>1.722</v>
      </c>
      <c r="BS226">
        <v>0</v>
      </c>
      <c r="BT226">
        <v>0</v>
      </c>
      <c r="BU226">
        <v>0</v>
      </c>
      <c r="BV226">
        <v>2459</v>
      </c>
      <c r="BW226">
        <v>67.856999999999999</v>
      </c>
      <c r="BX226">
        <v>244.42857000000001</v>
      </c>
      <c r="BY226">
        <v>27</v>
      </c>
      <c r="BZ226">
        <v>358.85714999999999</v>
      </c>
      <c r="CA226">
        <v>9.0259999999999998</v>
      </c>
      <c r="CB226">
        <v>918</v>
      </c>
      <c r="CC226">
        <v>106.143</v>
      </c>
      <c r="CD226">
        <v>3.6779999999999999</v>
      </c>
      <c r="CE226">
        <v>8</v>
      </c>
      <c r="CF226">
        <v>2854</v>
      </c>
      <c r="CG226">
        <v>12</v>
      </c>
      <c r="CH226">
        <v>252.714</v>
      </c>
      <c r="CI226">
        <v>13.301</v>
      </c>
      <c r="CJ226">
        <v>7.1740000000000004</v>
      </c>
      <c r="CK226">
        <v>7.8890000000000002</v>
      </c>
      <c r="CL226">
        <v>2</v>
      </c>
      <c r="CM226">
        <v>23</v>
      </c>
      <c r="CN226">
        <v>0</v>
      </c>
      <c r="CO226">
        <v>100</v>
      </c>
      <c r="CP226">
        <v>76.471000000000004</v>
      </c>
      <c r="CQ226">
        <v>13</v>
      </c>
      <c r="CR226">
        <v>61</v>
      </c>
      <c r="CS226">
        <v>11</v>
      </c>
      <c r="CT226">
        <v>26</v>
      </c>
      <c r="CU226">
        <v>10</v>
      </c>
      <c r="CV226">
        <v>6</v>
      </c>
      <c r="CW226">
        <v>12</v>
      </c>
      <c r="CX226">
        <v>193</v>
      </c>
      <c r="CY226">
        <v>19.428999999999998</v>
      </c>
      <c r="CZ226">
        <v>66.667000000000002</v>
      </c>
      <c r="DA226">
        <v>33.332999999999998</v>
      </c>
      <c r="DB226">
        <v>76.569999999999993</v>
      </c>
      <c r="DC226">
        <v>-4</v>
      </c>
      <c r="DD226">
        <v>2996</v>
      </c>
      <c r="DE226">
        <v>65.843999999999994</v>
      </c>
      <c r="DF226">
        <v>256.71429999999998</v>
      </c>
      <c r="DG226">
        <v>30</v>
      </c>
      <c r="DH226">
        <v>370</v>
      </c>
      <c r="DI226">
        <v>7.6790000000000003</v>
      </c>
      <c r="DJ226">
        <v>789</v>
      </c>
      <c r="DK226">
        <v>103.429</v>
      </c>
      <c r="DL226">
        <v>4.1369999999999996</v>
      </c>
      <c r="DM226">
        <v>4</v>
      </c>
      <c r="DN226">
        <v>3261</v>
      </c>
      <c r="DO226">
        <v>17</v>
      </c>
      <c r="DP226">
        <v>266.57100000000003</v>
      </c>
      <c r="DQ226">
        <v>11.663</v>
      </c>
      <c r="DR226">
        <v>6.577</v>
      </c>
      <c r="DS226">
        <v>16.111000000000001</v>
      </c>
      <c r="DT226">
        <v>0</v>
      </c>
      <c r="DU226">
        <v>26</v>
      </c>
      <c r="DV226">
        <v>0</v>
      </c>
      <c r="DW226">
        <v>90.475999999999999</v>
      </c>
      <c r="DX226">
        <v>71.429000000000002</v>
      </c>
      <c r="DY226">
        <v>10</v>
      </c>
      <c r="DZ226">
        <v>49</v>
      </c>
      <c r="EA226">
        <v>14.2</v>
      </c>
      <c r="EB226">
        <v>11</v>
      </c>
      <c r="EC226">
        <v>22</v>
      </c>
      <c r="ED226">
        <v>0</v>
      </c>
      <c r="EE226">
        <v>17</v>
      </c>
      <c r="EF226">
        <v>175</v>
      </c>
      <c r="EG226">
        <v>22</v>
      </c>
      <c r="EH226">
        <v>66.667000000000002</v>
      </c>
      <c r="EI226">
        <v>37.661999999999999</v>
      </c>
      <c r="EJ226">
        <v>65.239999999999995</v>
      </c>
      <c r="EK226">
        <v>3</v>
      </c>
    </row>
    <row r="227" spans="1:141" x14ac:dyDescent="0.25">
      <c r="A227">
        <v>0</v>
      </c>
      <c r="B227">
        <v>0</v>
      </c>
      <c r="C227">
        <v>0</v>
      </c>
      <c r="D227">
        <v>2025</v>
      </c>
      <c r="E227">
        <v>16</v>
      </c>
      <c r="F227" t="str">
        <f>VLOOKUP(G227, Map!$A$1:$B$33, 2, FALSE)</f>
        <v>CHI</v>
      </c>
      <c r="G227" t="s">
        <v>163</v>
      </c>
      <c r="H227" t="str">
        <f>VLOOKUP(I227, Map!$A$1:$B$33, 2, FALSE)</f>
        <v>GB</v>
      </c>
      <c r="I227" t="s">
        <v>154</v>
      </c>
      <c r="J227">
        <v>0</v>
      </c>
      <c r="K227">
        <v>0</v>
      </c>
      <c r="L227">
        <v>0</v>
      </c>
      <c r="M227">
        <v>0</v>
      </c>
      <c r="N227">
        <v>4</v>
      </c>
      <c r="O227">
        <v>3</v>
      </c>
      <c r="P227">
        <v>26.428571999999999</v>
      </c>
      <c r="Q227">
        <v>24</v>
      </c>
      <c r="R227">
        <v>-17</v>
      </c>
      <c r="S227">
        <v>-1</v>
      </c>
      <c r="T227">
        <v>0.57142859999999995</v>
      </c>
      <c r="U227">
        <v>0</v>
      </c>
      <c r="V227">
        <v>2</v>
      </c>
      <c r="W227">
        <v>2</v>
      </c>
      <c r="X227">
        <v>1</v>
      </c>
      <c r="Y227">
        <v>2</v>
      </c>
      <c r="Z227">
        <v>2</v>
      </c>
      <c r="AA227">
        <v>3</v>
      </c>
      <c r="AB227">
        <v>2</v>
      </c>
      <c r="AC227">
        <v>3</v>
      </c>
      <c r="AD227">
        <v>14</v>
      </c>
      <c r="AE227">
        <v>5</v>
      </c>
      <c r="AF227">
        <v>11</v>
      </c>
      <c r="AG227">
        <v>61</v>
      </c>
      <c r="AH227">
        <v>0</v>
      </c>
      <c r="AI227">
        <v>5</v>
      </c>
      <c r="AJ227">
        <v>1</v>
      </c>
      <c r="AK227">
        <v>21.428571999999999</v>
      </c>
      <c r="AL227">
        <v>27.571428000000001</v>
      </c>
      <c r="AM227">
        <v>43</v>
      </c>
      <c r="AN227">
        <v>3</v>
      </c>
      <c r="AO227">
        <v>0.78571427000000005</v>
      </c>
      <c r="AP227">
        <v>1</v>
      </c>
      <c r="AQ227">
        <v>0</v>
      </c>
      <c r="AR227">
        <v>3</v>
      </c>
      <c r="AS227">
        <v>0</v>
      </c>
      <c r="AT227">
        <v>2</v>
      </c>
      <c r="AU227">
        <v>1</v>
      </c>
      <c r="AV227">
        <v>3</v>
      </c>
      <c r="AW227">
        <v>0</v>
      </c>
      <c r="AX227">
        <v>8</v>
      </c>
      <c r="AY227">
        <v>8</v>
      </c>
      <c r="AZ227">
        <v>8</v>
      </c>
      <c r="BA227">
        <v>8</v>
      </c>
      <c r="BB227">
        <v>61</v>
      </c>
      <c r="BC227">
        <v>0</v>
      </c>
      <c r="BD227">
        <v>0</v>
      </c>
      <c r="BE227">
        <v>0</v>
      </c>
      <c r="BF227">
        <v>0</v>
      </c>
      <c r="BG227">
        <v>37</v>
      </c>
      <c r="BH227">
        <v>64.650000000000006</v>
      </c>
      <c r="BI227">
        <v>62.703000000000003</v>
      </c>
      <c r="BJ227">
        <v>0</v>
      </c>
      <c r="BK227">
        <v>0</v>
      </c>
      <c r="BL227">
        <v>0</v>
      </c>
      <c r="BM227">
        <v>-4.9489999999999998</v>
      </c>
      <c r="BN227">
        <v>62.703000000000003</v>
      </c>
      <c r="BO227">
        <v>64.650000000000006</v>
      </c>
      <c r="BP227">
        <v>0</v>
      </c>
      <c r="BQ227">
        <v>37</v>
      </c>
      <c r="BR227">
        <v>4.9489999999999998</v>
      </c>
      <c r="BS227">
        <v>0</v>
      </c>
      <c r="BT227">
        <v>0</v>
      </c>
      <c r="BU227">
        <v>0</v>
      </c>
      <c r="BV227">
        <v>2157</v>
      </c>
      <c r="BW227">
        <v>61.947000000000003</v>
      </c>
      <c r="BX227">
        <v>225.57142999999999</v>
      </c>
      <c r="BY227">
        <v>26</v>
      </c>
      <c r="BZ227">
        <v>362.14285000000001</v>
      </c>
      <c r="CA227">
        <v>7.2880000000000003</v>
      </c>
      <c r="CB227">
        <v>1087</v>
      </c>
      <c r="CC227">
        <v>124.571</v>
      </c>
      <c r="CD227">
        <v>4.4039999999999999</v>
      </c>
      <c r="CE227">
        <v>7</v>
      </c>
      <c r="CF227">
        <v>2678</v>
      </c>
      <c r="CG227">
        <v>9</v>
      </c>
      <c r="CH227">
        <v>237.571</v>
      </c>
      <c r="CI227">
        <v>11.763999999999999</v>
      </c>
      <c r="CJ227">
        <v>4.5709999999999997</v>
      </c>
      <c r="CK227">
        <v>2.9409999999999998</v>
      </c>
      <c r="CL227">
        <v>1</v>
      </c>
      <c r="CM227">
        <v>14</v>
      </c>
      <c r="CN227">
        <v>0</v>
      </c>
      <c r="CO227">
        <v>100</v>
      </c>
      <c r="CP227">
        <v>85</v>
      </c>
      <c r="CQ227">
        <v>17</v>
      </c>
      <c r="CR227">
        <v>66</v>
      </c>
      <c r="CS227">
        <v>11.909000000000001</v>
      </c>
      <c r="CT227">
        <v>24</v>
      </c>
      <c r="CU227">
        <v>7</v>
      </c>
      <c r="CV227">
        <v>6</v>
      </c>
      <c r="CW227">
        <v>9</v>
      </c>
      <c r="CX227">
        <v>168</v>
      </c>
      <c r="CY227">
        <v>19.286000000000001</v>
      </c>
      <c r="CZ227">
        <v>37.5</v>
      </c>
      <c r="DA227">
        <v>41.110999999999997</v>
      </c>
      <c r="DB227">
        <v>57.14</v>
      </c>
      <c r="DC227">
        <v>10</v>
      </c>
      <c r="DD227">
        <v>2648</v>
      </c>
      <c r="DE227">
        <v>70.891999999999996</v>
      </c>
      <c r="DF227">
        <v>245</v>
      </c>
      <c r="DG227">
        <v>26</v>
      </c>
      <c r="DH227">
        <v>371</v>
      </c>
      <c r="DI227">
        <v>8.4410000000000007</v>
      </c>
      <c r="DJ227">
        <v>1099</v>
      </c>
      <c r="DK227">
        <v>114.143</v>
      </c>
      <c r="DL227">
        <v>3.9359999999999999</v>
      </c>
      <c r="DM227">
        <v>9</v>
      </c>
      <c r="DN227">
        <v>3008</v>
      </c>
      <c r="DO227">
        <v>13</v>
      </c>
      <c r="DP227">
        <v>256.85700000000003</v>
      </c>
      <c r="DQ227">
        <v>11.907</v>
      </c>
      <c r="DR227">
        <v>6.1429999999999998</v>
      </c>
      <c r="DS227">
        <v>6.75</v>
      </c>
      <c r="DT227">
        <v>0</v>
      </c>
      <c r="DU227">
        <v>21</v>
      </c>
      <c r="DV227">
        <v>0</v>
      </c>
      <c r="DW227">
        <v>95.238</v>
      </c>
      <c r="DX227">
        <v>76.471000000000004</v>
      </c>
      <c r="DY227">
        <v>13</v>
      </c>
      <c r="DZ227">
        <v>59</v>
      </c>
      <c r="EA227">
        <v>11.909000000000001</v>
      </c>
      <c r="EB227">
        <v>6</v>
      </c>
      <c r="EC227">
        <v>22</v>
      </c>
      <c r="ED227">
        <v>0</v>
      </c>
      <c r="EE227">
        <v>13</v>
      </c>
      <c r="EF227">
        <v>193</v>
      </c>
      <c r="EG227">
        <v>21</v>
      </c>
      <c r="EH227">
        <v>75</v>
      </c>
      <c r="EI227">
        <v>48.276000000000003</v>
      </c>
      <c r="EJ227">
        <v>78.569999999999993</v>
      </c>
      <c r="EK227">
        <v>1</v>
      </c>
    </row>
    <row r="228" spans="1:141" x14ac:dyDescent="0.25">
      <c r="A228">
        <v>0</v>
      </c>
      <c r="B228">
        <v>0</v>
      </c>
      <c r="C228">
        <v>0</v>
      </c>
      <c r="D228">
        <v>2025</v>
      </c>
      <c r="E228">
        <v>16</v>
      </c>
      <c r="F228" t="str">
        <f>VLOOKUP(G228, Map!$A$1:$B$33, 2, FALSE)</f>
        <v>WAS</v>
      </c>
      <c r="G228" t="s">
        <v>148</v>
      </c>
      <c r="H228" t="str">
        <f>VLOOKUP(I228, Map!$A$1:$B$33, 2, FALSE)</f>
        <v>PHI</v>
      </c>
      <c r="I228" t="s">
        <v>147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5</v>
      </c>
      <c r="P228">
        <v>24.75</v>
      </c>
      <c r="Q228">
        <v>23.375</v>
      </c>
      <c r="R228">
        <v>-11</v>
      </c>
      <c r="S228">
        <v>-3</v>
      </c>
      <c r="T228">
        <v>0.375</v>
      </c>
      <c r="U228">
        <v>1</v>
      </c>
      <c r="V228">
        <v>1</v>
      </c>
      <c r="W228">
        <v>2</v>
      </c>
      <c r="X228">
        <v>1</v>
      </c>
      <c r="Y228">
        <v>1</v>
      </c>
      <c r="Z228">
        <v>4</v>
      </c>
      <c r="AA228">
        <v>1</v>
      </c>
      <c r="AB228">
        <v>4</v>
      </c>
      <c r="AC228">
        <v>7</v>
      </c>
      <c r="AD228">
        <v>8</v>
      </c>
      <c r="AE228">
        <v>7</v>
      </c>
      <c r="AF228">
        <v>8</v>
      </c>
      <c r="AG228">
        <v>65</v>
      </c>
      <c r="AH228">
        <v>0</v>
      </c>
      <c r="AI228">
        <v>6</v>
      </c>
      <c r="AJ228">
        <v>2</v>
      </c>
      <c r="AK228">
        <v>23.125</v>
      </c>
      <c r="AL228">
        <v>26</v>
      </c>
      <c r="AM228">
        <v>23</v>
      </c>
      <c r="AN228">
        <v>2</v>
      </c>
      <c r="AO228">
        <v>0.75</v>
      </c>
      <c r="AP228">
        <v>2</v>
      </c>
      <c r="AQ228">
        <v>1</v>
      </c>
      <c r="AR228">
        <v>3</v>
      </c>
      <c r="AS228">
        <v>1</v>
      </c>
      <c r="AT228">
        <v>3</v>
      </c>
      <c r="AU228">
        <v>1</v>
      </c>
      <c r="AV228">
        <v>5</v>
      </c>
      <c r="AW228">
        <v>1</v>
      </c>
      <c r="AX228">
        <v>16</v>
      </c>
      <c r="AY228">
        <v>3</v>
      </c>
      <c r="AZ228">
        <v>10</v>
      </c>
      <c r="BA228">
        <v>9</v>
      </c>
      <c r="BB228">
        <v>63</v>
      </c>
      <c r="BC228">
        <v>0</v>
      </c>
      <c r="BD228">
        <v>0</v>
      </c>
      <c r="BE228">
        <v>0</v>
      </c>
      <c r="BF228">
        <v>0</v>
      </c>
      <c r="BG228">
        <v>46.872</v>
      </c>
      <c r="BH228">
        <v>76.335999999999999</v>
      </c>
      <c r="BI228">
        <v>52.752000000000002</v>
      </c>
      <c r="BJ228">
        <v>0</v>
      </c>
      <c r="BK228">
        <v>0</v>
      </c>
      <c r="BL228">
        <v>0</v>
      </c>
      <c r="BM228">
        <v>-1.117</v>
      </c>
      <c r="BN228">
        <v>52.752000000000002</v>
      </c>
      <c r="BO228">
        <v>76.335999999999999</v>
      </c>
      <c r="BP228">
        <v>0</v>
      </c>
      <c r="BQ228">
        <v>46.872</v>
      </c>
      <c r="BR228">
        <v>1.117</v>
      </c>
      <c r="BS228">
        <v>0</v>
      </c>
      <c r="BT228">
        <v>0</v>
      </c>
      <c r="BU228">
        <v>0</v>
      </c>
      <c r="BV228">
        <v>2360</v>
      </c>
      <c r="BW228">
        <v>61.966000000000001</v>
      </c>
      <c r="BX228">
        <v>196.625</v>
      </c>
      <c r="BY228">
        <v>20</v>
      </c>
      <c r="BZ228">
        <v>346.5</v>
      </c>
      <c r="CA228">
        <v>7.1369999999999996</v>
      </c>
      <c r="CB228">
        <v>1342</v>
      </c>
      <c r="CC228">
        <v>137.75</v>
      </c>
      <c r="CD228">
        <v>5.1980000000000004</v>
      </c>
      <c r="CE228">
        <v>9</v>
      </c>
      <c r="CF228">
        <v>2815</v>
      </c>
      <c r="CG228">
        <v>12</v>
      </c>
      <c r="CH228">
        <v>208.75</v>
      </c>
      <c r="CI228">
        <v>11.516999999999999</v>
      </c>
      <c r="CJ228">
        <v>6.1360000000000001</v>
      </c>
      <c r="CK228">
        <v>5.9470000000000001</v>
      </c>
      <c r="CL228">
        <v>1</v>
      </c>
      <c r="CM228">
        <v>22</v>
      </c>
      <c r="CN228">
        <v>0</v>
      </c>
      <c r="CO228">
        <v>100</v>
      </c>
      <c r="CP228">
        <v>71.429000000000002</v>
      </c>
      <c r="CQ228">
        <v>10</v>
      </c>
      <c r="CR228">
        <v>49</v>
      </c>
      <c r="CS228">
        <v>4</v>
      </c>
      <c r="CT228">
        <v>25</v>
      </c>
      <c r="CU228">
        <v>11</v>
      </c>
      <c r="CV228">
        <v>8</v>
      </c>
      <c r="CW228">
        <v>12</v>
      </c>
      <c r="CX228">
        <v>187</v>
      </c>
      <c r="CY228">
        <v>18.75</v>
      </c>
      <c r="CZ228">
        <v>45.454999999999998</v>
      </c>
      <c r="DA228">
        <v>38.636000000000003</v>
      </c>
      <c r="DB228">
        <v>79.290000000000006</v>
      </c>
      <c r="DC228">
        <v>-5</v>
      </c>
      <c r="DD228">
        <v>2679</v>
      </c>
      <c r="DE228">
        <v>70.233000000000004</v>
      </c>
      <c r="DF228">
        <v>192.75</v>
      </c>
      <c r="DG228">
        <v>23</v>
      </c>
      <c r="DH228">
        <v>321.25</v>
      </c>
      <c r="DI228">
        <v>7.7160000000000002</v>
      </c>
      <c r="DJ228">
        <v>1178</v>
      </c>
      <c r="DK228">
        <v>111.625</v>
      </c>
      <c r="DL228">
        <v>4.0960000000000001</v>
      </c>
      <c r="DM228">
        <v>9</v>
      </c>
      <c r="DN228">
        <v>2957</v>
      </c>
      <c r="DO228">
        <v>15</v>
      </c>
      <c r="DP228">
        <v>209.625</v>
      </c>
      <c r="DQ228">
        <v>10.987</v>
      </c>
      <c r="DR228">
        <v>4.75</v>
      </c>
      <c r="DS228">
        <v>3.75</v>
      </c>
      <c r="DT228">
        <v>3</v>
      </c>
      <c r="DU228">
        <v>16</v>
      </c>
      <c r="DV228">
        <v>0</v>
      </c>
      <c r="DW228">
        <v>100</v>
      </c>
      <c r="DX228">
        <v>77.778000000000006</v>
      </c>
      <c r="DY228">
        <v>7</v>
      </c>
      <c r="DZ228">
        <v>46</v>
      </c>
      <c r="EA228">
        <v>13.55</v>
      </c>
      <c r="EB228">
        <v>7</v>
      </c>
      <c r="EC228">
        <v>34</v>
      </c>
      <c r="ED228">
        <v>6</v>
      </c>
      <c r="EE228">
        <v>15</v>
      </c>
      <c r="EF228">
        <v>208</v>
      </c>
      <c r="EG228">
        <v>17.875</v>
      </c>
      <c r="EH228">
        <v>78.570999999999998</v>
      </c>
      <c r="EI228">
        <v>33.332999999999998</v>
      </c>
      <c r="EJ228">
        <v>87.14</v>
      </c>
      <c r="EK228">
        <v>4</v>
      </c>
    </row>
    <row r="229" spans="1:141" x14ac:dyDescent="0.25">
      <c r="A229">
        <v>0</v>
      </c>
      <c r="B229">
        <v>0</v>
      </c>
      <c r="C229">
        <v>0</v>
      </c>
      <c r="D229">
        <v>2025</v>
      </c>
      <c r="E229">
        <v>16</v>
      </c>
      <c r="F229" t="str">
        <f>VLOOKUP(G229, Map!$A$1:$B$33, 2, FALSE)</f>
        <v>CLE</v>
      </c>
      <c r="G229" t="s">
        <v>162</v>
      </c>
      <c r="H229" t="str">
        <f>VLOOKUP(I229, Map!$A$1:$B$33, 2, FALSE)</f>
        <v>BUF</v>
      </c>
      <c r="I229" t="s">
        <v>165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6</v>
      </c>
      <c r="P229">
        <v>23</v>
      </c>
      <c r="Q229">
        <v>15.75</v>
      </c>
      <c r="R229">
        <v>-58</v>
      </c>
      <c r="S229">
        <v>-1</v>
      </c>
      <c r="T229">
        <v>0.25</v>
      </c>
      <c r="U229">
        <v>0</v>
      </c>
      <c r="V229">
        <v>3</v>
      </c>
      <c r="W229">
        <v>2</v>
      </c>
      <c r="X229">
        <v>2</v>
      </c>
      <c r="Y229">
        <v>0</v>
      </c>
      <c r="Z229">
        <v>4</v>
      </c>
      <c r="AA229">
        <v>1</v>
      </c>
      <c r="AB229">
        <v>4</v>
      </c>
      <c r="AC229">
        <v>7</v>
      </c>
      <c r="AD229">
        <v>10</v>
      </c>
      <c r="AE229">
        <v>8</v>
      </c>
      <c r="AF229">
        <v>9</v>
      </c>
      <c r="AG229">
        <v>61</v>
      </c>
      <c r="AH229">
        <v>0</v>
      </c>
      <c r="AI229">
        <v>5</v>
      </c>
      <c r="AJ229">
        <v>2</v>
      </c>
      <c r="AK229">
        <v>20.857143000000001</v>
      </c>
      <c r="AL229">
        <v>29.571428000000001</v>
      </c>
      <c r="AM229">
        <v>61</v>
      </c>
      <c r="AN229">
        <v>1</v>
      </c>
      <c r="AO229">
        <v>0.71428572999999995</v>
      </c>
      <c r="AP229">
        <v>2</v>
      </c>
      <c r="AQ229">
        <v>1</v>
      </c>
      <c r="AR229">
        <v>3</v>
      </c>
      <c r="AS229">
        <v>1</v>
      </c>
      <c r="AT229">
        <v>2</v>
      </c>
      <c r="AU229">
        <v>1</v>
      </c>
      <c r="AV229">
        <v>3</v>
      </c>
      <c r="AW229">
        <v>1</v>
      </c>
      <c r="AX229">
        <v>14</v>
      </c>
      <c r="AY229">
        <v>4</v>
      </c>
      <c r="AZ229">
        <v>8</v>
      </c>
      <c r="BA229">
        <v>9</v>
      </c>
      <c r="BB229">
        <v>68</v>
      </c>
      <c r="BC229">
        <v>0</v>
      </c>
      <c r="BD229">
        <v>0</v>
      </c>
      <c r="BE229">
        <v>0</v>
      </c>
      <c r="BF229">
        <v>0</v>
      </c>
      <c r="BG229">
        <v>22.507999999999999</v>
      </c>
      <c r="BH229">
        <v>51.098999999999997</v>
      </c>
      <c r="BI229">
        <v>77.311999999999998</v>
      </c>
      <c r="BJ229">
        <v>0</v>
      </c>
      <c r="BK229">
        <v>0</v>
      </c>
      <c r="BL229">
        <v>0</v>
      </c>
      <c r="BM229">
        <v>-11.473000000000001</v>
      </c>
      <c r="BN229">
        <v>77.311999999999998</v>
      </c>
      <c r="BO229">
        <v>51.098999999999997</v>
      </c>
      <c r="BP229">
        <v>0</v>
      </c>
      <c r="BQ229">
        <v>22.507999999999999</v>
      </c>
      <c r="BR229">
        <v>11.473000000000001</v>
      </c>
      <c r="BS229">
        <v>0</v>
      </c>
      <c r="BT229">
        <v>0</v>
      </c>
      <c r="BU229">
        <v>0</v>
      </c>
      <c r="BV229">
        <v>1756</v>
      </c>
      <c r="BW229">
        <v>58.94</v>
      </c>
      <c r="BX229">
        <v>174.125</v>
      </c>
      <c r="BY229">
        <v>14</v>
      </c>
      <c r="BZ229">
        <v>279.125</v>
      </c>
      <c r="CA229">
        <v>4.9870000000000001</v>
      </c>
      <c r="CB229">
        <v>896</v>
      </c>
      <c r="CC229">
        <v>89.5</v>
      </c>
      <c r="CD229">
        <v>3.7679999999999998</v>
      </c>
      <c r="CE229">
        <v>6</v>
      </c>
      <c r="CF229">
        <v>2652</v>
      </c>
      <c r="CG229">
        <v>7</v>
      </c>
      <c r="CH229">
        <v>189.625</v>
      </c>
      <c r="CI229">
        <v>8.4610000000000003</v>
      </c>
      <c r="CJ229">
        <v>6.9169999999999998</v>
      </c>
      <c r="CK229">
        <v>4.3029999999999999</v>
      </c>
      <c r="CL229">
        <v>1</v>
      </c>
      <c r="CM229">
        <v>24</v>
      </c>
      <c r="CN229">
        <v>0</v>
      </c>
      <c r="CO229">
        <v>92.308000000000007</v>
      </c>
      <c r="CP229">
        <v>76.923000000000002</v>
      </c>
      <c r="CQ229">
        <v>10</v>
      </c>
      <c r="CR229">
        <v>42</v>
      </c>
      <c r="CS229">
        <v>11.412000000000001</v>
      </c>
      <c r="CT229">
        <v>42</v>
      </c>
      <c r="CU229">
        <v>16</v>
      </c>
      <c r="CV229">
        <v>6</v>
      </c>
      <c r="CW229">
        <v>7</v>
      </c>
      <c r="CX229">
        <v>126</v>
      </c>
      <c r="CY229">
        <v>16.75</v>
      </c>
      <c r="CZ229">
        <v>57.895000000000003</v>
      </c>
      <c r="DA229">
        <v>33.042999999999999</v>
      </c>
      <c r="DB229">
        <v>69.39</v>
      </c>
      <c r="DC229">
        <v>0</v>
      </c>
      <c r="DD229">
        <v>2334</v>
      </c>
      <c r="DE229">
        <v>67.488</v>
      </c>
      <c r="DF229">
        <v>218.42857000000001</v>
      </c>
      <c r="DG229">
        <v>22</v>
      </c>
      <c r="DH229">
        <v>395</v>
      </c>
      <c r="DI229">
        <v>7.9509999999999996</v>
      </c>
      <c r="DJ229">
        <v>1576</v>
      </c>
      <c r="DK229">
        <v>164.429</v>
      </c>
      <c r="DL229">
        <v>5.2080000000000002</v>
      </c>
      <c r="DM229">
        <v>13</v>
      </c>
      <c r="DN229">
        <v>2719</v>
      </c>
      <c r="DO229">
        <v>12</v>
      </c>
      <c r="DP229">
        <v>230.571</v>
      </c>
      <c r="DQ229">
        <v>11.781000000000001</v>
      </c>
      <c r="DR229">
        <v>5.8639999999999999</v>
      </c>
      <c r="DS229">
        <v>5.35</v>
      </c>
      <c r="DT229">
        <v>0</v>
      </c>
      <c r="DU229">
        <v>22</v>
      </c>
      <c r="DV229">
        <v>0</v>
      </c>
      <c r="DW229">
        <v>95.454999999999998</v>
      </c>
      <c r="DX229">
        <v>92.308000000000007</v>
      </c>
      <c r="DY229">
        <v>12</v>
      </c>
      <c r="DZ229">
        <v>57</v>
      </c>
      <c r="EA229">
        <v>8</v>
      </c>
      <c r="EB229">
        <v>10</v>
      </c>
      <c r="EC229">
        <v>22</v>
      </c>
      <c r="ED229">
        <v>0</v>
      </c>
      <c r="EE229">
        <v>12</v>
      </c>
      <c r="EF229">
        <v>207</v>
      </c>
      <c r="EG229">
        <v>23.143000000000001</v>
      </c>
      <c r="EH229">
        <v>60</v>
      </c>
      <c r="EI229">
        <v>43.75</v>
      </c>
      <c r="EJ229">
        <v>73.47</v>
      </c>
      <c r="EK229">
        <v>2</v>
      </c>
    </row>
    <row r="230" spans="1:141" x14ac:dyDescent="0.25">
      <c r="A230">
        <v>0</v>
      </c>
      <c r="B230">
        <v>0</v>
      </c>
      <c r="C230">
        <v>0</v>
      </c>
      <c r="D230">
        <v>2025</v>
      </c>
      <c r="E230">
        <v>16</v>
      </c>
      <c r="F230" t="str">
        <f>VLOOKUP(G230, Map!$A$1:$B$33, 2, FALSE)</f>
        <v>DAL</v>
      </c>
      <c r="G230" t="s">
        <v>150</v>
      </c>
      <c r="H230" t="str">
        <f>VLOOKUP(I230, Map!$A$1:$B$33, 2, FALSE)</f>
        <v>LAC</v>
      </c>
      <c r="I230" t="s">
        <v>160</v>
      </c>
      <c r="J230">
        <v>0</v>
      </c>
      <c r="K230">
        <v>0</v>
      </c>
      <c r="L230">
        <v>0</v>
      </c>
      <c r="M230">
        <v>0</v>
      </c>
      <c r="N230">
        <v>3</v>
      </c>
      <c r="O230">
        <v>4</v>
      </c>
      <c r="P230">
        <v>31.25</v>
      </c>
      <c r="Q230">
        <v>30.75</v>
      </c>
      <c r="R230">
        <v>-4</v>
      </c>
      <c r="S230">
        <v>-1</v>
      </c>
      <c r="T230">
        <v>0.4375</v>
      </c>
      <c r="U230">
        <v>2</v>
      </c>
      <c r="V230">
        <v>1</v>
      </c>
      <c r="W230">
        <v>2</v>
      </c>
      <c r="X230">
        <v>0</v>
      </c>
      <c r="Y230">
        <v>1</v>
      </c>
      <c r="Z230">
        <v>4</v>
      </c>
      <c r="AA230">
        <v>2</v>
      </c>
      <c r="AB230">
        <v>3</v>
      </c>
      <c r="AC230">
        <v>13</v>
      </c>
      <c r="AD230">
        <v>5</v>
      </c>
      <c r="AE230">
        <v>11</v>
      </c>
      <c r="AF230">
        <v>7</v>
      </c>
      <c r="AG230">
        <v>68</v>
      </c>
      <c r="AH230">
        <v>0</v>
      </c>
      <c r="AI230">
        <v>5</v>
      </c>
      <c r="AJ230">
        <v>3</v>
      </c>
      <c r="AK230">
        <v>21.625</v>
      </c>
      <c r="AL230">
        <v>23.5</v>
      </c>
      <c r="AM230">
        <v>15</v>
      </c>
      <c r="AN230">
        <v>1</v>
      </c>
      <c r="AO230">
        <v>0.625</v>
      </c>
      <c r="AP230">
        <v>3</v>
      </c>
      <c r="AQ230">
        <v>0</v>
      </c>
      <c r="AR230">
        <v>3</v>
      </c>
      <c r="AS230">
        <v>2</v>
      </c>
      <c r="AT230">
        <v>2</v>
      </c>
      <c r="AU230">
        <v>1</v>
      </c>
      <c r="AV230">
        <v>4</v>
      </c>
      <c r="AW230">
        <v>1</v>
      </c>
      <c r="AX230">
        <v>10</v>
      </c>
      <c r="AY230">
        <v>7</v>
      </c>
      <c r="AZ230">
        <v>11</v>
      </c>
      <c r="BA230">
        <v>5</v>
      </c>
      <c r="BB230">
        <v>65</v>
      </c>
      <c r="BC230">
        <v>0</v>
      </c>
      <c r="BD230">
        <v>0</v>
      </c>
      <c r="BE230">
        <v>0</v>
      </c>
      <c r="BF230">
        <v>0</v>
      </c>
      <c r="BG230">
        <v>50.835000000000001</v>
      </c>
      <c r="BH230">
        <v>68.394999999999996</v>
      </c>
      <c r="BI230">
        <v>48.773000000000003</v>
      </c>
      <c r="BJ230">
        <v>0</v>
      </c>
      <c r="BK230">
        <v>0</v>
      </c>
      <c r="BL230">
        <v>0</v>
      </c>
      <c r="BM230">
        <v>0.30099999999999999</v>
      </c>
      <c r="BN230">
        <v>48.773000000000003</v>
      </c>
      <c r="BO230">
        <v>68.394999999999996</v>
      </c>
      <c r="BP230">
        <v>0</v>
      </c>
      <c r="BQ230">
        <v>50.835000000000001</v>
      </c>
      <c r="BR230">
        <v>-0.30099999999999999</v>
      </c>
      <c r="BS230">
        <v>0</v>
      </c>
      <c r="BT230">
        <v>0</v>
      </c>
      <c r="BU230">
        <v>0</v>
      </c>
      <c r="BV230">
        <v>3160</v>
      </c>
      <c r="BW230">
        <v>70.233999999999995</v>
      </c>
      <c r="BX230">
        <v>263.75</v>
      </c>
      <c r="BY230">
        <v>25</v>
      </c>
      <c r="BZ230">
        <v>391.375</v>
      </c>
      <c r="CA230">
        <v>7.1909999999999998</v>
      </c>
      <c r="CB230">
        <v>1283</v>
      </c>
      <c r="CC230">
        <v>120.375</v>
      </c>
      <c r="CD230">
        <v>4.6749999999999998</v>
      </c>
      <c r="CE230">
        <v>10</v>
      </c>
      <c r="CF230">
        <v>3813</v>
      </c>
      <c r="CG230">
        <v>17</v>
      </c>
      <c r="CH230">
        <v>271</v>
      </c>
      <c r="CI230">
        <v>10.238</v>
      </c>
      <c r="CJ230">
        <v>7.7329999999999997</v>
      </c>
      <c r="CK230">
        <v>4.8099999999999996</v>
      </c>
      <c r="CL230">
        <v>1</v>
      </c>
      <c r="CM230">
        <v>15</v>
      </c>
      <c r="CN230">
        <v>0</v>
      </c>
      <c r="CO230">
        <v>96.296000000000006</v>
      </c>
      <c r="CP230">
        <v>100</v>
      </c>
      <c r="CQ230">
        <v>16</v>
      </c>
      <c r="CR230">
        <v>74</v>
      </c>
      <c r="CS230">
        <v>10</v>
      </c>
      <c r="CT230">
        <v>28</v>
      </c>
      <c r="CU230">
        <v>11</v>
      </c>
      <c r="CV230">
        <v>6</v>
      </c>
      <c r="CW230">
        <v>17</v>
      </c>
      <c r="CX230">
        <v>246</v>
      </c>
      <c r="CY230">
        <v>23.125</v>
      </c>
      <c r="CZ230">
        <v>77.778000000000006</v>
      </c>
      <c r="DA230">
        <v>43.158000000000001</v>
      </c>
      <c r="DB230">
        <v>74.19</v>
      </c>
      <c r="DC230">
        <v>-1</v>
      </c>
      <c r="DD230">
        <v>3094</v>
      </c>
      <c r="DE230">
        <v>68</v>
      </c>
      <c r="DF230">
        <v>255.375</v>
      </c>
      <c r="DG230">
        <v>26</v>
      </c>
      <c r="DH230">
        <v>396.125</v>
      </c>
      <c r="DI230">
        <v>7.28</v>
      </c>
      <c r="DJ230">
        <v>1030</v>
      </c>
      <c r="DK230">
        <v>123.125</v>
      </c>
      <c r="DL230">
        <v>4.8520000000000003</v>
      </c>
      <c r="DM230">
        <v>3</v>
      </c>
      <c r="DN230">
        <v>3764</v>
      </c>
      <c r="DO230">
        <v>16</v>
      </c>
      <c r="DP230">
        <v>273</v>
      </c>
      <c r="DQ230">
        <v>10.706</v>
      </c>
      <c r="DR230">
        <v>5.5910000000000002</v>
      </c>
      <c r="DS230">
        <v>5.05</v>
      </c>
      <c r="DT230">
        <v>0</v>
      </c>
      <c r="DU230">
        <v>22</v>
      </c>
      <c r="DV230">
        <v>0</v>
      </c>
      <c r="DW230">
        <v>100</v>
      </c>
      <c r="DX230">
        <v>94.736999999999995</v>
      </c>
      <c r="DY230">
        <v>18</v>
      </c>
      <c r="DZ230">
        <v>72</v>
      </c>
      <c r="EA230">
        <v>12.5</v>
      </c>
      <c r="EB230">
        <v>8</v>
      </c>
      <c r="EC230">
        <v>20</v>
      </c>
      <c r="ED230">
        <v>0</v>
      </c>
      <c r="EE230">
        <v>16</v>
      </c>
      <c r="EF230">
        <v>188</v>
      </c>
      <c r="EG230">
        <v>21.875</v>
      </c>
      <c r="EH230">
        <v>70</v>
      </c>
      <c r="EI230">
        <v>48.673000000000002</v>
      </c>
      <c r="EJ230">
        <v>61.73</v>
      </c>
      <c r="EK230">
        <v>-3</v>
      </c>
    </row>
    <row r="231" spans="1:141" x14ac:dyDescent="0.25">
      <c r="A231">
        <v>0</v>
      </c>
      <c r="B231">
        <v>0</v>
      </c>
      <c r="C231">
        <v>0</v>
      </c>
      <c r="D231">
        <v>2025</v>
      </c>
      <c r="E231">
        <v>16</v>
      </c>
      <c r="F231" t="str">
        <f>VLOOKUP(G231, Map!$A$1:$B$33, 2, FALSE)</f>
        <v>TEN</v>
      </c>
      <c r="G231" t="s">
        <v>140</v>
      </c>
      <c r="H231" t="str">
        <f>VLOOKUP(I231, Map!$A$1:$B$33, 2, FALSE)</f>
        <v>KC</v>
      </c>
      <c r="I231" t="s">
        <v>158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7</v>
      </c>
      <c r="P231">
        <v>28.75</v>
      </c>
      <c r="Q231">
        <v>13.75</v>
      </c>
      <c r="R231">
        <v>-120</v>
      </c>
      <c r="S231">
        <v>-3</v>
      </c>
      <c r="T231">
        <v>0.125</v>
      </c>
      <c r="U231">
        <v>0</v>
      </c>
      <c r="V231">
        <v>3</v>
      </c>
      <c r="W231">
        <v>0</v>
      </c>
      <c r="X231">
        <v>3</v>
      </c>
      <c r="Y231">
        <v>1</v>
      </c>
      <c r="Z231">
        <v>4</v>
      </c>
      <c r="AA231">
        <v>0</v>
      </c>
      <c r="AB231">
        <v>6</v>
      </c>
      <c r="AC231">
        <v>7</v>
      </c>
      <c r="AD231">
        <v>9</v>
      </c>
      <c r="AE231">
        <v>8</v>
      </c>
      <c r="AF231">
        <v>7</v>
      </c>
      <c r="AG231">
        <v>59</v>
      </c>
      <c r="AH231">
        <v>0</v>
      </c>
      <c r="AI231">
        <v>5</v>
      </c>
      <c r="AJ231">
        <v>3</v>
      </c>
      <c r="AK231">
        <v>16.375</v>
      </c>
      <c r="AL231">
        <v>26.75</v>
      </c>
      <c r="AM231">
        <v>83</v>
      </c>
      <c r="AN231">
        <v>3</v>
      </c>
      <c r="AO231">
        <v>0.625</v>
      </c>
      <c r="AP231">
        <v>1</v>
      </c>
      <c r="AQ231">
        <v>1</v>
      </c>
      <c r="AR231">
        <v>4</v>
      </c>
      <c r="AS231">
        <v>1</v>
      </c>
      <c r="AT231">
        <v>1</v>
      </c>
      <c r="AU231">
        <v>2</v>
      </c>
      <c r="AV231">
        <v>2</v>
      </c>
      <c r="AW231">
        <v>2</v>
      </c>
      <c r="AX231">
        <v>16</v>
      </c>
      <c r="AY231">
        <v>3</v>
      </c>
      <c r="AZ231">
        <v>7</v>
      </c>
      <c r="BA231">
        <v>11</v>
      </c>
      <c r="BB231">
        <v>65</v>
      </c>
      <c r="BC231">
        <v>0</v>
      </c>
      <c r="BD231">
        <v>0</v>
      </c>
      <c r="BE231">
        <v>0</v>
      </c>
      <c r="BF231">
        <v>0</v>
      </c>
      <c r="BG231">
        <v>15.565</v>
      </c>
      <c r="BH231">
        <v>51.023000000000003</v>
      </c>
      <c r="BI231">
        <v>84.31</v>
      </c>
      <c r="BJ231">
        <v>0</v>
      </c>
      <c r="BK231">
        <v>0</v>
      </c>
      <c r="BL231">
        <v>0</v>
      </c>
      <c r="BM231">
        <v>-14.981999999999999</v>
      </c>
      <c r="BN231">
        <v>84.31</v>
      </c>
      <c r="BO231">
        <v>51.023000000000003</v>
      </c>
      <c r="BP231">
        <v>0</v>
      </c>
      <c r="BQ231">
        <v>15.565</v>
      </c>
      <c r="BR231">
        <v>14.981999999999999</v>
      </c>
      <c r="BS231">
        <v>0</v>
      </c>
      <c r="BT231">
        <v>0</v>
      </c>
      <c r="BU231">
        <v>0</v>
      </c>
      <c r="BV231">
        <v>1785</v>
      </c>
      <c r="BW231">
        <v>57.664000000000001</v>
      </c>
      <c r="BX231">
        <v>168.375</v>
      </c>
      <c r="BY231">
        <v>21</v>
      </c>
      <c r="BZ231">
        <v>282.25</v>
      </c>
      <c r="CA231">
        <v>5.8940000000000001</v>
      </c>
      <c r="CB231">
        <v>643</v>
      </c>
      <c r="CC231">
        <v>80.375</v>
      </c>
      <c r="CD231">
        <v>3.9209999999999998</v>
      </c>
      <c r="CE231">
        <v>3</v>
      </c>
      <c r="CF231">
        <v>2580</v>
      </c>
      <c r="CG231">
        <v>5</v>
      </c>
      <c r="CH231">
        <v>201.875</v>
      </c>
      <c r="CI231">
        <v>10.222</v>
      </c>
      <c r="CJ231">
        <v>6.8129999999999997</v>
      </c>
      <c r="CK231">
        <v>4.8949999999999996</v>
      </c>
      <c r="CL231">
        <v>0</v>
      </c>
      <c r="CM231">
        <v>16</v>
      </c>
      <c r="CN231">
        <v>0</v>
      </c>
      <c r="CO231">
        <v>88.888999999999996</v>
      </c>
      <c r="CP231">
        <v>76.19</v>
      </c>
      <c r="CQ231">
        <v>16</v>
      </c>
      <c r="CR231">
        <v>56</v>
      </c>
      <c r="CS231">
        <v>10.75</v>
      </c>
      <c r="CT231">
        <v>37</v>
      </c>
      <c r="CU231">
        <v>12</v>
      </c>
      <c r="CV231">
        <v>6</v>
      </c>
      <c r="CW231">
        <v>5</v>
      </c>
      <c r="CX231">
        <v>110</v>
      </c>
      <c r="CY231">
        <v>15.875</v>
      </c>
      <c r="CZ231">
        <v>38.462000000000003</v>
      </c>
      <c r="DA231">
        <v>29.907</v>
      </c>
      <c r="DB231">
        <v>65.31</v>
      </c>
      <c r="DC231">
        <v>-4</v>
      </c>
      <c r="DD231">
        <v>3149</v>
      </c>
      <c r="DE231">
        <v>67.021000000000001</v>
      </c>
      <c r="DF231">
        <v>251.75</v>
      </c>
      <c r="DG231">
        <v>25</v>
      </c>
      <c r="DH231">
        <v>388.875</v>
      </c>
      <c r="DI231">
        <v>7.3719999999999999</v>
      </c>
      <c r="DJ231">
        <v>1327</v>
      </c>
      <c r="DK231">
        <v>126.5</v>
      </c>
      <c r="DL231">
        <v>4.4980000000000002</v>
      </c>
      <c r="DM231">
        <v>9</v>
      </c>
      <c r="DN231">
        <v>3639</v>
      </c>
      <c r="DO231">
        <v>17</v>
      </c>
      <c r="DP231">
        <v>262.375</v>
      </c>
      <c r="DQ231">
        <v>11</v>
      </c>
      <c r="DR231">
        <v>4</v>
      </c>
      <c r="DS231">
        <v>3.4</v>
      </c>
      <c r="DT231">
        <v>0</v>
      </c>
      <c r="DU231">
        <v>17</v>
      </c>
      <c r="DV231">
        <v>0</v>
      </c>
      <c r="DW231">
        <v>88</v>
      </c>
      <c r="DX231">
        <v>80</v>
      </c>
      <c r="DY231">
        <v>12</v>
      </c>
      <c r="DZ231">
        <v>58</v>
      </c>
      <c r="EA231">
        <v>8.3330000000000002</v>
      </c>
      <c r="EB231">
        <v>11</v>
      </c>
      <c r="EC231">
        <v>19</v>
      </c>
      <c r="ED231">
        <v>0</v>
      </c>
      <c r="EE231">
        <v>17</v>
      </c>
      <c r="EF231">
        <v>214</v>
      </c>
      <c r="EG231">
        <v>23.625</v>
      </c>
      <c r="EH231">
        <v>82.352999999999994</v>
      </c>
      <c r="EI231">
        <v>44</v>
      </c>
      <c r="EJ231">
        <v>78.150000000000006</v>
      </c>
      <c r="EK231">
        <v>5</v>
      </c>
    </row>
    <row r="232" spans="1:141" x14ac:dyDescent="0.25">
      <c r="A232">
        <v>0</v>
      </c>
      <c r="B232">
        <v>0</v>
      </c>
      <c r="C232">
        <v>0</v>
      </c>
      <c r="D232">
        <v>2025</v>
      </c>
      <c r="E232">
        <v>16</v>
      </c>
      <c r="F232" t="str">
        <f>VLOOKUP(G232, Map!$A$1:$B$33, 2, FALSE)</f>
        <v>NO</v>
      </c>
      <c r="G232" t="s">
        <v>168</v>
      </c>
      <c r="H232" t="str">
        <f>VLOOKUP(I232, Map!$A$1:$B$33, 2, FALSE)</f>
        <v>NYJ</v>
      </c>
      <c r="I232" t="s">
        <v>166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7</v>
      </c>
      <c r="P232">
        <v>26.125</v>
      </c>
      <c r="Q232">
        <v>16</v>
      </c>
      <c r="R232">
        <v>-81</v>
      </c>
      <c r="S232">
        <v>-3</v>
      </c>
      <c r="T232">
        <v>0.125</v>
      </c>
      <c r="U232">
        <v>0</v>
      </c>
      <c r="V232">
        <v>1</v>
      </c>
      <c r="W232">
        <v>1</v>
      </c>
      <c r="X232">
        <v>4</v>
      </c>
      <c r="Y232">
        <v>0</v>
      </c>
      <c r="Z232">
        <v>3</v>
      </c>
      <c r="AA232">
        <v>1</v>
      </c>
      <c r="AB232">
        <v>5</v>
      </c>
      <c r="AC232">
        <v>7</v>
      </c>
      <c r="AD232">
        <v>10</v>
      </c>
      <c r="AE232">
        <v>7</v>
      </c>
      <c r="AF232">
        <v>10</v>
      </c>
      <c r="AG232">
        <v>64</v>
      </c>
      <c r="AH232">
        <v>0</v>
      </c>
      <c r="AI232">
        <v>1</v>
      </c>
      <c r="AJ232">
        <v>7</v>
      </c>
      <c r="AK232">
        <v>27.625</v>
      </c>
      <c r="AL232">
        <v>21</v>
      </c>
      <c r="AM232">
        <v>-53</v>
      </c>
      <c r="AN232">
        <v>1</v>
      </c>
      <c r="AO232">
        <v>0.125</v>
      </c>
      <c r="AP232">
        <v>0</v>
      </c>
      <c r="AQ232">
        <v>2</v>
      </c>
      <c r="AR232">
        <v>0</v>
      </c>
      <c r="AS232">
        <v>5</v>
      </c>
      <c r="AT232">
        <v>1</v>
      </c>
      <c r="AU232">
        <v>2</v>
      </c>
      <c r="AV232">
        <v>1</v>
      </c>
      <c r="AW232">
        <v>4</v>
      </c>
      <c r="AX232">
        <v>7</v>
      </c>
      <c r="AY232">
        <v>10</v>
      </c>
      <c r="AZ232">
        <v>8</v>
      </c>
      <c r="BA232">
        <v>9</v>
      </c>
      <c r="BB232">
        <v>60</v>
      </c>
      <c r="BC232">
        <v>0</v>
      </c>
      <c r="BD232">
        <v>0</v>
      </c>
      <c r="BE232">
        <v>0</v>
      </c>
      <c r="BF232">
        <v>0</v>
      </c>
      <c r="BG232">
        <v>44.73</v>
      </c>
      <c r="BH232">
        <v>12.496</v>
      </c>
      <c r="BI232">
        <v>54.911000000000001</v>
      </c>
      <c r="BJ232">
        <v>0</v>
      </c>
      <c r="BK232">
        <v>0</v>
      </c>
      <c r="BL232">
        <v>0</v>
      </c>
      <c r="BM232">
        <v>-1.857</v>
      </c>
      <c r="BN232">
        <v>54.911000000000001</v>
      </c>
      <c r="BO232">
        <v>12.496</v>
      </c>
      <c r="BP232">
        <v>0</v>
      </c>
      <c r="BQ232">
        <v>44.73</v>
      </c>
      <c r="BR232">
        <v>1.857</v>
      </c>
      <c r="BS232">
        <v>0</v>
      </c>
      <c r="BT232">
        <v>0</v>
      </c>
      <c r="BU232">
        <v>0</v>
      </c>
      <c r="BV232">
        <v>2083</v>
      </c>
      <c r="BW232">
        <v>66.206999999999994</v>
      </c>
      <c r="BX232">
        <v>201.375</v>
      </c>
      <c r="BY232">
        <v>13</v>
      </c>
      <c r="BZ232">
        <v>310.25</v>
      </c>
      <c r="CA232">
        <v>5.976</v>
      </c>
      <c r="CB232">
        <v>779</v>
      </c>
      <c r="CC232">
        <v>93.625</v>
      </c>
      <c r="CD232">
        <v>3.7829999999999999</v>
      </c>
      <c r="CE232">
        <v>3</v>
      </c>
      <c r="CF232">
        <v>2973</v>
      </c>
      <c r="CG232">
        <v>8</v>
      </c>
      <c r="CH232">
        <v>216.625</v>
      </c>
      <c r="CI232">
        <v>9.0259999999999998</v>
      </c>
      <c r="CJ232">
        <v>6.0590000000000002</v>
      </c>
      <c r="CK232">
        <v>4.7779999999999996</v>
      </c>
      <c r="CL232">
        <v>1</v>
      </c>
      <c r="CM232">
        <v>17</v>
      </c>
      <c r="CN232">
        <v>0</v>
      </c>
      <c r="CO232">
        <v>100</v>
      </c>
      <c r="CP232">
        <v>71.429000000000002</v>
      </c>
      <c r="CQ232">
        <v>15</v>
      </c>
      <c r="CR232">
        <v>56</v>
      </c>
      <c r="CS232">
        <v>15.25</v>
      </c>
      <c r="CT232">
        <v>27</v>
      </c>
      <c r="CU232">
        <v>7</v>
      </c>
      <c r="CV232">
        <v>6</v>
      </c>
      <c r="CW232">
        <v>8</v>
      </c>
      <c r="CX232">
        <v>128</v>
      </c>
      <c r="CY232">
        <v>19.125</v>
      </c>
      <c r="CZ232">
        <v>33.332999999999998</v>
      </c>
      <c r="DA232">
        <v>38.835000000000001</v>
      </c>
      <c r="DB232">
        <v>61.22</v>
      </c>
      <c r="DC232">
        <v>-2</v>
      </c>
      <c r="DD232">
        <v>2012</v>
      </c>
      <c r="DE232">
        <v>63.713000000000001</v>
      </c>
      <c r="DF232">
        <v>156.5</v>
      </c>
      <c r="DG232">
        <v>15</v>
      </c>
      <c r="DH232">
        <v>327.625</v>
      </c>
      <c r="DI232">
        <v>6.2110000000000003</v>
      </c>
      <c r="DJ232">
        <v>1254</v>
      </c>
      <c r="DK232">
        <v>143.625</v>
      </c>
      <c r="DL232">
        <v>5.1989999999999998</v>
      </c>
      <c r="DM232">
        <v>6</v>
      </c>
      <c r="DN232">
        <v>2542</v>
      </c>
      <c r="DO232">
        <v>9</v>
      </c>
      <c r="DP232">
        <v>184</v>
      </c>
      <c r="DQ232">
        <v>9.7479999999999993</v>
      </c>
      <c r="DR232">
        <v>6.2729999999999997</v>
      </c>
      <c r="DS232">
        <v>2.4169999999999998</v>
      </c>
      <c r="DT232">
        <v>1</v>
      </c>
      <c r="DU232">
        <v>11</v>
      </c>
      <c r="DV232">
        <v>0</v>
      </c>
      <c r="DW232">
        <v>100</v>
      </c>
      <c r="DX232">
        <v>100</v>
      </c>
      <c r="DY232">
        <v>17</v>
      </c>
      <c r="DZ232">
        <v>60</v>
      </c>
      <c r="EA232">
        <v>6.25</v>
      </c>
      <c r="EB232">
        <v>11</v>
      </c>
      <c r="EC232">
        <v>31</v>
      </c>
      <c r="ED232">
        <v>2</v>
      </c>
      <c r="EE232">
        <v>9</v>
      </c>
      <c r="EF232">
        <v>168</v>
      </c>
      <c r="EG232">
        <v>18.5</v>
      </c>
      <c r="EH232">
        <v>52.631999999999998</v>
      </c>
      <c r="EI232">
        <v>34.905999999999999</v>
      </c>
      <c r="EJ232">
        <v>69.17</v>
      </c>
      <c r="EK232">
        <v>-9</v>
      </c>
    </row>
    <row r="233" spans="1:141" x14ac:dyDescent="0.25">
      <c r="A233">
        <v>0</v>
      </c>
      <c r="B233">
        <v>0</v>
      </c>
      <c r="C233">
        <v>0</v>
      </c>
      <c r="D233">
        <v>2025</v>
      </c>
      <c r="E233">
        <v>16</v>
      </c>
      <c r="F233" t="str">
        <f>VLOOKUP(G233, Map!$A$1:$B$33, 2, FALSE)</f>
        <v>NYG</v>
      </c>
      <c r="G233" t="s">
        <v>149</v>
      </c>
      <c r="H233" t="str">
        <f>VLOOKUP(I233, Map!$A$1:$B$33, 2, FALSE)</f>
        <v>MIN</v>
      </c>
      <c r="I233" t="s">
        <v>153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6</v>
      </c>
      <c r="P233">
        <v>26.875</v>
      </c>
      <c r="Q233">
        <v>21.625</v>
      </c>
      <c r="R233">
        <v>-42</v>
      </c>
      <c r="S233">
        <v>-2</v>
      </c>
      <c r="T233">
        <v>0.25</v>
      </c>
      <c r="U233">
        <v>1</v>
      </c>
      <c r="V233">
        <v>3</v>
      </c>
      <c r="W233">
        <v>2</v>
      </c>
      <c r="X233">
        <v>1</v>
      </c>
      <c r="Y233">
        <v>0</v>
      </c>
      <c r="Z233">
        <v>5</v>
      </c>
      <c r="AA233">
        <v>1</v>
      </c>
      <c r="AB233">
        <v>4</v>
      </c>
      <c r="AC233">
        <v>10</v>
      </c>
      <c r="AD233">
        <v>7</v>
      </c>
      <c r="AE233">
        <v>14</v>
      </c>
      <c r="AF233">
        <v>4</v>
      </c>
      <c r="AG233">
        <v>67</v>
      </c>
      <c r="AH233">
        <v>0</v>
      </c>
      <c r="AI233">
        <v>3</v>
      </c>
      <c r="AJ233">
        <v>4</v>
      </c>
      <c r="AK233">
        <v>23.142856999999999</v>
      </c>
      <c r="AL233">
        <v>22.142856999999999</v>
      </c>
      <c r="AM233">
        <v>-7</v>
      </c>
      <c r="AN233">
        <v>-2</v>
      </c>
      <c r="AO233">
        <v>0.42857142999999998</v>
      </c>
      <c r="AP233">
        <v>1</v>
      </c>
      <c r="AQ233">
        <v>0</v>
      </c>
      <c r="AR233">
        <v>1</v>
      </c>
      <c r="AS233">
        <v>2</v>
      </c>
      <c r="AT233">
        <v>2</v>
      </c>
      <c r="AU233">
        <v>2</v>
      </c>
      <c r="AV233">
        <v>1</v>
      </c>
      <c r="AW233">
        <v>2</v>
      </c>
      <c r="AX233">
        <v>13</v>
      </c>
      <c r="AY233">
        <v>4</v>
      </c>
      <c r="AZ233">
        <v>7</v>
      </c>
      <c r="BA233">
        <v>9</v>
      </c>
      <c r="BB233">
        <v>61</v>
      </c>
      <c r="BC233">
        <v>0</v>
      </c>
      <c r="BD233">
        <v>0</v>
      </c>
      <c r="BE233">
        <v>0</v>
      </c>
      <c r="BF233">
        <v>0</v>
      </c>
      <c r="BG233">
        <v>62.378999999999998</v>
      </c>
      <c r="BH233">
        <v>35.689</v>
      </c>
      <c r="BI233">
        <v>37.322000000000003</v>
      </c>
      <c r="BJ233">
        <v>0</v>
      </c>
      <c r="BK233">
        <v>0</v>
      </c>
      <c r="BL233">
        <v>0</v>
      </c>
      <c r="BM233">
        <v>5.0570000000000004</v>
      </c>
      <c r="BN233">
        <v>37.322000000000003</v>
      </c>
      <c r="BO233">
        <v>35.689</v>
      </c>
      <c r="BP233">
        <v>0</v>
      </c>
      <c r="BQ233">
        <v>62.378999999999998</v>
      </c>
      <c r="BR233">
        <v>-5.0570000000000004</v>
      </c>
      <c r="BS233">
        <v>0</v>
      </c>
      <c r="BT233">
        <v>0</v>
      </c>
      <c r="BU233">
        <v>0</v>
      </c>
      <c r="BV233">
        <v>2348</v>
      </c>
      <c r="BW233">
        <v>59.448999999999998</v>
      </c>
      <c r="BX233">
        <v>207.25</v>
      </c>
      <c r="BY233">
        <v>23</v>
      </c>
      <c r="BZ233">
        <v>339.25</v>
      </c>
      <c r="CA233">
        <v>6.9210000000000003</v>
      </c>
      <c r="CB233">
        <v>1249</v>
      </c>
      <c r="CC233">
        <v>118</v>
      </c>
      <c r="CD233">
        <v>4.0339999999999998</v>
      </c>
      <c r="CE233">
        <v>10</v>
      </c>
      <c r="CF233">
        <v>2910</v>
      </c>
      <c r="CG233">
        <v>11</v>
      </c>
      <c r="CH233">
        <v>221.25</v>
      </c>
      <c r="CI233">
        <v>11.641999999999999</v>
      </c>
      <c r="CJ233">
        <v>7.2629999999999999</v>
      </c>
      <c r="CK233">
        <v>5.1740000000000004</v>
      </c>
      <c r="CL233">
        <v>0</v>
      </c>
      <c r="CM233">
        <v>19</v>
      </c>
      <c r="CN233">
        <v>0</v>
      </c>
      <c r="CO233">
        <v>78.947000000000003</v>
      </c>
      <c r="CP233">
        <v>100</v>
      </c>
      <c r="CQ233">
        <v>10</v>
      </c>
      <c r="CR233">
        <v>45</v>
      </c>
      <c r="CS233">
        <v>7.1539999999999999</v>
      </c>
      <c r="CT233">
        <v>32</v>
      </c>
      <c r="CU233">
        <v>12</v>
      </c>
      <c r="CV233">
        <v>0</v>
      </c>
      <c r="CW233">
        <v>11</v>
      </c>
      <c r="CX233">
        <v>173</v>
      </c>
      <c r="CY233">
        <v>20.625</v>
      </c>
      <c r="CZ233">
        <v>52.941000000000003</v>
      </c>
      <c r="DA233">
        <v>39.814999999999998</v>
      </c>
      <c r="DB233">
        <v>59.26</v>
      </c>
      <c r="DC233">
        <v>-4</v>
      </c>
      <c r="DD233">
        <v>1981</v>
      </c>
      <c r="DE233">
        <v>63.927</v>
      </c>
      <c r="DF233">
        <v>202.71428</v>
      </c>
      <c r="DG233">
        <v>21</v>
      </c>
      <c r="DH233">
        <v>321.14285000000001</v>
      </c>
      <c r="DI233">
        <v>7.2649999999999997</v>
      </c>
      <c r="DJ233">
        <v>772</v>
      </c>
      <c r="DK233">
        <v>93.856999999999999</v>
      </c>
      <c r="DL233">
        <v>4.2939999999999996</v>
      </c>
      <c r="DM233">
        <v>5</v>
      </c>
      <c r="DN233">
        <v>2606</v>
      </c>
      <c r="DO233">
        <v>9</v>
      </c>
      <c r="DP233">
        <v>227.286</v>
      </c>
      <c r="DQ233">
        <v>11.364000000000001</v>
      </c>
      <c r="DR233">
        <v>6.2220000000000004</v>
      </c>
      <c r="DS233">
        <v>3.3570000000000002</v>
      </c>
      <c r="DT233">
        <v>2</v>
      </c>
      <c r="DU233">
        <v>18</v>
      </c>
      <c r="DV233">
        <v>0</v>
      </c>
      <c r="DW233">
        <v>100</v>
      </c>
      <c r="DX233">
        <v>87.5</v>
      </c>
      <c r="DY233">
        <v>14</v>
      </c>
      <c r="DZ233">
        <v>55</v>
      </c>
      <c r="EA233">
        <v>7.8179999999999996</v>
      </c>
      <c r="EB233">
        <v>10</v>
      </c>
      <c r="EC233">
        <v>29</v>
      </c>
      <c r="ED233">
        <v>12</v>
      </c>
      <c r="EE233">
        <v>9</v>
      </c>
      <c r="EF233">
        <v>155</v>
      </c>
      <c r="EG233">
        <v>17.428999999999998</v>
      </c>
      <c r="EH233">
        <v>62.5</v>
      </c>
      <c r="EI233">
        <v>33.332999999999998</v>
      </c>
      <c r="EJ233">
        <v>70.13</v>
      </c>
      <c r="EK233">
        <v>-4</v>
      </c>
    </row>
    <row r="234" spans="1:141" x14ac:dyDescent="0.25">
      <c r="A234">
        <v>0</v>
      </c>
      <c r="B234">
        <v>0</v>
      </c>
      <c r="C234">
        <v>0</v>
      </c>
      <c r="D234">
        <v>2025</v>
      </c>
      <c r="E234">
        <v>16</v>
      </c>
      <c r="F234" t="str">
        <f>VLOOKUP(G234, Map!$A$1:$B$33, 2, FALSE)</f>
        <v>CAR</v>
      </c>
      <c r="G234" t="s">
        <v>142</v>
      </c>
      <c r="H234" t="str">
        <f>VLOOKUP(I234, Map!$A$1:$B$33, 2, FALSE)</f>
        <v>TB</v>
      </c>
      <c r="I234" t="s">
        <v>141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4</v>
      </c>
      <c r="P234">
        <v>24</v>
      </c>
      <c r="Q234">
        <v>19.25</v>
      </c>
      <c r="R234">
        <v>-38</v>
      </c>
      <c r="S234">
        <v>-1</v>
      </c>
      <c r="T234">
        <v>0.5</v>
      </c>
      <c r="U234">
        <v>1</v>
      </c>
      <c r="V234">
        <v>0</v>
      </c>
      <c r="W234">
        <v>3</v>
      </c>
      <c r="X234">
        <v>1</v>
      </c>
      <c r="Y234">
        <v>1</v>
      </c>
      <c r="Z234">
        <v>3</v>
      </c>
      <c r="AA234">
        <v>2</v>
      </c>
      <c r="AB234">
        <v>1</v>
      </c>
      <c r="AC234">
        <v>7</v>
      </c>
      <c r="AD234">
        <v>10</v>
      </c>
      <c r="AE234">
        <v>9</v>
      </c>
      <c r="AF234">
        <v>8</v>
      </c>
      <c r="AG234">
        <v>58</v>
      </c>
      <c r="AH234">
        <v>0</v>
      </c>
      <c r="AI234">
        <v>6</v>
      </c>
      <c r="AJ234">
        <v>2</v>
      </c>
      <c r="AK234">
        <v>22.25</v>
      </c>
      <c r="AL234">
        <v>24.625</v>
      </c>
      <c r="AM234">
        <v>19</v>
      </c>
      <c r="AN234">
        <v>1</v>
      </c>
      <c r="AO234">
        <v>0.75</v>
      </c>
      <c r="AP234">
        <v>2</v>
      </c>
      <c r="AQ234">
        <v>0</v>
      </c>
      <c r="AR234">
        <v>2</v>
      </c>
      <c r="AS234">
        <v>1</v>
      </c>
      <c r="AT234">
        <v>4</v>
      </c>
      <c r="AU234">
        <v>1</v>
      </c>
      <c r="AV234">
        <v>4</v>
      </c>
      <c r="AW234">
        <v>2</v>
      </c>
      <c r="AX234">
        <v>8</v>
      </c>
      <c r="AY234">
        <v>9</v>
      </c>
      <c r="AZ234">
        <v>4</v>
      </c>
      <c r="BA234">
        <v>12</v>
      </c>
      <c r="BB234">
        <v>59</v>
      </c>
      <c r="BC234">
        <v>0</v>
      </c>
      <c r="BD234">
        <v>0</v>
      </c>
      <c r="BE234">
        <v>0</v>
      </c>
      <c r="BF234">
        <v>0</v>
      </c>
      <c r="BG234">
        <v>40.311</v>
      </c>
      <c r="BH234">
        <v>43.015000000000001</v>
      </c>
      <c r="BI234">
        <v>59.365000000000002</v>
      </c>
      <c r="BJ234">
        <v>0</v>
      </c>
      <c r="BK234">
        <v>0</v>
      </c>
      <c r="BL234">
        <v>0</v>
      </c>
      <c r="BM234">
        <v>-3.6480000000000001</v>
      </c>
      <c r="BN234">
        <v>59.365000000000002</v>
      </c>
      <c r="BO234">
        <v>43.015000000000001</v>
      </c>
      <c r="BP234">
        <v>0</v>
      </c>
      <c r="BQ234">
        <v>40.311</v>
      </c>
      <c r="BR234">
        <v>3.6480000000000001</v>
      </c>
      <c r="BS234">
        <v>0</v>
      </c>
      <c r="BT234">
        <v>0</v>
      </c>
      <c r="BU234">
        <v>0</v>
      </c>
      <c r="BV234">
        <v>2241</v>
      </c>
      <c r="BW234">
        <v>62.451999999999998</v>
      </c>
      <c r="BX234">
        <v>179.5</v>
      </c>
      <c r="BY234">
        <v>19</v>
      </c>
      <c r="BZ234">
        <v>334.5</v>
      </c>
      <c r="CA234">
        <v>6.0570000000000004</v>
      </c>
      <c r="CB234">
        <v>1145</v>
      </c>
      <c r="CC234">
        <v>136.875</v>
      </c>
      <c r="CD234">
        <v>4.6399999999999997</v>
      </c>
      <c r="CE234">
        <v>4</v>
      </c>
      <c r="CF234">
        <v>2816</v>
      </c>
      <c r="CG234">
        <v>12</v>
      </c>
      <c r="CH234">
        <v>197.625</v>
      </c>
      <c r="CI234">
        <v>9.6989999999999998</v>
      </c>
      <c r="CJ234">
        <v>6.8460000000000001</v>
      </c>
      <c r="CK234">
        <v>4.75</v>
      </c>
      <c r="CL234">
        <v>1</v>
      </c>
      <c r="CM234">
        <v>13</v>
      </c>
      <c r="CN234">
        <v>0</v>
      </c>
      <c r="CO234">
        <v>86.667000000000002</v>
      </c>
      <c r="CP234">
        <v>86.667000000000002</v>
      </c>
      <c r="CQ234">
        <v>13</v>
      </c>
      <c r="CR234">
        <v>52</v>
      </c>
      <c r="CS234">
        <v>16.411999999999999</v>
      </c>
      <c r="CT234">
        <v>27</v>
      </c>
      <c r="CU234">
        <v>11</v>
      </c>
      <c r="CV234">
        <v>6</v>
      </c>
      <c r="CW234">
        <v>12</v>
      </c>
      <c r="CX234">
        <v>154</v>
      </c>
      <c r="CY234">
        <v>20.75</v>
      </c>
      <c r="CZ234">
        <v>68.421000000000006</v>
      </c>
      <c r="DA234">
        <v>37.255000000000003</v>
      </c>
      <c r="DB234">
        <v>70.83</v>
      </c>
      <c r="DC234">
        <v>-5</v>
      </c>
      <c r="DD234">
        <v>2769</v>
      </c>
      <c r="DE234">
        <v>63.941000000000003</v>
      </c>
      <c r="DF234">
        <v>224.875</v>
      </c>
      <c r="DG234">
        <v>29</v>
      </c>
      <c r="DH234">
        <v>338</v>
      </c>
      <c r="DI234">
        <v>7.1340000000000003</v>
      </c>
      <c r="DJ234">
        <v>950</v>
      </c>
      <c r="DK234">
        <v>98.125</v>
      </c>
      <c r="DL234">
        <v>3.8479999999999999</v>
      </c>
      <c r="DM234">
        <v>6</v>
      </c>
      <c r="DN234">
        <v>3234</v>
      </c>
      <c r="DO234">
        <v>13</v>
      </c>
      <c r="DP234">
        <v>239.875</v>
      </c>
      <c r="DQ234">
        <v>11.157</v>
      </c>
      <c r="DR234">
        <v>7.8</v>
      </c>
      <c r="DS234">
        <v>6.8</v>
      </c>
      <c r="DT234">
        <v>2</v>
      </c>
      <c r="DU234">
        <v>25</v>
      </c>
      <c r="DV234">
        <v>0</v>
      </c>
      <c r="DW234">
        <v>94.117999999999995</v>
      </c>
      <c r="DX234">
        <v>80.951999999999998</v>
      </c>
      <c r="DY234">
        <v>17</v>
      </c>
      <c r="DZ234">
        <v>67</v>
      </c>
      <c r="EA234">
        <v>14.667</v>
      </c>
      <c r="EB234">
        <v>12</v>
      </c>
      <c r="EC234">
        <v>32</v>
      </c>
      <c r="ED234">
        <v>14</v>
      </c>
      <c r="EE234">
        <v>13</v>
      </c>
      <c r="EF234">
        <v>197</v>
      </c>
      <c r="EG234">
        <v>18.875</v>
      </c>
      <c r="EH234">
        <v>50</v>
      </c>
      <c r="EI234">
        <v>36.274999999999999</v>
      </c>
      <c r="EJ234">
        <v>55.19</v>
      </c>
      <c r="EK234">
        <v>7</v>
      </c>
    </row>
    <row r="235" spans="1:141" x14ac:dyDescent="0.25">
      <c r="A235">
        <v>0</v>
      </c>
      <c r="B235">
        <v>0</v>
      </c>
      <c r="C235">
        <v>0</v>
      </c>
      <c r="D235">
        <v>2025</v>
      </c>
      <c r="E235">
        <v>16</v>
      </c>
      <c r="F235" t="str">
        <f>VLOOKUP(G235, Map!$A$1:$B$33, 2, FALSE)</f>
        <v>BAL</v>
      </c>
      <c r="G235" t="s">
        <v>146</v>
      </c>
      <c r="H235" t="str">
        <f>VLOOKUP(I235, Map!$A$1:$B$33, 2, FALSE)</f>
        <v>NE</v>
      </c>
      <c r="I235" t="s">
        <v>151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5</v>
      </c>
      <c r="P235">
        <v>30</v>
      </c>
      <c r="Q235">
        <v>24.857143000000001</v>
      </c>
      <c r="R235">
        <v>-36</v>
      </c>
      <c r="S235">
        <v>1</v>
      </c>
      <c r="T235">
        <v>0.28571429999999998</v>
      </c>
      <c r="U235">
        <v>1</v>
      </c>
      <c r="V235">
        <v>0</v>
      </c>
      <c r="W235">
        <v>2</v>
      </c>
      <c r="X235">
        <v>3</v>
      </c>
      <c r="Y235">
        <v>0</v>
      </c>
      <c r="Z235">
        <v>2</v>
      </c>
      <c r="AA235">
        <v>1</v>
      </c>
      <c r="AB235">
        <v>3</v>
      </c>
      <c r="AC235">
        <v>10</v>
      </c>
      <c r="AD235">
        <v>7</v>
      </c>
      <c r="AE235">
        <v>7</v>
      </c>
      <c r="AF235">
        <v>9</v>
      </c>
      <c r="AG235">
        <v>61</v>
      </c>
      <c r="AH235">
        <v>0</v>
      </c>
      <c r="AI235">
        <v>6</v>
      </c>
      <c r="AJ235">
        <v>2</v>
      </c>
      <c r="AK235">
        <v>18.25</v>
      </c>
      <c r="AL235">
        <v>26.625</v>
      </c>
      <c r="AM235">
        <v>67</v>
      </c>
      <c r="AN235">
        <v>5</v>
      </c>
      <c r="AO235">
        <v>0.75</v>
      </c>
      <c r="AP235">
        <v>2</v>
      </c>
      <c r="AQ235">
        <v>0</v>
      </c>
      <c r="AR235">
        <v>2</v>
      </c>
      <c r="AS235">
        <v>2</v>
      </c>
      <c r="AT235">
        <v>4</v>
      </c>
      <c r="AU235">
        <v>0</v>
      </c>
      <c r="AV235">
        <v>4</v>
      </c>
      <c r="AW235">
        <v>2</v>
      </c>
      <c r="AX235">
        <v>8</v>
      </c>
      <c r="AY235">
        <v>9</v>
      </c>
      <c r="AZ235">
        <v>7</v>
      </c>
      <c r="BA235">
        <v>9</v>
      </c>
      <c r="BB235">
        <v>61</v>
      </c>
      <c r="BC235">
        <v>0</v>
      </c>
      <c r="BD235">
        <v>0</v>
      </c>
      <c r="BE235">
        <v>0</v>
      </c>
      <c r="BF235">
        <v>0</v>
      </c>
      <c r="BG235">
        <v>60.802</v>
      </c>
      <c r="BH235">
        <v>65.864000000000004</v>
      </c>
      <c r="BI235">
        <v>38.884999999999998</v>
      </c>
      <c r="BJ235">
        <v>0</v>
      </c>
      <c r="BK235">
        <v>0</v>
      </c>
      <c r="BL235">
        <v>0</v>
      </c>
      <c r="BM235">
        <v>4.3609999999999998</v>
      </c>
      <c r="BN235">
        <v>38.884999999999998</v>
      </c>
      <c r="BO235">
        <v>65.864000000000004</v>
      </c>
      <c r="BP235">
        <v>0</v>
      </c>
      <c r="BQ235">
        <v>60.802</v>
      </c>
      <c r="BR235">
        <v>-4.3609999999999998</v>
      </c>
      <c r="BS235">
        <v>0</v>
      </c>
      <c r="BT235">
        <v>0</v>
      </c>
      <c r="BU235">
        <v>0</v>
      </c>
      <c r="BV235">
        <v>2046</v>
      </c>
      <c r="BW235">
        <v>69.73</v>
      </c>
      <c r="BX235">
        <v>182.28572</v>
      </c>
      <c r="BY235">
        <v>19</v>
      </c>
      <c r="BZ235">
        <v>337.14285000000001</v>
      </c>
      <c r="CA235">
        <v>7.7080000000000002</v>
      </c>
      <c r="CB235">
        <v>1139</v>
      </c>
      <c r="CC235">
        <v>133.429</v>
      </c>
      <c r="CD235">
        <v>5.2770000000000001</v>
      </c>
      <c r="CE235">
        <v>8</v>
      </c>
      <c r="CF235">
        <v>2456</v>
      </c>
      <c r="CG235">
        <v>11</v>
      </c>
      <c r="CH235">
        <v>203.714</v>
      </c>
      <c r="CI235">
        <v>11.054</v>
      </c>
      <c r="CJ235">
        <v>6.8890000000000002</v>
      </c>
      <c r="CK235">
        <v>2.4089999999999998</v>
      </c>
      <c r="CL235">
        <v>1</v>
      </c>
      <c r="CM235">
        <v>9</v>
      </c>
      <c r="CN235">
        <v>0</v>
      </c>
      <c r="CO235">
        <v>94.736999999999995</v>
      </c>
      <c r="CP235">
        <v>92.308000000000007</v>
      </c>
      <c r="CQ235">
        <v>12</v>
      </c>
      <c r="CR235">
        <v>54</v>
      </c>
      <c r="CS235">
        <v>5.8330000000000002</v>
      </c>
      <c r="CT235">
        <v>19</v>
      </c>
      <c r="CU235">
        <v>8</v>
      </c>
      <c r="CV235">
        <v>6</v>
      </c>
      <c r="CW235">
        <v>11</v>
      </c>
      <c r="CX235">
        <v>174</v>
      </c>
      <c r="CY235">
        <v>18.143000000000001</v>
      </c>
      <c r="CZ235">
        <v>38.462000000000003</v>
      </c>
      <c r="DA235">
        <v>40.506</v>
      </c>
      <c r="DB235">
        <v>52.38</v>
      </c>
      <c r="DC235">
        <v>-6</v>
      </c>
      <c r="DD235">
        <v>2965</v>
      </c>
      <c r="DE235">
        <v>75</v>
      </c>
      <c r="DF235">
        <v>240.5</v>
      </c>
      <c r="DG235">
        <v>29</v>
      </c>
      <c r="DH235">
        <v>367.375</v>
      </c>
      <c r="DI235">
        <v>8.7940000000000005</v>
      </c>
      <c r="DJ235">
        <v>1056</v>
      </c>
      <c r="DK235">
        <v>112.625</v>
      </c>
      <c r="DL235">
        <v>3.9340000000000002</v>
      </c>
      <c r="DM235">
        <v>7</v>
      </c>
      <c r="DN235">
        <v>3418</v>
      </c>
      <c r="DO235">
        <v>15</v>
      </c>
      <c r="DP235">
        <v>254.75</v>
      </c>
      <c r="DQ235">
        <v>11.725</v>
      </c>
      <c r="DR235">
        <v>6.3159999999999998</v>
      </c>
      <c r="DS235">
        <v>3.7410000000000001</v>
      </c>
      <c r="DT235">
        <v>4</v>
      </c>
      <c r="DU235">
        <v>19</v>
      </c>
      <c r="DV235">
        <v>0</v>
      </c>
      <c r="DW235">
        <v>91.304000000000002</v>
      </c>
      <c r="DX235">
        <v>92.308000000000007</v>
      </c>
      <c r="DY235">
        <v>12</v>
      </c>
      <c r="DZ235">
        <v>57</v>
      </c>
      <c r="EA235">
        <v>16.8</v>
      </c>
      <c r="EB235">
        <v>10</v>
      </c>
      <c r="EC235">
        <v>27</v>
      </c>
      <c r="ED235">
        <v>14</v>
      </c>
      <c r="EE235">
        <v>15</v>
      </c>
      <c r="EF235">
        <v>213</v>
      </c>
      <c r="EG235">
        <v>20.375</v>
      </c>
      <c r="EH235">
        <v>83.332999999999998</v>
      </c>
      <c r="EI235">
        <v>39.784999999999997</v>
      </c>
      <c r="EJ235">
        <v>67</v>
      </c>
      <c r="EK235">
        <v>2</v>
      </c>
    </row>
    <row r="236" spans="1:141" x14ac:dyDescent="0.25">
      <c r="A236">
        <v>0</v>
      </c>
      <c r="B236">
        <v>0</v>
      </c>
      <c r="C236">
        <v>0</v>
      </c>
      <c r="D236">
        <v>2025</v>
      </c>
      <c r="E236">
        <v>16</v>
      </c>
      <c r="F236" t="str">
        <f>VLOOKUP(G236, Map!$A$1:$B$33, 2, FALSE)</f>
        <v>DEN</v>
      </c>
      <c r="G236" t="s">
        <v>159</v>
      </c>
      <c r="H236" t="str">
        <f>VLOOKUP(I236, Map!$A$1:$B$33, 2, FALSE)</f>
        <v>JAX</v>
      </c>
      <c r="I236" t="s">
        <v>139</v>
      </c>
      <c r="J236">
        <v>0</v>
      </c>
      <c r="K236">
        <v>0</v>
      </c>
      <c r="L236">
        <v>0</v>
      </c>
      <c r="M236">
        <v>0</v>
      </c>
      <c r="N236">
        <v>6</v>
      </c>
      <c r="O236">
        <v>2</v>
      </c>
      <c r="P236">
        <v>18.875</v>
      </c>
      <c r="Q236">
        <v>25.875</v>
      </c>
      <c r="R236">
        <v>56</v>
      </c>
      <c r="S236">
        <v>5</v>
      </c>
      <c r="T236">
        <v>0.75</v>
      </c>
      <c r="U236">
        <v>0</v>
      </c>
      <c r="V236">
        <v>1</v>
      </c>
      <c r="W236">
        <v>4</v>
      </c>
      <c r="X236">
        <v>0</v>
      </c>
      <c r="Y236">
        <v>2</v>
      </c>
      <c r="Z236">
        <v>2</v>
      </c>
      <c r="AA236">
        <v>3</v>
      </c>
      <c r="AB236">
        <v>2</v>
      </c>
      <c r="AC236">
        <v>4</v>
      </c>
      <c r="AD236">
        <v>12</v>
      </c>
      <c r="AE236">
        <v>7</v>
      </c>
      <c r="AF236">
        <v>9</v>
      </c>
      <c r="AG236">
        <v>63</v>
      </c>
      <c r="AH236">
        <v>0</v>
      </c>
      <c r="AI236">
        <v>4</v>
      </c>
      <c r="AJ236">
        <v>3</v>
      </c>
      <c r="AK236">
        <v>22.142856999999999</v>
      </c>
      <c r="AL236">
        <v>20.857143000000001</v>
      </c>
      <c r="AM236">
        <v>-9</v>
      </c>
      <c r="AN236">
        <v>-2</v>
      </c>
      <c r="AO236">
        <v>0.57142859999999995</v>
      </c>
      <c r="AP236">
        <v>1</v>
      </c>
      <c r="AQ236">
        <v>0</v>
      </c>
      <c r="AR236">
        <v>3</v>
      </c>
      <c r="AS236">
        <v>2</v>
      </c>
      <c r="AT236">
        <v>1</v>
      </c>
      <c r="AU236">
        <v>1</v>
      </c>
      <c r="AV236">
        <v>2</v>
      </c>
      <c r="AW236">
        <v>1</v>
      </c>
      <c r="AX236">
        <v>10</v>
      </c>
      <c r="AY236">
        <v>8</v>
      </c>
      <c r="AZ236">
        <v>9</v>
      </c>
      <c r="BA236">
        <v>9</v>
      </c>
      <c r="BB236">
        <v>58</v>
      </c>
      <c r="BC236">
        <v>0</v>
      </c>
      <c r="BD236">
        <v>0</v>
      </c>
      <c r="BE236">
        <v>0</v>
      </c>
      <c r="BF236">
        <v>0</v>
      </c>
      <c r="BG236">
        <v>65.459000000000003</v>
      </c>
      <c r="BH236">
        <v>60.209000000000003</v>
      </c>
      <c r="BI236">
        <v>34.265999999999998</v>
      </c>
      <c r="BJ236">
        <v>0</v>
      </c>
      <c r="BK236">
        <v>0</v>
      </c>
      <c r="BL236">
        <v>0</v>
      </c>
      <c r="BM236">
        <v>5.9180000000000001</v>
      </c>
      <c r="BN236">
        <v>34.265999999999998</v>
      </c>
      <c r="BO236">
        <v>60.209000000000003</v>
      </c>
      <c r="BP236">
        <v>0</v>
      </c>
      <c r="BQ236">
        <v>65.459000000000003</v>
      </c>
      <c r="BR236">
        <v>-5.9180000000000001</v>
      </c>
      <c r="BS236">
        <v>0</v>
      </c>
      <c r="BT236">
        <v>0</v>
      </c>
      <c r="BU236">
        <v>0</v>
      </c>
      <c r="BV236">
        <v>2703</v>
      </c>
      <c r="BW236">
        <v>62.807000000000002</v>
      </c>
      <c r="BX236">
        <v>219.125</v>
      </c>
      <c r="BY236">
        <v>22</v>
      </c>
      <c r="BZ236">
        <v>363.125</v>
      </c>
      <c r="CA236">
        <v>6.3259999999999996</v>
      </c>
      <c r="CB236">
        <v>1407</v>
      </c>
      <c r="CC236">
        <v>137.75</v>
      </c>
      <c r="CD236">
        <v>5.0090000000000003</v>
      </c>
      <c r="CE236">
        <v>10</v>
      </c>
      <c r="CF236">
        <v>3223</v>
      </c>
      <c r="CG236">
        <v>15</v>
      </c>
      <c r="CH236">
        <v>225.375</v>
      </c>
      <c r="CI236">
        <v>10.073</v>
      </c>
      <c r="CJ236">
        <v>6.0279999999999996</v>
      </c>
      <c r="CK236">
        <v>90.5</v>
      </c>
      <c r="CL236">
        <v>0</v>
      </c>
      <c r="CM236">
        <v>36</v>
      </c>
      <c r="CN236">
        <v>0</v>
      </c>
      <c r="CO236">
        <v>100</v>
      </c>
      <c r="CP236">
        <v>90.909000000000006</v>
      </c>
      <c r="CQ236">
        <v>10</v>
      </c>
      <c r="CR236">
        <v>51</v>
      </c>
      <c r="CS236">
        <v>10.467000000000001</v>
      </c>
      <c r="CT236">
        <v>38</v>
      </c>
      <c r="CU236">
        <v>18</v>
      </c>
      <c r="CV236">
        <v>0</v>
      </c>
      <c r="CW236">
        <v>15</v>
      </c>
      <c r="CX236">
        <v>207</v>
      </c>
      <c r="CY236">
        <v>20.75</v>
      </c>
      <c r="CZ236">
        <v>50</v>
      </c>
      <c r="DA236">
        <v>37.863999999999997</v>
      </c>
      <c r="DB236">
        <v>73.02</v>
      </c>
      <c r="DC236">
        <v>-1</v>
      </c>
      <c r="DD236">
        <v>2100</v>
      </c>
      <c r="DE236">
        <v>58.686999999999998</v>
      </c>
      <c r="DF236">
        <v>215.14285000000001</v>
      </c>
      <c r="DG236">
        <v>21</v>
      </c>
      <c r="DH236">
        <v>351.14285000000001</v>
      </c>
      <c r="DI236">
        <v>6.2549999999999999</v>
      </c>
      <c r="DJ236">
        <v>1033</v>
      </c>
      <c r="DK236">
        <v>119.714</v>
      </c>
      <c r="DL236">
        <v>4.6820000000000004</v>
      </c>
      <c r="DM236">
        <v>6</v>
      </c>
      <c r="DN236">
        <v>2695</v>
      </c>
      <c r="DO236">
        <v>9</v>
      </c>
      <c r="DP236">
        <v>231.429</v>
      </c>
      <c r="DQ236">
        <v>10.657999999999999</v>
      </c>
      <c r="DR236">
        <v>7.375</v>
      </c>
      <c r="DS236">
        <v>3.1880000000000002</v>
      </c>
      <c r="DT236">
        <v>2</v>
      </c>
      <c r="DU236">
        <v>8</v>
      </c>
      <c r="DV236">
        <v>0</v>
      </c>
      <c r="DW236">
        <v>93.332999999999998</v>
      </c>
      <c r="DX236">
        <v>71.429000000000002</v>
      </c>
      <c r="DY236">
        <v>10</v>
      </c>
      <c r="DZ236">
        <v>44</v>
      </c>
      <c r="EA236">
        <v>4.4290000000000003</v>
      </c>
      <c r="EB236">
        <v>10</v>
      </c>
      <c r="EC236">
        <v>30</v>
      </c>
      <c r="ED236">
        <v>12</v>
      </c>
      <c r="EE236">
        <v>9</v>
      </c>
      <c r="EF236">
        <v>146</v>
      </c>
      <c r="EG236">
        <v>19.143000000000001</v>
      </c>
      <c r="EH236">
        <v>53.332999999999998</v>
      </c>
      <c r="EI236">
        <v>32.978999999999999</v>
      </c>
      <c r="EJ236">
        <v>59.74</v>
      </c>
      <c r="EK236">
        <v>8</v>
      </c>
    </row>
    <row r="237" spans="1:141" x14ac:dyDescent="0.25">
      <c r="A237">
        <v>0</v>
      </c>
      <c r="B237">
        <v>0</v>
      </c>
      <c r="C237">
        <v>0</v>
      </c>
      <c r="D237">
        <v>2025</v>
      </c>
      <c r="E237">
        <v>16</v>
      </c>
      <c r="F237" t="str">
        <f>VLOOKUP(G237, Map!$A$1:$B$33, 2, FALSE)</f>
        <v>ARI</v>
      </c>
      <c r="G237" t="s">
        <v>156</v>
      </c>
      <c r="H237" t="str">
        <f>VLOOKUP(I237, Map!$A$1:$B$33, 2, FALSE)</f>
        <v>ATL</v>
      </c>
      <c r="I237" t="s">
        <v>167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5</v>
      </c>
      <c r="P237">
        <v>22</v>
      </c>
      <c r="Q237">
        <v>21.857143000000001</v>
      </c>
      <c r="R237">
        <v>-1</v>
      </c>
      <c r="S237">
        <v>-5</v>
      </c>
      <c r="T237">
        <v>0.28571429999999998</v>
      </c>
      <c r="U237">
        <v>0</v>
      </c>
      <c r="V237">
        <v>2</v>
      </c>
      <c r="W237">
        <v>1</v>
      </c>
      <c r="X237">
        <v>3</v>
      </c>
      <c r="Y237">
        <v>1</v>
      </c>
      <c r="Z237">
        <v>2</v>
      </c>
      <c r="AA237">
        <v>2</v>
      </c>
      <c r="AB237">
        <v>3</v>
      </c>
      <c r="AC237">
        <v>4</v>
      </c>
      <c r="AD237">
        <v>12</v>
      </c>
      <c r="AE237">
        <v>8</v>
      </c>
      <c r="AF237">
        <v>8</v>
      </c>
      <c r="AG237">
        <v>69</v>
      </c>
      <c r="AH237">
        <v>0</v>
      </c>
      <c r="AI237">
        <v>3</v>
      </c>
      <c r="AJ237">
        <v>4</v>
      </c>
      <c r="AK237">
        <v>22</v>
      </c>
      <c r="AL237">
        <v>17.142856999999999</v>
      </c>
      <c r="AM237">
        <v>-34</v>
      </c>
      <c r="AN237">
        <v>-2</v>
      </c>
      <c r="AO237">
        <v>0.42857142999999998</v>
      </c>
      <c r="AP237">
        <v>0</v>
      </c>
      <c r="AQ237">
        <v>2</v>
      </c>
      <c r="AR237">
        <v>2</v>
      </c>
      <c r="AS237">
        <v>2</v>
      </c>
      <c r="AT237">
        <v>1</v>
      </c>
      <c r="AU237">
        <v>2</v>
      </c>
      <c r="AV237">
        <v>2</v>
      </c>
      <c r="AW237">
        <v>3</v>
      </c>
      <c r="AX237">
        <v>7</v>
      </c>
      <c r="AY237">
        <v>10</v>
      </c>
      <c r="AZ237">
        <v>9</v>
      </c>
      <c r="BA237">
        <v>8</v>
      </c>
      <c r="BB237">
        <v>64</v>
      </c>
      <c r="BC237">
        <v>0</v>
      </c>
      <c r="BD237">
        <v>0</v>
      </c>
      <c r="BE237">
        <v>0</v>
      </c>
      <c r="BF237">
        <v>0</v>
      </c>
      <c r="BG237">
        <v>59.545000000000002</v>
      </c>
      <c r="BH237">
        <v>35.292000000000002</v>
      </c>
      <c r="BI237">
        <v>40.133000000000003</v>
      </c>
      <c r="BJ237">
        <v>0</v>
      </c>
      <c r="BK237">
        <v>0</v>
      </c>
      <c r="BL237">
        <v>0</v>
      </c>
      <c r="BM237">
        <v>3.726</v>
      </c>
      <c r="BN237">
        <v>40.133000000000003</v>
      </c>
      <c r="BO237">
        <v>35.292000000000002</v>
      </c>
      <c r="BP237">
        <v>0</v>
      </c>
      <c r="BQ237">
        <v>59.545000000000002</v>
      </c>
      <c r="BR237">
        <v>-3.726</v>
      </c>
      <c r="BS237">
        <v>0</v>
      </c>
      <c r="BT237">
        <v>0</v>
      </c>
      <c r="BU237">
        <v>0</v>
      </c>
      <c r="BV237">
        <v>2113</v>
      </c>
      <c r="BW237">
        <v>66.941999999999993</v>
      </c>
      <c r="BX237">
        <v>199.85714999999999</v>
      </c>
      <c r="BY237">
        <v>18</v>
      </c>
      <c r="BZ237">
        <v>333.42856</v>
      </c>
      <c r="CA237">
        <v>6.335</v>
      </c>
      <c r="CB237">
        <v>888</v>
      </c>
      <c r="CC237">
        <v>110.429</v>
      </c>
      <c r="CD237">
        <v>4.4169999999999998</v>
      </c>
      <c r="CE237">
        <v>5</v>
      </c>
      <c r="CF237">
        <v>2721</v>
      </c>
      <c r="CG237">
        <v>10</v>
      </c>
      <c r="CH237">
        <v>223</v>
      </c>
      <c r="CI237">
        <v>9.4629999999999992</v>
      </c>
      <c r="CJ237">
        <v>6.6669999999999998</v>
      </c>
      <c r="CK237">
        <v>3.238</v>
      </c>
      <c r="CL237">
        <v>1</v>
      </c>
      <c r="CM237">
        <v>12</v>
      </c>
      <c r="CN237">
        <v>0</v>
      </c>
      <c r="CO237">
        <v>100</v>
      </c>
      <c r="CP237">
        <v>86.667000000000002</v>
      </c>
      <c r="CQ237">
        <v>13</v>
      </c>
      <c r="CR237">
        <v>55</v>
      </c>
      <c r="CS237">
        <v>8.25</v>
      </c>
      <c r="CT237">
        <v>25</v>
      </c>
      <c r="CU237">
        <v>9</v>
      </c>
      <c r="CV237">
        <v>8</v>
      </c>
      <c r="CW237">
        <v>10</v>
      </c>
      <c r="CX237">
        <v>153</v>
      </c>
      <c r="CY237">
        <v>19</v>
      </c>
      <c r="CZ237">
        <v>57.143000000000001</v>
      </c>
      <c r="DA237">
        <v>44.792000000000002</v>
      </c>
      <c r="DB237">
        <v>63.49</v>
      </c>
      <c r="DC237">
        <v>-1</v>
      </c>
      <c r="DD237">
        <v>1871</v>
      </c>
      <c r="DE237">
        <v>62.231999999999999</v>
      </c>
      <c r="DF237">
        <v>219.42857000000001</v>
      </c>
      <c r="DG237">
        <v>19</v>
      </c>
      <c r="DH237">
        <v>353.42856</v>
      </c>
      <c r="DI237">
        <v>6.9139999999999997</v>
      </c>
      <c r="DJ237">
        <v>1048</v>
      </c>
      <c r="DK237">
        <v>123.286</v>
      </c>
      <c r="DL237">
        <v>4.4029999999999996</v>
      </c>
      <c r="DM237">
        <v>7</v>
      </c>
      <c r="DN237">
        <v>2511</v>
      </c>
      <c r="DO237">
        <v>5</v>
      </c>
      <c r="DP237">
        <v>230.143</v>
      </c>
      <c r="DQ237">
        <v>11.11</v>
      </c>
      <c r="DR237">
        <v>5.9379999999999997</v>
      </c>
      <c r="DS237">
        <v>5.6429999999999998</v>
      </c>
      <c r="DT237">
        <v>0</v>
      </c>
      <c r="DU237">
        <v>16</v>
      </c>
      <c r="DV237">
        <v>0</v>
      </c>
      <c r="DW237">
        <v>100</v>
      </c>
      <c r="DX237">
        <v>75</v>
      </c>
      <c r="DY237">
        <v>12</v>
      </c>
      <c r="DZ237">
        <v>48</v>
      </c>
      <c r="EA237">
        <v>7.5380000000000003</v>
      </c>
      <c r="EB237">
        <v>9</v>
      </c>
      <c r="EC237">
        <v>22</v>
      </c>
      <c r="ED237">
        <v>0</v>
      </c>
      <c r="EE237">
        <v>5</v>
      </c>
      <c r="EF237">
        <v>120</v>
      </c>
      <c r="EG237">
        <v>19.286000000000001</v>
      </c>
      <c r="EH237">
        <v>40</v>
      </c>
      <c r="EI237">
        <v>39.326000000000001</v>
      </c>
      <c r="EJ237">
        <v>57.86</v>
      </c>
      <c r="EK237">
        <v>2</v>
      </c>
    </row>
    <row r="238" spans="1:141" x14ac:dyDescent="0.25">
      <c r="A238">
        <v>0</v>
      </c>
      <c r="B238">
        <v>0</v>
      </c>
      <c r="C238">
        <v>0</v>
      </c>
      <c r="D238">
        <v>2025</v>
      </c>
      <c r="E238">
        <v>16</v>
      </c>
      <c r="F238" t="str">
        <f>VLOOKUP(G238, Map!$A$1:$B$33, 2, FALSE)</f>
        <v>DET</v>
      </c>
      <c r="G238" t="s">
        <v>164</v>
      </c>
      <c r="H238" t="str">
        <f>VLOOKUP(I238, Map!$A$1:$B$33, 2, FALSE)</f>
        <v>PIT</v>
      </c>
      <c r="I238" t="s">
        <v>145</v>
      </c>
      <c r="J238">
        <v>0</v>
      </c>
      <c r="K238">
        <v>0</v>
      </c>
      <c r="L238">
        <v>0</v>
      </c>
      <c r="M238">
        <v>0</v>
      </c>
      <c r="N238">
        <v>5</v>
      </c>
      <c r="O238">
        <v>2</v>
      </c>
      <c r="P238">
        <v>21.571428000000001</v>
      </c>
      <c r="Q238">
        <v>30.714285</v>
      </c>
      <c r="R238">
        <v>64</v>
      </c>
      <c r="S238">
        <v>1</v>
      </c>
      <c r="T238">
        <v>0.71428572999999995</v>
      </c>
      <c r="U238">
        <v>1</v>
      </c>
      <c r="V238">
        <v>1</v>
      </c>
      <c r="W238">
        <v>3</v>
      </c>
      <c r="X238">
        <v>0</v>
      </c>
      <c r="Y238">
        <v>2</v>
      </c>
      <c r="Z238">
        <v>2</v>
      </c>
      <c r="AA238">
        <v>2</v>
      </c>
      <c r="AB238">
        <v>1</v>
      </c>
      <c r="AC238">
        <v>8</v>
      </c>
      <c r="AD238">
        <v>8</v>
      </c>
      <c r="AE238">
        <v>11</v>
      </c>
      <c r="AF238">
        <v>5</v>
      </c>
      <c r="AG238">
        <v>73</v>
      </c>
      <c r="AH238">
        <v>0</v>
      </c>
      <c r="AI238">
        <v>4</v>
      </c>
      <c r="AJ238">
        <v>3</v>
      </c>
      <c r="AK238">
        <v>25</v>
      </c>
      <c r="AL238">
        <v>25</v>
      </c>
      <c r="AM238">
        <v>0</v>
      </c>
      <c r="AN238">
        <v>-2</v>
      </c>
      <c r="AO238">
        <v>0.57142859999999995</v>
      </c>
      <c r="AP238">
        <v>1</v>
      </c>
      <c r="AQ238">
        <v>1</v>
      </c>
      <c r="AR238">
        <v>2</v>
      </c>
      <c r="AS238">
        <v>2</v>
      </c>
      <c r="AT238">
        <v>2</v>
      </c>
      <c r="AU238">
        <v>1</v>
      </c>
      <c r="AV238">
        <v>3</v>
      </c>
      <c r="AW238">
        <v>1</v>
      </c>
      <c r="AX238">
        <v>9</v>
      </c>
      <c r="AY238">
        <v>8</v>
      </c>
      <c r="AZ238">
        <v>10</v>
      </c>
      <c r="BA238">
        <v>6</v>
      </c>
      <c r="BB238">
        <v>66</v>
      </c>
      <c r="BC238">
        <v>0</v>
      </c>
      <c r="BD238">
        <v>0</v>
      </c>
      <c r="BE238">
        <v>0</v>
      </c>
      <c r="BF238">
        <v>0</v>
      </c>
      <c r="BG238">
        <v>68.012</v>
      </c>
      <c r="BH238">
        <v>70.915000000000006</v>
      </c>
      <c r="BI238">
        <v>31.733000000000001</v>
      </c>
      <c r="BJ238">
        <v>0</v>
      </c>
      <c r="BK238">
        <v>0</v>
      </c>
      <c r="BL238">
        <v>0</v>
      </c>
      <c r="BM238">
        <v>7.1609999999999996</v>
      </c>
      <c r="BN238">
        <v>31.733000000000001</v>
      </c>
      <c r="BO238">
        <v>70.915000000000006</v>
      </c>
      <c r="BP238">
        <v>0</v>
      </c>
      <c r="BQ238">
        <v>68.012</v>
      </c>
      <c r="BR238">
        <v>-7.1609999999999996</v>
      </c>
      <c r="BS238">
        <v>0</v>
      </c>
      <c r="BT238">
        <v>0</v>
      </c>
      <c r="BU238">
        <v>0</v>
      </c>
      <c r="BV238">
        <v>2664</v>
      </c>
      <c r="BW238">
        <v>75</v>
      </c>
      <c r="BX238">
        <v>223.57142999999999</v>
      </c>
      <c r="BY238">
        <v>23</v>
      </c>
      <c r="BZ238">
        <v>367.14285000000001</v>
      </c>
      <c r="CA238">
        <v>8.01</v>
      </c>
      <c r="CB238">
        <v>1256</v>
      </c>
      <c r="CC238">
        <v>133.714</v>
      </c>
      <c r="CD238">
        <v>4.5220000000000002</v>
      </c>
      <c r="CE238">
        <v>10</v>
      </c>
      <c r="CF238">
        <v>2959</v>
      </c>
      <c r="CG238">
        <v>16</v>
      </c>
      <c r="CH238">
        <v>233.429</v>
      </c>
      <c r="CI238">
        <v>10.68</v>
      </c>
      <c r="CJ238">
        <v>6.2610000000000001</v>
      </c>
      <c r="CK238">
        <v>24.2</v>
      </c>
      <c r="CL238">
        <v>1</v>
      </c>
      <c r="CM238">
        <v>23</v>
      </c>
      <c r="CN238">
        <v>0</v>
      </c>
      <c r="CO238">
        <v>100</v>
      </c>
      <c r="CP238">
        <v>72.727000000000004</v>
      </c>
      <c r="CQ238">
        <v>8</v>
      </c>
      <c r="CR238">
        <v>51</v>
      </c>
      <c r="CS238">
        <v>10</v>
      </c>
      <c r="CT238">
        <v>27</v>
      </c>
      <c r="CU238">
        <v>14</v>
      </c>
      <c r="CV238">
        <v>8</v>
      </c>
      <c r="CW238">
        <v>16</v>
      </c>
      <c r="CX238">
        <v>215</v>
      </c>
      <c r="CY238">
        <v>19.856999999999999</v>
      </c>
      <c r="CZ238">
        <v>61.537999999999997</v>
      </c>
      <c r="DA238">
        <v>37.646999999999998</v>
      </c>
      <c r="DB238">
        <v>74.88</v>
      </c>
      <c r="DC238">
        <v>6</v>
      </c>
      <c r="DD238">
        <v>2471</v>
      </c>
      <c r="DE238">
        <v>68.570999999999998</v>
      </c>
      <c r="DF238">
        <v>202.85714999999999</v>
      </c>
      <c r="DG238">
        <v>20</v>
      </c>
      <c r="DH238">
        <v>308.71429999999998</v>
      </c>
      <c r="DI238">
        <v>7.1479999999999997</v>
      </c>
      <c r="DJ238">
        <v>750</v>
      </c>
      <c r="DK238">
        <v>94.286000000000001</v>
      </c>
      <c r="DL238">
        <v>4.0739999999999998</v>
      </c>
      <c r="DM238">
        <v>3</v>
      </c>
      <c r="DN238">
        <v>2781</v>
      </c>
      <c r="DO238">
        <v>16</v>
      </c>
      <c r="DP238">
        <v>214.429</v>
      </c>
      <c r="DQ238">
        <v>10.423999999999999</v>
      </c>
      <c r="DR238">
        <v>6.4089999999999998</v>
      </c>
      <c r="DS238">
        <v>7.4379999999999997</v>
      </c>
      <c r="DT238">
        <v>0</v>
      </c>
      <c r="DU238">
        <v>22</v>
      </c>
      <c r="DV238">
        <v>0</v>
      </c>
      <c r="DW238">
        <v>100</v>
      </c>
      <c r="DX238">
        <v>87.5</v>
      </c>
      <c r="DY238">
        <v>14</v>
      </c>
      <c r="DZ238">
        <v>59</v>
      </c>
      <c r="EA238">
        <v>8.25</v>
      </c>
      <c r="EB238">
        <v>8</v>
      </c>
      <c r="EC238">
        <v>23</v>
      </c>
      <c r="ED238">
        <v>0</v>
      </c>
      <c r="EE238">
        <v>16</v>
      </c>
      <c r="EF238">
        <v>175</v>
      </c>
      <c r="EG238">
        <v>17.428999999999998</v>
      </c>
      <c r="EH238">
        <v>50</v>
      </c>
      <c r="EI238">
        <v>38.960999999999999</v>
      </c>
      <c r="EJ238">
        <v>75.94</v>
      </c>
      <c r="EK238">
        <v>4</v>
      </c>
    </row>
    <row r="239" spans="1:141" x14ac:dyDescent="0.25">
      <c r="A239">
        <v>0</v>
      </c>
      <c r="B239">
        <v>0</v>
      </c>
      <c r="C239">
        <v>0</v>
      </c>
      <c r="D239">
        <v>2025</v>
      </c>
      <c r="E239">
        <v>16</v>
      </c>
      <c r="F239" t="str">
        <f>VLOOKUP(G239, Map!$A$1:$B$33, 2, FALSE)</f>
        <v>HOU</v>
      </c>
      <c r="G239" t="s">
        <v>137</v>
      </c>
      <c r="H239" t="str">
        <f>VLOOKUP(I239, Map!$A$1:$B$33, 2, FALSE)</f>
        <v>LV</v>
      </c>
      <c r="I239" t="s">
        <v>157</v>
      </c>
      <c r="J239">
        <v>0</v>
      </c>
      <c r="K239">
        <v>0</v>
      </c>
      <c r="L239">
        <v>0</v>
      </c>
      <c r="M239">
        <v>0</v>
      </c>
      <c r="N239">
        <v>3</v>
      </c>
      <c r="O239">
        <v>4</v>
      </c>
      <c r="P239">
        <v>14.714286</v>
      </c>
      <c r="Q239">
        <v>21.857143000000001</v>
      </c>
      <c r="R239">
        <v>50</v>
      </c>
      <c r="S239">
        <v>1</v>
      </c>
      <c r="T239">
        <v>0.42857142999999998</v>
      </c>
      <c r="U239">
        <v>1</v>
      </c>
      <c r="V239">
        <v>1</v>
      </c>
      <c r="W239">
        <v>2</v>
      </c>
      <c r="X239">
        <v>1</v>
      </c>
      <c r="Y239">
        <v>1</v>
      </c>
      <c r="Z239">
        <v>3</v>
      </c>
      <c r="AA239">
        <v>2</v>
      </c>
      <c r="AB239">
        <v>1</v>
      </c>
      <c r="AC239">
        <v>3</v>
      </c>
      <c r="AD239">
        <v>13</v>
      </c>
      <c r="AE239">
        <v>8</v>
      </c>
      <c r="AF239">
        <v>8</v>
      </c>
      <c r="AG239">
        <v>69</v>
      </c>
      <c r="AH239">
        <v>0</v>
      </c>
      <c r="AI239">
        <v>2</v>
      </c>
      <c r="AJ239">
        <v>5</v>
      </c>
      <c r="AK239">
        <v>25.714285</v>
      </c>
      <c r="AL239">
        <v>14.714286</v>
      </c>
      <c r="AM239">
        <v>-77</v>
      </c>
      <c r="AN239">
        <v>-1</v>
      </c>
      <c r="AO239">
        <v>0.28571429999999998</v>
      </c>
      <c r="AP239">
        <v>0</v>
      </c>
      <c r="AQ239">
        <v>2</v>
      </c>
      <c r="AR239">
        <v>1</v>
      </c>
      <c r="AS239">
        <v>2</v>
      </c>
      <c r="AT239">
        <v>1</v>
      </c>
      <c r="AU239">
        <v>3</v>
      </c>
      <c r="AV239">
        <v>2</v>
      </c>
      <c r="AW239">
        <v>3</v>
      </c>
      <c r="AX239">
        <v>6</v>
      </c>
      <c r="AY239">
        <v>10</v>
      </c>
      <c r="AZ239">
        <v>8</v>
      </c>
      <c r="BA239">
        <v>8</v>
      </c>
      <c r="BB239">
        <v>56</v>
      </c>
      <c r="BC239">
        <v>0</v>
      </c>
      <c r="BD239">
        <v>0</v>
      </c>
      <c r="BE239">
        <v>0</v>
      </c>
      <c r="BF239">
        <v>0</v>
      </c>
      <c r="BG239">
        <v>71.194000000000003</v>
      </c>
      <c r="BH239">
        <v>40.831000000000003</v>
      </c>
      <c r="BI239">
        <v>28.576000000000001</v>
      </c>
      <c r="BJ239">
        <v>0</v>
      </c>
      <c r="BK239">
        <v>0</v>
      </c>
      <c r="BL239">
        <v>0</v>
      </c>
      <c r="BM239">
        <v>8.2129999999999992</v>
      </c>
      <c r="BN239">
        <v>28.576000000000001</v>
      </c>
      <c r="BO239">
        <v>40.831000000000003</v>
      </c>
      <c r="BP239">
        <v>0</v>
      </c>
      <c r="BQ239">
        <v>71.194000000000003</v>
      </c>
      <c r="BR239">
        <v>-8.2129999999999992</v>
      </c>
      <c r="BS239">
        <v>0</v>
      </c>
      <c r="BT239">
        <v>0</v>
      </c>
      <c r="BU239">
        <v>0</v>
      </c>
      <c r="BV239">
        <v>2266</v>
      </c>
      <c r="BW239">
        <v>66.525000000000006</v>
      </c>
      <c r="BX239">
        <v>215.28572</v>
      </c>
      <c r="BY239">
        <v>22</v>
      </c>
      <c r="BZ239">
        <v>348.57144</v>
      </c>
      <c r="CA239">
        <v>6.9749999999999996</v>
      </c>
      <c r="CB239">
        <v>869</v>
      </c>
      <c r="CC239">
        <v>113.429</v>
      </c>
      <c r="CD239">
        <v>4.2690000000000001</v>
      </c>
      <c r="CE239">
        <v>3</v>
      </c>
      <c r="CF239">
        <v>2816</v>
      </c>
      <c r="CG239">
        <v>11</v>
      </c>
      <c r="CH239">
        <v>235.143</v>
      </c>
      <c r="CI239">
        <v>10.484</v>
      </c>
      <c r="CJ239">
        <v>7.875</v>
      </c>
      <c r="CK239">
        <v>6.1109999999999998</v>
      </c>
      <c r="CL239">
        <v>1</v>
      </c>
      <c r="CM239">
        <v>16</v>
      </c>
      <c r="CN239">
        <v>0</v>
      </c>
      <c r="CO239">
        <v>100</v>
      </c>
      <c r="CP239">
        <v>89.474000000000004</v>
      </c>
      <c r="CQ239">
        <v>17</v>
      </c>
      <c r="CR239">
        <v>63</v>
      </c>
      <c r="CS239">
        <v>11.545</v>
      </c>
      <c r="CT239">
        <v>27</v>
      </c>
      <c r="CU239">
        <v>9</v>
      </c>
      <c r="CV239">
        <v>6</v>
      </c>
      <c r="CW239">
        <v>11</v>
      </c>
      <c r="CX239">
        <v>153</v>
      </c>
      <c r="CY239">
        <v>18.713999999999999</v>
      </c>
      <c r="CZ239">
        <v>66.667000000000002</v>
      </c>
      <c r="DA239">
        <v>35.164999999999999</v>
      </c>
      <c r="DB239">
        <v>60.15</v>
      </c>
      <c r="DC239">
        <v>4</v>
      </c>
      <c r="DD239">
        <v>1570</v>
      </c>
      <c r="DE239">
        <v>66.176000000000002</v>
      </c>
      <c r="DF239">
        <v>182.71428</v>
      </c>
      <c r="DG239">
        <v>19</v>
      </c>
      <c r="DH239">
        <v>297.28570000000002</v>
      </c>
      <c r="DI239">
        <v>6.7649999999999997</v>
      </c>
      <c r="DJ239">
        <v>731</v>
      </c>
      <c r="DK239">
        <v>93.713999999999999</v>
      </c>
      <c r="DL239">
        <v>3.859</v>
      </c>
      <c r="DM239">
        <v>3</v>
      </c>
      <c r="DN239">
        <v>2345</v>
      </c>
      <c r="DO239">
        <v>7</v>
      </c>
      <c r="DP239">
        <v>203.571</v>
      </c>
      <c r="DQ239">
        <v>10.222</v>
      </c>
      <c r="DR239">
        <v>6.7329999999999997</v>
      </c>
      <c r="DS239">
        <v>3.0710000000000002</v>
      </c>
      <c r="DT239">
        <v>0</v>
      </c>
      <c r="DU239">
        <v>15</v>
      </c>
      <c r="DV239">
        <v>0</v>
      </c>
      <c r="DW239">
        <v>100</v>
      </c>
      <c r="DX239">
        <v>78.570999999999998</v>
      </c>
      <c r="DY239">
        <v>11</v>
      </c>
      <c r="DZ239">
        <v>41</v>
      </c>
      <c r="EA239">
        <v>15.333</v>
      </c>
      <c r="EB239">
        <v>8</v>
      </c>
      <c r="EC239">
        <v>26</v>
      </c>
      <c r="ED239">
        <v>0</v>
      </c>
      <c r="EE239">
        <v>7</v>
      </c>
      <c r="EF239">
        <v>103</v>
      </c>
      <c r="EG239">
        <v>15.856999999999999</v>
      </c>
      <c r="EH239">
        <v>45.454999999999998</v>
      </c>
      <c r="EI239">
        <v>37.930999999999997</v>
      </c>
      <c r="EJ239">
        <v>53.17</v>
      </c>
      <c r="EK239">
        <v>-5</v>
      </c>
    </row>
    <row r="240" spans="1:141" x14ac:dyDescent="0.25">
      <c r="A240">
        <v>0</v>
      </c>
      <c r="B240">
        <v>0</v>
      </c>
      <c r="C240">
        <v>0</v>
      </c>
      <c r="D240">
        <v>2025</v>
      </c>
      <c r="E240">
        <v>16</v>
      </c>
      <c r="F240" t="str">
        <f>VLOOKUP(G240, Map!$A$1:$B$33, 2, FALSE)</f>
        <v>MIA</v>
      </c>
      <c r="G240" t="s">
        <v>152</v>
      </c>
      <c r="H240" t="str">
        <f>VLOOKUP(I240, Map!$A$1:$B$33, 2, FALSE)</f>
        <v>CIN</v>
      </c>
      <c r="I240" t="s">
        <v>161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6</v>
      </c>
      <c r="P240">
        <v>26.875</v>
      </c>
      <c r="Q240">
        <v>21.75</v>
      </c>
      <c r="R240">
        <v>-41</v>
      </c>
      <c r="S240">
        <v>1</v>
      </c>
      <c r="T240">
        <v>0.25</v>
      </c>
      <c r="U240">
        <v>1</v>
      </c>
      <c r="V240">
        <v>2</v>
      </c>
      <c r="W240">
        <v>1</v>
      </c>
      <c r="X240">
        <v>2</v>
      </c>
      <c r="Y240">
        <v>1</v>
      </c>
      <c r="Z240">
        <v>4</v>
      </c>
      <c r="AA240">
        <v>1</v>
      </c>
      <c r="AB240">
        <v>5</v>
      </c>
      <c r="AC240">
        <v>9</v>
      </c>
      <c r="AD240">
        <v>9</v>
      </c>
      <c r="AE240">
        <v>10</v>
      </c>
      <c r="AF240">
        <v>8</v>
      </c>
      <c r="AG240">
        <v>68</v>
      </c>
      <c r="AH240">
        <v>0</v>
      </c>
      <c r="AI240">
        <v>3</v>
      </c>
      <c r="AJ240">
        <v>5</v>
      </c>
      <c r="AK240">
        <v>31.625</v>
      </c>
      <c r="AL240">
        <v>21.75</v>
      </c>
      <c r="AM240">
        <v>-79</v>
      </c>
      <c r="AN240">
        <v>-1</v>
      </c>
      <c r="AO240">
        <v>0.375</v>
      </c>
      <c r="AP240">
        <v>2</v>
      </c>
      <c r="AQ240">
        <v>0</v>
      </c>
      <c r="AR240">
        <v>2</v>
      </c>
      <c r="AS240">
        <v>2</v>
      </c>
      <c r="AT240">
        <v>1</v>
      </c>
      <c r="AU240">
        <v>3</v>
      </c>
      <c r="AV240">
        <v>3</v>
      </c>
      <c r="AW240">
        <v>2</v>
      </c>
      <c r="AX240">
        <v>14</v>
      </c>
      <c r="AY240">
        <v>4</v>
      </c>
      <c r="AZ240">
        <v>13</v>
      </c>
      <c r="BA240">
        <v>5</v>
      </c>
      <c r="BB240">
        <v>59</v>
      </c>
      <c r="BC240">
        <v>0</v>
      </c>
      <c r="BD240">
        <v>0</v>
      </c>
      <c r="BE240">
        <v>0</v>
      </c>
      <c r="BF240">
        <v>0</v>
      </c>
      <c r="BG240">
        <v>50.695999999999998</v>
      </c>
      <c r="BH240">
        <v>42.917000000000002</v>
      </c>
      <c r="BI240">
        <v>48.911000000000001</v>
      </c>
      <c r="BJ240">
        <v>0</v>
      </c>
      <c r="BK240">
        <v>0</v>
      </c>
      <c r="BL240">
        <v>0</v>
      </c>
      <c r="BM240">
        <v>0.182</v>
      </c>
      <c r="BN240">
        <v>48.911000000000001</v>
      </c>
      <c r="BO240">
        <v>42.917000000000002</v>
      </c>
      <c r="BP240">
        <v>0</v>
      </c>
      <c r="BQ240">
        <v>50.695999999999998</v>
      </c>
      <c r="BR240">
        <v>-0.182</v>
      </c>
      <c r="BS240">
        <v>0</v>
      </c>
      <c r="BT240">
        <v>0</v>
      </c>
      <c r="BU240">
        <v>0</v>
      </c>
      <c r="BV240">
        <v>2361</v>
      </c>
      <c r="BW240">
        <v>68.674999999999997</v>
      </c>
      <c r="BX240">
        <v>187.875</v>
      </c>
      <c r="BY240">
        <v>17</v>
      </c>
      <c r="BZ240">
        <v>299.875</v>
      </c>
      <c r="CA240">
        <v>6.47</v>
      </c>
      <c r="CB240">
        <v>898</v>
      </c>
      <c r="CC240">
        <v>98.5</v>
      </c>
      <c r="CD240">
        <v>4.452</v>
      </c>
      <c r="CE240">
        <v>4</v>
      </c>
      <c r="CF240">
        <v>2991</v>
      </c>
      <c r="CG240">
        <v>15</v>
      </c>
      <c r="CH240">
        <v>201.375</v>
      </c>
      <c r="CI240">
        <v>9.4209999999999994</v>
      </c>
      <c r="CJ240">
        <v>6.4669999999999996</v>
      </c>
      <c r="CK240">
        <v>4.8239999999999998</v>
      </c>
      <c r="CL240">
        <v>1</v>
      </c>
      <c r="CM240">
        <v>15</v>
      </c>
      <c r="CN240">
        <v>0</v>
      </c>
      <c r="CO240">
        <v>100</v>
      </c>
      <c r="CP240">
        <v>91.667000000000002</v>
      </c>
      <c r="CQ240">
        <v>11</v>
      </c>
      <c r="CR240">
        <v>52</v>
      </c>
      <c r="CS240">
        <v>7</v>
      </c>
      <c r="CT240">
        <v>26</v>
      </c>
      <c r="CU240">
        <v>11</v>
      </c>
      <c r="CV240">
        <v>6</v>
      </c>
      <c r="CW240">
        <v>15</v>
      </c>
      <c r="CX240">
        <v>174</v>
      </c>
      <c r="CY240">
        <v>17</v>
      </c>
      <c r="CZ240">
        <v>53.845999999999997</v>
      </c>
      <c r="DA240">
        <v>41.237000000000002</v>
      </c>
      <c r="DB240">
        <v>72.05</v>
      </c>
      <c r="DC240">
        <v>-5</v>
      </c>
      <c r="DD240">
        <v>2540</v>
      </c>
      <c r="DE240">
        <v>63.636000000000003</v>
      </c>
      <c r="DF240">
        <v>202</v>
      </c>
      <c r="DG240">
        <v>15</v>
      </c>
      <c r="DH240">
        <v>299.125</v>
      </c>
      <c r="DI240">
        <v>6.0490000000000004</v>
      </c>
      <c r="DJ240">
        <v>793</v>
      </c>
      <c r="DK240">
        <v>82.875</v>
      </c>
      <c r="DL240">
        <v>4.3049999999999997</v>
      </c>
      <c r="DM240">
        <v>5</v>
      </c>
      <c r="DN240">
        <v>3165</v>
      </c>
      <c r="DO240">
        <v>15</v>
      </c>
      <c r="DP240">
        <v>216.25</v>
      </c>
      <c r="DQ240">
        <v>9.5050000000000008</v>
      </c>
      <c r="DR240">
        <v>5.2729999999999997</v>
      </c>
      <c r="DS240">
        <v>3.3570000000000002</v>
      </c>
      <c r="DT240">
        <v>0</v>
      </c>
      <c r="DU240">
        <v>11</v>
      </c>
      <c r="DV240">
        <v>0</v>
      </c>
      <c r="DW240">
        <v>100</v>
      </c>
      <c r="DX240">
        <v>84.614999999999995</v>
      </c>
      <c r="DY240">
        <v>11</v>
      </c>
      <c r="DZ240">
        <v>52</v>
      </c>
      <c r="EA240">
        <v>11.523999999999999</v>
      </c>
      <c r="EB240">
        <v>11</v>
      </c>
      <c r="EC240">
        <v>37</v>
      </c>
      <c r="ED240">
        <v>0</v>
      </c>
      <c r="EE240">
        <v>15</v>
      </c>
      <c r="EF240">
        <v>174</v>
      </c>
      <c r="EG240">
        <v>18.5</v>
      </c>
      <c r="EH240">
        <v>80</v>
      </c>
      <c r="EI240">
        <v>39.393999999999998</v>
      </c>
      <c r="EJ240">
        <v>79.87</v>
      </c>
      <c r="EK240">
        <v>-2</v>
      </c>
    </row>
    <row r="241" spans="1:141" x14ac:dyDescent="0.25">
      <c r="A241">
        <v>0</v>
      </c>
      <c r="B241">
        <v>0</v>
      </c>
      <c r="C241">
        <v>0</v>
      </c>
      <c r="D241">
        <v>2025</v>
      </c>
      <c r="E241">
        <v>16</v>
      </c>
      <c r="F241" t="str">
        <f>VLOOKUP(G241, Map!$A$1:$B$33, 2, FALSE)</f>
        <v>IND</v>
      </c>
      <c r="G241" t="s">
        <v>138</v>
      </c>
      <c r="H241" t="str">
        <f>VLOOKUP(I241, Map!$A$1:$B$33, 2, FALSE)</f>
        <v>SF</v>
      </c>
      <c r="I241" t="s">
        <v>143</v>
      </c>
      <c r="J241">
        <v>0</v>
      </c>
      <c r="K241">
        <v>0</v>
      </c>
      <c r="L241">
        <v>0</v>
      </c>
      <c r="M241">
        <v>0</v>
      </c>
      <c r="N241">
        <v>7</v>
      </c>
      <c r="O241">
        <v>1</v>
      </c>
      <c r="P241">
        <v>19.25</v>
      </c>
      <c r="Q241">
        <v>33.75</v>
      </c>
      <c r="R241">
        <v>116</v>
      </c>
      <c r="S241">
        <v>4</v>
      </c>
      <c r="T241">
        <v>0.875</v>
      </c>
      <c r="U241">
        <v>2</v>
      </c>
      <c r="V241">
        <v>0</v>
      </c>
      <c r="W241">
        <v>5</v>
      </c>
      <c r="X241">
        <v>0</v>
      </c>
      <c r="Y241">
        <v>2</v>
      </c>
      <c r="Z241">
        <v>1</v>
      </c>
      <c r="AA241">
        <v>6</v>
      </c>
      <c r="AB241">
        <v>0</v>
      </c>
      <c r="AC241">
        <v>4</v>
      </c>
      <c r="AD241">
        <v>12</v>
      </c>
      <c r="AE241">
        <v>6</v>
      </c>
      <c r="AF241">
        <v>11</v>
      </c>
      <c r="AG241">
        <v>68</v>
      </c>
      <c r="AH241">
        <v>0</v>
      </c>
      <c r="AI241">
        <v>5</v>
      </c>
      <c r="AJ241">
        <v>3</v>
      </c>
      <c r="AK241">
        <v>20.5</v>
      </c>
      <c r="AL241">
        <v>20</v>
      </c>
      <c r="AM241">
        <v>-4</v>
      </c>
      <c r="AN241">
        <v>-1</v>
      </c>
      <c r="AO241">
        <v>0.625</v>
      </c>
      <c r="AP241">
        <v>3</v>
      </c>
      <c r="AQ241">
        <v>0</v>
      </c>
      <c r="AR241">
        <v>2</v>
      </c>
      <c r="AS241">
        <v>1</v>
      </c>
      <c r="AT241">
        <v>3</v>
      </c>
      <c r="AU241">
        <v>2</v>
      </c>
      <c r="AV241">
        <v>5</v>
      </c>
      <c r="AW241">
        <v>1</v>
      </c>
      <c r="AX241">
        <v>15</v>
      </c>
      <c r="AY241">
        <v>5</v>
      </c>
      <c r="AZ241">
        <v>13</v>
      </c>
      <c r="BA241">
        <v>7</v>
      </c>
      <c r="BB241">
        <v>68</v>
      </c>
      <c r="BC241">
        <v>0</v>
      </c>
      <c r="BD241">
        <v>0</v>
      </c>
      <c r="BE241">
        <v>0</v>
      </c>
      <c r="BF241">
        <v>0</v>
      </c>
      <c r="BG241">
        <v>59.850999999999999</v>
      </c>
      <c r="BH241">
        <v>79.004000000000005</v>
      </c>
      <c r="BI241">
        <v>39.829000000000001</v>
      </c>
      <c r="BJ241">
        <v>0</v>
      </c>
      <c r="BK241">
        <v>0</v>
      </c>
      <c r="BL241">
        <v>0</v>
      </c>
      <c r="BM241">
        <v>3.8660000000000001</v>
      </c>
      <c r="BN241">
        <v>39.829000000000001</v>
      </c>
      <c r="BO241">
        <v>79.004000000000005</v>
      </c>
      <c r="BP241">
        <v>0</v>
      </c>
      <c r="BQ241">
        <v>59.850999999999999</v>
      </c>
      <c r="BR241">
        <v>-3.8660000000000001</v>
      </c>
      <c r="BS241">
        <v>0</v>
      </c>
      <c r="BT241">
        <v>0</v>
      </c>
      <c r="BU241">
        <v>0</v>
      </c>
      <c r="BV241">
        <v>2891</v>
      </c>
      <c r="BW241">
        <v>70.161000000000001</v>
      </c>
      <c r="BX241">
        <v>250.875</v>
      </c>
      <c r="BY241">
        <v>23</v>
      </c>
      <c r="BZ241">
        <v>393.25</v>
      </c>
      <c r="CA241">
        <v>8.3510000000000009</v>
      </c>
      <c r="CB241">
        <v>1690</v>
      </c>
      <c r="CC241">
        <v>134.375</v>
      </c>
      <c r="CD241">
        <v>5.0229999999999997</v>
      </c>
      <c r="CE241">
        <v>18</v>
      </c>
      <c r="CF241">
        <v>3396</v>
      </c>
      <c r="CG241">
        <v>13</v>
      </c>
      <c r="CH241">
        <v>258.875</v>
      </c>
      <c r="CI241">
        <v>11.901999999999999</v>
      </c>
      <c r="CJ241">
        <v>6.8259999999999996</v>
      </c>
      <c r="CK241">
        <v>6.0910000000000002</v>
      </c>
      <c r="CL241">
        <v>1</v>
      </c>
      <c r="CM241">
        <v>23</v>
      </c>
      <c r="CN241">
        <v>0</v>
      </c>
      <c r="CO241">
        <v>96.296000000000006</v>
      </c>
      <c r="CP241">
        <v>94.117999999999995</v>
      </c>
      <c r="CQ241">
        <v>16</v>
      </c>
      <c r="CR241">
        <v>74</v>
      </c>
      <c r="CS241">
        <v>4.25</v>
      </c>
      <c r="CT241">
        <v>16</v>
      </c>
      <c r="CU241">
        <v>8</v>
      </c>
      <c r="CV241">
        <v>6</v>
      </c>
      <c r="CW241">
        <v>13</v>
      </c>
      <c r="CX241">
        <v>270</v>
      </c>
      <c r="CY241">
        <v>23.25</v>
      </c>
      <c r="CZ241">
        <v>83.332999999999998</v>
      </c>
      <c r="DA241">
        <v>45.348999999999997</v>
      </c>
      <c r="DB241">
        <v>77.069999999999993</v>
      </c>
      <c r="DC241">
        <v>8</v>
      </c>
      <c r="DD241">
        <v>2753</v>
      </c>
      <c r="DE241">
        <v>65.885999999999996</v>
      </c>
      <c r="DF241">
        <v>259.25</v>
      </c>
      <c r="DG241">
        <v>23</v>
      </c>
      <c r="DH241">
        <v>362.25</v>
      </c>
      <c r="DI241">
        <v>7.3010000000000002</v>
      </c>
      <c r="DJ241">
        <v>775</v>
      </c>
      <c r="DK241">
        <v>89.375</v>
      </c>
      <c r="DL241">
        <v>3.4049999999999998</v>
      </c>
      <c r="DM241">
        <v>3</v>
      </c>
      <c r="DN241">
        <v>3588</v>
      </c>
      <c r="DO241">
        <v>12</v>
      </c>
      <c r="DP241">
        <v>272.875</v>
      </c>
      <c r="DQ241">
        <v>11.081</v>
      </c>
      <c r="DR241">
        <v>6.6669999999999998</v>
      </c>
      <c r="DS241">
        <v>1.889</v>
      </c>
      <c r="DT241">
        <v>0</v>
      </c>
      <c r="DU241">
        <v>9</v>
      </c>
      <c r="DV241">
        <v>0</v>
      </c>
      <c r="DW241">
        <v>92.308000000000007</v>
      </c>
      <c r="DX241">
        <v>90</v>
      </c>
      <c r="DY241">
        <v>18</v>
      </c>
      <c r="DZ241">
        <v>66</v>
      </c>
      <c r="EA241">
        <v>14.308</v>
      </c>
      <c r="EB241">
        <v>12</v>
      </c>
      <c r="EC241">
        <v>25</v>
      </c>
      <c r="ED241">
        <v>0</v>
      </c>
      <c r="EE241">
        <v>12</v>
      </c>
      <c r="EF241">
        <v>160</v>
      </c>
      <c r="EG241">
        <v>20.875</v>
      </c>
      <c r="EH241">
        <v>54.545000000000002</v>
      </c>
      <c r="EI241">
        <v>46.363999999999997</v>
      </c>
      <c r="EJ241">
        <v>65.709999999999994</v>
      </c>
      <c r="EK241">
        <v>-5</v>
      </c>
    </row>
    <row r="242" spans="1:141" x14ac:dyDescent="0.25">
      <c r="A242">
        <v>0</v>
      </c>
      <c r="B242">
        <v>0</v>
      </c>
      <c r="C242">
        <v>0</v>
      </c>
      <c r="D242">
        <v>2025</v>
      </c>
      <c r="E242">
        <v>17</v>
      </c>
      <c r="F242" t="str">
        <f>VLOOKUP(G242, Map!$A$1:$B$33, 2, FALSE)</f>
        <v>WAS</v>
      </c>
      <c r="G242" t="s">
        <v>148</v>
      </c>
      <c r="H242" t="str">
        <f>VLOOKUP(I242, Map!$A$1:$B$33, 2, FALSE)</f>
        <v>DAL</v>
      </c>
      <c r="I242" t="s">
        <v>150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5</v>
      </c>
      <c r="P242">
        <v>24.75</v>
      </c>
      <c r="Q242">
        <v>23.375</v>
      </c>
      <c r="R242">
        <v>-11</v>
      </c>
      <c r="S242">
        <v>-3</v>
      </c>
      <c r="T242">
        <v>0.375</v>
      </c>
      <c r="U242">
        <v>1</v>
      </c>
      <c r="V242">
        <v>1</v>
      </c>
      <c r="W242">
        <v>2</v>
      </c>
      <c r="X242">
        <v>1</v>
      </c>
      <c r="Y242">
        <v>1</v>
      </c>
      <c r="Z242">
        <v>4</v>
      </c>
      <c r="AA242">
        <v>1</v>
      </c>
      <c r="AB242">
        <v>4</v>
      </c>
      <c r="AC242">
        <v>7</v>
      </c>
      <c r="AD242">
        <v>8</v>
      </c>
      <c r="AE242">
        <v>7</v>
      </c>
      <c r="AF242">
        <v>8</v>
      </c>
      <c r="AG242">
        <v>65</v>
      </c>
      <c r="AH242">
        <v>0</v>
      </c>
      <c r="AI242">
        <v>3</v>
      </c>
      <c r="AJ242">
        <v>4</v>
      </c>
      <c r="AK242">
        <v>31.25</v>
      </c>
      <c r="AL242">
        <v>30.75</v>
      </c>
      <c r="AM242">
        <v>-4</v>
      </c>
      <c r="AN242">
        <v>-1</v>
      </c>
      <c r="AO242">
        <v>0.4375</v>
      </c>
      <c r="AP242">
        <v>2</v>
      </c>
      <c r="AQ242">
        <v>1</v>
      </c>
      <c r="AR242">
        <v>2</v>
      </c>
      <c r="AS242">
        <v>0</v>
      </c>
      <c r="AT242">
        <v>1</v>
      </c>
      <c r="AU242">
        <v>4</v>
      </c>
      <c r="AV242">
        <v>2</v>
      </c>
      <c r="AW242">
        <v>3</v>
      </c>
      <c r="AX242">
        <v>13</v>
      </c>
      <c r="AY242">
        <v>5</v>
      </c>
      <c r="AZ242">
        <v>11</v>
      </c>
      <c r="BA242">
        <v>7</v>
      </c>
      <c r="BB242">
        <v>68</v>
      </c>
      <c r="BC242">
        <v>0</v>
      </c>
      <c r="BD242">
        <v>0</v>
      </c>
      <c r="BE242">
        <v>0</v>
      </c>
      <c r="BF242">
        <v>0</v>
      </c>
      <c r="BG242">
        <v>56.582000000000001</v>
      </c>
      <c r="BH242">
        <v>65.561999999999998</v>
      </c>
      <c r="BI242">
        <v>43.072000000000003</v>
      </c>
      <c r="BJ242">
        <v>0</v>
      </c>
      <c r="BK242">
        <v>0</v>
      </c>
      <c r="BL242">
        <v>0</v>
      </c>
      <c r="BM242">
        <v>2.367</v>
      </c>
      <c r="BN242">
        <v>43.072000000000003</v>
      </c>
      <c r="BO242">
        <v>65.561999999999998</v>
      </c>
      <c r="BP242">
        <v>0</v>
      </c>
      <c r="BQ242">
        <v>56.582000000000001</v>
      </c>
      <c r="BR242">
        <v>-2.367</v>
      </c>
      <c r="BS242">
        <v>0</v>
      </c>
      <c r="BT242">
        <v>0</v>
      </c>
      <c r="BU242">
        <v>0</v>
      </c>
      <c r="BV242">
        <v>2360</v>
      </c>
      <c r="BW242">
        <v>61.966000000000001</v>
      </c>
      <c r="BX242">
        <v>196.625</v>
      </c>
      <c r="BY242">
        <v>20</v>
      </c>
      <c r="BZ242">
        <v>346.5</v>
      </c>
      <c r="CA242">
        <v>7.1369999999999996</v>
      </c>
      <c r="CB242">
        <v>1342</v>
      </c>
      <c r="CC242">
        <v>137.75</v>
      </c>
      <c r="CD242">
        <v>5.1980000000000004</v>
      </c>
      <c r="CE242">
        <v>9</v>
      </c>
      <c r="CF242">
        <v>2815</v>
      </c>
      <c r="CG242">
        <v>12</v>
      </c>
      <c r="CH242">
        <v>208.75</v>
      </c>
      <c r="CI242">
        <v>11.516999999999999</v>
      </c>
      <c r="CJ242">
        <v>6.1360000000000001</v>
      </c>
      <c r="CK242">
        <v>5.9470000000000001</v>
      </c>
      <c r="CL242">
        <v>1</v>
      </c>
      <c r="CM242">
        <v>22</v>
      </c>
      <c r="CN242">
        <v>0</v>
      </c>
      <c r="CO242">
        <v>100</v>
      </c>
      <c r="CP242">
        <v>71.429000000000002</v>
      </c>
      <c r="CQ242">
        <v>10</v>
      </c>
      <c r="CR242">
        <v>49</v>
      </c>
      <c r="CS242">
        <v>4</v>
      </c>
      <c r="CT242">
        <v>25</v>
      </c>
      <c r="CU242">
        <v>11</v>
      </c>
      <c r="CV242">
        <v>8</v>
      </c>
      <c r="CW242">
        <v>12</v>
      </c>
      <c r="CX242">
        <v>187</v>
      </c>
      <c r="CY242">
        <v>18.75</v>
      </c>
      <c r="CZ242">
        <v>45.454999999999998</v>
      </c>
      <c r="DA242">
        <v>38.636000000000003</v>
      </c>
      <c r="DB242">
        <v>79.290000000000006</v>
      </c>
      <c r="DC242">
        <v>-5</v>
      </c>
      <c r="DD242">
        <v>3160</v>
      </c>
      <c r="DE242">
        <v>70.233999999999995</v>
      </c>
      <c r="DF242">
        <v>263.75</v>
      </c>
      <c r="DG242">
        <v>25</v>
      </c>
      <c r="DH242">
        <v>391.375</v>
      </c>
      <c r="DI242">
        <v>7.1909999999999998</v>
      </c>
      <c r="DJ242">
        <v>1283</v>
      </c>
      <c r="DK242">
        <v>120.375</v>
      </c>
      <c r="DL242">
        <v>4.6749999999999998</v>
      </c>
      <c r="DM242">
        <v>10</v>
      </c>
      <c r="DN242">
        <v>3813</v>
      </c>
      <c r="DO242">
        <v>17</v>
      </c>
      <c r="DP242">
        <v>271</v>
      </c>
      <c r="DQ242">
        <v>10.238</v>
      </c>
      <c r="DR242">
        <v>7.7329999999999997</v>
      </c>
      <c r="DS242">
        <v>4.8099999999999996</v>
      </c>
      <c r="DT242">
        <v>1</v>
      </c>
      <c r="DU242">
        <v>15</v>
      </c>
      <c r="DV242">
        <v>0</v>
      </c>
      <c r="DW242">
        <v>96.296000000000006</v>
      </c>
      <c r="DX242">
        <v>100</v>
      </c>
      <c r="DY242">
        <v>16</v>
      </c>
      <c r="DZ242">
        <v>74</v>
      </c>
      <c r="EA242">
        <v>10</v>
      </c>
      <c r="EB242">
        <v>11</v>
      </c>
      <c r="EC242">
        <v>28</v>
      </c>
      <c r="ED242">
        <v>6</v>
      </c>
      <c r="EE242">
        <v>17</v>
      </c>
      <c r="EF242">
        <v>246</v>
      </c>
      <c r="EG242">
        <v>23.125</v>
      </c>
      <c r="EH242">
        <v>77.778000000000006</v>
      </c>
      <c r="EI242">
        <v>43.158000000000001</v>
      </c>
      <c r="EJ242">
        <v>74.19</v>
      </c>
      <c r="EK242">
        <v>-1</v>
      </c>
    </row>
    <row r="243" spans="1:141" x14ac:dyDescent="0.25">
      <c r="A243">
        <v>0</v>
      </c>
      <c r="B243">
        <v>0</v>
      </c>
      <c r="C243">
        <v>0</v>
      </c>
      <c r="D243">
        <v>2025</v>
      </c>
      <c r="E243">
        <v>17</v>
      </c>
      <c r="F243" t="str">
        <f>VLOOKUP(G243, Map!$A$1:$B$33, 2, FALSE)</f>
        <v>MIN</v>
      </c>
      <c r="G243" t="s">
        <v>153</v>
      </c>
      <c r="H243" t="str">
        <f>VLOOKUP(I243, Map!$A$1:$B$33, 2, FALSE)</f>
        <v>DET</v>
      </c>
      <c r="I243" t="s">
        <v>164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4</v>
      </c>
      <c r="P243">
        <v>23.142856999999999</v>
      </c>
      <c r="Q243">
        <v>22.142856999999999</v>
      </c>
      <c r="R243">
        <v>-7</v>
      </c>
      <c r="S243">
        <v>-2</v>
      </c>
      <c r="T243">
        <v>0.42857142999999998</v>
      </c>
      <c r="U243">
        <v>1</v>
      </c>
      <c r="V243">
        <v>0</v>
      </c>
      <c r="W243">
        <v>1</v>
      </c>
      <c r="X243">
        <v>2</v>
      </c>
      <c r="Y243">
        <v>2</v>
      </c>
      <c r="Z243">
        <v>2</v>
      </c>
      <c r="AA243">
        <v>1</v>
      </c>
      <c r="AB243">
        <v>2</v>
      </c>
      <c r="AC243">
        <v>13</v>
      </c>
      <c r="AD243">
        <v>4</v>
      </c>
      <c r="AE243">
        <v>7</v>
      </c>
      <c r="AF243">
        <v>9</v>
      </c>
      <c r="AG243">
        <v>61</v>
      </c>
      <c r="AH243">
        <v>0</v>
      </c>
      <c r="AI243">
        <v>5</v>
      </c>
      <c r="AJ243">
        <v>2</v>
      </c>
      <c r="AK243">
        <v>21.571428000000001</v>
      </c>
      <c r="AL243">
        <v>30.714285</v>
      </c>
      <c r="AM243">
        <v>64</v>
      </c>
      <c r="AN243">
        <v>1</v>
      </c>
      <c r="AO243">
        <v>0.71428572999999995</v>
      </c>
      <c r="AP243">
        <v>1</v>
      </c>
      <c r="AQ243">
        <v>1</v>
      </c>
      <c r="AR243">
        <v>3</v>
      </c>
      <c r="AS243">
        <v>0</v>
      </c>
      <c r="AT243">
        <v>2</v>
      </c>
      <c r="AU243">
        <v>2</v>
      </c>
      <c r="AV243">
        <v>2</v>
      </c>
      <c r="AW243">
        <v>1</v>
      </c>
      <c r="AX243">
        <v>8</v>
      </c>
      <c r="AY243">
        <v>8</v>
      </c>
      <c r="AZ243">
        <v>11</v>
      </c>
      <c r="BA243">
        <v>5</v>
      </c>
      <c r="BB243">
        <v>73</v>
      </c>
      <c r="BC243">
        <v>0</v>
      </c>
      <c r="BD243">
        <v>0</v>
      </c>
      <c r="BE243">
        <v>0</v>
      </c>
      <c r="BF243">
        <v>0</v>
      </c>
      <c r="BG243">
        <v>34.168999999999997</v>
      </c>
      <c r="BH243">
        <v>60.338999999999999</v>
      </c>
      <c r="BI243">
        <v>65.555999999999997</v>
      </c>
      <c r="BJ243">
        <v>0</v>
      </c>
      <c r="BK243">
        <v>0</v>
      </c>
      <c r="BL243">
        <v>0</v>
      </c>
      <c r="BM243">
        <v>-6.1210000000000004</v>
      </c>
      <c r="BN243">
        <v>65.555999999999997</v>
      </c>
      <c r="BO243">
        <v>60.338999999999999</v>
      </c>
      <c r="BP243">
        <v>0</v>
      </c>
      <c r="BQ243">
        <v>34.168999999999997</v>
      </c>
      <c r="BR243">
        <v>6.1210000000000004</v>
      </c>
      <c r="BS243">
        <v>0</v>
      </c>
      <c r="BT243">
        <v>0</v>
      </c>
      <c r="BU243">
        <v>0</v>
      </c>
      <c r="BV243">
        <v>1981</v>
      </c>
      <c r="BW243">
        <v>63.927</v>
      </c>
      <c r="BX243">
        <v>202.71428</v>
      </c>
      <c r="BY243">
        <v>21</v>
      </c>
      <c r="BZ243">
        <v>321.14285000000001</v>
      </c>
      <c r="CA243">
        <v>7.2649999999999997</v>
      </c>
      <c r="CB243">
        <v>772</v>
      </c>
      <c r="CC243">
        <v>93.856999999999999</v>
      </c>
      <c r="CD243">
        <v>4.2939999999999996</v>
      </c>
      <c r="CE243">
        <v>5</v>
      </c>
      <c r="CF243">
        <v>2606</v>
      </c>
      <c r="CG243">
        <v>9</v>
      </c>
      <c r="CH243">
        <v>227.286</v>
      </c>
      <c r="CI243">
        <v>11.364000000000001</v>
      </c>
      <c r="CJ243">
        <v>6.2220000000000004</v>
      </c>
      <c r="CK243">
        <v>3.3570000000000002</v>
      </c>
      <c r="CL243">
        <v>2</v>
      </c>
      <c r="CM243">
        <v>18</v>
      </c>
      <c r="CN243">
        <v>0</v>
      </c>
      <c r="CO243">
        <v>100</v>
      </c>
      <c r="CP243">
        <v>87.5</v>
      </c>
      <c r="CQ243">
        <v>14</v>
      </c>
      <c r="CR243">
        <v>55</v>
      </c>
      <c r="CS243">
        <v>7.8179999999999996</v>
      </c>
      <c r="CT243">
        <v>29</v>
      </c>
      <c r="CU243">
        <v>10</v>
      </c>
      <c r="CV243">
        <v>12</v>
      </c>
      <c r="CW243">
        <v>9</v>
      </c>
      <c r="CX243">
        <v>155</v>
      </c>
      <c r="CY243">
        <v>17.428999999999998</v>
      </c>
      <c r="CZ243">
        <v>62.5</v>
      </c>
      <c r="DA243">
        <v>33.332999999999998</v>
      </c>
      <c r="DB243">
        <v>70.13</v>
      </c>
      <c r="DC243">
        <v>-4</v>
      </c>
      <c r="DD243">
        <v>2664</v>
      </c>
      <c r="DE243">
        <v>75</v>
      </c>
      <c r="DF243">
        <v>223.57142999999999</v>
      </c>
      <c r="DG243">
        <v>23</v>
      </c>
      <c r="DH243">
        <v>367.14285000000001</v>
      </c>
      <c r="DI243">
        <v>8.01</v>
      </c>
      <c r="DJ243">
        <v>1256</v>
      </c>
      <c r="DK243">
        <v>133.714</v>
      </c>
      <c r="DL243">
        <v>4.5220000000000002</v>
      </c>
      <c r="DM243">
        <v>10</v>
      </c>
      <c r="DN243">
        <v>2959</v>
      </c>
      <c r="DO243">
        <v>16</v>
      </c>
      <c r="DP243">
        <v>233.429</v>
      </c>
      <c r="DQ243">
        <v>10.68</v>
      </c>
      <c r="DR243">
        <v>6.2610000000000001</v>
      </c>
      <c r="DS243">
        <v>24.2</v>
      </c>
      <c r="DT243">
        <v>1</v>
      </c>
      <c r="DU243">
        <v>23</v>
      </c>
      <c r="DV243">
        <v>0</v>
      </c>
      <c r="DW243">
        <v>100</v>
      </c>
      <c r="DX243">
        <v>72.727000000000004</v>
      </c>
      <c r="DY243">
        <v>8</v>
      </c>
      <c r="DZ243">
        <v>51</v>
      </c>
      <c r="EA243">
        <v>10</v>
      </c>
      <c r="EB243">
        <v>14</v>
      </c>
      <c r="EC243">
        <v>27</v>
      </c>
      <c r="ED243">
        <v>8</v>
      </c>
      <c r="EE243">
        <v>16</v>
      </c>
      <c r="EF243">
        <v>215</v>
      </c>
      <c r="EG243">
        <v>19.856999999999999</v>
      </c>
      <c r="EH243">
        <v>61.537999999999997</v>
      </c>
      <c r="EI243">
        <v>37.646999999999998</v>
      </c>
      <c r="EJ243">
        <v>74.88</v>
      </c>
      <c r="EK243">
        <v>6</v>
      </c>
    </row>
    <row r="244" spans="1:141" x14ac:dyDescent="0.25">
      <c r="A244">
        <v>0</v>
      </c>
      <c r="B244">
        <v>0</v>
      </c>
      <c r="C244">
        <v>0</v>
      </c>
      <c r="D244">
        <v>2025</v>
      </c>
      <c r="E244">
        <v>17</v>
      </c>
      <c r="F244" t="str">
        <f>VLOOKUP(G244, Map!$A$1:$B$33, 2, FALSE)</f>
        <v>KC</v>
      </c>
      <c r="G244" t="s">
        <v>158</v>
      </c>
      <c r="H244" t="str">
        <f>VLOOKUP(I244, Map!$A$1:$B$33, 2, FALSE)</f>
        <v>DEN</v>
      </c>
      <c r="I244" t="s">
        <v>159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3</v>
      </c>
      <c r="P244">
        <v>16.375</v>
      </c>
      <c r="Q244">
        <v>26.75</v>
      </c>
      <c r="R244">
        <v>83</v>
      </c>
      <c r="S244">
        <v>3</v>
      </c>
      <c r="T244">
        <v>0.625</v>
      </c>
      <c r="U244">
        <v>1</v>
      </c>
      <c r="V244">
        <v>1</v>
      </c>
      <c r="W244">
        <v>4</v>
      </c>
      <c r="X244">
        <v>1</v>
      </c>
      <c r="Y244">
        <v>1</v>
      </c>
      <c r="Z244">
        <v>2</v>
      </c>
      <c r="AA244">
        <v>2</v>
      </c>
      <c r="AB244">
        <v>2</v>
      </c>
      <c r="AC244">
        <v>16</v>
      </c>
      <c r="AD244">
        <v>3</v>
      </c>
      <c r="AE244">
        <v>7</v>
      </c>
      <c r="AF244">
        <v>11</v>
      </c>
      <c r="AG244">
        <v>65</v>
      </c>
      <c r="AH244">
        <v>0</v>
      </c>
      <c r="AI244">
        <v>6</v>
      </c>
      <c r="AJ244">
        <v>2</v>
      </c>
      <c r="AK244">
        <v>18.875</v>
      </c>
      <c r="AL244">
        <v>25.875</v>
      </c>
      <c r="AM244">
        <v>56</v>
      </c>
      <c r="AN244">
        <v>5</v>
      </c>
      <c r="AO244">
        <v>0.75</v>
      </c>
      <c r="AP244">
        <v>0</v>
      </c>
      <c r="AQ244">
        <v>1</v>
      </c>
      <c r="AR244">
        <v>4</v>
      </c>
      <c r="AS244">
        <v>0</v>
      </c>
      <c r="AT244">
        <v>2</v>
      </c>
      <c r="AU244">
        <v>2</v>
      </c>
      <c r="AV244">
        <v>3</v>
      </c>
      <c r="AW244">
        <v>2</v>
      </c>
      <c r="AX244">
        <v>4</v>
      </c>
      <c r="AY244">
        <v>12</v>
      </c>
      <c r="AZ244">
        <v>7</v>
      </c>
      <c r="BA244">
        <v>9</v>
      </c>
      <c r="BB244">
        <v>63</v>
      </c>
      <c r="BC244">
        <v>0</v>
      </c>
      <c r="BD244">
        <v>0</v>
      </c>
      <c r="BE244">
        <v>0</v>
      </c>
      <c r="BF244">
        <v>0</v>
      </c>
      <c r="BG244">
        <v>66.744</v>
      </c>
      <c r="BH244">
        <v>87.263999999999996</v>
      </c>
      <c r="BI244">
        <v>32.991</v>
      </c>
      <c r="BJ244">
        <v>0</v>
      </c>
      <c r="BK244">
        <v>0</v>
      </c>
      <c r="BL244">
        <v>0</v>
      </c>
      <c r="BM244">
        <v>6.9610000000000003</v>
      </c>
      <c r="BN244">
        <v>32.991</v>
      </c>
      <c r="BO244">
        <v>87.263999999999996</v>
      </c>
      <c r="BP244">
        <v>0</v>
      </c>
      <c r="BQ244">
        <v>66.744</v>
      </c>
      <c r="BR244">
        <v>-6.9610000000000003</v>
      </c>
      <c r="BS244">
        <v>0</v>
      </c>
      <c r="BT244">
        <v>0</v>
      </c>
      <c r="BU244">
        <v>0</v>
      </c>
      <c r="BV244">
        <v>3149</v>
      </c>
      <c r="BW244">
        <v>67.021000000000001</v>
      </c>
      <c r="BX244">
        <v>251.75</v>
      </c>
      <c r="BY244">
        <v>25</v>
      </c>
      <c r="BZ244">
        <v>388.875</v>
      </c>
      <c r="CA244">
        <v>7.3719999999999999</v>
      </c>
      <c r="CB244">
        <v>1327</v>
      </c>
      <c r="CC244">
        <v>126.5</v>
      </c>
      <c r="CD244">
        <v>4.4980000000000002</v>
      </c>
      <c r="CE244">
        <v>9</v>
      </c>
      <c r="CF244">
        <v>3639</v>
      </c>
      <c r="CG244">
        <v>17</v>
      </c>
      <c r="CH244">
        <v>262.375</v>
      </c>
      <c r="CI244">
        <v>11</v>
      </c>
      <c r="CJ244">
        <v>4</v>
      </c>
      <c r="CK244">
        <v>3.4</v>
      </c>
      <c r="CL244">
        <v>0</v>
      </c>
      <c r="CM244">
        <v>17</v>
      </c>
      <c r="CN244">
        <v>0</v>
      </c>
      <c r="CO244">
        <v>88</v>
      </c>
      <c r="CP244">
        <v>80</v>
      </c>
      <c r="CQ244">
        <v>12</v>
      </c>
      <c r="CR244">
        <v>58</v>
      </c>
      <c r="CS244">
        <v>8.3330000000000002</v>
      </c>
      <c r="CT244">
        <v>19</v>
      </c>
      <c r="CU244">
        <v>11</v>
      </c>
      <c r="CV244">
        <v>0</v>
      </c>
      <c r="CW244">
        <v>17</v>
      </c>
      <c r="CX244">
        <v>214</v>
      </c>
      <c r="CY244">
        <v>23.625</v>
      </c>
      <c r="CZ244">
        <v>82.352999999999994</v>
      </c>
      <c r="DA244">
        <v>44</v>
      </c>
      <c r="DB244">
        <v>78.150000000000006</v>
      </c>
      <c r="DC244">
        <v>5</v>
      </c>
      <c r="DD244">
        <v>2703</v>
      </c>
      <c r="DE244">
        <v>62.807000000000002</v>
      </c>
      <c r="DF244">
        <v>219.125</v>
      </c>
      <c r="DG244">
        <v>22</v>
      </c>
      <c r="DH244">
        <v>363.125</v>
      </c>
      <c r="DI244">
        <v>6.3259999999999996</v>
      </c>
      <c r="DJ244">
        <v>1407</v>
      </c>
      <c r="DK244">
        <v>137.75</v>
      </c>
      <c r="DL244">
        <v>5.0090000000000003</v>
      </c>
      <c r="DM244">
        <v>10</v>
      </c>
      <c r="DN244">
        <v>3223</v>
      </c>
      <c r="DO244">
        <v>15</v>
      </c>
      <c r="DP244">
        <v>225.375</v>
      </c>
      <c r="DQ244">
        <v>10.073</v>
      </c>
      <c r="DR244">
        <v>6.0279999999999996</v>
      </c>
      <c r="DS244">
        <v>90.5</v>
      </c>
      <c r="DT244">
        <v>0</v>
      </c>
      <c r="DU244">
        <v>36</v>
      </c>
      <c r="DV244">
        <v>0</v>
      </c>
      <c r="DW244">
        <v>100</v>
      </c>
      <c r="DX244">
        <v>90.909000000000006</v>
      </c>
      <c r="DY244">
        <v>10</v>
      </c>
      <c r="DZ244">
        <v>51</v>
      </c>
      <c r="EA244">
        <v>10.467000000000001</v>
      </c>
      <c r="EB244">
        <v>18</v>
      </c>
      <c r="EC244">
        <v>38</v>
      </c>
      <c r="ED244">
        <v>0</v>
      </c>
      <c r="EE244">
        <v>15</v>
      </c>
      <c r="EF244">
        <v>207</v>
      </c>
      <c r="EG244">
        <v>20.75</v>
      </c>
      <c r="EH244">
        <v>50</v>
      </c>
      <c r="EI244">
        <v>37.863999999999997</v>
      </c>
      <c r="EJ244">
        <v>73.02</v>
      </c>
      <c r="EK244">
        <v>-1</v>
      </c>
    </row>
    <row r="245" spans="1:141" x14ac:dyDescent="0.25">
      <c r="A245">
        <v>0</v>
      </c>
      <c r="B245">
        <v>0</v>
      </c>
      <c r="C245">
        <v>0</v>
      </c>
      <c r="D245">
        <v>2025</v>
      </c>
      <c r="E245">
        <v>17</v>
      </c>
      <c r="F245" t="str">
        <f>VLOOKUP(G245, Map!$A$1:$B$33, 2, FALSE)</f>
        <v>CIN</v>
      </c>
      <c r="G245" t="s">
        <v>161</v>
      </c>
      <c r="H245" t="str">
        <f>VLOOKUP(I245, Map!$A$1:$B$33, 2, FALSE)</f>
        <v>ARI</v>
      </c>
      <c r="I245" t="s">
        <v>156</v>
      </c>
      <c r="J245">
        <v>0</v>
      </c>
      <c r="K245">
        <v>0</v>
      </c>
      <c r="L245">
        <v>0</v>
      </c>
      <c r="M245">
        <v>0</v>
      </c>
      <c r="N245">
        <v>3</v>
      </c>
      <c r="O245">
        <v>5</v>
      </c>
      <c r="P245">
        <v>31.625</v>
      </c>
      <c r="Q245">
        <v>21.75</v>
      </c>
      <c r="R245">
        <v>-79</v>
      </c>
      <c r="S245">
        <v>-1</v>
      </c>
      <c r="T245">
        <v>0.375</v>
      </c>
      <c r="U245">
        <v>2</v>
      </c>
      <c r="V245">
        <v>0</v>
      </c>
      <c r="W245">
        <v>2</v>
      </c>
      <c r="X245">
        <v>2</v>
      </c>
      <c r="Y245">
        <v>1</v>
      </c>
      <c r="Z245">
        <v>3</v>
      </c>
      <c r="AA245">
        <v>3</v>
      </c>
      <c r="AB245">
        <v>2</v>
      </c>
      <c r="AC245">
        <v>14</v>
      </c>
      <c r="AD245">
        <v>4</v>
      </c>
      <c r="AE245">
        <v>13</v>
      </c>
      <c r="AF245">
        <v>5</v>
      </c>
      <c r="AG245">
        <v>59</v>
      </c>
      <c r="AH245">
        <v>0</v>
      </c>
      <c r="AI245">
        <v>2</v>
      </c>
      <c r="AJ245">
        <v>5</v>
      </c>
      <c r="AK245">
        <v>22</v>
      </c>
      <c r="AL245">
        <v>21.857143000000001</v>
      </c>
      <c r="AM245">
        <v>-1</v>
      </c>
      <c r="AN245">
        <v>-5</v>
      </c>
      <c r="AO245">
        <v>0.28571429999999998</v>
      </c>
      <c r="AP245">
        <v>0</v>
      </c>
      <c r="AQ245">
        <v>2</v>
      </c>
      <c r="AR245">
        <v>1</v>
      </c>
      <c r="AS245">
        <v>3</v>
      </c>
      <c r="AT245">
        <v>1</v>
      </c>
      <c r="AU245">
        <v>2</v>
      </c>
      <c r="AV245">
        <v>2</v>
      </c>
      <c r="AW245">
        <v>3</v>
      </c>
      <c r="AX245">
        <v>4</v>
      </c>
      <c r="AY245">
        <v>12</v>
      </c>
      <c r="AZ245">
        <v>8</v>
      </c>
      <c r="BA245">
        <v>8</v>
      </c>
      <c r="BB245">
        <v>69</v>
      </c>
      <c r="BC245">
        <v>0</v>
      </c>
      <c r="BD245">
        <v>0</v>
      </c>
      <c r="BE245">
        <v>0</v>
      </c>
      <c r="BF245">
        <v>0</v>
      </c>
      <c r="BG245">
        <v>52.856999999999999</v>
      </c>
      <c r="BH245">
        <v>50.912999999999997</v>
      </c>
      <c r="BI245">
        <v>46.767000000000003</v>
      </c>
      <c r="BJ245">
        <v>0</v>
      </c>
      <c r="BK245">
        <v>0</v>
      </c>
      <c r="BL245">
        <v>0</v>
      </c>
      <c r="BM245">
        <v>1.0329999999999999</v>
      </c>
      <c r="BN245">
        <v>46.767000000000003</v>
      </c>
      <c r="BO245">
        <v>50.912999999999997</v>
      </c>
      <c r="BP245">
        <v>0</v>
      </c>
      <c r="BQ245">
        <v>52.856999999999999</v>
      </c>
      <c r="BR245">
        <v>-1.0329999999999999</v>
      </c>
      <c r="BS245">
        <v>0</v>
      </c>
      <c r="BT245">
        <v>0</v>
      </c>
      <c r="BU245">
        <v>0</v>
      </c>
      <c r="BV245">
        <v>2540</v>
      </c>
      <c r="BW245">
        <v>63.636000000000003</v>
      </c>
      <c r="BX245">
        <v>202</v>
      </c>
      <c r="BY245">
        <v>15</v>
      </c>
      <c r="BZ245">
        <v>299.125</v>
      </c>
      <c r="CA245">
        <v>6.0490000000000004</v>
      </c>
      <c r="CB245">
        <v>793</v>
      </c>
      <c r="CC245">
        <v>82.875</v>
      </c>
      <c r="CD245">
        <v>4.3049999999999997</v>
      </c>
      <c r="CE245">
        <v>5</v>
      </c>
      <c r="CF245">
        <v>3165</v>
      </c>
      <c r="CG245">
        <v>15</v>
      </c>
      <c r="CH245">
        <v>216.25</v>
      </c>
      <c r="CI245">
        <v>9.5050000000000008</v>
      </c>
      <c r="CJ245">
        <v>5.2729999999999997</v>
      </c>
      <c r="CK245">
        <v>3.3570000000000002</v>
      </c>
      <c r="CL245">
        <v>0</v>
      </c>
      <c r="CM245">
        <v>11</v>
      </c>
      <c r="CN245">
        <v>0</v>
      </c>
      <c r="CO245">
        <v>100</v>
      </c>
      <c r="CP245">
        <v>84.614999999999995</v>
      </c>
      <c r="CQ245">
        <v>11</v>
      </c>
      <c r="CR245">
        <v>52</v>
      </c>
      <c r="CS245">
        <v>11.523999999999999</v>
      </c>
      <c r="CT245">
        <v>37</v>
      </c>
      <c r="CU245">
        <v>11</v>
      </c>
      <c r="CV245">
        <v>0</v>
      </c>
      <c r="CW245">
        <v>15</v>
      </c>
      <c r="CX245">
        <v>174</v>
      </c>
      <c r="CY245">
        <v>18.5</v>
      </c>
      <c r="CZ245">
        <v>80</v>
      </c>
      <c r="DA245">
        <v>39.393999999999998</v>
      </c>
      <c r="DB245">
        <v>79.87</v>
      </c>
      <c r="DC245">
        <v>-2</v>
      </c>
      <c r="DD245">
        <v>2113</v>
      </c>
      <c r="DE245">
        <v>66.941999999999993</v>
      </c>
      <c r="DF245">
        <v>199.85714999999999</v>
      </c>
      <c r="DG245">
        <v>18</v>
      </c>
      <c r="DH245">
        <v>333.42856</v>
      </c>
      <c r="DI245">
        <v>6.335</v>
      </c>
      <c r="DJ245">
        <v>888</v>
      </c>
      <c r="DK245">
        <v>110.429</v>
      </c>
      <c r="DL245">
        <v>4.4169999999999998</v>
      </c>
      <c r="DM245">
        <v>5</v>
      </c>
      <c r="DN245">
        <v>2721</v>
      </c>
      <c r="DO245">
        <v>10</v>
      </c>
      <c r="DP245">
        <v>223</v>
      </c>
      <c r="DQ245">
        <v>9.4629999999999992</v>
      </c>
      <c r="DR245">
        <v>6.6669999999999998</v>
      </c>
      <c r="DS245">
        <v>3.238</v>
      </c>
      <c r="DT245">
        <v>1</v>
      </c>
      <c r="DU245">
        <v>12</v>
      </c>
      <c r="DV245">
        <v>0</v>
      </c>
      <c r="DW245">
        <v>100</v>
      </c>
      <c r="DX245">
        <v>86.667000000000002</v>
      </c>
      <c r="DY245">
        <v>13</v>
      </c>
      <c r="DZ245">
        <v>55</v>
      </c>
      <c r="EA245">
        <v>8.25</v>
      </c>
      <c r="EB245">
        <v>9</v>
      </c>
      <c r="EC245">
        <v>25</v>
      </c>
      <c r="ED245">
        <v>8</v>
      </c>
      <c r="EE245">
        <v>10</v>
      </c>
      <c r="EF245">
        <v>153</v>
      </c>
      <c r="EG245">
        <v>19</v>
      </c>
      <c r="EH245">
        <v>57.143000000000001</v>
      </c>
      <c r="EI245">
        <v>44.792000000000002</v>
      </c>
      <c r="EJ245">
        <v>63.49</v>
      </c>
      <c r="EK245">
        <v>-1</v>
      </c>
    </row>
    <row r="246" spans="1:141" x14ac:dyDescent="0.25">
      <c r="A246">
        <v>0</v>
      </c>
      <c r="B246">
        <v>0</v>
      </c>
      <c r="C246">
        <v>0</v>
      </c>
      <c r="D246">
        <v>2025</v>
      </c>
      <c r="E246">
        <v>17</v>
      </c>
      <c r="F246" t="str">
        <f>VLOOKUP(G246, Map!$A$1:$B$33, 2, FALSE)</f>
        <v>GB</v>
      </c>
      <c r="G246" t="s">
        <v>154</v>
      </c>
      <c r="H246" t="str">
        <f>VLOOKUP(I246, Map!$A$1:$B$33, 2, FALSE)</f>
        <v>BAL</v>
      </c>
      <c r="I246" t="s">
        <v>146</v>
      </c>
      <c r="J246">
        <v>0</v>
      </c>
      <c r="K246">
        <v>0</v>
      </c>
      <c r="L246">
        <v>0</v>
      </c>
      <c r="M246">
        <v>0</v>
      </c>
      <c r="N246">
        <v>5</v>
      </c>
      <c r="O246">
        <v>1</v>
      </c>
      <c r="P246">
        <v>21.428571999999999</v>
      </c>
      <c r="Q246">
        <v>27.571428000000001</v>
      </c>
      <c r="R246">
        <v>43</v>
      </c>
      <c r="S246">
        <v>3</v>
      </c>
      <c r="T246">
        <v>0.78571427000000005</v>
      </c>
      <c r="U246">
        <v>1</v>
      </c>
      <c r="V246">
        <v>0</v>
      </c>
      <c r="W246">
        <v>3</v>
      </c>
      <c r="X246">
        <v>0</v>
      </c>
      <c r="Y246">
        <v>2</v>
      </c>
      <c r="Z246">
        <v>1</v>
      </c>
      <c r="AA246">
        <v>3</v>
      </c>
      <c r="AB246">
        <v>0</v>
      </c>
      <c r="AC246">
        <v>8</v>
      </c>
      <c r="AD246">
        <v>8</v>
      </c>
      <c r="AE246">
        <v>8</v>
      </c>
      <c r="AF246">
        <v>8</v>
      </c>
      <c r="AG246">
        <v>61</v>
      </c>
      <c r="AH246">
        <v>0</v>
      </c>
      <c r="AI246">
        <v>2</v>
      </c>
      <c r="AJ246">
        <v>5</v>
      </c>
      <c r="AK246">
        <v>30</v>
      </c>
      <c r="AL246">
        <v>24.857143000000001</v>
      </c>
      <c r="AM246">
        <v>-36</v>
      </c>
      <c r="AN246">
        <v>1</v>
      </c>
      <c r="AO246">
        <v>0.28571429999999998</v>
      </c>
      <c r="AP246">
        <v>1</v>
      </c>
      <c r="AQ246">
        <v>0</v>
      </c>
      <c r="AR246">
        <v>2</v>
      </c>
      <c r="AS246">
        <v>3</v>
      </c>
      <c r="AT246">
        <v>0</v>
      </c>
      <c r="AU246">
        <v>2</v>
      </c>
      <c r="AV246">
        <v>1</v>
      </c>
      <c r="AW246">
        <v>3</v>
      </c>
      <c r="AX246">
        <v>10</v>
      </c>
      <c r="AY246">
        <v>7</v>
      </c>
      <c r="AZ246">
        <v>7</v>
      </c>
      <c r="BA246">
        <v>9</v>
      </c>
      <c r="BB246">
        <v>61</v>
      </c>
      <c r="BC246">
        <v>0</v>
      </c>
      <c r="BD246">
        <v>0</v>
      </c>
      <c r="BE246">
        <v>0</v>
      </c>
      <c r="BF246">
        <v>0</v>
      </c>
      <c r="BG246">
        <v>59.665999999999997</v>
      </c>
      <c r="BH246">
        <v>81.918999999999997</v>
      </c>
      <c r="BI246">
        <v>40.012</v>
      </c>
      <c r="BJ246">
        <v>0</v>
      </c>
      <c r="BK246">
        <v>0</v>
      </c>
      <c r="BL246">
        <v>0</v>
      </c>
      <c r="BM246">
        <v>3.835</v>
      </c>
      <c r="BN246">
        <v>40.012</v>
      </c>
      <c r="BO246">
        <v>81.918999999999997</v>
      </c>
      <c r="BP246">
        <v>0</v>
      </c>
      <c r="BQ246">
        <v>59.665999999999997</v>
      </c>
      <c r="BR246">
        <v>-3.835</v>
      </c>
      <c r="BS246">
        <v>0</v>
      </c>
      <c r="BT246">
        <v>0</v>
      </c>
      <c r="BU246">
        <v>0</v>
      </c>
      <c r="BV246">
        <v>2648</v>
      </c>
      <c r="BW246">
        <v>70.891999999999996</v>
      </c>
      <c r="BX246">
        <v>245</v>
      </c>
      <c r="BY246">
        <v>26</v>
      </c>
      <c r="BZ246">
        <v>371</v>
      </c>
      <c r="CA246">
        <v>8.4410000000000007</v>
      </c>
      <c r="CB246">
        <v>1099</v>
      </c>
      <c r="CC246">
        <v>114.143</v>
      </c>
      <c r="CD246">
        <v>3.9359999999999999</v>
      </c>
      <c r="CE246">
        <v>9</v>
      </c>
      <c r="CF246">
        <v>3008</v>
      </c>
      <c r="CG246">
        <v>13</v>
      </c>
      <c r="CH246">
        <v>256.85700000000003</v>
      </c>
      <c r="CI246">
        <v>11.907</v>
      </c>
      <c r="CJ246">
        <v>6.1429999999999998</v>
      </c>
      <c r="CK246">
        <v>6.75</v>
      </c>
      <c r="CL246">
        <v>0</v>
      </c>
      <c r="CM246">
        <v>21</v>
      </c>
      <c r="CN246">
        <v>0</v>
      </c>
      <c r="CO246">
        <v>95.238</v>
      </c>
      <c r="CP246">
        <v>76.471000000000004</v>
      </c>
      <c r="CQ246">
        <v>13</v>
      </c>
      <c r="CR246">
        <v>59</v>
      </c>
      <c r="CS246">
        <v>11.909000000000001</v>
      </c>
      <c r="CT246">
        <v>22</v>
      </c>
      <c r="CU246">
        <v>6</v>
      </c>
      <c r="CV246">
        <v>0</v>
      </c>
      <c r="CW246">
        <v>13</v>
      </c>
      <c r="CX246">
        <v>193</v>
      </c>
      <c r="CY246">
        <v>21</v>
      </c>
      <c r="CZ246">
        <v>75</v>
      </c>
      <c r="DA246">
        <v>48.276000000000003</v>
      </c>
      <c r="DB246">
        <v>78.569999999999993</v>
      </c>
      <c r="DC246">
        <v>1</v>
      </c>
      <c r="DD246">
        <v>2046</v>
      </c>
      <c r="DE246">
        <v>69.73</v>
      </c>
      <c r="DF246">
        <v>182.28572</v>
      </c>
      <c r="DG246">
        <v>19</v>
      </c>
      <c r="DH246">
        <v>337.14285000000001</v>
      </c>
      <c r="DI246">
        <v>7.7080000000000002</v>
      </c>
      <c r="DJ246">
        <v>1139</v>
      </c>
      <c r="DK246">
        <v>133.429</v>
      </c>
      <c r="DL246">
        <v>5.2770000000000001</v>
      </c>
      <c r="DM246">
        <v>8</v>
      </c>
      <c r="DN246">
        <v>2456</v>
      </c>
      <c r="DO246">
        <v>11</v>
      </c>
      <c r="DP246">
        <v>203.714</v>
      </c>
      <c r="DQ246">
        <v>11.054</v>
      </c>
      <c r="DR246">
        <v>6.8890000000000002</v>
      </c>
      <c r="DS246">
        <v>2.4089999999999998</v>
      </c>
      <c r="DT246">
        <v>1</v>
      </c>
      <c r="DU246">
        <v>9</v>
      </c>
      <c r="DV246">
        <v>0</v>
      </c>
      <c r="DW246">
        <v>94.736999999999995</v>
      </c>
      <c r="DX246">
        <v>92.308000000000007</v>
      </c>
      <c r="DY246">
        <v>12</v>
      </c>
      <c r="DZ246">
        <v>54</v>
      </c>
      <c r="EA246">
        <v>5.8330000000000002</v>
      </c>
      <c r="EB246">
        <v>8</v>
      </c>
      <c r="EC246">
        <v>19</v>
      </c>
      <c r="ED246">
        <v>6</v>
      </c>
      <c r="EE246">
        <v>11</v>
      </c>
      <c r="EF246">
        <v>174</v>
      </c>
      <c r="EG246">
        <v>18.143000000000001</v>
      </c>
      <c r="EH246">
        <v>38.462000000000003</v>
      </c>
      <c r="EI246">
        <v>40.506</v>
      </c>
      <c r="EJ246">
        <v>52.38</v>
      </c>
      <c r="EK246">
        <v>-6</v>
      </c>
    </row>
    <row r="247" spans="1:141" x14ac:dyDescent="0.25">
      <c r="A247">
        <v>0</v>
      </c>
      <c r="B247">
        <v>0</v>
      </c>
      <c r="C247">
        <v>0</v>
      </c>
      <c r="D247">
        <v>2025</v>
      </c>
      <c r="E247">
        <v>17</v>
      </c>
      <c r="F247" t="str">
        <f>VLOOKUP(G247, Map!$A$1:$B$33, 2, FALSE)</f>
        <v>LV</v>
      </c>
      <c r="G247" t="s">
        <v>157</v>
      </c>
      <c r="H247" t="str">
        <f>VLOOKUP(I247, Map!$A$1:$B$33, 2, FALSE)</f>
        <v>NYG</v>
      </c>
      <c r="I247" t="s">
        <v>149</v>
      </c>
      <c r="J247">
        <v>0</v>
      </c>
      <c r="K247">
        <v>0</v>
      </c>
      <c r="L247">
        <v>0</v>
      </c>
      <c r="M247">
        <v>0</v>
      </c>
      <c r="N247">
        <v>2</v>
      </c>
      <c r="O247">
        <v>5</v>
      </c>
      <c r="P247">
        <v>25.714285</v>
      </c>
      <c r="Q247">
        <v>14.714286</v>
      </c>
      <c r="R247">
        <v>-77</v>
      </c>
      <c r="S247">
        <v>-1</v>
      </c>
      <c r="T247">
        <v>0.28571429999999998</v>
      </c>
      <c r="U247">
        <v>0</v>
      </c>
      <c r="V247">
        <v>2</v>
      </c>
      <c r="W247">
        <v>1</v>
      </c>
      <c r="X247">
        <v>2</v>
      </c>
      <c r="Y247">
        <v>1</v>
      </c>
      <c r="Z247">
        <v>3</v>
      </c>
      <c r="AA247">
        <v>2</v>
      </c>
      <c r="AB247">
        <v>3</v>
      </c>
      <c r="AC247">
        <v>6</v>
      </c>
      <c r="AD247">
        <v>10</v>
      </c>
      <c r="AE247">
        <v>8</v>
      </c>
      <c r="AF247">
        <v>8</v>
      </c>
      <c r="AG247">
        <v>56</v>
      </c>
      <c r="AH247">
        <v>0</v>
      </c>
      <c r="AI247">
        <v>2</v>
      </c>
      <c r="AJ247">
        <v>6</v>
      </c>
      <c r="AK247">
        <v>26.875</v>
      </c>
      <c r="AL247">
        <v>21.625</v>
      </c>
      <c r="AM247">
        <v>-42</v>
      </c>
      <c r="AN247">
        <v>-2</v>
      </c>
      <c r="AO247">
        <v>0.25</v>
      </c>
      <c r="AP247">
        <v>1</v>
      </c>
      <c r="AQ247">
        <v>3</v>
      </c>
      <c r="AR247">
        <v>2</v>
      </c>
      <c r="AS247">
        <v>1</v>
      </c>
      <c r="AT247">
        <v>0</v>
      </c>
      <c r="AU247">
        <v>5</v>
      </c>
      <c r="AV247">
        <v>1</v>
      </c>
      <c r="AW247">
        <v>4</v>
      </c>
      <c r="AX247">
        <v>10</v>
      </c>
      <c r="AY247">
        <v>7</v>
      </c>
      <c r="AZ247">
        <v>14</v>
      </c>
      <c r="BA247">
        <v>4</v>
      </c>
      <c r="BB247">
        <v>67</v>
      </c>
      <c r="BC247">
        <v>0</v>
      </c>
      <c r="BD247">
        <v>0</v>
      </c>
      <c r="BE247">
        <v>0</v>
      </c>
      <c r="BF247">
        <v>0</v>
      </c>
      <c r="BG247">
        <v>40.156999999999996</v>
      </c>
      <c r="BH247">
        <v>28.062000000000001</v>
      </c>
      <c r="BI247">
        <v>59.52</v>
      </c>
      <c r="BJ247">
        <v>0</v>
      </c>
      <c r="BK247">
        <v>0</v>
      </c>
      <c r="BL247">
        <v>0</v>
      </c>
      <c r="BM247">
        <v>-4.093</v>
      </c>
      <c r="BN247">
        <v>59.52</v>
      </c>
      <c r="BO247">
        <v>28.062000000000001</v>
      </c>
      <c r="BP247">
        <v>0</v>
      </c>
      <c r="BQ247">
        <v>40.156999999999996</v>
      </c>
      <c r="BR247">
        <v>4.093</v>
      </c>
      <c r="BS247">
        <v>0</v>
      </c>
      <c r="BT247">
        <v>0</v>
      </c>
      <c r="BU247">
        <v>0</v>
      </c>
      <c r="BV247">
        <v>1570</v>
      </c>
      <c r="BW247">
        <v>66.176000000000002</v>
      </c>
      <c r="BX247">
        <v>182.71428</v>
      </c>
      <c r="BY247">
        <v>19</v>
      </c>
      <c r="BZ247">
        <v>297.28570000000002</v>
      </c>
      <c r="CA247">
        <v>6.7649999999999997</v>
      </c>
      <c r="CB247">
        <v>731</v>
      </c>
      <c r="CC247">
        <v>93.713999999999999</v>
      </c>
      <c r="CD247">
        <v>3.859</v>
      </c>
      <c r="CE247">
        <v>3</v>
      </c>
      <c r="CF247">
        <v>2345</v>
      </c>
      <c r="CG247">
        <v>7</v>
      </c>
      <c r="CH247">
        <v>203.571</v>
      </c>
      <c r="CI247">
        <v>10.222</v>
      </c>
      <c r="CJ247">
        <v>6.7329999999999997</v>
      </c>
      <c r="CK247">
        <v>3.0710000000000002</v>
      </c>
      <c r="CL247">
        <v>0</v>
      </c>
      <c r="CM247">
        <v>15</v>
      </c>
      <c r="CN247">
        <v>0</v>
      </c>
      <c r="CO247">
        <v>100</v>
      </c>
      <c r="CP247">
        <v>78.570999999999998</v>
      </c>
      <c r="CQ247">
        <v>11</v>
      </c>
      <c r="CR247">
        <v>41</v>
      </c>
      <c r="CS247">
        <v>15.333</v>
      </c>
      <c r="CT247">
        <v>26</v>
      </c>
      <c r="CU247">
        <v>8</v>
      </c>
      <c r="CV247">
        <v>0</v>
      </c>
      <c r="CW247">
        <v>7</v>
      </c>
      <c r="CX247">
        <v>103</v>
      </c>
      <c r="CY247">
        <v>15.856999999999999</v>
      </c>
      <c r="CZ247">
        <v>45.454999999999998</v>
      </c>
      <c r="DA247">
        <v>37.930999999999997</v>
      </c>
      <c r="DB247">
        <v>53.17</v>
      </c>
      <c r="DC247">
        <v>-5</v>
      </c>
      <c r="DD247">
        <v>2348</v>
      </c>
      <c r="DE247">
        <v>59.448999999999998</v>
      </c>
      <c r="DF247">
        <v>207.25</v>
      </c>
      <c r="DG247">
        <v>23</v>
      </c>
      <c r="DH247">
        <v>339.25</v>
      </c>
      <c r="DI247">
        <v>6.9210000000000003</v>
      </c>
      <c r="DJ247">
        <v>1249</v>
      </c>
      <c r="DK247">
        <v>118</v>
      </c>
      <c r="DL247">
        <v>4.0339999999999998</v>
      </c>
      <c r="DM247">
        <v>10</v>
      </c>
      <c r="DN247">
        <v>2910</v>
      </c>
      <c r="DO247">
        <v>11</v>
      </c>
      <c r="DP247">
        <v>221.25</v>
      </c>
      <c r="DQ247">
        <v>11.641999999999999</v>
      </c>
      <c r="DR247">
        <v>7.2629999999999999</v>
      </c>
      <c r="DS247">
        <v>5.1740000000000004</v>
      </c>
      <c r="DT247">
        <v>0</v>
      </c>
      <c r="DU247">
        <v>19</v>
      </c>
      <c r="DV247">
        <v>0</v>
      </c>
      <c r="DW247">
        <v>78.947000000000003</v>
      </c>
      <c r="DX247">
        <v>100</v>
      </c>
      <c r="DY247">
        <v>10</v>
      </c>
      <c r="DZ247">
        <v>45</v>
      </c>
      <c r="EA247">
        <v>7.1539999999999999</v>
      </c>
      <c r="EB247">
        <v>12</v>
      </c>
      <c r="EC247">
        <v>32</v>
      </c>
      <c r="ED247">
        <v>0</v>
      </c>
      <c r="EE247">
        <v>11</v>
      </c>
      <c r="EF247">
        <v>173</v>
      </c>
      <c r="EG247">
        <v>20.625</v>
      </c>
      <c r="EH247">
        <v>52.941000000000003</v>
      </c>
      <c r="EI247">
        <v>39.814999999999998</v>
      </c>
      <c r="EJ247">
        <v>59.26</v>
      </c>
      <c r="EK247">
        <v>-4</v>
      </c>
    </row>
    <row r="248" spans="1:141" x14ac:dyDescent="0.25">
      <c r="A248">
        <v>0</v>
      </c>
      <c r="B248">
        <v>0</v>
      </c>
      <c r="C248">
        <v>0</v>
      </c>
      <c r="D248">
        <v>2025</v>
      </c>
      <c r="E248">
        <v>17</v>
      </c>
      <c r="F248" t="str">
        <f>VLOOKUP(G248, Map!$A$1:$B$33, 2, FALSE)</f>
        <v>LAC</v>
      </c>
      <c r="G248" t="s">
        <v>160</v>
      </c>
      <c r="H248" t="str">
        <f>VLOOKUP(I248, Map!$A$1:$B$33, 2, FALSE)</f>
        <v>HOU</v>
      </c>
      <c r="I248" t="s">
        <v>137</v>
      </c>
      <c r="J248">
        <v>0</v>
      </c>
      <c r="K248">
        <v>0</v>
      </c>
      <c r="L248">
        <v>0</v>
      </c>
      <c r="M248">
        <v>0</v>
      </c>
      <c r="N248">
        <v>5</v>
      </c>
      <c r="O248">
        <v>3</v>
      </c>
      <c r="P248">
        <v>21.625</v>
      </c>
      <c r="Q248">
        <v>23.5</v>
      </c>
      <c r="R248">
        <v>15</v>
      </c>
      <c r="S248">
        <v>1</v>
      </c>
      <c r="T248">
        <v>0.625</v>
      </c>
      <c r="U248">
        <v>3</v>
      </c>
      <c r="V248">
        <v>0</v>
      </c>
      <c r="W248">
        <v>3</v>
      </c>
      <c r="X248">
        <v>2</v>
      </c>
      <c r="Y248">
        <v>2</v>
      </c>
      <c r="Z248">
        <v>1</v>
      </c>
      <c r="AA248">
        <v>4</v>
      </c>
      <c r="AB248">
        <v>1</v>
      </c>
      <c r="AC248">
        <v>10</v>
      </c>
      <c r="AD248">
        <v>7</v>
      </c>
      <c r="AE248">
        <v>11</v>
      </c>
      <c r="AF248">
        <v>5</v>
      </c>
      <c r="AG248">
        <v>65</v>
      </c>
      <c r="AH248">
        <v>0</v>
      </c>
      <c r="AI248">
        <v>3</v>
      </c>
      <c r="AJ248">
        <v>4</v>
      </c>
      <c r="AK248">
        <v>14.714286</v>
      </c>
      <c r="AL248">
        <v>21.857143000000001</v>
      </c>
      <c r="AM248">
        <v>50</v>
      </c>
      <c r="AN248">
        <v>1</v>
      </c>
      <c r="AO248">
        <v>0.42857142999999998</v>
      </c>
      <c r="AP248">
        <v>1</v>
      </c>
      <c r="AQ248">
        <v>1</v>
      </c>
      <c r="AR248">
        <v>2</v>
      </c>
      <c r="AS248">
        <v>1</v>
      </c>
      <c r="AT248">
        <v>1</v>
      </c>
      <c r="AU248">
        <v>3</v>
      </c>
      <c r="AV248">
        <v>2</v>
      </c>
      <c r="AW248">
        <v>1</v>
      </c>
      <c r="AX248">
        <v>3</v>
      </c>
      <c r="AY248">
        <v>13</v>
      </c>
      <c r="AZ248">
        <v>8</v>
      </c>
      <c r="BA248">
        <v>8</v>
      </c>
      <c r="BB248">
        <v>69</v>
      </c>
      <c r="BC248">
        <v>0</v>
      </c>
      <c r="BD248">
        <v>0</v>
      </c>
      <c r="BE248">
        <v>0</v>
      </c>
      <c r="BF248">
        <v>0</v>
      </c>
      <c r="BG248">
        <v>58.156999999999996</v>
      </c>
      <c r="BH248">
        <v>66.795000000000002</v>
      </c>
      <c r="BI248">
        <v>41.509</v>
      </c>
      <c r="BJ248">
        <v>0</v>
      </c>
      <c r="BK248">
        <v>0</v>
      </c>
      <c r="BL248">
        <v>0</v>
      </c>
      <c r="BM248">
        <v>3.2789999999999999</v>
      </c>
      <c r="BN248">
        <v>41.509</v>
      </c>
      <c r="BO248">
        <v>66.795000000000002</v>
      </c>
      <c r="BP248">
        <v>0</v>
      </c>
      <c r="BQ248">
        <v>58.156999999999996</v>
      </c>
      <c r="BR248">
        <v>-3.2789999999999999</v>
      </c>
      <c r="BS248">
        <v>0</v>
      </c>
      <c r="BT248">
        <v>0</v>
      </c>
      <c r="BU248">
        <v>0</v>
      </c>
      <c r="BV248">
        <v>3094</v>
      </c>
      <c r="BW248">
        <v>68</v>
      </c>
      <c r="BX248">
        <v>255.375</v>
      </c>
      <c r="BY248">
        <v>26</v>
      </c>
      <c r="BZ248">
        <v>396.125</v>
      </c>
      <c r="CA248">
        <v>7.28</v>
      </c>
      <c r="CB248">
        <v>1030</v>
      </c>
      <c r="CC248">
        <v>123.125</v>
      </c>
      <c r="CD248">
        <v>4.8520000000000003</v>
      </c>
      <c r="CE248">
        <v>3</v>
      </c>
      <c r="CF248">
        <v>3764</v>
      </c>
      <c r="CG248">
        <v>16</v>
      </c>
      <c r="CH248">
        <v>273</v>
      </c>
      <c r="CI248">
        <v>10.706</v>
      </c>
      <c r="CJ248">
        <v>5.5910000000000002</v>
      </c>
      <c r="CK248">
        <v>5.05</v>
      </c>
      <c r="CL248">
        <v>0</v>
      </c>
      <c r="CM248">
        <v>22</v>
      </c>
      <c r="CN248">
        <v>0</v>
      </c>
      <c r="CO248">
        <v>100</v>
      </c>
      <c r="CP248">
        <v>94.736999999999995</v>
      </c>
      <c r="CQ248">
        <v>18</v>
      </c>
      <c r="CR248">
        <v>72</v>
      </c>
      <c r="CS248">
        <v>12.5</v>
      </c>
      <c r="CT248">
        <v>20</v>
      </c>
      <c r="CU248">
        <v>8</v>
      </c>
      <c r="CV248">
        <v>0</v>
      </c>
      <c r="CW248">
        <v>16</v>
      </c>
      <c r="CX248">
        <v>188</v>
      </c>
      <c r="CY248">
        <v>21.875</v>
      </c>
      <c r="CZ248">
        <v>70</v>
      </c>
      <c r="DA248">
        <v>48.673000000000002</v>
      </c>
      <c r="DB248">
        <v>61.73</v>
      </c>
      <c r="DC248">
        <v>-3</v>
      </c>
      <c r="DD248">
        <v>2266</v>
      </c>
      <c r="DE248">
        <v>66.525000000000006</v>
      </c>
      <c r="DF248">
        <v>215.28572</v>
      </c>
      <c r="DG248">
        <v>22</v>
      </c>
      <c r="DH248">
        <v>348.57144</v>
      </c>
      <c r="DI248">
        <v>6.9749999999999996</v>
      </c>
      <c r="DJ248">
        <v>869</v>
      </c>
      <c r="DK248">
        <v>113.429</v>
      </c>
      <c r="DL248">
        <v>4.2690000000000001</v>
      </c>
      <c r="DM248">
        <v>3</v>
      </c>
      <c r="DN248">
        <v>2816</v>
      </c>
      <c r="DO248">
        <v>11</v>
      </c>
      <c r="DP248">
        <v>235.143</v>
      </c>
      <c r="DQ248">
        <v>10.484</v>
      </c>
      <c r="DR248">
        <v>7.875</v>
      </c>
      <c r="DS248">
        <v>6.1109999999999998</v>
      </c>
      <c r="DT248">
        <v>1</v>
      </c>
      <c r="DU248">
        <v>16</v>
      </c>
      <c r="DV248">
        <v>0</v>
      </c>
      <c r="DW248">
        <v>100</v>
      </c>
      <c r="DX248">
        <v>89.474000000000004</v>
      </c>
      <c r="DY248">
        <v>17</v>
      </c>
      <c r="DZ248">
        <v>63</v>
      </c>
      <c r="EA248">
        <v>11.545</v>
      </c>
      <c r="EB248">
        <v>9</v>
      </c>
      <c r="EC248">
        <v>27</v>
      </c>
      <c r="ED248">
        <v>6</v>
      </c>
      <c r="EE248">
        <v>11</v>
      </c>
      <c r="EF248">
        <v>153</v>
      </c>
      <c r="EG248">
        <v>18.713999999999999</v>
      </c>
      <c r="EH248">
        <v>66.667000000000002</v>
      </c>
      <c r="EI248">
        <v>35.164999999999999</v>
      </c>
      <c r="EJ248">
        <v>60.15</v>
      </c>
      <c r="EK248">
        <v>4</v>
      </c>
    </row>
    <row r="249" spans="1:141" x14ac:dyDescent="0.25">
      <c r="A249">
        <v>0</v>
      </c>
      <c r="B249">
        <v>0</v>
      </c>
      <c r="C249">
        <v>0</v>
      </c>
      <c r="D249">
        <v>2025</v>
      </c>
      <c r="E249">
        <v>17</v>
      </c>
      <c r="F249" t="str">
        <f>VLOOKUP(G249, Map!$A$1:$B$33, 2, FALSE)</f>
        <v>CAR</v>
      </c>
      <c r="G249" t="s">
        <v>142</v>
      </c>
      <c r="H249" t="str">
        <f>VLOOKUP(I249, Map!$A$1:$B$33, 2, FALSE)</f>
        <v>SEA</v>
      </c>
      <c r="I249" t="s">
        <v>144</v>
      </c>
      <c r="J249">
        <v>0</v>
      </c>
      <c r="K249">
        <v>0</v>
      </c>
      <c r="L249">
        <v>0</v>
      </c>
      <c r="M249">
        <v>0</v>
      </c>
      <c r="N249">
        <v>4</v>
      </c>
      <c r="O249">
        <v>4</v>
      </c>
      <c r="P249">
        <v>24</v>
      </c>
      <c r="Q249">
        <v>19.25</v>
      </c>
      <c r="R249">
        <v>-38</v>
      </c>
      <c r="S249">
        <v>-1</v>
      </c>
      <c r="T249">
        <v>0.5</v>
      </c>
      <c r="U249">
        <v>1</v>
      </c>
      <c r="V249">
        <v>0</v>
      </c>
      <c r="W249">
        <v>3</v>
      </c>
      <c r="X249">
        <v>1</v>
      </c>
      <c r="Y249">
        <v>1</v>
      </c>
      <c r="Z249">
        <v>3</v>
      </c>
      <c r="AA249">
        <v>2</v>
      </c>
      <c r="AB249">
        <v>1</v>
      </c>
      <c r="AC249">
        <v>7</v>
      </c>
      <c r="AD249">
        <v>10</v>
      </c>
      <c r="AE249">
        <v>9</v>
      </c>
      <c r="AF249">
        <v>8</v>
      </c>
      <c r="AG249">
        <v>58</v>
      </c>
      <c r="AH249">
        <v>0</v>
      </c>
      <c r="AI249">
        <v>5</v>
      </c>
      <c r="AJ249">
        <v>2</v>
      </c>
      <c r="AK249">
        <v>19.428571999999999</v>
      </c>
      <c r="AL249">
        <v>27.571428000000001</v>
      </c>
      <c r="AM249">
        <v>57</v>
      </c>
      <c r="AN249">
        <v>2</v>
      </c>
      <c r="AO249">
        <v>0.71428572999999995</v>
      </c>
      <c r="AP249">
        <v>1</v>
      </c>
      <c r="AQ249">
        <v>1</v>
      </c>
      <c r="AR249">
        <v>2</v>
      </c>
      <c r="AS249">
        <v>2</v>
      </c>
      <c r="AT249">
        <v>3</v>
      </c>
      <c r="AU249">
        <v>0</v>
      </c>
      <c r="AV249">
        <v>2</v>
      </c>
      <c r="AW249">
        <v>2</v>
      </c>
      <c r="AX249">
        <v>9</v>
      </c>
      <c r="AY249">
        <v>8</v>
      </c>
      <c r="AZ249">
        <v>7</v>
      </c>
      <c r="BA249">
        <v>10</v>
      </c>
      <c r="BB249">
        <v>61</v>
      </c>
      <c r="BC249">
        <v>0</v>
      </c>
      <c r="BD249">
        <v>0</v>
      </c>
      <c r="BE249">
        <v>0</v>
      </c>
      <c r="BF249">
        <v>0</v>
      </c>
      <c r="BG249">
        <v>40.795999999999999</v>
      </c>
      <c r="BH249">
        <v>42.127000000000002</v>
      </c>
      <c r="BI249">
        <v>58.875999999999998</v>
      </c>
      <c r="BJ249">
        <v>0</v>
      </c>
      <c r="BK249">
        <v>0</v>
      </c>
      <c r="BL249">
        <v>0</v>
      </c>
      <c r="BM249">
        <v>-3.2189999999999999</v>
      </c>
      <c r="BN249">
        <v>58.875999999999998</v>
      </c>
      <c r="BO249">
        <v>42.127000000000002</v>
      </c>
      <c r="BP249">
        <v>0</v>
      </c>
      <c r="BQ249">
        <v>40.795999999999999</v>
      </c>
      <c r="BR249">
        <v>3.2189999999999999</v>
      </c>
      <c r="BS249">
        <v>0</v>
      </c>
      <c r="BT249">
        <v>0</v>
      </c>
      <c r="BU249">
        <v>0</v>
      </c>
      <c r="BV249">
        <v>2241</v>
      </c>
      <c r="BW249">
        <v>62.451999999999998</v>
      </c>
      <c r="BX249">
        <v>179.5</v>
      </c>
      <c r="BY249">
        <v>19</v>
      </c>
      <c r="BZ249">
        <v>334.5</v>
      </c>
      <c r="CA249">
        <v>6.0570000000000004</v>
      </c>
      <c r="CB249">
        <v>1145</v>
      </c>
      <c r="CC249">
        <v>136.875</v>
      </c>
      <c r="CD249">
        <v>4.6399999999999997</v>
      </c>
      <c r="CE249">
        <v>4</v>
      </c>
      <c r="CF249">
        <v>2816</v>
      </c>
      <c r="CG249">
        <v>12</v>
      </c>
      <c r="CH249">
        <v>197.625</v>
      </c>
      <c r="CI249">
        <v>9.6989999999999998</v>
      </c>
      <c r="CJ249">
        <v>6.8460000000000001</v>
      </c>
      <c r="CK249">
        <v>4.75</v>
      </c>
      <c r="CL249">
        <v>1</v>
      </c>
      <c r="CM249">
        <v>13</v>
      </c>
      <c r="CN249">
        <v>0</v>
      </c>
      <c r="CO249">
        <v>86.667000000000002</v>
      </c>
      <c r="CP249">
        <v>86.667000000000002</v>
      </c>
      <c r="CQ249">
        <v>13</v>
      </c>
      <c r="CR249">
        <v>52</v>
      </c>
      <c r="CS249">
        <v>16.411999999999999</v>
      </c>
      <c r="CT249">
        <v>27</v>
      </c>
      <c r="CU249">
        <v>11</v>
      </c>
      <c r="CV249">
        <v>6</v>
      </c>
      <c r="CW249">
        <v>12</v>
      </c>
      <c r="CX249">
        <v>154</v>
      </c>
      <c r="CY249">
        <v>20.75</v>
      </c>
      <c r="CZ249">
        <v>68.421000000000006</v>
      </c>
      <c r="DA249">
        <v>37.255000000000003</v>
      </c>
      <c r="DB249">
        <v>70.83</v>
      </c>
      <c r="DC249">
        <v>-5</v>
      </c>
      <c r="DD249">
        <v>2459</v>
      </c>
      <c r="DE249">
        <v>67.856999999999999</v>
      </c>
      <c r="DF249">
        <v>244.42857000000001</v>
      </c>
      <c r="DG249">
        <v>27</v>
      </c>
      <c r="DH249">
        <v>358.85714999999999</v>
      </c>
      <c r="DI249">
        <v>9.0259999999999998</v>
      </c>
      <c r="DJ249">
        <v>918</v>
      </c>
      <c r="DK249">
        <v>106.143</v>
      </c>
      <c r="DL249">
        <v>3.6779999999999999</v>
      </c>
      <c r="DM249">
        <v>8</v>
      </c>
      <c r="DN249">
        <v>2854</v>
      </c>
      <c r="DO249">
        <v>12</v>
      </c>
      <c r="DP249">
        <v>252.714</v>
      </c>
      <c r="DQ249">
        <v>13.301</v>
      </c>
      <c r="DR249">
        <v>7.1740000000000004</v>
      </c>
      <c r="DS249">
        <v>7.8890000000000002</v>
      </c>
      <c r="DT249">
        <v>2</v>
      </c>
      <c r="DU249">
        <v>23</v>
      </c>
      <c r="DV249">
        <v>0</v>
      </c>
      <c r="DW249">
        <v>100</v>
      </c>
      <c r="DX249">
        <v>76.471000000000004</v>
      </c>
      <c r="DY249">
        <v>13</v>
      </c>
      <c r="DZ249">
        <v>61</v>
      </c>
      <c r="EA249">
        <v>11</v>
      </c>
      <c r="EB249">
        <v>10</v>
      </c>
      <c r="EC249">
        <v>26</v>
      </c>
      <c r="ED249">
        <v>6</v>
      </c>
      <c r="EE249">
        <v>12</v>
      </c>
      <c r="EF249">
        <v>193</v>
      </c>
      <c r="EG249">
        <v>19.428999999999998</v>
      </c>
      <c r="EH249">
        <v>66.667000000000002</v>
      </c>
      <c r="EI249">
        <v>33.332999999999998</v>
      </c>
      <c r="EJ249">
        <v>76.569999999999993</v>
      </c>
      <c r="EK249">
        <v>-4</v>
      </c>
    </row>
    <row r="250" spans="1:141" x14ac:dyDescent="0.25">
      <c r="A250">
        <v>0</v>
      </c>
      <c r="B250">
        <v>0</v>
      </c>
      <c r="C250">
        <v>0</v>
      </c>
      <c r="D250">
        <v>2025</v>
      </c>
      <c r="E250">
        <v>17</v>
      </c>
      <c r="F250" t="str">
        <f>VLOOKUP(G250, Map!$A$1:$B$33, 2, FALSE)</f>
        <v>CLE</v>
      </c>
      <c r="G250" t="s">
        <v>162</v>
      </c>
      <c r="H250" t="str">
        <f>VLOOKUP(I250, Map!$A$1:$B$33, 2, FALSE)</f>
        <v>PIT</v>
      </c>
      <c r="I250" t="s">
        <v>145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6</v>
      </c>
      <c r="P250">
        <v>23</v>
      </c>
      <c r="Q250">
        <v>15.75</v>
      </c>
      <c r="R250">
        <v>-58</v>
      </c>
      <c r="S250">
        <v>-1</v>
      </c>
      <c r="T250">
        <v>0.25</v>
      </c>
      <c r="U250">
        <v>0</v>
      </c>
      <c r="V250">
        <v>3</v>
      </c>
      <c r="W250">
        <v>2</v>
      </c>
      <c r="X250">
        <v>2</v>
      </c>
      <c r="Y250">
        <v>0</v>
      </c>
      <c r="Z250">
        <v>4</v>
      </c>
      <c r="AA250">
        <v>1</v>
      </c>
      <c r="AB250">
        <v>4</v>
      </c>
      <c r="AC250">
        <v>7</v>
      </c>
      <c r="AD250">
        <v>10</v>
      </c>
      <c r="AE250">
        <v>8</v>
      </c>
      <c r="AF250">
        <v>9</v>
      </c>
      <c r="AG250">
        <v>61</v>
      </c>
      <c r="AH250">
        <v>0</v>
      </c>
      <c r="AI250">
        <v>4</v>
      </c>
      <c r="AJ250">
        <v>3</v>
      </c>
      <c r="AK250">
        <v>25</v>
      </c>
      <c r="AL250">
        <v>25</v>
      </c>
      <c r="AM250">
        <v>0</v>
      </c>
      <c r="AN250">
        <v>-2</v>
      </c>
      <c r="AO250">
        <v>0.57142859999999995</v>
      </c>
      <c r="AP250">
        <v>1</v>
      </c>
      <c r="AQ250">
        <v>1</v>
      </c>
      <c r="AR250">
        <v>2</v>
      </c>
      <c r="AS250">
        <v>2</v>
      </c>
      <c r="AT250">
        <v>2</v>
      </c>
      <c r="AU250">
        <v>1</v>
      </c>
      <c r="AV250">
        <v>3</v>
      </c>
      <c r="AW250">
        <v>1</v>
      </c>
      <c r="AX250">
        <v>9</v>
      </c>
      <c r="AY250">
        <v>8</v>
      </c>
      <c r="AZ250">
        <v>10</v>
      </c>
      <c r="BA250">
        <v>6</v>
      </c>
      <c r="BB250">
        <v>66</v>
      </c>
      <c r="BC250">
        <v>0</v>
      </c>
      <c r="BD250">
        <v>0</v>
      </c>
      <c r="BE250">
        <v>0</v>
      </c>
      <c r="BF250">
        <v>0</v>
      </c>
      <c r="BG250">
        <v>31.364000000000001</v>
      </c>
      <c r="BH250">
        <v>37.518999999999998</v>
      </c>
      <c r="BI250">
        <v>68.384</v>
      </c>
      <c r="BJ250">
        <v>0</v>
      </c>
      <c r="BK250">
        <v>0</v>
      </c>
      <c r="BL250">
        <v>0</v>
      </c>
      <c r="BM250">
        <v>-7.3860000000000001</v>
      </c>
      <c r="BN250">
        <v>68.384</v>
      </c>
      <c r="BO250">
        <v>37.518999999999998</v>
      </c>
      <c r="BP250">
        <v>0</v>
      </c>
      <c r="BQ250">
        <v>31.364000000000001</v>
      </c>
      <c r="BR250">
        <v>7.3860000000000001</v>
      </c>
      <c r="BS250">
        <v>0</v>
      </c>
      <c r="BT250">
        <v>0</v>
      </c>
      <c r="BU250">
        <v>0</v>
      </c>
      <c r="BV250">
        <v>1756</v>
      </c>
      <c r="BW250">
        <v>58.94</v>
      </c>
      <c r="BX250">
        <v>174.125</v>
      </c>
      <c r="BY250">
        <v>14</v>
      </c>
      <c r="BZ250">
        <v>279.125</v>
      </c>
      <c r="CA250">
        <v>4.9870000000000001</v>
      </c>
      <c r="CB250">
        <v>896</v>
      </c>
      <c r="CC250">
        <v>89.5</v>
      </c>
      <c r="CD250">
        <v>3.7679999999999998</v>
      </c>
      <c r="CE250">
        <v>6</v>
      </c>
      <c r="CF250">
        <v>2652</v>
      </c>
      <c r="CG250">
        <v>7</v>
      </c>
      <c r="CH250">
        <v>189.625</v>
      </c>
      <c r="CI250">
        <v>8.4610000000000003</v>
      </c>
      <c r="CJ250">
        <v>6.9169999999999998</v>
      </c>
      <c r="CK250">
        <v>4.3029999999999999</v>
      </c>
      <c r="CL250">
        <v>1</v>
      </c>
      <c r="CM250">
        <v>24</v>
      </c>
      <c r="CN250">
        <v>0</v>
      </c>
      <c r="CO250">
        <v>92.308000000000007</v>
      </c>
      <c r="CP250">
        <v>76.923000000000002</v>
      </c>
      <c r="CQ250">
        <v>10</v>
      </c>
      <c r="CR250">
        <v>42</v>
      </c>
      <c r="CS250">
        <v>11.412000000000001</v>
      </c>
      <c r="CT250">
        <v>42</v>
      </c>
      <c r="CU250">
        <v>16</v>
      </c>
      <c r="CV250">
        <v>6</v>
      </c>
      <c r="CW250">
        <v>7</v>
      </c>
      <c r="CX250">
        <v>126</v>
      </c>
      <c r="CY250">
        <v>16.75</v>
      </c>
      <c r="CZ250">
        <v>57.895000000000003</v>
      </c>
      <c r="DA250">
        <v>33.042999999999999</v>
      </c>
      <c r="DB250">
        <v>69.39</v>
      </c>
      <c r="DC250">
        <v>0</v>
      </c>
      <c r="DD250">
        <v>2471</v>
      </c>
      <c r="DE250">
        <v>68.570999999999998</v>
      </c>
      <c r="DF250">
        <v>202.85714999999999</v>
      </c>
      <c r="DG250">
        <v>20</v>
      </c>
      <c r="DH250">
        <v>308.71429999999998</v>
      </c>
      <c r="DI250">
        <v>7.1479999999999997</v>
      </c>
      <c r="DJ250">
        <v>750</v>
      </c>
      <c r="DK250">
        <v>94.286000000000001</v>
      </c>
      <c r="DL250">
        <v>4.0739999999999998</v>
      </c>
      <c r="DM250">
        <v>3</v>
      </c>
      <c r="DN250">
        <v>2781</v>
      </c>
      <c r="DO250">
        <v>16</v>
      </c>
      <c r="DP250">
        <v>214.429</v>
      </c>
      <c r="DQ250">
        <v>10.423999999999999</v>
      </c>
      <c r="DR250">
        <v>6.4089999999999998</v>
      </c>
      <c r="DS250">
        <v>7.4379999999999997</v>
      </c>
      <c r="DT250">
        <v>0</v>
      </c>
      <c r="DU250">
        <v>22</v>
      </c>
      <c r="DV250">
        <v>0</v>
      </c>
      <c r="DW250">
        <v>100</v>
      </c>
      <c r="DX250">
        <v>87.5</v>
      </c>
      <c r="DY250">
        <v>14</v>
      </c>
      <c r="DZ250">
        <v>59</v>
      </c>
      <c r="EA250">
        <v>8.25</v>
      </c>
      <c r="EB250">
        <v>8</v>
      </c>
      <c r="EC250">
        <v>23</v>
      </c>
      <c r="ED250">
        <v>0</v>
      </c>
      <c r="EE250">
        <v>16</v>
      </c>
      <c r="EF250">
        <v>175</v>
      </c>
      <c r="EG250">
        <v>17.428999999999998</v>
      </c>
      <c r="EH250">
        <v>50</v>
      </c>
      <c r="EI250">
        <v>38.960999999999999</v>
      </c>
      <c r="EJ250">
        <v>75.94</v>
      </c>
      <c r="EK250">
        <v>4</v>
      </c>
    </row>
    <row r="251" spans="1:141" x14ac:dyDescent="0.25">
      <c r="A251">
        <v>0</v>
      </c>
      <c r="B251">
        <v>0</v>
      </c>
      <c r="C251">
        <v>0</v>
      </c>
      <c r="D251">
        <v>2025</v>
      </c>
      <c r="E251">
        <v>17</v>
      </c>
      <c r="F251" t="str">
        <f>VLOOKUP(G251, Map!$A$1:$B$33, 2, FALSE)</f>
        <v>TEN</v>
      </c>
      <c r="G251" t="s">
        <v>140</v>
      </c>
      <c r="H251" t="str">
        <f>VLOOKUP(I251, Map!$A$1:$B$33, 2, FALSE)</f>
        <v>NO</v>
      </c>
      <c r="I251" t="s">
        <v>168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7</v>
      </c>
      <c r="P251">
        <v>28.75</v>
      </c>
      <c r="Q251">
        <v>13.75</v>
      </c>
      <c r="R251">
        <v>-120</v>
      </c>
      <c r="S251">
        <v>-3</v>
      </c>
      <c r="T251">
        <v>0.125</v>
      </c>
      <c r="U251">
        <v>0</v>
      </c>
      <c r="V251">
        <v>3</v>
      </c>
      <c r="W251">
        <v>0</v>
      </c>
      <c r="X251">
        <v>3</v>
      </c>
      <c r="Y251">
        <v>1</v>
      </c>
      <c r="Z251">
        <v>4</v>
      </c>
      <c r="AA251">
        <v>0</v>
      </c>
      <c r="AB251">
        <v>6</v>
      </c>
      <c r="AC251">
        <v>7</v>
      </c>
      <c r="AD251">
        <v>9</v>
      </c>
      <c r="AE251">
        <v>8</v>
      </c>
      <c r="AF251">
        <v>7</v>
      </c>
      <c r="AG251">
        <v>59</v>
      </c>
      <c r="AH251">
        <v>0</v>
      </c>
      <c r="AI251">
        <v>1</v>
      </c>
      <c r="AJ251">
        <v>7</v>
      </c>
      <c r="AK251">
        <v>26.125</v>
      </c>
      <c r="AL251">
        <v>16</v>
      </c>
      <c r="AM251">
        <v>-81</v>
      </c>
      <c r="AN251">
        <v>-3</v>
      </c>
      <c r="AO251">
        <v>0.125</v>
      </c>
      <c r="AP251">
        <v>0</v>
      </c>
      <c r="AQ251">
        <v>1</v>
      </c>
      <c r="AR251">
        <v>1</v>
      </c>
      <c r="AS251">
        <v>4</v>
      </c>
      <c r="AT251">
        <v>0</v>
      </c>
      <c r="AU251">
        <v>3</v>
      </c>
      <c r="AV251">
        <v>1</v>
      </c>
      <c r="AW251">
        <v>5</v>
      </c>
      <c r="AX251">
        <v>7</v>
      </c>
      <c r="AY251">
        <v>10</v>
      </c>
      <c r="AZ251">
        <v>7</v>
      </c>
      <c r="BA251">
        <v>10</v>
      </c>
      <c r="BB251">
        <v>64</v>
      </c>
      <c r="BC251">
        <v>0</v>
      </c>
      <c r="BD251">
        <v>0</v>
      </c>
      <c r="BE251">
        <v>0</v>
      </c>
      <c r="BF251">
        <v>0</v>
      </c>
      <c r="BG251">
        <v>57.509</v>
      </c>
      <c r="BH251">
        <v>7.6769999999999996</v>
      </c>
      <c r="BI251">
        <v>42.152000000000001</v>
      </c>
      <c r="BJ251">
        <v>0</v>
      </c>
      <c r="BK251">
        <v>0</v>
      </c>
      <c r="BL251">
        <v>0</v>
      </c>
      <c r="BM251">
        <v>3.012</v>
      </c>
      <c r="BN251">
        <v>42.152000000000001</v>
      </c>
      <c r="BO251">
        <v>7.6769999999999996</v>
      </c>
      <c r="BP251">
        <v>0</v>
      </c>
      <c r="BQ251">
        <v>57.509</v>
      </c>
      <c r="BR251">
        <v>-3.012</v>
      </c>
      <c r="BS251">
        <v>0</v>
      </c>
      <c r="BT251">
        <v>0</v>
      </c>
      <c r="BU251">
        <v>0</v>
      </c>
      <c r="BV251">
        <v>1785</v>
      </c>
      <c r="BW251">
        <v>57.664000000000001</v>
      </c>
      <c r="BX251">
        <v>168.375</v>
      </c>
      <c r="BY251">
        <v>21</v>
      </c>
      <c r="BZ251">
        <v>282.25</v>
      </c>
      <c r="CA251">
        <v>5.8940000000000001</v>
      </c>
      <c r="CB251">
        <v>643</v>
      </c>
      <c r="CC251">
        <v>80.375</v>
      </c>
      <c r="CD251">
        <v>3.9209999999999998</v>
      </c>
      <c r="CE251">
        <v>3</v>
      </c>
      <c r="CF251">
        <v>2580</v>
      </c>
      <c r="CG251">
        <v>5</v>
      </c>
      <c r="CH251">
        <v>201.875</v>
      </c>
      <c r="CI251">
        <v>10.222</v>
      </c>
      <c r="CJ251">
        <v>6.8129999999999997</v>
      </c>
      <c r="CK251">
        <v>4.8949999999999996</v>
      </c>
      <c r="CL251">
        <v>0</v>
      </c>
      <c r="CM251">
        <v>16</v>
      </c>
      <c r="CN251">
        <v>0</v>
      </c>
      <c r="CO251">
        <v>88.888999999999996</v>
      </c>
      <c r="CP251">
        <v>76.19</v>
      </c>
      <c r="CQ251">
        <v>16</v>
      </c>
      <c r="CR251">
        <v>56</v>
      </c>
      <c r="CS251">
        <v>10.75</v>
      </c>
      <c r="CT251">
        <v>37</v>
      </c>
      <c r="CU251">
        <v>12</v>
      </c>
      <c r="CV251">
        <v>6</v>
      </c>
      <c r="CW251">
        <v>5</v>
      </c>
      <c r="CX251">
        <v>110</v>
      </c>
      <c r="CY251">
        <v>15.875</v>
      </c>
      <c r="CZ251">
        <v>38.462000000000003</v>
      </c>
      <c r="DA251">
        <v>29.907</v>
      </c>
      <c r="DB251">
        <v>65.31</v>
      </c>
      <c r="DC251">
        <v>-4</v>
      </c>
      <c r="DD251">
        <v>2083</v>
      </c>
      <c r="DE251">
        <v>66.206999999999994</v>
      </c>
      <c r="DF251">
        <v>201.375</v>
      </c>
      <c r="DG251">
        <v>13</v>
      </c>
      <c r="DH251">
        <v>310.25</v>
      </c>
      <c r="DI251">
        <v>5.976</v>
      </c>
      <c r="DJ251">
        <v>779</v>
      </c>
      <c r="DK251">
        <v>93.625</v>
      </c>
      <c r="DL251">
        <v>3.7829999999999999</v>
      </c>
      <c r="DM251">
        <v>3</v>
      </c>
      <c r="DN251">
        <v>2973</v>
      </c>
      <c r="DO251">
        <v>8</v>
      </c>
      <c r="DP251">
        <v>216.625</v>
      </c>
      <c r="DQ251">
        <v>9.0259999999999998</v>
      </c>
      <c r="DR251">
        <v>6.0590000000000002</v>
      </c>
      <c r="DS251">
        <v>4.7779999999999996</v>
      </c>
      <c r="DT251">
        <v>1</v>
      </c>
      <c r="DU251">
        <v>17</v>
      </c>
      <c r="DV251">
        <v>0</v>
      </c>
      <c r="DW251">
        <v>100</v>
      </c>
      <c r="DX251">
        <v>71.429000000000002</v>
      </c>
      <c r="DY251">
        <v>15</v>
      </c>
      <c r="DZ251">
        <v>56</v>
      </c>
      <c r="EA251">
        <v>15.25</v>
      </c>
      <c r="EB251">
        <v>7</v>
      </c>
      <c r="EC251">
        <v>27</v>
      </c>
      <c r="ED251">
        <v>6</v>
      </c>
      <c r="EE251">
        <v>8</v>
      </c>
      <c r="EF251">
        <v>128</v>
      </c>
      <c r="EG251">
        <v>19.125</v>
      </c>
      <c r="EH251">
        <v>33.332999999999998</v>
      </c>
      <c r="EI251">
        <v>38.835000000000001</v>
      </c>
      <c r="EJ251">
        <v>61.22</v>
      </c>
      <c r="EK251">
        <v>-2</v>
      </c>
    </row>
    <row r="252" spans="1:141" x14ac:dyDescent="0.25">
      <c r="A252">
        <v>0</v>
      </c>
      <c r="B252">
        <v>0</v>
      </c>
      <c r="C252">
        <v>0</v>
      </c>
      <c r="D252">
        <v>2025</v>
      </c>
      <c r="E252">
        <v>17</v>
      </c>
      <c r="F252" t="str">
        <f>VLOOKUP(G252, Map!$A$1:$B$33, 2, FALSE)</f>
        <v>IND</v>
      </c>
      <c r="G252" t="s">
        <v>138</v>
      </c>
      <c r="H252" t="str">
        <f>VLOOKUP(I252, Map!$A$1:$B$33, 2, FALSE)</f>
        <v>JAX</v>
      </c>
      <c r="I252" t="s">
        <v>139</v>
      </c>
      <c r="J252">
        <v>0</v>
      </c>
      <c r="K252">
        <v>0</v>
      </c>
      <c r="L252">
        <v>0</v>
      </c>
      <c r="M252">
        <v>0</v>
      </c>
      <c r="N252">
        <v>7</v>
      </c>
      <c r="O252">
        <v>1</v>
      </c>
      <c r="P252">
        <v>19.25</v>
      </c>
      <c r="Q252">
        <v>33.75</v>
      </c>
      <c r="R252">
        <v>116</v>
      </c>
      <c r="S252">
        <v>4</v>
      </c>
      <c r="T252">
        <v>0.875</v>
      </c>
      <c r="U252">
        <v>2</v>
      </c>
      <c r="V252">
        <v>0</v>
      </c>
      <c r="W252">
        <v>5</v>
      </c>
      <c r="X252">
        <v>0</v>
      </c>
      <c r="Y252">
        <v>2</v>
      </c>
      <c r="Z252">
        <v>1</v>
      </c>
      <c r="AA252">
        <v>6</v>
      </c>
      <c r="AB252">
        <v>0</v>
      </c>
      <c r="AC252">
        <v>4</v>
      </c>
      <c r="AD252">
        <v>12</v>
      </c>
      <c r="AE252">
        <v>6</v>
      </c>
      <c r="AF252">
        <v>11</v>
      </c>
      <c r="AG252">
        <v>68</v>
      </c>
      <c r="AH252">
        <v>0</v>
      </c>
      <c r="AI252">
        <v>4</v>
      </c>
      <c r="AJ252">
        <v>3</v>
      </c>
      <c r="AK252">
        <v>22.142856999999999</v>
      </c>
      <c r="AL252">
        <v>20.857143000000001</v>
      </c>
      <c r="AM252">
        <v>-9</v>
      </c>
      <c r="AN252">
        <v>-2</v>
      </c>
      <c r="AO252">
        <v>0.57142859999999995</v>
      </c>
      <c r="AP252">
        <v>1</v>
      </c>
      <c r="AQ252">
        <v>0</v>
      </c>
      <c r="AR252">
        <v>3</v>
      </c>
      <c r="AS252">
        <v>2</v>
      </c>
      <c r="AT252">
        <v>1</v>
      </c>
      <c r="AU252">
        <v>1</v>
      </c>
      <c r="AV252">
        <v>2</v>
      </c>
      <c r="AW252">
        <v>1</v>
      </c>
      <c r="AX252">
        <v>10</v>
      </c>
      <c r="AY252">
        <v>8</v>
      </c>
      <c r="AZ252">
        <v>9</v>
      </c>
      <c r="BA252">
        <v>9</v>
      </c>
      <c r="BB252">
        <v>58</v>
      </c>
      <c r="BC252">
        <v>0</v>
      </c>
      <c r="BD252">
        <v>0</v>
      </c>
      <c r="BE252">
        <v>0</v>
      </c>
      <c r="BF252">
        <v>0</v>
      </c>
      <c r="BG252">
        <v>68.221999999999994</v>
      </c>
      <c r="BH252">
        <v>64.316999999999993</v>
      </c>
      <c r="BI252">
        <v>31.524999999999999</v>
      </c>
      <c r="BJ252">
        <v>0</v>
      </c>
      <c r="BK252">
        <v>0</v>
      </c>
      <c r="BL252">
        <v>0</v>
      </c>
      <c r="BM252">
        <v>7.1390000000000002</v>
      </c>
      <c r="BN252">
        <v>31.524999999999999</v>
      </c>
      <c r="BO252">
        <v>64.316999999999993</v>
      </c>
      <c r="BP252">
        <v>0</v>
      </c>
      <c r="BQ252">
        <v>68.221999999999994</v>
      </c>
      <c r="BR252">
        <v>-7.1390000000000002</v>
      </c>
      <c r="BS252">
        <v>0</v>
      </c>
      <c r="BT252">
        <v>0</v>
      </c>
      <c r="BU252">
        <v>0</v>
      </c>
      <c r="BV252">
        <v>2891</v>
      </c>
      <c r="BW252">
        <v>70.161000000000001</v>
      </c>
      <c r="BX252">
        <v>250.875</v>
      </c>
      <c r="BY252">
        <v>23</v>
      </c>
      <c r="BZ252">
        <v>393.25</v>
      </c>
      <c r="CA252">
        <v>8.3510000000000009</v>
      </c>
      <c r="CB252">
        <v>1690</v>
      </c>
      <c r="CC252">
        <v>134.375</v>
      </c>
      <c r="CD252">
        <v>5.0229999999999997</v>
      </c>
      <c r="CE252">
        <v>18</v>
      </c>
      <c r="CF252">
        <v>3396</v>
      </c>
      <c r="CG252">
        <v>13</v>
      </c>
      <c r="CH252">
        <v>258.875</v>
      </c>
      <c r="CI252">
        <v>11.901999999999999</v>
      </c>
      <c r="CJ252">
        <v>6.8259999999999996</v>
      </c>
      <c r="CK252">
        <v>6.0910000000000002</v>
      </c>
      <c r="CL252">
        <v>1</v>
      </c>
      <c r="CM252">
        <v>23</v>
      </c>
      <c r="CN252">
        <v>0</v>
      </c>
      <c r="CO252">
        <v>96.296000000000006</v>
      </c>
      <c r="CP252">
        <v>94.117999999999995</v>
      </c>
      <c r="CQ252">
        <v>16</v>
      </c>
      <c r="CR252">
        <v>74</v>
      </c>
      <c r="CS252">
        <v>4.25</v>
      </c>
      <c r="CT252">
        <v>16</v>
      </c>
      <c r="CU252">
        <v>8</v>
      </c>
      <c r="CV252">
        <v>6</v>
      </c>
      <c r="CW252">
        <v>13</v>
      </c>
      <c r="CX252">
        <v>270</v>
      </c>
      <c r="CY252">
        <v>23.25</v>
      </c>
      <c r="CZ252">
        <v>83.332999999999998</v>
      </c>
      <c r="DA252">
        <v>45.348999999999997</v>
      </c>
      <c r="DB252">
        <v>77.069999999999993</v>
      </c>
      <c r="DC252">
        <v>8</v>
      </c>
      <c r="DD252">
        <v>2100</v>
      </c>
      <c r="DE252">
        <v>58.686999999999998</v>
      </c>
      <c r="DF252">
        <v>215.14285000000001</v>
      </c>
      <c r="DG252">
        <v>21</v>
      </c>
      <c r="DH252">
        <v>351.14285000000001</v>
      </c>
      <c r="DI252">
        <v>6.2549999999999999</v>
      </c>
      <c r="DJ252">
        <v>1033</v>
      </c>
      <c r="DK252">
        <v>119.714</v>
      </c>
      <c r="DL252">
        <v>4.6820000000000004</v>
      </c>
      <c r="DM252">
        <v>6</v>
      </c>
      <c r="DN252">
        <v>2695</v>
      </c>
      <c r="DO252">
        <v>9</v>
      </c>
      <c r="DP252">
        <v>231.429</v>
      </c>
      <c r="DQ252">
        <v>10.657999999999999</v>
      </c>
      <c r="DR252">
        <v>7.375</v>
      </c>
      <c r="DS252">
        <v>3.1880000000000002</v>
      </c>
      <c r="DT252">
        <v>2</v>
      </c>
      <c r="DU252">
        <v>8</v>
      </c>
      <c r="DV252">
        <v>0</v>
      </c>
      <c r="DW252">
        <v>93.332999999999998</v>
      </c>
      <c r="DX252">
        <v>71.429000000000002</v>
      </c>
      <c r="DY252">
        <v>10</v>
      </c>
      <c r="DZ252">
        <v>44</v>
      </c>
      <c r="EA252">
        <v>4.4290000000000003</v>
      </c>
      <c r="EB252">
        <v>10</v>
      </c>
      <c r="EC252">
        <v>30</v>
      </c>
      <c r="ED252">
        <v>12</v>
      </c>
      <c r="EE252">
        <v>9</v>
      </c>
      <c r="EF252">
        <v>146</v>
      </c>
      <c r="EG252">
        <v>19.143000000000001</v>
      </c>
      <c r="EH252">
        <v>53.332999999999998</v>
      </c>
      <c r="EI252">
        <v>32.978999999999999</v>
      </c>
      <c r="EJ252">
        <v>59.74</v>
      </c>
      <c r="EK252">
        <v>8</v>
      </c>
    </row>
    <row r="253" spans="1:141" x14ac:dyDescent="0.25">
      <c r="A253">
        <v>0</v>
      </c>
      <c r="B253">
        <v>0</v>
      </c>
      <c r="C253">
        <v>0</v>
      </c>
      <c r="D253">
        <v>2025</v>
      </c>
      <c r="E253">
        <v>17</v>
      </c>
      <c r="F253" t="str">
        <f>VLOOKUP(G253, Map!$A$1:$B$33, 2, FALSE)</f>
        <v>MIA</v>
      </c>
      <c r="G253" t="s">
        <v>152</v>
      </c>
      <c r="H253" t="str">
        <f>VLOOKUP(I253, Map!$A$1:$B$33, 2, FALSE)</f>
        <v>TB</v>
      </c>
      <c r="I253" t="s">
        <v>141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6</v>
      </c>
      <c r="P253">
        <v>26.875</v>
      </c>
      <c r="Q253">
        <v>21.75</v>
      </c>
      <c r="R253">
        <v>-41</v>
      </c>
      <c r="S253">
        <v>1</v>
      </c>
      <c r="T253">
        <v>0.25</v>
      </c>
      <c r="U253">
        <v>1</v>
      </c>
      <c r="V253">
        <v>2</v>
      </c>
      <c r="W253">
        <v>1</v>
      </c>
      <c r="X253">
        <v>2</v>
      </c>
      <c r="Y253">
        <v>1</v>
      </c>
      <c r="Z253">
        <v>4</v>
      </c>
      <c r="AA253">
        <v>1</v>
      </c>
      <c r="AB253">
        <v>5</v>
      </c>
      <c r="AC253">
        <v>9</v>
      </c>
      <c r="AD253">
        <v>9</v>
      </c>
      <c r="AE253">
        <v>10</v>
      </c>
      <c r="AF253">
        <v>8</v>
      </c>
      <c r="AG253">
        <v>68</v>
      </c>
      <c r="AH253">
        <v>0</v>
      </c>
      <c r="AI253">
        <v>6</v>
      </c>
      <c r="AJ253">
        <v>2</v>
      </c>
      <c r="AK253">
        <v>22.25</v>
      </c>
      <c r="AL253">
        <v>24.625</v>
      </c>
      <c r="AM253">
        <v>19</v>
      </c>
      <c r="AN253">
        <v>1</v>
      </c>
      <c r="AO253">
        <v>0.75</v>
      </c>
      <c r="AP253">
        <v>2</v>
      </c>
      <c r="AQ253">
        <v>0</v>
      </c>
      <c r="AR253">
        <v>2</v>
      </c>
      <c r="AS253">
        <v>1</v>
      </c>
      <c r="AT253">
        <v>4</v>
      </c>
      <c r="AU253">
        <v>1</v>
      </c>
      <c r="AV253">
        <v>4</v>
      </c>
      <c r="AW253">
        <v>2</v>
      </c>
      <c r="AX253">
        <v>8</v>
      </c>
      <c r="AY253">
        <v>9</v>
      </c>
      <c r="AZ253">
        <v>4</v>
      </c>
      <c r="BA253">
        <v>12</v>
      </c>
      <c r="BB253">
        <v>59</v>
      </c>
      <c r="BC253">
        <v>0</v>
      </c>
      <c r="BD253">
        <v>0</v>
      </c>
      <c r="BE253">
        <v>0</v>
      </c>
      <c r="BF253">
        <v>0</v>
      </c>
      <c r="BG253">
        <v>41.472999999999999</v>
      </c>
      <c r="BH253">
        <v>45.860999999999997</v>
      </c>
      <c r="BI253">
        <v>58.194000000000003</v>
      </c>
      <c r="BJ253">
        <v>0</v>
      </c>
      <c r="BK253">
        <v>0</v>
      </c>
      <c r="BL253">
        <v>0</v>
      </c>
      <c r="BM253">
        <v>-2.9</v>
      </c>
      <c r="BN253">
        <v>58.194000000000003</v>
      </c>
      <c r="BO253">
        <v>45.860999999999997</v>
      </c>
      <c r="BP253">
        <v>0</v>
      </c>
      <c r="BQ253">
        <v>41.472999999999999</v>
      </c>
      <c r="BR253">
        <v>2.9</v>
      </c>
      <c r="BS253">
        <v>0</v>
      </c>
      <c r="BT253">
        <v>0</v>
      </c>
      <c r="BU253">
        <v>0</v>
      </c>
      <c r="BV253">
        <v>2361</v>
      </c>
      <c r="BW253">
        <v>68.674999999999997</v>
      </c>
      <c r="BX253">
        <v>187.875</v>
      </c>
      <c r="BY253">
        <v>17</v>
      </c>
      <c r="BZ253">
        <v>299.875</v>
      </c>
      <c r="CA253">
        <v>6.47</v>
      </c>
      <c r="CB253">
        <v>898</v>
      </c>
      <c r="CC253">
        <v>98.5</v>
      </c>
      <c r="CD253">
        <v>4.452</v>
      </c>
      <c r="CE253">
        <v>4</v>
      </c>
      <c r="CF253">
        <v>2991</v>
      </c>
      <c r="CG253">
        <v>15</v>
      </c>
      <c r="CH253">
        <v>201.375</v>
      </c>
      <c r="CI253">
        <v>9.4209999999999994</v>
      </c>
      <c r="CJ253">
        <v>6.4669999999999996</v>
      </c>
      <c r="CK253">
        <v>4.8239999999999998</v>
      </c>
      <c r="CL253">
        <v>1</v>
      </c>
      <c r="CM253">
        <v>15</v>
      </c>
      <c r="CN253">
        <v>0</v>
      </c>
      <c r="CO253">
        <v>100</v>
      </c>
      <c r="CP253">
        <v>91.667000000000002</v>
      </c>
      <c r="CQ253">
        <v>11</v>
      </c>
      <c r="CR253">
        <v>52</v>
      </c>
      <c r="CS253">
        <v>7</v>
      </c>
      <c r="CT253">
        <v>26</v>
      </c>
      <c r="CU253">
        <v>11</v>
      </c>
      <c r="CV253">
        <v>6</v>
      </c>
      <c r="CW253">
        <v>15</v>
      </c>
      <c r="CX253">
        <v>174</v>
      </c>
      <c r="CY253">
        <v>17</v>
      </c>
      <c r="CZ253">
        <v>53.845999999999997</v>
      </c>
      <c r="DA253">
        <v>41.237000000000002</v>
      </c>
      <c r="DB253">
        <v>72.05</v>
      </c>
      <c r="DC253">
        <v>-5</v>
      </c>
      <c r="DD253">
        <v>2769</v>
      </c>
      <c r="DE253">
        <v>63.941000000000003</v>
      </c>
      <c r="DF253">
        <v>224.875</v>
      </c>
      <c r="DG253">
        <v>29</v>
      </c>
      <c r="DH253">
        <v>338</v>
      </c>
      <c r="DI253">
        <v>7.1340000000000003</v>
      </c>
      <c r="DJ253">
        <v>950</v>
      </c>
      <c r="DK253">
        <v>98.125</v>
      </c>
      <c r="DL253">
        <v>3.8479999999999999</v>
      </c>
      <c r="DM253">
        <v>6</v>
      </c>
      <c r="DN253">
        <v>3234</v>
      </c>
      <c r="DO253">
        <v>13</v>
      </c>
      <c r="DP253">
        <v>239.875</v>
      </c>
      <c r="DQ253">
        <v>11.157</v>
      </c>
      <c r="DR253">
        <v>7.8</v>
      </c>
      <c r="DS253">
        <v>6.8</v>
      </c>
      <c r="DT253">
        <v>2</v>
      </c>
      <c r="DU253">
        <v>25</v>
      </c>
      <c r="DV253">
        <v>0</v>
      </c>
      <c r="DW253">
        <v>94.117999999999995</v>
      </c>
      <c r="DX253">
        <v>80.951999999999998</v>
      </c>
      <c r="DY253">
        <v>17</v>
      </c>
      <c r="DZ253">
        <v>67</v>
      </c>
      <c r="EA253">
        <v>14.667</v>
      </c>
      <c r="EB253">
        <v>12</v>
      </c>
      <c r="EC253">
        <v>32</v>
      </c>
      <c r="ED253">
        <v>14</v>
      </c>
      <c r="EE253">
        <v>13</v>
      </c>
      <c r="EF253">
        <v>197</v>
      </c>
      <c r="EG253">
        <v>18.875</v>
      </c>
      <c r="EH253">
        <v>50</v>
      </c>
      <c r="EI253">
        <v>36.274999999999999</v>
      </c>
      <c r="EJ253">
        <v>55.19</v>
      </c>
      <c r="EK253">
        <v>7</v>
      </c>
    </row>
    <row r="254" spans="1:141" x14ac:dyDescent="0.25">
      <c r="A254">
        <v>0</v>
      </c>
      <c r="B254">
        <v>0</v>
      </c>
      <c r="C254">
        <v>0</v>
      </c>
      <c r="D254">
        <v>2025</v>
      </c>
      <c r="E254">
        <v>17</v>
      </c>
      <c r="F254" t="str">
        <f>VLOOKUP(G254, Map!$A$1:$B$33, 2, FALSE)</f>
        <v>NYJ</v>
      </c>
      <c r="G254" t="s">
        <v>166</v>
      </c>
      <c r="H254" t="str">
        <f>VLOOKUP(I254, Map!$A$1:$B$33, 2, FALSE)</f>
        <v>NE</v>
      </c>
      <c r="I254" t="s">
        <v>151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7</v>
      </c>
      <c r="P254">
        <v>27.625</v>
      </c>
      <c r="Q254">
        <v>21</v>
      </c>
      <c r="R254">
        <v>-53</v>
      </c>
      <c r="S254">
        <v>1</v>
      </c>
      <c r="T254">
        <v>0.125</v>
      </c>
      <c r="U254">
        <v>0</v>
      </c>
      <c r="V254">
        <v>2</v>
      </c>
      <c r="W254">
        <v>0</v>
      </c>
      <c r="X254">
        <v>5</v>
      </c>
      <c r="Y254">
        <v>1</v>
      </c>
      <c r="Z254">
        <v>2</v>
      </c>
      <c r="AA254">
        <v>1</v>
      </c>
      <c r="AB254">
        <v>4</v>
      </c>
      <c r="AC254">
        <v>7</v>
      </c>
      <c r="AD254">
        <v>10</v>
      </c>
      <c r="AE254">
        <v>8</v>
      </c>
      <c r="AF254">
        <v>9</v>
      </c>
      <c r="AG254">
        <v>60</v>
      </c>
      <c r="AH254">
        <v>0</v>
      </c>
      <c r="AI254">
        <v>6</v>
      </c>
      <c r="AJ254">
        <v>2</v>
      </c>
      <c r="AK254">
        <v>18.25</v>
      </c>
      <c r="AL254">
        <v>26.625</v>
      </c>
      <c r="AM254">
        <v>67</v>
      </c>
      <c r="AN254">
        <v>5</v>
      </c>
      <c r="AO254">
        <v>0.75</v>
      </c>
      <c r="AP254">
        <v>2</v>
      </c>
      <c r="AQ254">
        <v>0</v>
      </c>
      <c r="AR254">
        <v>2</v>
      </c>
      <c r="AS254">
        <v>2</v>
      </c>
      <c r="AT254">
        <v>4</v>
      </c>
      <c r="AU254">
        <v>0</v>
      </c>
      <c r="AV254">
        <v>4</v>
      </c>
      <c r="AW254">
        <v>2</v>
      </c>
      <c r="AX254">
        <v>8</v>
      </c>
      <c r="AY254">
        <v>9</v>
      </c>
      <c r="AZ254">
        <v>7</v>
      </c>
      <c r="BA254">
        <v>9</v>
      </c>
      <c r="BB254">
        <v>61</v>
      </c>
      <c r="BC254">
        <v>0</v>
      </c>
      <c r="BD254">
        <v>0</v>
      </c>
      <c r="BE254">
        <v>0</v>
      </c>
      <c r="BF254">
        <v>0</v>
      </c>
      <c r="BG254">
        <v>38.277000000000001</v>
      </c>
      <c r="BH254">
        <v>35.789000000000001</v>
      </c>
      <c r="BI254">
        <v>61.414999999999999</v>
      </c>
      <c r="BJ254">
        <v>0</v>
      </c>
      <c r="BK254">
        <v>0</v>
      </c>
      <c r="BL254">
        <v>0</v>
      </c>
      <c r="BM254">
        <v>-4.5529999999999999</v>
      </c>
      <c r="BN254">
        <v>61.414999999999999</v>
      </c>
      <c r="BO254">
        <v>35.789000000000001</v>
      </c>
      <c r="BP254">
        <v>0</v>
      </c>
      <c r="BQ254">
        <v>38.277000000000001</v>
      </c>
      <c r="BR254">
        <v>4.5529999999999999</v>
      </c>
      <c r="BS254">
        <v>0</v>
      </c>
      <c r="BT254">
        <v>0</v>
      </c>
      <c r="BU254">
        <v>0</v>
      </c>
      <c r="BV254">
        <v>2012</v>
      </c>
      <c r="BW254">
        <v>63.713000000000001</v>
      </c>
      <c r="BX254">
        <v>156.5</v>
      </c>
      <c r="BY254">
        <v>15</v>
      </c>
      <c r="BZ254">
        <v>327.625</v>
      </c>
      <c r="CA254">
        <v>6.2110000000000003</v>
      </c>
      <c r="CB254">
        <v>1254</v>
      </c>
      <c r="CC254">
        <v>143.625</v>
      </c>
      <c r="CD254">
        <v>5.1989999999999998</v>
      </c>
      <c r="CE254">
        <v>6</v>
      </c>
      <c r="CF254">
        <v>2542</v>
      </c>
      <c r="CG254">
        <v>9</v>
      </c>
      <c r="CH254">
        <v>184</v>
      </c>
      <c r="CI254">
        <v>9.7479999999999993</v>
      </c>
      <c r="CJ254">
        <v>6.2729999999999997</v>
      </c>
      <c r="CK254">
        <v>2.4169999999999998</v>
      </c>
      <c r="CL254">
        <v>1</v>
      </c>
      <c r="CM254">
        <v>11</v>
      </c>
      <c r="CN254">
        <v>0</v>
      </c>
      <c r="CO254">
        <v>100</v>
      </c>
      <c r="CP254">
        <v>100</v>
      </c>
      <c r="CQ254">
        <v>17</v>
      </c>
      <c r="CR254">
        <v>60</v>
      </c>
      <c r="CS254">
        <v>6.25</v>
      </c>
      <c r="CT254">
        <v>31</v>
      </c>
      <c r="CU254">
        <v>11</v>
      </c>
      <c r="CV254">
        <v>2</v>
      </c>
      <c r="CW254">
        <v>9</v>
      </c>
      <c r="CX254">
        <v>168</v>
      </c>
      <c r="CY254">
        <v>18.5</v>
      </c>
      <c r="CZ254">
        <v>52.631999999999998</v>
      </c>
      <c r="DA254">
        <v>34.905999999999999</v>
      </c>
      <c r="DB254">
        <v>69.17</v>
      </c>
      <c r="DC254">
        <v>-9</v>
      </c>
      <c r="DD254">
        <v>2965</v>
      </c>
      <c r="DE254">
        <v>75</v>
      </c>
      <c r="DF254">
        <v>240.5</v>
      </c>
      <c r="DG254">
        <v>29</v>
      </c>
      <c r="DH254">
        <v>367.375</v>
      </c>
      <c r="DI254">
        <v>8.7940000000000005</v>
      </c>
      <c r="DJ254">
        <v>1056</v>
      </c>
      <c r="DK254">
        <v>112.625</v>
      </c>
      <c r="DL254">
        <v>3.9340000000000002</v>
      </c>
      <c r="DM254">
        <v>7</v>
      </c>
      <c r="DN254">
        <v>3418</v>
      </c>
      <c r="DO254">
        <v>15</v>
      </c>
      <c r="DP254">
        <v>254.75</v>
      </c>
      <c r="DQ254">
        <v>11.725</v>
      </c>
      <c r="DR254">
        <v>6.3159999999999998</v>
      </c>
      <c r="DS254">
        <v>3.7410000000000001</v>
      </c>
      <c r="DT254">
        <v>4</v>
      </c>
      <c r="DU254">
        <v>19</v>
      </c>
      <c r="DV254">
        <v>0</v>
      </c>
      <c r="DW254">
        <v>91.304000000000002</v>
      </c>
      <c r="DX254">
        <v>92.308000000000007</v>
      </c>
      <c r="DY254">
        <v>12</v>
      </c>
      <c r="DZ254">
        <v>57</v>
      </c>
      <c r="EA254">
        <v>16.8</v>
      </c>
      <c r="EB254">
        <v>10</v>
      </c>
      <c r="EC254">
        <v>27</v>
      </c>
      <c r="ED254">
        <v>14</v>
      </c>
      <c r="EE254">
        <v>15</v>
      </c>
      <c r="EF254">
        <v>213</v>
      </c>
      <c r="EG254">
        <v>20.375</v>
      </c>
      <c r="EH254">
        <v>83.332999999999998</v>
      </c>
      <c r="EI254">
        <v>39.784999999999997</v>
      </c>
      <c r="EJ254">
        <v>67</v>
      </c>
      <c r="EK254">
        <v>2</v>
      </c>
    </row>
    <row r="255" spans="1:141" x14ac:dyDescent="0.25">
      <c r="A255">
        <v>0</v>
      </c>
      <c r="B255">
        <v>0</v>
      </c>
      <c r="C255">
        <v>0</v>
      </c>
      <c r="D255">
        <v>2025</v>
      </c>
      <c r="E255">
        <v>17</v>
      </c>
      <c r="F255" t="str">
        <f>VLOOKUP(G255, Map!$A$1:$B$33, 2, FALSE)</f>
        <v>BUF</v>
      </c>
      <c r="G255" t="s">
        <v>165</v>
      </c>
      <c r="H255" t="str">
        <f>VLOOKUP(I255, Map!$A$1:$B$33, 2, FALSE)</f>
        <v>PHI</v>
      </c>
      <c r="I255" t="s">
        <v>147</v>
      </c>
      <c r="J255">
        <v>0</v>
      </c>
      <c r="K255">
        <v>0</v>
      </c>
      <c r="L255">
        <v>0</v>
      </c>
      <c r="M255">
        <v>0</v>
      </c>
      <c r="N255">
        <v>5</v>
      </c>
      <c r="O255">
        <v>2</v>
      </c>
      <c r="P255">
        <v>20.857143000000001</v>
      </c>
      <c r="Q255">
        <v>29.571428000000001</v>
      </c>
      <c r="R255">
        <v>61</v>
      </c>
      <c r="S255">
        <v>1</v>
      </c>
      <c r="T255">
        <v>0.71428572999999995</v>
      </c>
      <c r="U255">
        <v>2</v>
      </c>
      <c r="V255">
        <v>1</v>
      </c>
      <c r="W255">
        <v>3</v>
      </c>
      <c r="X255">
        <v>1</v>
      </c>
      <c r="Y255">
        <v>2</v>
      </c>
      <c r="Z255">
        <v>1</v>
      </c>
      <c r="AA255">
        <v>3</v>
      </c>
      <c r="AB255">
        <v>1</v>
      </c>
      <c r="AC255">
        <v>14</v>
      </c>
      <c r="AD255">
        <v>4</v>
      </c>
      <c r="AE255">
        <v>8</v>
      </c>
      <c r="AF255">
        <v>9</v>
      </c>
      <c r="AG255">
        <v>68</v>
      </c>
      <c r="AH255">
        <v>0</v>
      </c>
      <c r="AI255">
        <v>6</v>
      </c>
      <c r="AJ255">
        <v>2</v>
      </c>
      <c r="AK255">
        <v>23.125</v>
      </c>
      <c r="AL255">
        <v>26</v>
      </c>
      <c r="AM255">
        <v>23</v>
      </c>
      <c r="AN255">
        <v>2</v>
      </c>
      <c r="AO255">
        <v>0.75</v>
      </c>
      <c r="AP255">
        <v>2</v>
      </c>
      <c r="AQ255">
        <v>1</v>
      </c>
      <c r="AR255">
        <v>3</v>
      </c>
      <c r="AS255">
        <v>1</v>
      </c>
      <c r="AT255">
        <v>3</v>
      </c>
      <c r="AU255">
        <v>1</v>
      </c>
      <c r="AV255">
        <v>5</v>
      </c>
      <c r="AW255">
        <v>1</v>
      </c>
      <c r="AX255">
        <v>16</v>
      </c>
      <c r="AY255">
        <v>3</v>
      </c>
      <c r="AZ255">
        <v>10</v>
      </c>
      <c r="BA255">
        <v>9</v>
      </c>
      <c r="BB255">
        <v>63</v>
      </c>
      <c r="BC255">
        <v>0</v>
      </c>
      <c r="BD255">
        <v>0</v>
      </c>
      <c r="BE255">
        <v>0</v>
      </c>
      <c r="BF255">
        <v>0</v>
      </c>
      <c r="BG255">
        <v>52.064999999999998</v>
      </c>
      <c r="BH255">
        <v>83.784999999999997</v>
      </c>
      <c r="BI255">
        <v>47.552999999999997</v>
      </c>
      <c r="BJ255">
        <v>0</v>
      </c>
      <c r="BK255">
        <v>0</v>
      </c>
      <c r="BL255">
        <v>0</v>
      </c>
      <c r="BM255">
        <v>0.998</v>
      </c>
      <c r="BN255">
        <v>47.552999999999997</v>
      </c>
      <c r="BO255">
        <v>83.784999999999997</v>
      </c>
      <c r="BP255">
        <v>0</v>
      </c>
      <c r="BQ255">
        <v>52.064999999999998</v>
      </c>
      <c r="BR255">
        <v>-0.998</v>
      </c>
      <c r="BS255">
        <v>0</v>
      </c>
      <c r="BT255">
        <v>0</v>
      </c>
      <c r="BU255">
        <v>0</v>
      </c>
      <c r="BV255">
        <v>2334</v>
      </c>
      <c r="BW255">
        <v>67.488</v>
      </c>
      <c r="BX255">
        <v>218.42857000000001</v>
      </c>
      <c r="BY255">
        <v>22</v>
      </c>
      <c r="BZ255">
        <v>395</v>
      </c>
      <c r="CA255">
        <v>7.9509999999999996</v>
      </c>
      <c r="CB255">
        <v>1576</v>
      </c>
      <c r="CC255">
        <v>164.429</v>
      </c>
      <c r="CD255">
        <v>5.2080000000000002</v>
      </c>
      <c r="CE255">
        <v>13</v>
      </c>
      <c r="CF255">
        <v>2719</v>
      </c>
      <c r="CG255">
        <v>12</v>
      </c>
      <c r="CH255">
        <v>230.571</v>
      </c>
      <c r="CI255">
        <v>11.781000000000001</v>
      </c>
      <c r="CJ255">
        <v>5.8639999999999999</v>
      </c>
      <c r="CK255">
        <v>5.35</v>
      </c>
      <c r="CL255">
        <v>0</v>
      </c>
      <c r="CM255">
        <v>22</v>
      </c>
      <c r="CN255">
        <v>0</v>
      </c>
      <c r="CO255">
        <v>95.454999999999998</v>
      </c>
      <c r="CP255">
        <v>92.308000000000007</v>
      </c>
      <c r="CQ255">
        <v>12</v>
      </c>
      <c r="CR255">
        <v>57</v>
      </c>
      <c r="CS255">
        <v>8</v>
      </c>
      <c r="CT255">
        <v>22</v>
      </c>
      <c r="CU255">
        <v>10</v>
      </c>
      <c r="CV255">
        <v>0</v>
      </c>
      <c r="CW255">
        <v>12</v>
      </c>
      <c r="CX255">
        <v>207</v>
      </c>
      <c r="CY255">
        <v>23.143000000000001</v>
      </c>
      <c r="CZ255">
        <v>60</v>
      </c>
      <c r="DA255">
        <v>43.75</v>
      </c>
      <c r="DB255">
        <v>73.47</v>
      </c>
      <c r="DC255">
        <v>2</v>
      </c>
      <c r="DD255">
        <v>2679</v>
      </c>
      <c r="DE255">
        <v>70.233000000000004</v>
      </c>
      <c r="DF255">
        <v>192.75</v>
      </c>
      <c r="DG255">
        <v>23</v>
      </c>
      <c r="DH255">
        <v>321.25</v>
      </c>
      <c r="DI255">
        <v>7.7160000000000002</v>
      </c>
      <c r="DJ255">
        <v>1178</v>
      </c>
      <c r="DK255">
        <v>111.625</v>
      </c>
      <c r="DL255">
        <v>4.0960000000000001</v>
      </c>
      <c r="DM255">
        <v>9</v>
      </c>
      <c r="DN255">
        <v>2957</v>
      </c>
      <c r="DO255">
        <v>15</v>
      </c>
      <c r="DP255">
        <v>209.625</v>
      </c>
      <c r="DQ255">
        <v>10.987</v>
      </c>
      <c r="DR255">
        <v>4.75</v>
      </c>
      <c r="DS255">
        <v>3.75</v>
      </c>
      <c r="DT255">
        <v>3</v>
      </c>
      <c r="DU255">
        <v>16</v>
      </c>
      <c r="DV255">
        <v>0</v>
      </c>
      <c r="DW255">
        <v>100</v>
      </c>
      <c r="DX255">
        <v>77.778000000000006</v>
      </c>
      <c r="DY255">
        <v>7</v>
      </c>
      <c r="DZ255">
        <v>46</v>
      </c>
      <c r="EA255">
        <v>13.55</v>
      </c>
      <c r="EB255">
        <v>7</v>
      </c>
      <c r="EC255">
        <v>34</v>
      </c>
      <c r="ED255">
        <v>6</v>
      </c>
      <c r="EE255">
        <v>15</v>
      </c>
      <c r="EF255">
        <v>208</v>
      </c>
      <c r="EG255">
        <v>17.875</v>
      </c>
      <c r="EH255">
        <v>78.570999999999998</v>
      </c>
      <c r="EI255">
        <v>33.332999999999998</v>
      </c>
      <c r="EJ255">
        <v>87.14</v>
      </c>
      <c r="EK255">
        <v>4</v>
      </c>
    </row>
    <row r="256" spans="1:141" x14ac:dyDescent="0.25">
      <c r="A256">
        <v>0</v>
      </c>
      <c r="B256">
        <v>0</v>
      </c>
      <c r="C256">
        <v>0</v>
      </c>
      <c r="D256">
        <v>2025</v>
      </c>
      <c r="E256">
        <v>17</v>
      </c>
      <c r="F256" t="str">
        <f>VLOOKUP(G256, Map!$A$1:$B$33, 2, FALSE)</f>
        <v>SF</v>
      </c>
      <c r="G256" t="s">
        <v>143</v>
      </c>
      <c r="H256" t="str">
        <f>VLOOKUP(I256, Map!$A$1:$B$33, 2, FALSE)</f>
        <v>CHI</v>
      </c>
      <c r="I256" t="s">
        <v>163</v>
      </c>
      <c r="J256">
        <v>0</v>
      </c>
      <c r="K256">
        <v>0</v>
      </c>
      <c r="L256">
        <v>0</v>
      </c>
      <c r="M256">
        <v>0</v>
      </c>
      <c r="N256">
        <v>5</v>
      </c>
      <c r="O256">
        <v>3</v>
      </c>
      <c r="P256">
        <v>20.5</v>
      </c>
      <c r="Q256">
        <v>20</v>
      </c>
      <c r="R256">
        <v>-4</v>
      </c>
      <c r="S256">
        <v>-1</v>
      </c>
      <c r="T256">
        <v>0.625</v>
      </c>
      <c r="U256">
        <v>3</v>
      </c>
      <c r="V256">
        <v>0</v>
      </c>
      <c r="W256">
        <v>2</v>
      </c>
      <c r="X256">
        <v>1</v>
      </c>
      <c r="Y256">
        <v>3</v>
      </c>
      <c r="Z256">
        <v>2</v>
      </c>
      <c r="AA256">
        <v>5</v>
      </c>
      <c r="AB256">
        <v>1</v>
      </c>
      <c r="AC256">
        <v>15</v>
      </c>
      <c r="AD256">
        <v>5</v>
      </c>
      <c r="AE256">
        <v>13</v>
      </c>
      <c r="AF256">
        <v>7</v>
      </c>
      <c r="AG256">
        <v>68</v>
      </c>
      <c r="AH256">
        <v>0</v>
      </c>
      <c r="AI256">
        <v>4</v>
      </c>
      <c r="AJ256">
        <v>3</v>
      </c>
      <c r="AK256">
        <v>26.428571999999999</v>
      </c>
      <c r="AL256">
        <v>24</v>
      </c>
      <c r="AM256">
        <v>-17</v>
      </c>
      <c r="AN256">
        <v>-1</v>
      </c>
      <c r="AO256">
        <v>0.57142859999999995</v>
      </c>
      <c r="AP256">
        <v>0</v>
      </c>
      <c r="AQ256">
        <v>2</v>
      </c>
      <c r="AR256">
        <v>2</v>
      </c>
      <c r="AS256">
        <v>1</v>
      </c>
      <c r="AT256">
        <v>2</v>
      </c>
      <c r="AU256">
        <v>2</v>
      </c>
      <c r="AV256">
        <v>3</v>
      </c>
      <c r="AW256">
        <v>2</v>
      </c>
      <c r="AX256">
        <v>3</v>
      </c>
      <c r="AY256">
        <v>14</v>
      </c>
      <c r="AZ256">
        <v>5</v>
      </c>
      <c r="BA256">
        <v>11</v>
      </c>
      <c r="BB256">
        <v>61</v>
      </c>
      <c r="BC256">
        <v>0</v>
      </c>
      <c r="BD256">
        <v>0</v>
      </c>
      <c r="BE256">
        <v>0</v>
      </c>
      <c r="BF256">
        <v>0</v>
      </c>
      <c r="BG256">
        <v>64.683999999999997</v>
      </c>
      <c r="BH256">
        <v>56.584000000000003</v>
      </c>
      <c r="BI256">
        <v>35.034999999999997</v>
      </c>
      <c r="BJ256">
        <v>0</v>
      </c>
      <c r="BK256">
        <v>0</v>
      </c>
      <c r="BL256">
        <v>0</v>
      </c>
      <c r="BM256">
        <v>5.7480000000000002</v>
      </c>
      <c r="BN256">
        <v>35.034999999999997</v>
      </c>
      <c r="BO256">
        <v>56.584000000000003</v>
      </c>
      <c r="BP256">
        <v>0</v>
      </c>
      <c r="BQ256">
        <v>64.683999999999997</v>
      </c>
      <c r="BR256">
        <v>-5.7480000000000002</v>
      </c>
      <c r="BS256">
        <v>0</v>
      </c>
      <c r="BT256">
        <v>0</v>
      </c>
      <c r="BU256">
        <v>0</v>
      </c>
      <c r="BV256">
        <v>2753</v>
      </c>
      <c r="BW256">
        <v>65.885999999999996</v>
      </c>
      <c r="BX256">
        <v>259.25</v>
      </c>
      <c r="BY256">
        <v>23</v>
      </c>
      <c r="BZ256">
        <v>362.25</v>
      </c>
      <c r="CA256">
        <v>7.3010000000000002</v>
      </c>
      <c r="CB256">
        <v>775</v>
      </c>
      <c r="CC256">
        <v>89.375</v>
      </c>
      <c r="CD256">
        <v>3.4049999999999998</v>
      </c>
      <c r="CE256">
        <v>3</v>
      </c>
      <c r="CF256">
        <v>3588</v>
      </c>
      <c r="CG256">
        <v>12</v>
      </c>
      <c r="CH256">
        <v>272.875</v>
      </c>
      <c r="CI256">
        <v>11.081</v>
      </c>
      <c r="CJ256">
        <v>6.6669999999999998</v>
      </c>
      <c r="CK256">
        <v>1.889</v>
      </c>
      <c r="CL256">
        <v>0</v>
      </c>
      <c r="CM256">
        <v>9</v>
      </c>
      <c r="CN256">
        <v>0</v>
      </c>
      <c r="CO256">
        <v>92.308000000000007</v>
      </c>
      <c r="CP256">
        <v>90</v>
      </c>
      <c r="CQ256">
        <v>18</v>
      </c>
      <c r="CR256">
        <v>66</v>
      </c>
      <c r="CS256">
        <v>14.308</v>
      </c>
      <c r="CT256">
        <v>25</v>
      </c>
      <c r="CU256">
        <v>12</v>
      </c>
      <c r="CV256">
        <v>0</v>
      </c>
      <c r="CW256">
        <v>12</v>
      </c>
      <c r="CX256">
        <v>160</v>
      </c>
      <c r="CY256">
        <v>20.875</v>
      </c>
      <c r="CZ256">
        <v>54.545000000000002</v>
      </c>
      <c r="DA256">
        <v>46.363999999999997</v>
      </c>
      <c r="DB256">
        <v>65.709999999999994</v>
      </c>
      <c r="DC256">
        <v>-5</v>
      </c>
      <c r="DD256">
        <v>2157</v>
      </c>
      <c r="DE256">
        <v>61.947000000000003</v>
      </c>
      <c r="DF256">
        <v>225.57142999999999</v>
      </c>
      <c r="DG256">
        <v>26</v>
      </c>
      <c r="DH256">
        <v>362.14285000000001</v>
      </c>
      <c r="DI256">
        <v>7.2880000000000003</v>
      </c>
      <c r="DJ256">
        <v>1087</v>
      </c>
      <c r="DK256">
        <v>124.571</v>
      </c>
      <c r="DL256">
        <v>4.4039999999999999</v>
      </c>
      <c r="DM256">
        <v>7</v>
      </c>
      <c r="DN256">
        <v>2678</v>
      </c>
      <c r="DO256">
        <v>9</v>
      </c>
      <c r="DP256">
        <v>237.571</v>
      </c>
      <c r="DQ256">
        <v>11.763999999999999</v>
      </c>
      <c r="DR256">
        <v>4.5709999999999997</v>
      </c>
      <c r="DS256">
        <v>2.9409999999999998</v>
      </c>
      <c r="DT256">
        <v>1</v>
      </c>
      <c r="DU256">
        <v>14</v>
      </c>
      <c r="DV256">
        <v>0</v>
      </c>
      <c r="DW256">
        <v>100</v>
      </c>
      <c r="DX256">
        <v>85</v>
      </c>
      <c r="DY256">
        <v>17</v>
      </c>
      <c r="DZ256">
        <v>66</v>
      </c>
      <c r="EA256">
        <v>11.909000000000001</v>
      </c>
      <c r="EB256">
        <v>7</v>
      </c>
      <c r="EC256">
        <v>24</v>
      </c>
      <c r="ED256">
        <v>6</v>
      </c>
      <c r="EE256">
        <v>9</v>
      </c>
      <c r="EF256">
        <v>168</v>
      </c>
      <c r="EG256">
        <v>19.286000000000001</v>
      </c>
      <c r="EH256">
        <v>37.5</v>
      </c>
      <c r="EI256">
        <v>41.110999999999997</v>
      </c>
      <c r="EJ256">
        <v>57.14</v>
      </c>
      <c r="EK256">
        <v>10</v>
      </c>
    </row>
    <row r="257" spans="1:141" x14ac:dyDescent="0.25">
      <c r="A257">
        <v>0</v>
      </c>
      <c r="B257">
        <v>0</v>
      </c>
      <c r="C257">
        <v>0</v>
      </c>
      <c r="D257">
        <v>2025</v>
      </c>
      <c r="E257">
        <v>17</v>
      </c>
      <c r="F257" t="str">
        <f>VLOOKUP(G257, Map!$A$1:$B$33, 2, FALSE)</f>
        <v>ATL</v>
      </c>
      <c r="G257" t="s">
        <v>167</v>
      </c>
      <c r="H257" t="str">
        <f>VLOOKUP(I257, Map!$A$1:$B$33, 2, FALSE)</f>
        <v>LA</v>
      </c>
      <c r="I257" t="s">
        <v>155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4</v>
      </c>
      <c r="P257">
        <v>22</v>
      </c>
      <c r="Q257">
        <v>17.142856999999999</v>
      </c>
      <c r="R257">
        <v>-34</v>
      </c>
      <c r="S257">
        <v>-2</v>
      </c>
      <c r="T257">
        <v>0.42857142999999998</v>
      </c>
      <c r="U257">
        <v>0</v>
      </c>
      <c r="V257">
        <v>2</v>
      </c>
      <c r="W257">
        <v>2</v>
      </c>
      <c r="X257">
        <v>2</v>
      </c>
      <c r="Y257">
        <v>1</v>
      </c>
      <c r="Z257">
        <v>2</v>
      </c>
      <c r="AA257">
        <v>2</v>
      </c>
      <c r="AB257">
        <v>3</v>
      </c>
      <c r="AC257">
        <v>7</v>
      </c>
      <c r="AD257">
        <v>10</v>
      </c>
      <c r="AE257">
        <v>9</v>
      </c>
      <c r="AF257">
        <v>8</v>
      </c>
      <c r="AG257">
        <v>64</v>
      </c>
      <c r="AH257">
        <v>0</v>
      </c>
      <c r="AI257">
        <v>5</v>
      </c>
      <c r="AJ257">
        <v>2</v>
      </c>
      <c r="AK257">
        <v>16.714285</v>
      </c>
      <c r="AL257">
        <v>25</v>
      </c>
      <c r="AM257">
        <v>58</v>
      </c>
      <c r="AN257">
        <v>2</v>
      </c>
      <c r="AO257">
        <v>0.71428572999999995</v>
      </c>
      <c r="AP257">
        <v>0</v>
      </c>
      <c r="AQ257">
        <v>1</v>
      </c>
      <c r="AR257">
        <v>2</v>
      </c>
      <c r="AS257">
        <v>1</v>
      </c>
      <c r="AT257">
        <v>3</v>
      </c>
      <c r="AU257">
        <v>1</v>
      </c>
      <c r="AV257">
        <v>0</v>
      </c>
      <c r="AW257">
        <v>2</v>
      </c>
      <c r="AX257">
        <v>5</v>
      </c>
      <c r="AY257">
        <v>11</v>
      </c>
      <c r="AZ257">
        <v>5</v>
      </c>
      <c r="BA257">
        <v>9</v>
      </c>
      <c r="BB257">
        <v>57</v>
      </c>
      <c r="BC257">
        <v>0</v>
      </c>
      <c r="BD257">
        <v>0</v>
      </c>
      <c r="BE257">
        <v>0</v>
      </c>
      <c r="BF257">
        <v>0</v>
      </c>
      <c r="BG257">
        <v>35.551000000000002</v>
      </c>
      <c r="BH257">
        <v>55.317999999999998</v>
      </c>
      <c r="BI257">
        <v>64.164000000000001</v>
      </c>
      <c r="BJ257">
        <v>0</v>
      </c>
      <c r="BK257">
        <v>0</v>
      </c>
      <c r="BL257">
        <v>0</v>
      </c>
      <c r="BM257">
        <v>-5.8070000000000004</v>
      </c>
      <c r="BN257">
        <v>64.164000000000001</v>
      </c>
      <c r="BO257">
        <v>55.317999999999998</v>
      </c>
      <c r="BP257">
        <v>0</v>
      </c>
      <c r="BQ257">
        <v>35.551000000000002</v>
      </c>
      <c r="BR257">
        <v>5.8070000000000004</v>
      </c>
      <c r="BS257">
        <v>0</v>
      </c>
      <c r="BT257">
        <v>0</v>
      </c>
      <c r="BU257">
        <v>0</v>
      </c>
      <c r="BV257">
        <v>1871</v>
      </c>
      <c r="BW257">
        <v>62.231999999999999</v>
      </c>
      <c r="BX257">
        <v>219.42857000000001</v>
      </c>
      <c r="BY257">
        <v>19</v>
      </c>
      <c r="BZ257">
        <v>353.42856</v>
      </c>
      <c r="CA257">
        <v>6.9139999999999997</v>
      </c>
      <c r="CB257">
        <v>1048</v>
      </c>
      <c r="CC257">
        <v>123.286</v>
      </c>
      <c r="CD257">
        <v>4.4029999999999996</v>
      </c>
      <c r="CE257">
        <v>7</v>
      </c>
      <c r="CF257">
        <v>2511</v>
      </c>
      <c r="CG257">
        <v>5</v>
      </c>
      <c r="CH257">
        <v>230.143</v>
      </c>
      <c r="CI257">
        <v>11.11</v>
      </c>
      <c r="CJ257">
        <v>5.9379999999999997</v>
      </c>
      <c r="CK257">
        <v>5.6429999999999998</v>
      </c>
      <c r="CL257">
        <v>0</v>
      </c>
      <c r="CM257">
        <v>16</v>
      </c>
      <c r="CN257">
        <v>0</v>
      </c>
      <c r="CO257">
        <v>100</v>
      </c>
      <c r="CP257">
        <v>75</v>
      </c>
      <c r="CQ257">
        <v>12</v>
      </c>
      <c r="CR257">
        <v>48</v>
      </c>
      <c r="CS257">
        <v>7.5380000000000003</v>
      </c>
      <c r="CT257">
        <v>22</v>
      </c>
      <c r="CU257">
        <v>9</v>
      </c>
      <c r="CV257">
        <v>0</v>
      </c>
      <c r="CW257">
        <v>5</v>
      </c>
      <c r="CX257">
        <v>120</v>
      </c>
      <c r="CY257">
        <v>19.286000000000001</v>
      </c>
      <c r="CZ257">
        <v>40</v>
      </c>
      <c r="DA257">
        <v>39.326000000000001</v>
      </c>
      <c r="DB257">
        <v>57.86</v>
      </c>
      <c r="DC257">
        <v>2</v>
      </c>
      <c r="DD257">
        <v>2996</v>
      </c>
      <c r="DE257">
        <v>65.843999999999994</v>
      </c>
      <c r="DF257">
        <v>256.71429999999998</v>
      </c>
      <c r="DG257">
        <v>30</v>
      </c>
      <c r="DH257">
        <v>370</v>
      </c>
      <c r="DI257">
        <v>7.6790000000000003</v>
      </c>
      <c r="DJ257">
        <v>789</v>
      </c>
      <c r="DK257">
        <v>103.429</v>
      </c>
      <c r="DL257">
        <v>4.1369999999999996</v>
      </c>
      <c r="DM257">
        <v>4</v>
      </c>
      <c r="DN257">
        <v>3261</v>
      </c>
      <c r="DO257">
        <v>17</v>
      </c>
      <c r="DP257">
        <v>266.57100000000003</v>
      </c>
      <c r="DQ257">
        <v>11.663</v>
      </c>
      <c r="DR257">
        <v>6.577</v>
      </c>
      <c r="DS257">
        <v>16.111000000000001</v>
      </c>
      <c r="DT257">
        <v>0</v>
      </c>
      <c r="DU257">
        <v>26</v>
      </c>
      <c r="DV257">
        <v>0</v>
      </c>
      <c r="DW257">
        <v>90.475999999999999</v>
      </c>
      <c r="DX257">
        <v>71.429000000000002</v>
      </c>
      <c r="DY257">
        <v>10</v>
      </c>
      <c r="DZ257">
        <v>49</v>
      </c>
      <c r="EA257">
        <v>14.2</v>
      </c>
      <c r="EB257">
        <v>11</v>
      </c>
      <c r="EC257">
        <v>22</v>
      </c>
      <c r="ED257">
        <v>0</v>
      </c>
      <c r="EE257">
        <v>17</v>
      </c>
      <c r="EF257">
        <v>175</v>
      </c>
      <c r="EG257">
        <v>22</v>
      </c>
      <c r="EH257">
        <v>66.667000000000002</v>
      </c>
      <c r="EI257">
        <v>37.661999999999999</v>
      </c>
      <c r="EJ257">
        <v>65.239999999999995</v>
      </c>
      <c r="EK257">
        <v>3</v>
      </c>
    </row>
    <row r="258" spans="1:141" x14ac:dyDescent="0.25">
      <c r="A258">
        <v>0</v>
      </c>
      <c r="B258">
        <v>0</v>
      </c>
      <c r="C258">
        <v>0</v>
      </c>
      <c r="D258">
        <v>2025</v>
      </c>
      <c r="E258">
        <v>18</v>
      </c>
      <c r="F258" t="str">
        <f>VLOOKUP(G258, Map!$A$1:$B$33, 2, FALSE)</f>
        <v>ATL</v>
      </c>
      <c r="G258" t="s">
        <v>167</v>
      </c>
      <c r="H258" t="str">
        <f>VLOOKUP(I258, Map!$A$1:$B$33, 2, FALSE)</f>
        <v>NO</v>
      </c>
      <c r="I258" t="s">
        <v>168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4</v>
      </c>
      <c r="P258">
        <v>22</v>
      </c>
      <c r="Q258">
        <v>17.142856999999999</v>
      </c>
      <c r="R258">
        <v>-34</v>
      </c>
      <c r="S258">
        <v>-2</v>
      </c>
      <c r="T258">
        <v>0.42857142999999998</v>
      </c>
      <c r="U258">
        <v>0</v>
      </c>
      <c r="V258">
        <v>2</v>
      </c>
      <c r="W258">
        <v>2</v>
      </c>
      <c r="X258">
        <v>2</v>
      </c>
      <c r="Y258">
        <v>1</v>
      </c>
      <c r="Z258">
        <v>2</v>
      </c>
      <c r="AA258">
        <v>2</v>
      </c>
      <c r="AB258">
        <v>3</v>
      </c>
      <c r="AC258">
        <v>7</v>
      </c>
      <c r="AD258">
        <v>10</v>
      </c>
      <c r="AE258">
        <v>9</v>
      </c>
      <c r="AF258">
        <v>8</v>
      </c>
      <c r="AG258">
        <v>64</v>
      </c>
      <c r="AH258">
        <v>0</v>
      </c>
      <c r="AI258">
        <v>1</v>
      </c>
      <c r="AJ258">
        <v>7</v>
      </c>
      <c r="AK258">
        <v>26.125</v>
      </c>
      <c r="AL258">
        <v>16</v>
      </c>
      <c r="AM258">
        <v>-81</v>
      </c>
      <c r="AN258">
        <v>-3</v>
      </c>
      <c r="AO258">
        <v>0.125</v>
      </c>
      <c r="AP258">
        <v>0</v>
      </c>
      <c r="AQ258">
        <v>1</v>
      </c>
      <c r="AR258">
        <v>1</v>
      </c>
      <c r="AS258">
        <v>4</v>
      </c>
      <c r="AT258">
        <v>0</v>
      </c>
      <c r="AU258">
        <v>3</v>
      </c>
      <c r="AV258">
        <v>1</v>
      </c>
      <c r="AW258">
        <v>5</v>
      </c>
      <c r="AX258">
        <v>7</v>
      </c>
      <c r="AY258">
        <v>10</v>
      </c>
      <c r="AZ258">
        <v>7</v>
      </c>
      <c r="BA258">
        <v>10</v>
      </c>
      <c r="BB258">
        <v>64</v>
      </c>
      <c r="BC258">
        <v>0</v>
      </c>
      <c r="BD258">
        <v>0</v>
      </c>
      <c r="BE258">
        <v>0</v>
      </c>
      <c r="BF258">
        <v>0</v>
      </c>
      <c r="BG258">
        <v>70.207999999999998</v>
      </c>
      <c r="BH258">
        <v>19.655999999999999</v>
      </c>
      <c r="BI258">
        <v>29.555</v>
      </c>
      <c r="BJ258">
        <v>0</v>
      </c>
      <c r="BK258">
        <v>0</v>
      </c>
      <c r="BL258">
        <v>0</v>
      </c>
      <c r="BM258">
        <v>7.9260000000000002</v>
      </c>
      <c r="BN258">
        <v>29.555</v>
      </c>
      <c r="BO258">
        <v>19.655999999999999</v>
      </c>
      <c r="BP258">
        <v>0</v>
      </c>
      <c r="BQ258">
        <v>70.207999999999998</v>
      </c>
      <c r="BR258">
        <v>-7.9260000000000002</v>
      </c>
      <c r="BS258">
        <v>0</v>
      </c>
      <c r="BT258">
        <v>0</v>
      </c>
      <c r="BU258">
        <v>0</v>
      </c>
      <c r="BV258">
        <v>1871</v>
      </c>
      <c r="BW258">
        <v>62.231999999999999</v>
      </c>
      <c r="BX258">
        <v>219.42857000000001</v>
      </c>
      <c r="BY258">
        <v>19</v>
      </c>
      <c r="BZ258">
        <v>353.42856</v>
      </c>
      <c r="CA258">
        <v>6.9139999999999997</v>
      </c>
      <c r="CB258">
        <v>1048</v>
      </c>
      <c r="CC258">
        <v>123.286</v>
      </c>
      <c r="CD258">
        <v>4.4029999999999996</v>
      </c>
      <c r="CE258">
        <v>7</v>
      </c>
      <c r="CF258">
        <v>2511</v>
      </c>
      <c r="CG258">
        <v>5</v>
      </c>
      <c r="CH258">
        <v>230.143</v>
      </c>
      <c r="CI258">
        <v>11.11</v>
      </c>
      <c r="CJ258">
        <v>5.9379999999999997</v>
      </c>
      <c r="CK258">
        <v>5.6429999999999998</v>
      </c>
      <c r="CL258">
        <v>0</v>
      </c>
      <c r="CM258">
        <v>16</v>
      </c>
      <c r="CN258">
        <v>0</v>
      </c>
      <c r="CO258">
        <v>100</v>
      </c>
      <c r="CP258">
        <v>75</v>
      </c>
      <c r="CQ258">
        <v>12</v>
      </c>
      <c r="CR258">
        <v>48</v>
      </c>
      <c r="CS258">
        <v>7.5380000000000003</v>
      </c>
      <c r="CT258">
        <v>22</v>
      </c>
      <c r="CU258">
        <v>9</v>
      </c>
      <c r="CV258">
        <v>0</v>
      </c>
      <c r="CW258">
        <v>5</v>
      </c>
      <c r="CX258">
        <v>120</v>
      </c>
      <c r="CY258">
        <v>19.286000000000001</v>
      </c>
      <c r="CZ258">
        <v>40</v>
      </c>
      <c r="DA258">
        <v>39.326000000000001</v>
      </c>
      <c r="DB258">
        <v>57.86</v>
      </c>
      <c r="DC258">
        <v>2</v>
      </c>
      <c r="DD258">
        <v>2083</v>
      </c>
      <c r="DE258">
        <v>66.206999999999994</v>
      </c>
      <c r="DF258">
        <v>201.375</v>
      </c>
      <c r="DG258">
        <v>13</v>
      </c>
      <c r="DH258">
        <v>310.25</v>
      </c>
      <c r="DI258">
        <v>5.976</v>
      </c>
      <c r="DJ258">
        <v>779</v>
      </c>
      <c r="DK258">
        <v>93.625</v>
      </c>
      <c r="DL258">
        <v>3.7829999999999999</v>
      </c>
      <c r="DM258">
        <v>3</v>
      </c>
      <c r="DN258">
        <v>2973</v>
      </c>
      <c r="DO258">
        <v>8</v>
      </c>
      <c r="DP258">
        <v>216.625</v>
      </c>
      <c r="DQ258">
        <v>9.0259999999999998</v>
      </c>
      <c r="DR258">
        <v>6.0590000000000002</v>
      </c>
      <c r="DS258">
        <v>4.7779999999999996</v>
      </c>
      <c r="DT258">
        <v>1</v>
      </c>
      <c r="DU258">
        <v>17</v>
      </c>
      <c r="DV258">
        <v>0</v>
      </c>
      <c r="DW258">
        <v>100</v>
      </c>
      <c r="DX258">
        <v>71.429000000000002</v>
      </c>
      <c r="DY258">
        <v>15</v>
      </c>
      <c r="DZ258">
        <v>56</v>
      </c>
      <c r="EA258">
        <v>15.25</v>
      </c>
      <c r="EB258">
        <v>7</v>
      </c>
      <c r="EC258">
        <v>27</v>
      </c>
      <c r="ED258">
        <v>6</v>
      </c>
      <c r="EE258">
        <v>8</v>
      </c>
      <c r="EF258">
        <v>128</v>
      </c>
      <c r="EG258">
        <v>19.125</v>
      </c>
      <c r="EH258">
        <v>33.332999999999998</v>
      </c>
      <c r="EI258">
        <v>38.835000000000001</v>
      </c>
      <c r="EJ258">
        <v>61.22</v>
      </c>
      <c r="EK258">
        <v>-2</v>
      </c>
    </row>
    <row r="259" spans="1:141" x14ac:dyDescent="0.25">
      <c r="A259">
        <v>0</v>
      </c>
      <c r="B259">
        <v>0</v>
      </c>
      <c r="C259">
        <v>0</v>
      </c>
      <c r="D259">
        <v>2025</v>
      </c>
      <c r="E259">
        <v>18</v>
      </c>
      <c r="F259" t="str">
        <f>VLOOKUP(G259, Map!$A$1:$B$33, 2, FALSE)</f>
        <v>BUF</v>
      </c>
      <c r="G259" t="s">
        <v>165</v>
      </c>
      <c r="H259" t="str">
        <f>VLOOKUP(I259, Map!$A$1:$B$33, 2, FALSE)</f>
        <v>NYJ</v>
      </c>
      <c r="I259" t="s">
        <v>166</v>
      </c>
      <c r="J259">
        <v>0</v>
      </c>
      <c r="K259">
        <v>0</v>
      </c>
      <c r="L259">
        <v>0</v>
      </c>
      <c r="M259">
        <v>0</v>
      </c>
      <c r="N259">
        <v>5</v>
      </c>
      <c r="O259">
        <v>2</v>
      </c>
      <c r="P259">
        <v>20.857143000000001</v>
      </c>
      <c r="Q259">
        <v>29.571428000000001</v>
      </c>
      <c r="R259">
        <v>61</v>
      </c>
      <c r="S259">
        <v>1</v>
      </c>
      <c r="T259">
        <v>0.71428572999999995</v>
      </c>
      <c r="U259">
        <v>2</v>
      </c>
      <c r="V259">
        <v>1</v>
      </c>
      <c r="W259">
        <v>3</v>
      </c>
      <c r="X259">
        <v>1</v>
      </c>
      <c r="Y259">
        <v>2</v>
      </c>
      <c r="Z259">
        <v>1</v>
      </c>
      <c r="AA259">
        <v>3</v>
      </c>
      <c r="AB259">
        <v>1</v>
      </c>
      <c r="AC259">
        <v>14</v>
      </c>
      <c r="AD259">
        <v>4</v>
      </c>
      <c r="AE259">
        <v>8</v>
      </c>
      <c r="AF259">
        <v>9</v>
      </c>
      <c r="AG259">
        <v>68</v>
      </c>
      <c r="AH259">
        <v>0</v>
      </c>
      <c r="AI259">
        <v>1</v>
      </c>
      <c r="AJ259">
        <v>7</v>
      </c>
      <c r="AK259">
        <v>27.625</v>
      </c>
      <c r="AL259">
        <v>21</v>
      </c>
      <c r="AM259">
        <v>-53</v>
      </c>
      <c r="AN259">
        <v>1</v>
      </c>
      <c r="AO259">
        <v>0.125</v>
      </c>
      <c r="AP259">
        <v>0</v>
      </c>
      <c r="AQ259">
        <v>2</v>
      </c>
      <c r="AR259">
        <v>0</v>
      </c>
      <c r="AS259">
        <v>5</v>
      </c>
      <c r="AT259">
        <v>1</v>
      </c>
      <c r="AU259">
        <v>2</v>
      </c>
      <c r="AV259">
        <v>1</v>
      </c>
      <c r="AW259">
        <v>4</v>
      </c>
      <c r="AX259">
        <v>7</v>
      </c>
      <c r="AY259">
        <v>10</v>
      </c>
      <c r="AZ259">
        <v>8</v>
      </c>
      <c r="BA259">
        <v>9</v>
      </c>
      <c r="BB259">
        <v>60</v>
      </c>
      <c r="BC259">
        <v>0</v>
      </c>
      <c r="BD259">
        <v>0</v>
      </c>
      <c r="BE259">
        <v>0</v>
      </c>
      <c r="BF259">
        <v>0</v>
      </c>
      <c r="BG259">
        <v>77.073999999999998</v>
      </c>
      <c r="BH259">
        <v>47.466999999999999</v>
      </c>
      <c r="BI259">
        <v>22.742999999999999</v>
      </c>
      <c r="BJ259">
        <v>0</v>
      </c>
      <c r="BK259">
        <v>0</v>
      </c>
      <c r="BL259">
        <v>0</v>
      </c>
      <c r="BM259">
        <v>11.521000000000001</v>
      </c>
      <c r="BN259">
        <v>22.742999999999999</v>
      </c>
      <c r="BO259">
        <v>47.466999999999999</v>
      </c>
      <c r="BP259">
        <v>0</v>
      </c>
      <c r="BQ259">
        <v>77.073999999999998</v>
      </c>
      <c r="BR259">
        <v>-11.521000000000001</v>
      </c>
      <c r="BS259">
        <v>0</v>
      </c>
      <c r="BT259">
        <v>0</v>
      </c>
      <c r="BU259">
        <v>0</v>
      </c>
      <c r="BV259">
        <v>2334</v>
      </c>
      <c r="BW259">
        <v>67.488</v>
      </c>
      <c r="BX259">
        <v>218.42857000000001</v>
      </c>
      <c r="BY259">
        <v>22</v>
      </c>
      <c r="BZ259">
        <v>395</v>
      </c>
      <c r="CA259">
        <v>7.9509999999999996</v>
      </c>
      <c r="CB259">
        <v>1576</v>
      </c>
      <c r="CC259">
        <v>164.429</v>
      </c>
      <c r="CD259">
        <v>5.2080000000000002</v>
      </c>
      <c r="CE259">
        <v>13</v>
      </c>
      <c r="CF259">
        <v>2719</v>
      </c>
      <c r="CG259">
        <v>12</v>
      </c>
      <c r="CH259">
        <v>230.571</v>
      </c>
      <c r="CI259">
        <v>11.781000000000001</v>
      </c>
      <c r="CJ259">
        <v>5.8639999999999999</v>
      </c>
      <c r="CK259">
        <v>5.35</v>
      </c>
      <c r="CL259">
        <v>0</v>
      </c>
      <c r="CM259">
        <v>22</v>
      </c>
      <c r="CN259">
        <v>0</v>
      </c>
      <c r="CO259">
        <v>95.454999999999998</v>
      </c>
      <c r="CP259">
        <v>92.308000000000007</v>
      </c>
      <c r="CQ259">
        <v>12</v>
      </c>
      <c r="CR259">
        <v>57</v>
      </c>
      <c r="CS259">
        <v>8</v>
      </c>
      <c r="CT259">
        <v>22</v>
      </c>
      <c r="CU259">
        <v>10</v>
      </c>
      <c r="CV259">
        <v>0</v>
      </c>
      <c r="CW259">
        <v>12</v>
      </c>
      <c r="CX259">
        <v>207</v>
      </c>
      <c r="CY259">
        <v>23.143000000000001</v>
      </c>
      <c r="CZ259">
        <v>60</v>
      </c>
      <c r="DA259">
        <v>43.75</v>
      </c>
      <c r="DB259">
        <v>73.47</v>
      </c>
      <c r="DC259">
        <v>2</v>
      </c>
      <c r="DD259">
        <v>2012</v>
      </c>
      <c r="DE259">
        <v>63.713000000000001</v>
      </c>
      <c r="DF259">
        <v>156.5</v>
      </c>
      <c r="DG259">
        <v>15</v>
      </c>
      <c r="DH259">
        <v>327.625</v>
      </c>
      <c r="DI259">
        <v>6.2110000000000003</v>
      </c>
      <c r="DJ259">
        <v>1254</v>
      </c>
      <c r="DK259">
        <v>143.625</v>
      </c>
      <c r="DL259">
        <v>5.1989999999999998</v>
      </c>
      <c r="DM259">
        <v>6</v>
      </c>
      <c r="DN259">
        <v>2542</v>
      </c>
      <c r="DO259">
        <v>9</v>
      </c>
      <c r="DP259">
        <v>184</v>
      </c>
      <c r="DQ259">
        <v>9.7479999999999993</v>
      </c>
      <c r="DR259">
        <v>6.2729999999999997</v>
      </c>
      <c r="DS259">
        <v>2.4169999999999998</v>
      </c>
      <c r="DT259">
        <v>1</v>
      </c>
      <c r="DU259">
        <v>11</v>
      </c>
      <c r="DV259">
        <v>0</v>
      </c>
      <c r="DW259">
        <v>100</v>
      </c>
      <c r="DX259">
        <v>100</v>
      </c>
      <c r="DY259">
        <v>17</v>
      </c>
      <c r="DZ259">
        <v>60</v>
      </c>
      <c r="EA259">
        <v>6.25</v>
      </c>
      <c r="EB259">
        <v>11</v>
      </c>
      <c r="EC259">
        <v>31</v>
      </c>
      <c r="ED259">
        <v>2</v>
      </c>
      <c r="EE259">
        <v>9</v>
      </c>
      <c r="EF259">
        <v>168</v>
      </c>
      <c r="EG259">
        <v>18.5</v>
      </c>
      <c r="EH259">
        <v>52.631999999999998</v>
      </c>
      <c r="EI259">
        <v>34.905999999999999</v>
      </c>
      <c r="EJ259">
        <v>69.17</v>
      </c>
      <c r="EK259">
        <v>-9</v>
      </c>
    </row>
    <row r="260" spans="1:141" x14ac:dyDescent="0.25">
      <c r="A260">
        <v>0</v>
      </c>
      <c r="B260">
        <v>0</v>
      </c>
      <c r="C260">
        <v>0</v>
      </c>
      <c r="D260">
        <v>2025</v>
      </c>
      <c r="E260">
        <v>18</v>
      </c>
      <c r="F260" t="str">
        <f>VLOOKUP(G260, Map!$A$1:$B$33, 2, FALSE)</f>
        <v>CHI</v>
      </c>
      <c r="G260" t="s">
        <v>163</v>
      </c>
      <c r="H260" t="str">
        <f>VLOOKUP(I260, Map!$A$1:$B$33, 2, FALSE)</f>
        <v>DET</v>
      </c>
      <c r="I260" t="s">
        <v>164</v>
      </c>
      <c r="J260">
        <v>0</v>
      </c>
      <c r="K260">
        <v>0</v>
      </c>
      <c r="L260">
        <v>0</v>
      </c>
      <c r="M260">
        <v>0</v>
      </c>
      <c r="N260">
        <v>4</v>
      </c>
      <c r="O260">
        <v>3</v>
      </c>
      <c r="P260">
        <v>26.428571999999999</v>
      </c>
      <c r="Q260">
        <v>24</v>
      </c>
      <c r="R260">
        <v>-17</v>
      </c>
      <c r="S260">
        <v>-1</v>
      </c>
      <c r="T260">
        <v>0.57142859999999995</v>
      </c>
      <c r="U260">
        <v>0</v>
      </c>
      <c r="V260">
        <v>2</v>
      </c>
      <c r="W260">
        <v>2</v>
      </c>
      <c r="X260">
        <v>1</v>
      </c>
      <c r="Y260">
        <v>2</v>
      </c>
      <c r="Z260">
        <v>2</v>
      </c>
      <c r="AA260">
        <v>3</v>
      </c>
      <c r="AB260">
        <v>2</v>
      </c>
      <c r="AC260">
        <v>3</v>
      </c>
      <c r="AD260">
        <v>14</v>
      </c>
      <c r="AE260">
        <v>5</v>
      </c>
      <c r="AF260">
        <v>11</v>
      </c>
      <c r="AG260">
        <v>61</v>
      </c>
      <c r="AH260">
        <v>0</v>
      </c>
      <c r="AI260">
        <v>5</v>
      </c>
      <c r="AJ260">
        <v>2</v>
      </c>
      <c r="AK260">
        <v>21.571428000000001</v>
      </c>
      <c r="AL260">
        <v>30.714285</v>
      </c>
      <c r="AM260">
        <v>64</v>
      </c>
      <c r="AN260">
        <v>1</v>
      </c>
      <c r="AO260">
        <v>0.71428572999999995</v>
      </c>
      <c r="AP260">
        <v>1</v>
      </c>
      <c r="AQ260">
        <v>1</v>
      </c>
      <c r="AR260">
        <v>3</v>
      </c>
      <c r="AS260">
        <v>0</v>
      </c>
      <c r="AT260">
        <v>2</v>
      </c>
      <c r="AU260">
        <v>2</v>
      </c>
      <c r="AV260">
        <v>2</v>
      </c>
      <c r="AW260">
        <v>1</v>
      </c>
      <c r="AX260">
        <v>8</v>
      </c>
      <c r="AY260">
        <v>8</v>
      </c>
      <c r="AZ260">
        <v>11</v>
      </c>
      <c r="BA260">
        <v>5</v>
      </c>
      <c r="BB260">
        <v>73</v>
      </c>
      <c r="BC260">
        <v>0</v>
      </c>
      <c r="BD260">
        <v>0</v>
      </c>
      <c r="BE260">
        <v>0</v>
      </c>
      <c r="BF260">
        <v>0</v>
      </c>
      <c r="BG260">
        <v>36.679000000000002</v>
      </c>
      <c r="BH260">
        <v>64.813000000000002</v>
      </c>
      <c r="BI260">
        <v>63.027000000000001</v>
      </c>
      <c r="BJ260">
        <v>0</v>
      </c>
      <c r="BK260">
        <v>0</v>
      </c>
      <c r="BL260">
        <v>0</v>
      </c>
      <c r="BM260">
        <v>-5.1509999999999998</v>
      </c>
      <c r="BN260">
        <v>63.027000000000001</v>
      </c>
      <c r="BO260">
        <v>64.813000000000002</v>
      </c>
      <c r="BP260">
        <v>0</v>
      </c>
      <c r="BQ260">
        <v>36.679000000000002</v>
      </c>
      <c r="BR260">
        <v>5.1509999999999998</v>
      </c>
      <c r="BS260">
        <v>0</v>
      </c>
      <c r="BT260">
        <v>0</v>
      </c>
      <c r="BU260">
        <v>0</v>
      </c>
      <c r="BV260">
        <v>2157</v>
      </c>
      <c r="BW260">
        <v>61.947000000000003</v>
      </c>
      <c r="BX260">
        <v>225.57142999999999</v>
      </c>
      <c r="BY260">
        <v>26</v>
      </c>
      <c r="BZ260">
        <v>362.14285000000001</v>
      </c>
      <c r="CA260">
        <v>7.2880000000000003</v>
      </c>
      <c r="CB260">
        <v>1087</v>
      </c>
      <c r="CC260">
        <v>124.571</v>
      </c>
      <c r="CD260">
        <v>4.4039999999999999</v>
      </c>
      <c r="CE260">
        <v>7</v>
      </c>
      <c r="CF260">
        <v>2678</v>
      </c>
      <c r="CG260">
        <v>9</v>
      </c>
      <c r="CH260">
        <v>237.571</v>
      </c>
      <c r="CI260">
        <v>11.763999999999999</v>
      </c>
      <c r="CJ260">
        <v>4.5709999999999997</v>
      </c>
      <c r="CK260">
        <v>2.9409999999999998</v>
      </c>
      <c r="CL260">
        <v>1</v>
      </c>
      <c r="CM260">
        <v>14</v>
      </c>
      <c r="CN260">
        <v>0</v>
      </c>
      <c r="CO260">
        <v>100</v>
      </c>
      <c r="CP260">
        <v>85</v>
      </c>
      <c r="CQ260">
        <v>17</v>
      </c>
      <c r="CR260">
        <v>66</v>
      </c>
      <c r="CS260">
        <v>11.909000000000001</v>
      </c>
      <c r="CT260">
        <v>24</v>
      </c>
      <c r="CU260">
        <v>7</v>
      </c>
      <c r="CV260">
        <v>6</v>
      </c>
      <c r="CW260">
        <v>9</v>
      </c>
      <c r="CX260">
        <v>168</v>
      </c>
      <c r="CY260">
        <v>19.286000000000001</v>
      </c>
      <c r="CZ260">
        <v>37.5</v>
      </c>
      <c r="DA260">
        <v>41.110999999999997</v>
      </c>
      <c r="DB260">
        <v>57.14</v>
      </c>
      <c r="DC260">
        <v>10</v>
      </c>
      <c r="DD260">
        <v>2664</v>
      </c>
      <c r="DE260">
        <v>75</v>
      </c>
      <c r="DF260">
        <v>223.57142999999999</v>
      </c>
      <c r="DG260">
        <v>23</v>
      </c>
      <c r="DH260">
        <v>367.14285000000001</v>
      </c>
      <c r="DI260">
        <v>8.01</v>
      </c>
      <c r="DJ260">
        <v>1256</v>
      </c>
      <c r="DK260">
        <v>133.714</v>
      </c>
      <c r="DL260">
        <v>4.5220000000000002</v>
      </c>
      <c r="DM260">
        <v>10</v>
      </c>
      <c r="DN260">
        <v>2959</v>
      </c>
      <c r="DO260">
        <v>16</v>
      </c>
      <c r="DP260">
        <v>233.429</v>
      </c>
      <c r="DQ260">
        <v>10.68</v>
      </c>
      <c r="DR260">
        <v>6.2610000000000001</v>
      </c>
      <c r="DS260">
        <v>24.2</v>
      </c>
      <c r="DT260">
        <v>1</v>
      </c>
      <c r="DU260">
        <v>23</v>
      </c>
      <c r="DV260">
        <v>0</v>
      </c>
      <c r="DW260">
        <v>100</v>
      </c>
      <c r="DX260">
        <v>72.727000000000004</v>
      </c>
      <c r="DY260">
        <v>8</v>
      </c>
      <c r="DZ260">
        <v>51</v>
      </c>
      <c r="EA260">
        <v>10</v>
      </c>
      <c r="EB260">
        <v>14</v>
      </c>
      <c r="EC260">
        <v>27</v>
      </c>
      <c r="ED260">
        <v>8</v>
      </c>
      <c r="EE260">
        <v>16</v>
      </c>
      <c r="EF260">
        <v>215</v>
      </c>
      <c r="EG260">
        <v>19.856999999999999</v>
      </c>
      <c r="EH260">
        <v>61.537999999999997</v>
      </c>
      <c r="EI260">
        <v>37.646999999999998</v>
      </c>
      <c r="EJ260">
        <v>74.88</v>
      </c>
      <c r="EK260">
        <v>6</v>
      </c>
    </row>
    <row r="261" spans="1:141" x14ac:dyDescent="0.25">
      <c r="A261">
        <v>0</v>
      </c>
      <c r="B261">
        <v>0</v>
      </c>
      <c r="C261">
        <v>0</v>
      </c>
      <c r="D261">
        <v>2025</v>
      </c>
      <c r="E261">
        <v>18</v>
      </c>
      <c r="F261" t="str">
        <f>VLOOKUP(G261, Map!$A$1:$B$33, 2, FALSE)</f>
        <v>CIN</v>
      </c>
      <c r="G261" t="s">
        <v>161</v>
      </c>
      <c r="H261" t="str">
        <f>VLOOKUP(I261, Map!$A$1:$B$33, 2, FALSE)</f>
        <v>CLE</v>
      </c>
      <c r="I261" t="s">
        <v>162</v>
      </c>
      <c r="J261">
        <v>0</v>
      </c>
      <c r="K261">
        <v>0</v>
      </c>
      <c r="L261">
        <v>0</v>
      </c>
      <c r="M261">
        <v>0</v>
      </c>
      <c r="N261">
        <v>3</v>
      </c>
      <c r="O261">
        <v>5</v>
      </c>
      <c r="P261">
        <v>31.625</v>
      </c>
      <c r="Q261">
        <v>21.75</v>
      </c>
      <c r="R261">
        <v>-79</v>
      </c>
      <c r="S261">
        <v>-1</v>
      </c>
      <c r="T261">
        <v>0.375</v>
      </c>
      <c r="U261">
        <v>2</v>
      </c>
      <c r="V261">
        <v>0</v>
      </c>
      <c r="W261">
        <v>2</v>
      </c>
      <c r="X261">
        <v>2</v>
      </c>
      <c r="Y261">
        <v>1</v>
      </c>
      <c r="Z261">
        <v>3</v>
      </c>
      <c r="AA261">
        <v>3</v>
      </c>
      <c r="AB261">
        <v>2</v>
      </c>
      <c r="AC261">
        <v>14</v>
      </c>
      <c r="AD261">
        <v>4</v>
      </c>
      <c r="AE261">
        <v>13</v>
      </c>
      <c r="AF261">
        <v>5</v>
      </c>
      <c r="AG261">
        <v>59</v>
      </c>
      <c r="AH261">
        <v>0</v>
      </c>
      <c r="AI261">
        <v>2</v>
      </c>
      <c r="AJ261">
        <v>6</v>
      </c>
      <c r="AK261">
        <v>23</v>
      </c>
      <c r="AL261">
        <v>15.75</v>
      </c>
      <c r="AM261">
        <v>-58</v>
      </c>
      <c r="AN261">
        <v>-1</v>
      </c>
      <c r="AO261">
        <v>0.25</v>
      </c>
      <c r="AP261">
        <v>0</v>
      </c>
      <c r="AQ261">
        <v>3</v>
      </c>
      <c r="AR261">
        <v>2</v>
      </c>
      <c r="AS261">
        <v>2</v>
      </c>
      <c r="AT261">
        <v>0</v>
      </c>
      <c r="AU261">
        <v>4</v>
      </c>
      <c r="AV261">
        <v>1</v>
      </c>
      <c r="AW261">
        <v>4</v>
      </c>
      <c r="AX261">
        <v>7</v>
      </c>
      <c r="AY261">
        <v>10</v>
      </c>
      <c r="AZ261">
        <v>8</v>
      </c>
      <c r="BA261">
        <v>9</v>
      </c>
      <c r="BB261">
        <v>61</v>
      </c>
      <c r="BC261">
        <v>0</v>
      </c>
      <c r="BD261">
        <v>0</v>
      </c>
      <c r="BE261">
        <v>0</v>
      </c>
      <c r="BF261">
        <v>0</v>
      </c>
      <c r="BG261">
        <v>71.623999999999995</v>
      </c>
      <c r="BH261">
        <v>39.328000000000003</v>
      </c>
      <c r="BI261">
        <v>28.15</v>
      </c>
      <c r="BJ261">
        <v>0</v>
      </c>
      <c r="BK261">
        <v>0</v>
      </c>
      <c r="BL261">
        <v>0</v>
      </c>
      <c r="BM261">
        <v>9.0640000000000001</v>
      </c>
      <c r="BN261">
        <v>28.15</v>
      </c>
      <c r="BO261">
        <v>39.328000000000003</v>
      </c>
      <c r="BP261">
        <v>0</v>
      </c>
      <c r="BQ261">
        <v>71.623999999999995</v>
      </c>
      <c r="BR261">
        <v>-9.0640000000000001</v>
      </c>
      <c r="BS261">
        <v>0</v>
      </c>
      <c r="BT261">
        <v>0</v>
      </c>
      <c r="BU261">
        <v>0</v>
      </c>
      <c r="BV261">
        <v>2540</v>
      </c>
      <c r="BW261">
        <v>63.636000000000003</v>
      </c>
      <c r="BX261">
        <v>202</v>
      </c>
      <c r="BY261">
        <v>15</v>
      </c>
      <c r="BZ261">
        <v>299.125</v>
      </c>
      <c r="CA261">
        <v>6.0490000000000004</v>
      </c>
      <c r="CB261">
        <v>793</v>
      </c>
      <c r="CC261">
        <v>82.875</v>
      </c>
      <c r="CD261">
        <v>4.3049999999999997</v>
      </c>
      <c r="CE261">
        <v>5</v>
      </c>
      <c r="CF261">
        <v>3165</v>
      </c>
      <c r="CG261">
        <v>15</v>
      </c>
      <c r="CH261">
        <v>216.25</v>
      </c>
      <c r="CI261">
        <v>9.5050000000000008</v>
      </c>
      <c r="CJ261">
        <v>5.2729999999999997</v>
      </c>
      <c r="CK261">
        <v>3.3570000000000002</v>
      </c>
      <c r="CL261">
        <v>0</v>
      </c>
      <c r="CM261">
        <v>11</v>
      </c>
      <c r="CN261">
        <v>0</v>
      </c>
      <c r="CO261">
        <v>100</v>
      </c>
      <c r="CP261">
        <v>84.614999999999995</v>
      </c>
      <c r="CQ261">
        <v>11</v>
      </c>
      <c r="CR261">
        <v>52</v>
      </c>
      <c r="CS261">
        <v>11.523999999999999</v>
      </c>
      <c r="CT261">
        <v>37</v>
      </c>
      <c r="CU261">
        <v>11</v>
      </c>
      <c r="CV261">
        <v>0</v>
      </c>
      <c r="CW261">
        <v>15</v>
      </c>
      <c r="CX261">
        <v>174</v>
      </c>
      <c r="CY261">
        <v>18.5</v>
      </c>
      <c r="CZ261">
        <v>80</v>
      </c>
      <c r="DA261">
        <v>39.393999999999998</v>
      </c>
      <c r="DB261">
        <v>79.87</v>
      </c>
      <c r="DC261">
        <v>-2</v>
      </c>
      <c r="DD261">
        <v>1756</v>
      </c>
      <c r="DE261">
        <v>58.94</v>
      </c>
      <c r="DF261">
        <v>174.125</v>
      </c>
      <c r="DG261">
        <v>14</v>
      </c>
      <c r="DH261">
        <v>279.125</v>
      </c>
      <c r="DI261">
        <v>4.9870000000000001</v>
      </c>
      <c r="DJ261">
        <v>896</v>
      </c>
      <c r="DK261">
        <v>89.5</v>
      </c>
      <c r="DL261">
        <v>3.7679999999999998</v>
      </c>
      <c r="DM261">
        <v>6</v>
      </c>
      <c r="DN261">
        <v>2652</v>
      </c>
      <c r="DO261">
        <v>7</v>
      </c>
      <c r="DP261">
        <v>189.625</v>
      </c>
      <c r="DQ261">
        <v>8.4610000000000003</v>
      </c>
      <c r="DR261">
        <v>6.9169999999999998</v>
      </c>
      <c r="DS261">
        <v>4.3029999999999999</v>
      </c>
      <c r="DT261">
        <v>1</v>
      </c>
      <c r="DU261">
        <v>24</v>
      </c>
      <c r="DV261">
        <v>0</v>
      </c>
      <c r="DW261">
        <v>92.308000000000007</v>
      </c>
      <c r="DX261">
        <v>76.923000000000002</v>
      </c>
      <c r="DY261">
        <v>10</v>
      </c>
      <c r="DZ261">
        <v>42</v>
      </c>
      <c r="EA261">
        <v>11.412000000000001</v>
      </c>
      <c r="EB261">
        <v>16</v>
      </c>
      <c r="EC261">
        <v>42</v>
      </c>
      <c r="ED261">
        <v>6</v>
      </c>
      <c r="EE261">
        <v>7</v>
      </c>
      <c r="EF261">
        <v>126</v>
      </c>
      <c r="EG261">
        <v>16.75</v>
      </c>
      <c r="EH261">
        <v>57.895000000000003</v>
      </c>
      <c r="EI261">
        <v>33.042999999999999</v>
      </c>
      <c r="EJ261">
        <v>69.39</v>
      </c>
      <c r="EK261">
        <v>0</v>
      </c>
    </row>
    <row r="262" spans="1:141" x14ac:dyDescent="0.25">
      <c r="A262">
        <v>0</v>
      </c>
      <c r="B262">
        <v>0</v>
      </c>
      <c r="C262">
        <v>0</v>
      </c>
      <c r="D262">
        <v>2025</v>
      </c>
      <c r="E262">
        <v>18</v>
      </c>
      <c r="F262" t="str">
        <f>VLOOKUP(G262, Map!$A$1:$B$33, 2, FALSE)</f>
        <v>DEN</v>
      </c>
      <c r="G262" t="s">
        <v>159</v>
      </c>
      <c r="H262" t="str">
        <f>VLOOKUP(I262, Map!$A$1:$B$33, 2, FALSE)</f>
        <v>LAC</v>
      </c>
      <c r="I262" t="s">
        <v>160</v>
      </c>
      <c r="J262">
        <v>0</v>
      </c>
      <c r="K262">
        <v>0</v>
      </c>
      <c r="L262">
        <v>0</v>
      </c>
      <c r="M262">
        <v>0</v>
      </c>
      <c r="N262">
        <v>6</v>
      </c>
      <c r="O262">
        <v>2</v>
      </c>
      <c r="P262">
        <v>18.875</v>
      </c>
      <c r="Q262">
        <v>25.875</v>
      </c>
      <c r="R262">
        <v>56</v>
      </c>
      <c r="S262">
        <v>5</v>
      </c>
      <c r="T262">
        <v>0.75</v>
      </c>
      <c r="U262">
        <v>0</v>
      </c>
      <c r="V262">
        <v>1</v>
      </c>
      <c r="W262">
        <v>4</v>
      </c>
      <c r="X262">
        <v>0</v>
      </c>
      <c r="Y262">
        <v>2</v>
      </c>
      <c r="Z262">
        <v>2</v>
      </c>
      <c r="AA262">
        <v>3</v>
      </c>
      <c r="AB262">
        <v>2</v>
      </c>
      <c r="AC262">
        <v>4</v>
      </c>
      <c r="AD262">
        <v>12</v>
      </c>
      <c r="AE262">
        <v>7</v>
      </c>
      <c r="AF262">
        <v>9</v>
      </c>
      <c r="AG262">
        <v>63</v>
      </c>
      <c r="AH262">
        <v>0</v>
      </c>
      <c r="AI262">
        <v>5</v>
      </c>
      <c r="AJ262">
        <v>3</v>
      </c>
      <c r="AK262">
        <v>21.625</v>
      </c>
      <c r="AL262">
        <v>23.5</v>
      </c>
      <c r="AM262">
        <v>15</v>
      </c>
      <c r="AN262">
        <v>1</v>
      </c>
      <c r="AO262">
        <v>0.625</v>
      </c>
      <c r="AP262">
        <v>3</v>
      </c>
      <c r="AQ262">
        <v>0</v>
      </c>
      <c r="AR262">
        <v>3</v>
      </c>
      <c r="AS262">
        <v>2</v>
      </c>
      <c r="AT262">
        <v>2</v>
      </c>
      <c r="AU262">
        <v>1</v>
      </c>
      <c r="AV262">
        <v>4</v>
      </c>
      <c r="AW262">
        <v>1</v>
      </c>
      <c r="AX262">
        <v>10</v>
      </c>
      <c r="AY262">
        <v>7</v>
      </c>
      <c r="AZ262">
        <v>11</v>
      </c>
      <c r="BA262">
        <v>5</v>
      </c>
      <c r="BB262">
        <v>65</v>
      </c>
      <c r="BC262">
        <v>0</v>
      </c>
      <c r="BD262">
        <v>0</v>
      </c>
      <c r="BE262">
        <v>0</v>
      </c>
      <c r="BF262">
        <v>0</v>
      </c>
      <c r="BG262">
        <v>56.44</v>
      </c>
      <c r="BH262">
        <v>75.441999999999993</v>
      </c>
      <c r="BI262">
        <v>43.213000000000001</v>
      </c>
      <c r="BJ262">
        <v>0</v>
      </c>
      <c r="BK262">
        <v>0</v>
      </c>
      <c r="BL262">
        <v>0</v>
      </c>
      <c r="BM262">
        <v>2.3780000000000001</v>
      </c>
      <c r="BN262">
        <v>43.213000000000001</v>
      </c>
      <c r="BO262">
        <v>75.441999999999993</v>
      </c>
      <c r="BP262">
        <v>0</v>
      </c>
      <c r="BQ262">
        <v>56.44</v>
      </c>
      <c r="BR262">
        <v>-2.3780000000000001</v>
      </c>
      <c r="BS262">
        <v>0</v>
      </c>
      <c r="BT262">
        <v>0</v>
      </c>
      <c r="BU262">
        <v>0</v>
      </c>
      <c r="BV262">
        <v>2703</v>
      </c>
      <c r="BW262">
        <v>62.807000000000002</v>
      </c>
      <c r="BX262">
        <v>219.125</v>
      </c>
      <c r="BY262">
        <v>22</v>
      </c>
      <c r="BZ262">
        <v>363.125</v>
      </c>
      <c r="CA262">
        <v>6.3259999999999996</v>
      </c>
      <c r="CB262">
        <v>1407</v>
      </c>
      <c r="CC262">
        <v>137.75</v>
      </c>
      <c r="CD262">
        <v>5.0090000000000003</v>
      </c>
      <c r="CE262">
        <v>10</v>
      </c>
      <c r="CF262">
        <v>3223</v>
      </c>
      <c r="CG262">
        <v>15</v>
      </c>
      <c r="CH262">
        <v>225.375</v>
      </c>
      <c r="CI262">
        <v>10.073</v>
      </c>
      <c r="CJ262">
        <v>6.0279999999999996</v>
      </c>
      <c r="CK262">
        <v>90.5</v>
      </c>
      <c r="CL262">
        <v>0</v>
      </c>
      <c r="CM262">
        <v>36</v>
      </c>
      <c r="CN262">
        <v>0</v>
      </c>
      <c r="CO262">
        <v>100</v>
      </c>
      <c r="CP262">
        <v>90.909000000000006</v>
      </c>
      <c r="CQ262">
        <v>10</v>
      </c>
      <c r="CR262">
        <v>51</v>
      </c>
      <c r="CS262">
        <v>10.467000000000001</v>
      </c>
      <c r="CT262">
        <v>38</v>
      </c>
      <c r="CU262">
        <v>18</v>
      </c>
      <c r="CV262">
        <v>0</v>
      </c>
      <c r="CW262">
        <v>15</v>
      </c>
      <c r="CX262">
        <v>207</v>
      </c>
      <c r="CY262">
        <v>20.75</v>
      </c>
      <c r="CZ262">
        <v>50</v>
      </c>
      <c r="DA262">
        <v>37.863999999999997</v>
      </c>
      <c r="DB262">
        <v>73.02</v>
      </c>
      <c r="DC262">
        <v>-1</v>
      </c>
      <c r="DD262">
        <v>3094</v>
      </c>
      <c r="DE262">
        <v>68</v>
      </c>
      <c r="DF262">
        <v>255.375</v>
      </c>
      <c r="DG262">
        <v>26</v>
      </c>
      <c r="DH262">
        <v>396.125</v>
      </c>
      <c r="DI262">
        <v>7.28</v>
      </c>
      <c r="DJ262">
        <v>1030</v>
      </c>
      <c r="DK262">
        <v>123.125</v>
      </c>
      <c r="DL262">
        <v>4.8520000000000003</v>
      </c>
      <c r="DM262">
        <v>3</v>
      </c>
      <c r="DN262">
        <v>3764</v>
      </c>
      <c r="DO262">
        <v>16</v>
      </c>
      <c r="DP262">
        <v>273</v>
      </c>
      <c r="DQ262">
        <v>10.706</v>
      </c>
      <c r="DR262">
        <v>5.5910000000000002</v>
      </c>
      <c r="DS262">
        <v>5.05</v>
      </c>
      <c r="DT262">
        <v>0</v>
      </c>
      <c r="DU262">
        <v>22</v>
      </c>
      <c r="DV262">
        <v>0</v>
      </c>
      <c r="DW262">
        <v>100</v>
      </c>
      <c r="DX262">
        <v>94.736999999999995</v>
      </c>
      <c r="DY262">
        <v>18</v>
      </c>
      <c r="DZ262">
        <v>72</v>
      </c>
      <c r="EA262">
        <v>12.5</v>
      </c>
      <c r="EB262">
        <v>8</v>
      </c>
      <c r="EC262">
        <v>20</v>
      </c>
      <c r="ED262">
        <v>0</v>
      </c>
      <c r="EE262">
        <v>16</v>
      </c>
      <c r="EF262">
        <v>188</v>
      </c>
      <c r="EG262">
        <v>21.875</v>
      </c>
      <c r="EH262">
        <v>70</v>
      </c>
      <c r="EI262">
        <v>48.673000000000002</v>
      </c>
      <c r="EJ262">
        <v>61.73</v>
      </c>
      <c r="EK262">
        <v>-3</v>
      </c>
    </row>
    <row r="263" spans="1:141" x14ac:dyDescent="0.25">
      <c r="A263">
        <v>0</v>
      </c>
      <c r="B263">
        <v>0</v>
      </c>
      <c r="C263">
        <v>0</v>
      </c>
      <c r="D263">
        <v>2025</v>
      </c>
      <c r="E263">
        <v>18</v>
      </c>
      <c r="F263" t="str">
        <f>VLOOKUP(G263, Map!$A$1:$B$33, 2, FALSE)</f>
        <v>LV</v>
      </c>
      <c r="G263" t="s">
        <v>157</v>
      </c>
      <c r="H263" t="str">
        <f>VLOOKUP(I263, Map!$A$1:$B$33, 2, FALSE)</f>
        <v>KC</v>
      </c>
      <c r="I263" t="s">
        <v>158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5</v>
      </c>
      <c r="P263">
        <v>25.714285</v>
      </c>
      <c r="Q263">
        <v>14.714286</v>
      </c>
      <c r="R263">
        <v>-77</v>
      </c>
      <c r="S263">
        <v>-1</v>
      </c>
      <c r="T263">
        <v>0.28571429999999998</v>
      </c>
      <c r="U263">
        <v>0</v>
      </c>
      <c r="V263">
        <v>2</v>
      </c>
      <c r="W263">
        <v>1</v>
      </c>
      <c r="X263">
        <v>2</v>
      </c>
      <c r="Y263">
        <v>1</v>
      </c>
      <c r="Z263">
        <v>3</v>
      </c>
      <c r="AA263">
        <v>2</v>
      </c>
      <c r="AB263">
        <v>3</v>
      </c>
      <c r="AC263">
        <v>6</v>
      </c>
      <c r="AD263">
        <v>10</v>
      </c>
      <c r="AE263">
        <v>8</v>
      </c>
      <c r="AF263">
        <v>8</v>
      </c>
      <c r="AG263">
        <v>56</v>
      </c>
      <c r="AH263">
        <v>0</v>
      </c>
      <c r="AI263">
        <v>5</v>
      </c>
      <c r="AJ263">
        <v>3</v>
      </c>
      <c r="AK263">
        <v>16.375</v>
      </c>
      <c r="AL263">
        <v>26.75</v>
      </c>
      <c r="AM263">
        <v>83</v>
      </c>
      <c r="AN263">
        <v>3</v>
      </c>
      <c r="AO263">
        <v>0.625</v>
      </c>
      <c r="AP263">
        <v>1</v>
      </c>
      <c r="AQ263">
        <v>1</v>
      </c>
      <c r="AR263">
        <v>4</v>
      </c>
      <c r="AS263">
        <v>1</v>
      </c>
      <c r="AT263">
        <v>1</v>
      </c>
      <c r="AU263">
        <v>2</v>
      </c>
      <c r="AV263">
        <v>2</v>
      </c>
      <c r="AW263">
        <v>2</v>
      </c>
      <c r="AX263">
        <v>16</v>
      </c>
      <c r="AY263">
        <v>3</v>
      </c>
      <c r="AZ263">
        <v>7</v>
      </c>
      <c r="BA263">
        <v>11</v>
      </c>
      <c r="BB263">
        <v>65</v>
      </c>
      <c r="BC263">
        <v>0</v>
      </c>
      <c r="BD263">
        <v>0</v>
      </c>
      <c r="BE263">
        <v>0</v>
      </c>
      <c r="BF263">
        <v>0</v>
      </c>
      <c r="BG263">
        <v>21.332999999999998</v>
      </c>
      <c r="BH263">
        <v>57.587000000000003</v>
      </c>
      <c r="BI263">
        <v>78.495000000000005</v>
      </c>
      <c r="BJ263">
        <v>0</v>
      </c>
      <c r="BK263">
        <v>0</v>
      </c>
      <c r="BL263">
        <v>0</v>
      </c>
      <c r="BM263">
        <v>-11.919</v>
      </c>
      <c r="BN263">
        <v>78.495000000000005</v>
      </c>
      <c r="BO263">
        <v>57.587000000000003</v>
      </c>
      <c r="BP263">
        <v>0</v>
      </c>
      <c r="BQ263">
        <v>21.332999999999998</v>
      </c>
      <c r="BR263">
        <v>11.919</v>
      </c>
      <c r="BS263">
        <v>0</v>
      </c>
      <c r="BT263">
        <v>0</v>
      </c>
      <c r="BU263">
        <v>0</v>
      </c>
      <c r="BV263">
        <v>1570</v>
      </c>
      <c r="BW263">
        <v>66.176000000000002</v>
      </c>
      <c r="BX263">
        <v>182.71428</v>
      </c>
      <c r="BY263">
        <v>19</v>
      </c>
      <c r="BZ263">
        <v>297.28570000000002</v>
      </c>
      <c r="CA263">
        <v>6.7649999999999997</v>
      </c>
      <c r="CB263">
        <v>731</v>
      </c>
      <c r="CC263">
        <v>93.713999999999999</v>
      </c>
      <c r="CD263">
        <v>3.859</v>
      </c>
      <c r="CE263">
        <v>3</v>
      </c>
      <c r="CF263">
        <v>2345</v>
      </c>
      <c r="CG263">
        <v>7</v>
      </c>
      <c r="CH263">
        <v>203.571</v>
      </c>
      <c r="CI263">
        <v>10.222</v>
      </c>
      <c r="CJ263">
        <v>6.7329999999999997</v>
      </c>
      <c r="CK263">
        <v>3.0710000000000002</v>
      </c>
      <c r="CL263">
        <v>0</v>
      </c>
      <c r="CM263">
        <v>15</v>
      </c>
      <c r="CN263">
        <v>0</v>
      </c>
      <c r="CO263">
        <v>100</v>
      </c>
      <c r="CP263">
        <v>78.570999999999998</v>
      </c>
      <c r="CQ263">
        <v>11</v>
      </c>
      <c r="CR263">
        <v>41</v>
      </c>
      <c r="CS263">
        <v>15.333</v>
      </c>
      <c r="CT263">
        <v>26</v>
      </c>
      <c r="CU263">
        <v>8</v>
      </c>
      <c r="CV263">
        <v>0</v>
      </c>
      <c r="CW263">
        <v>7</v>
      </c>
      <c r="CX263">
        <v>103</v>
      </c>
      <c r="CY263">
        <v>15.856999999999999</v>
      </c>
      <c r="CZ263">
        <v>45.454999999999998</v>
      </c>
      <c r="DA263">
        <v>37.930999999999997</v>
      </c>
      <c r="DB263">
        <v>53.17</v>
      </c>
      <c r="DC263">
        <v>-5</v>
      </c>
      <c r="DD263">
        <v>3149</v>
      </c>
      <c r="DE263">
        <v>67.021000000000001</v>
      </c>
      <c r="DF263">
        <v>251.75</v>
      </c>
      <c r="DG263">
        <v>25</v>
      </c>
      <c r="DH263">
        <v>388.875</v>
      </c>
      <c r="DI263">
        <v>7.3719999999999999</v>
      </c>
      <c r="DJ263">
        <v>1327</v>
      </c>
      <c r="DK263">
        <v>126.5</v>
      </c>
      <c r="DL263">
        <v>4.4980000000000002</v>
      </c>
      <c r="DM263">
        <v>9</v>
      </c>
      <c r="DN263">
        <v>3639</v>
      </c>
      <c r="DO263">
        <v>17</v>
      </c>
      <c r="DP263">
        <v>262.375</v>
      </c>
      <c r="DQ263">
        <v>11</v>
      </c>
      <c r="DR263">
        <v>4</v>
      </c>
      <c r="DS263">
        <v>3.4</v>
      </c>
      <c r="DT263">
        <v>0</v>
      </c>
      <c r="DU263">
        <v>17</v>
      </c>
      <c r="DV263">
        <v>0</v>
      </c>
      <c r="DW263">
        <v>88</v>
      </c>
      <c r="DX263">
        <v>80</v>
      </c>
      <c r="DY263">
        <v>12</v>
      </c>
      <c r="DZ263">
        <v>58</v>
      </c>
      <c r="EA263">
        <v>8.3330000000000002</v>
      </c>
      <c r="EB263">
        <v>11</v>
      </c>
      <c r="EC263">
        <v>19</v>
      </c>
      <c r="ED263">
        <v>0</v>
      </c>
      <c r="EE263">
        <v>17</v>
      </c>
      <c r="EF263">
        <v>214</v>
      </c>
      <c r="EG263">
        <v>23.625</v>
      </c>
      <c r="EH263">
        <v>82.352999999999994</v>
      </c>
      <c r="EI263">
        <v>44</v>
      </c>
      <c r="EJ263">
        <v>78.150000000000006</v>
      </c>
      <c r="EK263">
        <v>5</v>
      </c>
    </row>
    <row r="264" spans="1:141" x14ac:dyDescent="0.25">
      <c r="A264">
        <v>0</v>
      </c>
      <c r="B264">
        <v>0</v>
      </c>
      <c r="C264">
        <v>0</v>
      </c>
      <c r="D264">
        <v>2025</v>
      </c>
      <c r="E264">
        <v>18</v>
      </c>
      <c r="F264" t="str">
        <f>VLOOKUP(G264, Map!$A$1:$B$33, 2, FALSE)</f>
        <v>LA</v>
      </c>
      <c r="G264" t="s">
        <v>155</v>
      </c>
      <c r="H264" t="str">
        <f>VLOOKUP(I264, Map!$A$1:$B$33, 2, FALSE)</f>
        <v>ARI</v>
      </c>
      <c r="I264" t="s">
        <v>156</v>
      </c>
      <c r="J264">
        <v>0</v>
      </c>
      <c r="K264">
        <v>0</v>
      </c>
      <c r="L264">
        <v>0</v>
      </c>
      <c r="M264">
        <v>0</v>
      </c>
      <c r="N264">
        <v>5</v>
      </c>
      <c r="O264">
        <v>2</v>
      </c>
      <c r="P264">
        <v>16.714285</v>
      </c>
      <c r="Q264">
        <v>25</v>
      </c>
      <c r="R264">
        <v>58</v>
      </c>
      <c r="S264">
        <v>2</v>
      </c>
      <c r="T264">
        <v>0.71428572999999995</v>
      </c>
      <c r="U264">
        <v>0</v>
      </c>
      <c r="V264">
        <v>1</v>
      </c>
      <c r="W264">
        <v>2</v>
      </c>
      <c r="X264">
        <v>1</v>
      </c>
      <c r="Y264">
        <v>3</v>
      </c>
      <c r="Z264">
        <v>1</v>
      </c>
      <c r="AA264">
        <v>0</v>
      </c>
      <c r="AB264">
        <v>2</v>
      </c>
      <c r="AC264">
        <v>5</v>
      </c>
      <c r="AD264">
        <v>11</v>
      </c>
      <c r="AE264">
        <v>5</v>
      </c>
      <c r="AF264">
        <v>9</v>
      </c>
      <c r="AG264">
        <v>57</v>
      </c>
      <c r="AH264">
        <v>0</v>
      </c>
      <c r="AI264">
        <v>2</v>
      </c>
      <c r="AJ264">
        <v>5</v>
      </c>
      <c r="AK264">
        <v>22</v>
      </c>
      <c r="AL264">
        <v>21.857143000000001</v>
      </c>
      <c r="AM264">
        <v>-1</v>
      </c>
      <c r="AN264">
        <v>-5</v>
      </c>
      <c r="AO264">
        <v>0.28571429999999998</v>
      </c>
      <c r="AP264">
        <v>0</v>
      </c>
      <c r="AQ264">
        <v>2</v>
      </c>
      <c r="AR264">
        <v>1</v>
      </c>
      <c r="AS264">
        <v>3</v>
      </c>
      <c r="AT264">
        <v>1</v>
      </c>
      <c r="AU264">
        <v>2</v>
      </c>
      <c r="AV264">
        <v>2</v>
      </c>
      <c r="AW264">
        <v>3</v>
      </c>
      <c r="AX264">
        <v>4</v>
      </c>
      <c r="AY264">
        <v>12</v>
      </c>
      <c r="AZ264">
        <v>8</v>
      </c>
      <c r="BA264">
        <v>8</v>
      </c>
      <c r="BB264">
        <v>69</v>
      </c>
      <c r="BC264">
        <v>0</v>
      </c>
      <c r="BD264">
        <v>0</v>
      </c>
      <c r="BE264">
        <v>0</v>
      </c>
      <c r="BF264">
        <v>0</v>
      </c>
      <c r="BG264">
        <v>67.427000000000007</v>
      </c>
      <c r="BH264">
        <v>64.313000000000002</v>
      </c>
      <c r="BI264">
        <v>32.314</v>
      </c>
      <c r="BJ264">
        <v>0</v>
      </c>
      <c r="BK264">
        <v>0</v>
      </c>
      <c r="BL264">
        <v>0</v>
      </c>
      <c r="BM264">
        <v>7.1280000000000001</v>
      </c>
      <c r="BN264">
        <v>32.314</v>
      </c>
      <c r="BO264">
        <v>64.313000000000002</v>
      </c>
      <c r="BP264">
        <v>0</v>
      </c>
      <c r="BQ264">
        <v>67.427000000000007</v>
      </c>
      <c r="BR264">
        <v>-7.1280000000000001</v>
      </c>
      <c r="BS264">
        <v>0</v>
      </c>
      <c r="BT264">
        <v>0</v>
      </c>
      <c r="BU264">
        <v>0</v>
      </c>
      <c r="BV264">
        <v>2996</v>
      </c>
      <c r="BW264">
        <v>65.843999999999994</v>
      </c>
      <c r="BX264">
        <v>256.71429999999998</v>
      </c>
      <c r="BY264">
        <v>30</v>
      </c>
      <c r="BZ264">
        <v>370</v>
      </c>
      <c r="CA264">
        <v>7.6790000000000003</v>
      </c>
      <c r="CB264">
        <v>789</v>
      </c>
      <c r="CC264">
        <v>103.429</v>
      </c>
      <c r="CD264">
        <v>4.1369999999999996</v>
      </c>
      <c r="CE264">
        <v>4</v>
      </c>
      <c r="CF264">
        <v>3261</v>
      </c>
      <c r="CG264">
        <v>17</v>
      </c>
      <c r="CH264">
        <v>266.57100000000003</v>
      </c>
      <c r="CI264">
        <v>11.663</v>
      </c>
      <c r="CJ264">
        <v>6.577</v>
      </c>
      <c r="CK264">
        <v>16.111000000000001</v>
      </c>
      <c r="CL264">
        <v>0</v>
      </c>
      <c r="CM264">
        <v>26</v>
      </c>
      <c r="CN264">
        <v>0</v>
      </c>
      <c r="CO264">
        <v>90.475999999999999</v>
      </c>
      <c r="CP264">
        <v>71.429000000000002</v>
      </c>
      <c r="CQ264">
        <v>10</v>
      </c>
      <c r="CR264">
        <v>49</v>
      </c>
      <c r="CS264">
        <v>14.2</v>
      </c>
      <c r="CT264">
        <v>22</v>
      </c>
      <c r="CU264">
        <v>11</v>
      </c>
      <c r="CV264">
        <v>0</v>
      </c>
      <c r="CW264">
        <v>17</v>
      </c>
      <c r="CX264">
        <v>175</v>
      </c>
      <c r="CY264">
        <v>22</v>
      </c>
      <c r="CZ264">
        <v>66.667000000000002</v>
      </c>
      <c r="DA264">
        <v>37.661999999999999</v>
      </c>
      <c r="DB264">
        <v>65.239999999999995</v>
      </c>
      <c r="DC264">
        <v>3</v>
      </c>
      <c r="DD264">
        <v>2113</v>
      </c>
      <c r="DE264">
        <v>66.941999999999993</v>
      </c>
      <c r="DF264">
        <v>199.85714999999999</v>
      </c>
      <c r="DG264">
        <v>18</v>
      </c>
      <c r="DH264">
        <v>333.42856</v>
      </c>
      <c r="DI264">
        <v>6.335</v>
      </c>
      <c r="DJ264">
        <v>888</v>
      </c>
      <c r="DK264">
        <v>110.429</v>
      </c>
      <c r="DL264">
        <v>4.4169999999999998</v>
      </c>
      <c r="DM264">
        <v>5</v>
      </c>
      <c r="DN264">
        <v>2721</v>
      </c>
      <c r="DO264">
        <v>10</v>
      </c>
      <c r="DP264">
        <v>223</v>
      </c>
      <c r="DQ264">
        <v>9.4629999999999992</v>
      </c>
      <c r="DR264">
        <v>6.6669999999999998</v>
      </c>
      <c r="DS264">
        <v>3.238</v>
      </c>
      <c r="DT264">
        <v>1</v>
      </c>
      <c r="DU264">
        <v>12</v>
      </c>
      <c r="DV264">
        <v>0</v>
      </c>
      <c r="DW264">
        <v>100</v>
      </c>
      <c r="DX264">
        <v>86.667000000000002</v>
      </c>
      <c r="DY264">
        <v>13</v>
      </c>
      <c r="DZ264">
        <v>55</v>
      </c>
      <c r="EA264">
        <v>8.25</v>
      </c>
      <c r="EB264">
        <v>9</v>
      </c>
      <c r="EC264">
        <v>25</v>
      </c>
      <c r="ED264">
        <v>8</v>
      </c>
      <c r="EE264">
        <v>10</v>
      </c>
      <c r="EF264">
        <v>153</v>
      </c>
      <c r="EG264">
        <v>19</v>
      </c>
      <c r="EH264">
        <v>57.143000000000001</v>
      </c>
      <c r="EI264">
        <v>44.792000000000002</v>
      </c>
      <c r="EJ264">
        <v>63.49</v>
      </c>
      <c r="EK264">
        <v>-1</v>
      </c>
    </row>
    <row r="265" spans="1:141" x14ac:dyDescent="0.25">
      <c r="A265">
        <v>0</v>
      </c>
      <c r="B265">
        <v>0</v>
      </c>
      <c r="C265">
        <v>0</v>
      </c>
      <c r="D265">
        <v>2025</v>
      </c>
      <c r="E265">
        <v>18</v>
      </c>
      <c r="F265" t="str">
        <f>VLOOKUP(G265, Map!$A$1:$B$33, 2, FALSE)</f>
        <v>MIN</v>
      </c>
      <c r="G265" t="s">
        <v>153</v>
      </c>
      <c r="H265" t="str">
        <f>VLOOKUP(I265, Map!$A$1:$B$33, 2, FALSE)</f>
        <v>GB</v>
      </c>
      <c r="I265" t="s">
        <v>154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4</v>
      </c>
      <c r="P265">
        <v>23.142856999999999</v>
      </c>
      <c r="Q265">
        <v>22.142856999999999</v>
      </c>
      <c r="R265">
        <v>-7</v>
      </c>
      <c r="S265">
        <v>-2</v>
      </c>
      <c r="T265">
        <v>0.42857142999999998</v>
      </c>
      <c r="U265">
        <v>1</v>
      </c>
      <c r="V265">
        <v>0</v>
      </c>
      <c r="W265">
        <v>1</v>
      </c>
      <c r="X265">
        <v>2</v>
      </c>
      <c r="Y265">
        <v>2</v>
      </c>
      <c r="Z265">
        <v>2</v>
      </c>
      <c r="AA265">
        <v>1</v>
      </c>
      <c r="AB265">
        <v>2</v>
      </c>
      <c r="AC265">
        <v>13</v>
      </c>
      <c r="AD265">
        <v>4</v>
      </c>
      <c r="AE265">
        <v>7</v>
      </c>
      <c r="AF265">
        <v>9</v>
      </c>
      <c r="AG265">
        <v>61</v>
      </c>
      <c r="AH265">
        <v>0</v>
      </c>
      <c r="AI265">
        <v>5</v>
      </c>
      <c r="AJ265">
        <v>1</v>
      </c>
      <c r="AK265">
        <v>21.428571999999999</v>
      </c>
      <c r="AL265">
        <v>27.571428000000001</v>
      </c>
      <c r="AM265">
        <v>43</v>
      </c>
      <c r="AN265">
        <v>3</v>
      </c>
      <c r="AO265">
        <v>0.78571427000000005</v>
      </c>
      <c r="AP265">
        <v>1</v>
      </c>
      <c r="AQ265">
        <v>0</v>
      </c>
      <c r="AR265">
        <v>3</v>
      </c>
      <c r="AS265">
        <v>0</v>
      </c>
      <c r="AT265">
        <v>2</v>
      </c>
      <c r="AU265">
        <v>1</v>
      </c>
      <c r="AV265">
        <v>3</v>
      </c>
      <c r="AW265">
        <v>0</v>
      </c>
      <c r="AX265">
        <v>8</v>
      </c>
      <c r="AY265">
        <v>8</v>
      </c>
      <c r="AZ265">
        <v>8</v>
      </c>
      <c r="BA265">
        <v>8</v>
      </c>
      <c r="BB265">
        <v>61</v>
      </c>
      <c r="BC265">
        <v>0</v>
      </c>
      <c r="BD265">
        <v>0</v>
      </c>
      <c r="BE265">
        <v>0</v>
      </c>
      <c r="BF265">
        <v>0</v>
      </c>
      <c r="BG265">
        <v>34.155999999999999</v>
      </c>
      <c r="BH265">
        <v>60.451999999999998</v>
      </c>
      <c r="BI265">
        <v>65.569999999999993</v>
      </c>
      <c r="BJ265">
        <v>0</v>
      </c>
      <c r="BK265">
        <v>0</v>
      </c>
      <c r="BL265">
        <v>0</v>
      </c>
      <c r="BM265">
        <v>-5.8010000000000002</v>
      </c>
      <c r="BN265">
        <v>65.569999999999993</v>
      </c>
      <c r="BO265">
        <v>60.451999999999998</v>
      </c>
      <c r="BP265">
        <v>0</v>
      </c>
      <c r="BQ265">
        <v>34.155999999999999</v>
      </c>
      <c r="BR265">
        <v>5.8010000000000002</v>
      </c>
      <c r="BS265">
        <v>0</v>
      </c>
      <c r="BT265">
        <v>0</v>
      </c>
      <c r="BU265">
        <v>0</v>
      </c>
      <c r="BV265">
        <v>1981</v>
      </c>
      <c r="BW265">
        <v>63.927</v>
      </c>
      <c r="BX265">
        <v>202.71428</v>
      </c>
      <c r="BY265">
        <v>21</v>
      </c>
      <c r="BZ265">
        <v>321.14285000000001</v>
      </c>
      <c r="CA265">
        <v>7.2649999999999997</v>
      </c>
      <c r="CB265">
        <v>772</v>
      </c>
      <c r="CC265">
        <v>93.856999999999999</v>
      </c>
      <c r="CD265">
        <v>4.2939999999999996</v>
      </c>
      <c r="CE265">
        <v>5</v>
      </c>
      <c r="CF265">
        <v>2606</v>
      </c>
      <c r="CG265">
        <v>9</v>
      </c>
      <c r="CH265">
        <v>227.286</v>
      </c>
      <c r="CI265">
        <v>11.364000000000001</v>
      </c>
      <c r="CJ265">
        <v>6.2220000000000004</v>
      </c>
      <c r="CK265">
        <v>3.3570000000000002</v>
      </c>
      <c r="CL265">
        <v>2</v>
      </c>
      <c r="CM265">
        <v>18</v>
      </c>
      <c r="CN265">
        <v>0</v>
      </c>
      <c r="CO265">
        <v>100</v>
      </c>
      <c r="CP265">
        <v>87.5</v>
      </c>
      <c r="CQ265">
        <v>14</v>
      </c>
      <c r="CR265">
        <v>55</v>
      </c>
      <c r="CS265">
        <v>7.8179999999999996</v>
      </c>
      <c r="CT265">
        <v>29</v>
      </c>
      <c r="CU265">
        <v>10</v>
      </c>
      <c r="CV265">
        <v>12</v>
      </c>
      <c r="CW265">
        <v>9</v>
      </c>
      <c r="CX265">
        <v>155</v>
      </c>
      <c r="CY265">
        <v>17.428999999999998</v>
      </c>
      <c r="CZ265">
        <v>62.5</v>
      </c>
      <c r="DA265">
        <v>33.332999999999998</v>
      </c>
      <c r="DB265">
        <v>70.13</v>
      </c>
      <c r="DC265">
        <v>-4</v>
      </c>
      <c r="DD265">
        <v>2648</v>
      </c>
      <c r="DE265">
        <v>70.891999999999996</v>
      </c>
      <c r="DF265">
        <v>245</v>
      </c>
      <c r="DG265">
        <v>26</v>
      </c>
      <c r="DH265">
        <v>371</v>
      </c>
      <c r="DI265">
        <v>8.4410000000000007</v>
      </c>
      <c r="DJ265">
        <v>1099</v>
      </c>
      <c r="DK265">
        <v>114.143</v>
      </c>
      <c r="DL265">
        <v>3.9359999999999999</v>
      </c>
      <c r="DM265">
        <v>9</v>
      </c>
      <c r="DN265">
        <v>3008</v>
      </c>
      <c r="DO265">
        <v>13</v>
      </c>
      <c r="DP265">
        <v>256.85700000000003</v>
      </c>
      <c r="DQ265">
        <v>11.907</v>
      </c>
      <c r="DR265">
        <v>6.1429999999999998</v>
      </c>
      <c r="DS265">
        <v>6.75</v>
      </c>
      <c r="DT265">
        <v>0</v>
      </c>
      <c r="DU265">
        <v>21</v>
      </c>
      <c r="DV265">
        <v>0</v>
      </c>
      <c r="DW265">
        <v>95.238</v>
      </c>
      <c r="DX265">
        <v>76.471000000000004</v>
      </c>
      <c r="DY265">
        <v>13</v>
      </c>
      <c r="DZ265">
        <v>59</v>
      </c>
      <c r="EA265">
        <v>11.909000000000001</v>
      </c>
      <c r="EB265">
        <v>6</v>
      </c>
      <c r="EC265">
        <v>22</v>
      </c>
      <c r="ED265">
        <v>0</v>
      </c>
      <c r="EE265">
        <v>13</v>
      </c>
      <c r="EF265">
        <v>193</v>
      </c>
      <c r="EG265">
        <v>21</v>
      </c>
      <c r="EH265">
        <v>75</v>
      </c>
      <c r="EI265">
        <v>48.276000000000003</v>
      </c>
      <c r="EJ265">
        <v>78.569999999999993</v>
      </c>
      <c r="EK265">
        <v>1</v>
      </c>
    </row>
    <row r="266" spans="1:141" x14ac:dyDescent="0.25">
      <c r="A266">
        <v>0</v>
      </c>
      <c r="B266">
        <v>0</v>
      </c>
      <c r="C266">
        <v>0</v>
      </c>
      <c r="D266">
        <v>2025</v>
      </c>
      <c r="E266">
        <v>18</v>
      </c>
      <c r="F266" t="str">
        <f>VLOOKUP(G266, Map!$A$1:$B$33, 2, FALSE)</f>
        <v>NE</v>
      </c>
      <c r="G266" t="s">
        <v>151</v>
      </c>
      <c r="H266" t="str">
        <f>VLOOKUP(I266, Map!$A$1:$B$33, 2, FALSE)</f>
        <v>MIA</v>
      </c>
      <c r="I266" t="s">
        <v>152</v>
      </c>
      <c r="J266">
        <v>0</v>
      </c>
      <c r="K266">
        <v>0</v>
      </c>
      <c r="L266">
        <v>0</v>
      </c>
      <c r="M266">
        <v>0</v>
      </c>
      <c r="N266">
        <v>6</v>
      </c>
      <c r="O266">
        <v>2</v>
      </c>
      <c r="P266">
        <v>18.25</v>
      </c>
      <c r="Q266">
        <v>26.625</v>
      </c>
      <c r="R266">
        <v>67</v>
      </c>
      <c r="S266">
        <v>5</v>
      </c>
      <c r="T266">
        <v>0.75</v>
      </c>
      <c r="U266">
        <v>2</v>
      </c>
      <c r="V266">
        <v>0</v>
      </c>
      <c r="W266">
        <v>2</v>
      </c>
      <c r="X266">
        <v>2</v>
      </c>
      <c r="Y266">
        <v>4</v>
      </c>
      <c r="Z266">
        <v>0</v>
      </c>
      <c r="AA266">
        <v>4</v>
      </c>
      <c r="AB266">
        <v>2</v>
      </c>
      <c r="AC266">
        <v>8</v>
      </c>
      <c r="AD266">
        <v>9</v>
      </c>
      <c r="AE266">
        <v>7</v>
      </c>
      <c r="AF266">
        <v>9</v>
      </c>
      <c r="AG266">
        <v>61</v>
      </c>
      <c r="AH266">
        <v>0</v>
      </c>
      <c r="AI266">
        <v>2</v>
      </c>
      <c r="AJ266">
        <v>6</v>
      </c>
      <c r="AK266">
        <v>26.875</v>
      </c>
      <c r="AL266">
        <v>21.75</v>
      </c>
      <c r="AM266">
        <v>-41</v>
      </c>
      <c r="AN266">
        <v>1</v>
      </c>
      <c r="AO266">
        <v>0.25</v>
      </c>
      <c r="AP266">
        <v>1</v>
      </c>
      <c r="AQ266">
        <v>2</v>
      </c>
      <c r="AR266">
        <v>1</v>
      </c>
      <c r="AS266">
        <v>2</v>
      </c>
      <c r="AT266">
        <v>1</v>
      </c>
      <c r="AU266">
        <v>4</v>
      </c>
      <c r="AV266">
        <v>1</v>
      </c>
      <c r="AW266">
        <v>5</v>
      </c>
      <c r="AX266">
        <v>9</v>
      </c>
      <c r="AY266">
        <v>9</v>
      </c>
      <c r="AZ266">
        <v>10</v>
      </c>
      <c r="BA266">
        <v>8</v>
      </c>
      <c r="BB266">
        <v>68</v>
      </c>
      <c r="BC266">
        <v>0</v>
      </c>
      <c r="BD266">
        <v>0</v>
      </c>
      <c r="BE266">
        <v>0</v>
      </c>
      <c r="BF266">
        <v>0</v>
      </c>
      <c r="BG266">
        <v>64.738</v>
      </c>
      <c r="BH266">
        <v>43.01</v>
      </c>
      <c r="BI266">
        <v>34.981000000000002</v>
      </c>
      <c r="BJ266">
        <v>0</v>
      </c>
      <c r="BK266">
        <v>0</v>
      </c>
      <c r="BL266">
        <v>0</v>
      </c>
      <c r="BM266">
        <v>5.7190000000000003</v>
      </c>
      <c r="BN266">
        <v>34.981000000000002</v>
      </c>
      <c r="BO266">
        <v>43.01</v>
      </c>
      <c r="BP266">
        <v>0</v>
      </c>
      <c r="BQ266">
        <v>64.738</v>
      </c>
      <c r="BR266">
        <v>-5.7190000000000003</v>
      </c>
      <c r="BS266">
        <v>0</v>
      </c>
      <c r="BT266">
        <v>0</v>
      </c>
      <c r="BU266">
        <v>0</v>
      </c>
      <c r="BV266">
        <v>2965</v>
      </c>
      <c r="BW266">
        <v>75</v>
      </c>
      <c r="BX266">
        <v>240.5</v>
      </c>
      <c r="BY266">
        <v>29</v>
      </c>
      <c r="BZ266">
        <v>367.375</v>
      </c>
      <c r="CA266">
        <v>8.7940000000000005</v>
      </c>
      <c r="CB266">
        <v>1056</v>
      </c>
      <c r="CC266">
        <v>112.625</v>
      </c>
      <c r="CD266">
        <v>3.9340000000000002</v>
      </c>
      <c r="CE266">
        <v>7</v>
      </c>
      <c r="CF266">
        <v>3418</v>
      </c>
      <c r="CG266">
        <v>15</v>
      </c>
      <c r="CH266">
        <v>254.75</v>
      </c>
      <c r="CI266">
        <v>11.725</v>
      </c>
      <c r="CJ266">
        <v>6.3159999999999998</v>
      </c>
      <c r="CK266">
        <v>3.7410000000000001</v>
      </c>
      <c r="CL266">
        <v>4</v>
      </c>
      <c r="CM266">
        <v>19</v>
      </c>
      <c r="CN266">
        <v>0</v>
      </c>
      <c r="CO266">
        <v>91.304000000000002</v>
      </c>
      <c r="CP266">
        <v>92.308000000000007</v>
      </c>
      <c r="CQ266">
        <v>12</v>
      </c>
      <c r="CR266">
        <v>57</v>
      </c>
      <c r="CS266">
        <v>16.8</v>
      </c>
      <c r="CT266">
        <v>27</v>
      </c>
      <c r="CU266">
        <v>10</v>
      </c>
      <c r="CV266">
        <v>14</v>
      </c>
      <c r="CW266">
        <v>15</v>
      </c>
      <c r="CX266">
        <v>213</v>
      </c>
      <c r="CY266">
        <v>20.375</v>
      </c>
      <c r="CZ266">
        <v>83.332999999999998</v>
      </c>
      <c r="DA266">
        <v>39.784999999999997</v>
      </c>
      <c r="DB266">
        <v>67</v>
      </c>
      <c r="DC266">
        <v>2</v>
      </c>
      <c r="DD266">
        <v>2361</v>
      </c>
      <c r="DE266">
        <v>68.674999999999997</v>
      </c>
      <c r="DF266">
        <v>187.875</v>
      </c>
      <c r="DG266">
        <v>17</v>
      </c>
      <c r="DH266">
        <v>299.875</v>
      </c>
      <c r="DI266">
        <v>6.47</v>
      </c>
      <c r="DJ266">
        <v>898</v>
      </c>
      <c r="DK266">
        <v>98.5</v>
      </c>
      <c r="DL266">
        <v>4.452</v>
      </c>
      <c r="DM266">
        <v>4</v>
      </c>
      <c r="DN266">
        <v>2991</v>
      </c>
      <c r="DO266">
        <v>15</v>
      </c>
      <c r="DP266">
        <v>201.375</v>
      </c>
      <c r="DQ266">
        <v>9.4209999999999994</v>
      </c>
      <c r="DR266">
        <v>6.4669999999999996</v>
      </c>
      <c r="DS266">
        <v>4.8239999999999998</v>
      </c>
      <c r="DT266">
        <v>1</v>
      </c>
      <c r="DU266">
        <v>15</v>
      </c>
      <c r="DV266">
        <v>0</v>
      </c>
      <c r="DW266">
        <v>100</v>
      </c>
      <c r="DX266">
        <v>91.667000000000002</v>
      </c>
      <c r="DY266">
        <v>11</v>
      </c>
      <c r="DZ266">
        <v>52</v>
      </c>
      <c r="EA266">
        <v>7</v>
      </c>
      <c r="EB266">
        <v>11</v>
      </c>
      <c r="EC266">
        <v>26</v>
      </c>
      <c r="ED266">
        <v>6</v>
      </c>
      <c r="EE266">
        <v>15</v>
      </c>
      <c r="EF266">
        <v>174</v>
      </c>
      <c r="EG266">
        <v>17</v>
      </c>
      <c r="EH266">
        <v>53.845999999999997</v>
      </c>
      <c r="EI266">
        <v>41.237000000000002</v>
      </c>
      <c r="EJ266">
        <v>72.05</v>
      </c>
      <c r="EK266">
        <v>-5</v>
      </c>
    </row>
    <row r="267" spans="1:141" x14ac:dyDescent="0.25">
      <c r="A267">
        <v>0</v>
      </c>
      <c r="B267">
        <v>0</v>
      </c>
      <c r="C267">
        <v>0</v>
      </c>
      <c r="D267">
        <v>2025</v>
      </c>
      <c r="E267">
        <v>18</v>
      </c>
      <c r="F267" t="str">
        <f>VLOOKUP(G267, Map!$A$1:$B$33, 2, FALSE)</f>
        <v>NYG</v>
      </c>
      <c r="G267" t="s">
        <v>149</v>
      </c>
      <c r="H267" t="str">
        <f>VLOOKUP(I267, Map!$A$1:$B$33, 2, FALSE)</f>
        <v>DAL</v>
      </c>
      <c r="I267" t="s">
        <v>150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6</v>
      </c>
      <c r="P267">
        <v>26.875</v>
      </c>
      <c r="Q267">
        <v>21.625</v>
      </c>
      <c r="R267">
        <v>-42</v>
      </c>
      <c r="S267">
        <v>-2</v>
      </c>
      <c r="T267">
        <v>0.25</v>
      </c>
      <c r="U267">
        <v>1</v>
      </c>
      <c r="V267">
        <v>3</v>
      </c>
      <c r="W267">
        <v>2</v>
      </c>
      <c r="X267">
        <v>1</v>
      </c>
      <c r="Y267">
        <v>0</v>
      </c>
      <c r="Z267">
        <v>5</v>
      </c>
      <c r="AA267">
        <v>1</v>
      </c>
      <c r="AB267">
        <v>4</v>
      </c>
      <c r="AC267">
        <v>10</v>
      </c>
      <c r="AD267">
        <v>7</v>
      </c>
      <c r="AE267">
        <v>14</v>
      </c>
      <c r="AF267">
        <v>4</v>
      </c>
      <c r="AG267">
        <v>67</v>
      </c>
      <c r="AH267">
        <v>0</v>
      </c>
      <c r="AI267">
        <v>3</v>
      </c>
      <c r="AJ267">
        <v>4</v>
      </c>
      <c r="AK267">
        <v>31.25</v>
      </c>
      <c r="AL267">
        <v>30.75</v>
      </c>
      <c r="AM267">
        <v>-4</v>
      </c>
      <c r="AN267">
        <v>-1</v>
      </c>
      <c r="AO267">
        <v>0.4375</v>
      </c>
      <c r="AP267">
        <v>2</v>
      </c>
      <c r="AQ267">
        <v>1</v>
      </c>
      <c r="AR267">
        <v>2</v>
      </c>
      <c r="AS267">
        <v>0</v>
      </c>
      <c r="AT267">
        <v>1</v>
      </c>
      <c r="AU267">
        <v>4</v>
      </c>
      <c r="AV267">
        <v>2</v>
      </c>
      <c r="AW267">
        <v>3</v>
      </c>
      <c r="AX267">
        <v>13</v>
      </c>
      <c r="AY267">
        <v>5</v>
      </c>
      <c r="AZ267">
        <v>11</v>
      </c>
      <c r="BA267">
        <v>7</v>
      </c>
      <c r="BB267">
        <v>68</v>
      </c>
      <c r="BC267">
        <v>0</v>
      </c>
      <c r="BD267">
        <v>0</v>
      </c>
      <c r="BE267">
        <v>0</v>
      </c>
      <c r="BF267">
        <v>0</v>
      </c>
      <c r="BG267">
        <v>52.920999999999999</v>
      </c>
      <c r="BH267">
        <v>51.677</v>
      </c>
      <c r="BI267">
        <v>46.704000000000001</v>
      </c>
      <c r="BJ267">
        <v>0</v>
      </c>
      <c r="BK267">
        <v>0</v>
      </c>
      <c r="BL267">
        <v>0</v>
      </c>
      <c r="BM267">
        <v>1.117</v>
      </c>
      <c r="BN267">
        <v>46.704000000000001</v>
      </c>
      <c r="BO267">
        <v>51.677</v>
      </c>
      <c r="BP267">
        <v>0</v>
      </c>
      <c r="BQ267">
        <v>52.920999999999999</v>
      </c>
      <c r="BR267">
        <v>-1.117</v>
      </c>
      <c r="BS267">
        <v>0</v>
      </c>
      <c r="BT267">
        <v>0</v>
      </c>
      <c r="BU267">
        <v>0</v>
      </c>
      <c r="BV267">
        <v>2348</v>
      </c>
      <c r="BW267">
        <v>59.448999999999998</v>
      </c>
      <c r="BX267">
        <v>207.25</v>
      </c>
      <c r="BY267">
        <v>23</v>
      </c>
      <c r="BZ267">
        <v>339.25</v>
      </c>
      <c r="CA267">
        <v>6.9210000000000003</v>
      </c>
      <c r="CB267">
        <v>1249</v>
      </c>
      <c r="CC267">
        <v>118</v>
      </c>
      <c r="CD267">
        <v>4.0339999999999998</v>
      </c>
      <c r="CE267">
        <v>10</v>
      </c>
      <c r="CF267">
        <v>2910</v>
      </c>
      <c r="CG267">
        <v>11</v>
      </c>
      <c r="CH267">
        <v>221.25</v>
      </c>
      <c r="CI267">
        <v>11.641999999999999</v>
      </c>
      <c r="CJ267">
        <v>7.2629999999999999</v>
      </c>
      <c r="CK267">
        <v>5.1740000000000004</v>
      </c>
      <c r="CL267">
        <v>0</v>
      </c>
      <c r="CM267">
        <v>19</v>
      </c>
      <c r="CN267">
        <v>0</v>
      </c>
      <c r="CO267">
        <v>78.947000000000003</v>
      </c>
      <c r="CP267">
        <v>100</v>
      </c>
      <c r="CQ267">
        <v>10</v>
      </c>
      <c r="CR267">
        <v>45</v>
      </c>
      <c r="CS267">
        <v>7.1539999999999999</v>
      </c>
      <c r="CT267">
        <v>32</v>
      </c>
      <c r="CU267">
        <v>12</v>
      </c>
      <c r="CV267">
        <v>0</v>
      </c>
      <c r="CW267">
        <v>11</v>
      </c>
      <c r="CX267">
        <v>173</v>
      </c>
      <c r="CY267">
        <v>20.625</v>
      </c>
      <c r="CZ267">
        <v>52.941000000000003</v>
      </c>
      <c r="DA267">
        <v>39.814999999999998</v>
      </c>
      <c r="DB267">
        <v>59.26</v>
      </c>
      <c r="DC267">
        <v>-4</v>
      </c>
      <c r="DD267">
        <v>3160</v>
      </c>
      <c r="DE267">
        <v>70.233999999999995</v>
      </c>
      <c r="DF267">
        <v>263.75</v>
      </c>
      <c r="DG267">
        <v>25</v>
      </c>
      <c r="DH267">
        <v>391.375</v>
      </c>
      <c r="DI267">
        <v>7.1909999999999998</v>
      </c>
      <c r="DJ267">
        <v>1283</v>
      </c>
      <c r="DK267">
        <v>120.375</v>
      </c>
      <c r="DL267">
        <v>4.6749999999999998</v>
      </c>
      <c r="DM267">
        <v>10</v>
      </c>
      <c r="DN267">
        <v>3813</v>
      </c>
      <c r="DO267">
        <v>17</v>
      </c>
      <c r="DP267">
        <v>271</v>
      </c>
      <c r="DQ267">
        <v>10.238</v>
      </c>
      <c r="DR267">
        <v>7.7329999999999997</v>
      </c>
      <c r="DS267">
        <v>4.8099999999999996</v>
      </c>
      <c r="DT267">
        <v>1</v>
      </c>
      <c r="DU267">
        <v>15</v>
      </c>
      <c r="DV267">
        <v>0</v>
      </c>
      <c r="DW267">
        <v>96.296000000000006</v>
      </c>
      <c r="DX267">
        <v>100</v>
      </c>
      <c r="DY267">
        <v>16</v>
      </c>
      <c r="DZ267">
        <v>74</v>
      </c>
      <c r="EA267">
        <v>10</v>
      </c>
      <c r="EB267">
        <v>11</v>
      </c>
      <c r="EC267">
        <v>28</v>
      </c>
      <c r="ED267">
        <v>6</v>
      </c>
      <c r="EE267">
        <v>17</v>
      </c>
      <c r="EF267">
        <v>246</v>
      </c>
      <c r="EG267">
        <v>23.125</v>
      </c>
      <c r="EH267">
        <v>77.778000000000006</v>
      </c>
      <c r="EI267">
        <v>43.158000000000001</v>
      </c>
      <c r="EJ267">
        <v>74.19</v>
      </c>
      <c r="EK267">
        <v>-1</v>
      </c>
    </row>
    <row r="268" spans="1:141" x14ac:dyDescent="0.25">
      <c r="A268">
        <v>0</v>
      </c>
      <c r="B268">
        <v>0</v>
      </c>
      <c r="C268">
        <v>0</v>
      </c>
      <c r="D268">
        <v>2025</v>
      </c>
      <c r="E268">
        <v>18</v>
      </c>
      <c r="F268" t="str">
        <f>VLOOKUP(G268, Map!$A$1:$B$33, 2, FALSE)</f>
        <v>PHI</v>
      </c>
      <c r="G268" t="s">
        <v>147</v>
      </c>
      <c r="H268" t="str">
        <f>VLOOKUP(I268, Map!$A$1:$B$33, 2, FALSE)</f>
        <v>WAS</v>
      </c>
      <c r="I268" t="s">
        <v>148</v>
      </c>
      <c r="J268">
        <v>0</v>
      </c>
      <c r="K268">
        <v>0</v>
      </c>
      <c r="L268">
        <v>0</v>
      </c>
      <c r="M268">
        <v>0</v>
      </c>
      <c r="N268">
        <v>6</v>
      </c>
      <c r="O268">
        <v>2</v>
      </c>
      <c r="P268">
        <v>23.125</v>
      </c>
      <c r="Q268">
        <v>26</v>
      </c>
      <c r="R268">
        <v>23</v>
      </c>
      <c r="S268">
        <v>2</v>
      </c>
      <c r="T268">
        <v>0.75</v>
      </c>
      <c r="U268">
        <v>2</v>
      </c>
      <c r="V268">
        <v>1</v>
      </c>
      <c r="W268">
        <v>3</v>
      </c>
      <c r="X268">
        <v>1</v>
      </c>
      <c r="Y268">
        <v>3</v>
      </c>
      <c r="Z268">
        <v>1</v>
      </c>
      <c r="AA268">
        <v>5</v>
      </c>
      <c r="AB268">
        <v>1</v>
      </c>
      <c r="AC268">
        <v>16</v>
      </c>
      <c r="AD268">
        <v>3</v>
      </c>
      <c r="AE268">
        <v>10</v>
      </c>
      <c r="AF268">
        <v>9</v>
      </c>
      <c r="AG268">
        <v>63</v>
      </c>
      <c r="AH268">
        <v>0</v>
      </c>
      <c r="AI268">
        <v>3</v>
      </c>
      <c r="AJ268">
        <v>5</v>
      </c>
      <c r="AK268">
        <v>24.75</v>
      </c>
      <c r="AL268">
        <v>23.375</v>
      </c>
      <c r="AM268">
        <v>-11</v>
      </c>
      <c r="AN268">
        <v>-3</v>
      </c>
      <c r="AO268">
        <v>0.375</v>
      </c>
      <c r="AP268">
        <v>1</v>
      </c>
      <c r="AQ268">
        <v>1</v>
      </c>
      <c r="AR268">
        <v>2</v>
      </c>
      <c r="AS268">
        <v>1</v>
      </c>
      <c r="AT268">
        <v>1</v>
      </c>
      <c r="AU268">
        <v>4</v>
      </c>
      <c r="AV268">
        <v>1</v>
      </c>
      <c r="AW268">
        <v>4</v>
      </c>
      <c r="AX268">
        <v>7</v>
      </c>
      <c r="AY268">
        <v>8</v>
      </c>
      <c r="AZ268">
        <v>7</v>
      </c>
      <c r="BA268">
        <v>8</v>
      </c>
      <c r="BB268">
        <v>65</v>
      </c>
      <c r="BC268">
        <v>0</v>
      </c>
      <c r="BD268">
        <v>0</v>
      </c>
      <c r="BE268">
        <v>0</v>
      </c>
      <c r="BF268">
        <v>0</v>
      </c>
      <c r="BG268">
        <v>61.526000000000003</v>
      </c>
      <c r="BH268">
        <v>75.034000000000006</v>
      </c>
      <c r="BI268">
        <v>38.167999999999999</v>
      </c>
      <c r="BJ268">
        <v>0</v>
      </c>
      <c r="BK268">
        <v>0</v>
      </c>
      <c r="BL268">
        <v>0</v>
      </c>
      <c r="BM268">
        <v>4.49</v>
      </c>
      <c r="BN268">
        <v>38.167999999999999</v>
      </c>
      <c r="BO268">
        <v>75.034000000000006</v>
      </c>
      <c r="BP268">
        <v>0</v>
      </c>
      <c r="BQ268">
        <v>61.526000000000003</v>
      </c>
      <c r="BR268">
        <v>-4.49</v>
      </c>
      <c r="BS268">
        <v>0</v>
      </c>
      <c r="BT268">
        <v>0</v>
      </c>
      <c r="BU268">
        <v>0</v>
      </c>
      <c r="BV268">
        <v>2679</v>
      </c>
      <c r="BW268">
        <v>70.233000000000004</v>
      </c>
      <c r="BX268">
        <v>192.75</v>
      </c>
      <c r="BY268">
        <v>23</v>
      </c>
      <c r="BZ268">
        <v>321.25</v>
      </c>
      <c r="CA268">
        <v>7.7160000000000002</v>
      </c>
      <c r="CB268">
        <v>1178</v>
      </c>
      <c r="CC268">
        <v>111.625</v>
      </c>
      <c r="CD268">
        <v>4.0960000000000001</v>
      </c>
      <c r="CE268">
        <v>9</v>
      </c>
      <c r="CF268">
        <v>2957</v>
      </c>
      <c r="CG268">
        <v>15</v>
      </c>
      <c r="CH268">
        <v>209.625</v>
      </c>
      <c r="CI268">
        <v>10.987</v>
      </c>
      <c r="CJ268">
        <v>4.75</v>
      </c>
      <c r="CK268">
        <v>3.75</v>
      </c>
      <c r="CL268">
        <v>3</v>
      </c>
      <c r="CM268">
        <v>16</v>
      </c>
      <c r="CN268">
        <v>0</v>
      </c>
      <c r="CO268">
        <v>100</v>
      </c>
      <c r="CP268">
        <v>77.778000000000006</v>
      </c>
      <c r="CQ268">
        <v>7</v>
      </c>
      <c r="CR268">
        <v>46</v>
      </c>
      <c r="CS268">
        <v>13.55</v>
      </c>
      <c r="CT268">
        <v>34</v>
      </c>
      <c r="CU268">
        <v>7</v>
      </c>
      <c r="CV268">
        <v>6</v>
      </c>
      <c r="CW268">
        <v>15</v>
      </c>
      <c r="CX268">
        <v>208</v>
      </c>
      <c r="CY268">
        <v>17.875</v>
      </c>
      <c r="CZ268">
        <v>78.570999999999998</v>
      </c>
      <c r="DA268">
        <v>33.332999999999998</v>
      </c>
      <c r="DB268">
        <v>87.14</v>
      </c>
      <c r="DC268">
        <v>4</v>
      </c>
      <c r="DD268">
        <v>2360</v>
      </c>
      <c r="DE268">
        <v>61.966000000000001</v>
      </c>
      <c r="DF268">
        <v>196.625</v>
      </c>
      <c r="DG268">
        <v>20</v>
      </c>
      <c r="DH268">
        <v>346.5</v>
      </c>
      <c r="DI268">
        <v>7.1369999999999996</v>
      </c>
      <c r="DJ268">
        <v>1342</v>
      </c>
      <c r="DK268">
        <v>137.75</v>
      </c>
      <c r="DL268">
        <v>5.1980000000000004</v>
      </c>
      <c r="DM268">
        <v>9</v>
      </c>
      <c r="DN268">
        <v>2815</v>
      </c>
      <c r="DO268">
        <v>12</v>
      </c>
      <c r="DP268">
        <v>208.75</v>
      </c>
      <c r="DQ268">
        <v>11.516999999999999</v>
      </c>
      <c r="DR268">
        <v>6.1360000000000001</v>
      </c>
      <c r="DS268">
        <v>5.9470000000000001</v>
      </c>
      <c r="DT268">
        <v>1</v>
      </c>
      <c r="DU268">
        <v>22</v>
      </c>
      <c r="DV268">
        <v>0</v>
      </c>
      <c r="DW268">
        <v>100</v>
      </c>
      <c r="DX268">
        <v>71.429000000000002</v>
      </c>
      <c r="DY268">
        <v>10</v>
      </c>
      <c r="DZ268">
        <v>49</v>
      </c>
      <c r="EA268">
        <v>4</v>
      </c>
      <c r="EB268">
        <v>11</v>
      </c>
      <c r="EC268">
        <v>25</v>
      </c>
      <c r="ED268">
        <v>8</v>
      </c>
      <c r="EE268">
        <v>12</v>
      </c>
      <c r="EF268">
        <v>187</v>
      </c>
      <c r="EG268">
        <v>18.75</v>
      </c>
      <c r="EH268">
        <v>45.454999999999998</v>
      </c>
      <c r="EI268">
        <v>38.636000000000003</v>
      </c>
      <c r="EJ268">
        <v>79.290000000000006</v>
      </c>
      <c r="EK268">
        <v>-5</v>
      </c>
    </row>
    <row r="269" spans="1:141" x14ac:dyDescent="0.25">
      <c r="A269">
        <v>0</v>
      </c>
      <c r="B269">
        <v>0</v>
      </c>
      <c r="C269">
        <v>0</v>
      </c>
      <c r="D269">
        <v>2025</v>
      </c>
      <c r="E269">
        <v>18</v>
      </c>
      <c r="F269" t="str">
        <f>VLOOKUP(G269, Map!$A$1:$B$33, 2, FALSE)</f>
        <v>PIT</v>
      </c>
      <c r="G269" t="s">
        <v>145</v>
      </c>
      <c r="H269" t="str">
        <f>VLOOKUP(I269, Map!$A$1:$B$33, 2, FALSE)</f>
        <v>BAL</v>
      </c>
      <c r="I269" t="s">
        <v>146</v>
      </c>
      <c r="J269">
        <v>0</v>
      </c>
      <c r="K269">
        <v>0</v>
      </c>
      <c r="L269">
        <v>0</v>
      </c>
      <c r="M269">
        <v>0</v>
      </c>
      <c r="N269">
        <v>4</v>
      </c>
      <c r="O269">
        <v>3</v>
      </c>
      <c r="P269">
        <v>25</v>
      </c>
      <c r="Q269">
        <v>25</v>
      </c>
      <c r="R269">
        <v>0</v>
      </c>
      <c r="S269">
        <v>-2</v>
      </c>
      <c r="T269">
        <v>0.57142859999999995</v>
      </c>
      <c r="U269">
        <v>1</v>
      </c>
      <c r="V269">
        <v>1</v>
      </c>
      <c r="W269">
        <v>2</v>
      </c>
      <c r="X269">
        <v>2</v>
      </c>
      <c r="Y269">
        <v>2</v>
      </c>
      <c r="Z269">
        <v>1</v>
      </c>
      <c r="AA269">
        <v>3</v>
      </c>
      <c r="AB269">
        <v>1</v>
      </c>
      <c r="AC269">
        <v>9</v>
      </c>
      <c r="AD269">
        <v>8</v>
      </c>
      <c r="AE269">
        <v>10</v>
      </c>
      <c r="AF269">
        <v>6</v>
      </c>
      <c r="AG269">
        <v>66</v>
      </c>
      <c r="AH269">
        <v>0</v>
      </c>
      <c r="AI269">
        <v>2</v>
      </c>
      <c r="AJ269">
        <v>5</v>
      </c>
      <c r="AK269">
        <v>30</v>
      </c>
      <c r="AL269">
        <v>24.857143000000001</v>
      </c>
      <c r="AM269">
        <v>-36</v>
      </c>
      <c r="AN269">
        <v>1</v>
      </c>
      <c r="AO269">
        <v>0.28571429999999998</v>
      </c>
      <c r="AP269">
        <v>1</v>
      </c>
      <c r="AQ269">
        <v>0</v>
      </c>
      <c r="AR269">
        <v>2</v>
      </c>
      <c r="AS269">
        <v>3</v>
      </c>
      <c r="AT269">
        <v>0</v>
      </c>
      <c r="AU269">
        <v>2</v>
      </c>
      <c r="AV269">
        <v>1</v>
      </c>
      <c r="AW269">
        <v>3</v>
      </c>
      <c r="AX269">
        <v>10</v>
      </c>
      <c r="AY269">
        <v>7</v>
      </c>
      <c r="AZ269">
        <v>7</v>
      </c>
      <c r="BA269">
        <v>9</v>
      </c>
      <c r="BB269">
        <v>61</v>
      </c>
      <c r="BC269">
        <v>0</v>
      </c>
      <c r="BD269">
        <v>0</v>
      </c>
      <c r="BE269">
        <v>0</v>
      </c>
      <c r="BF269">
        <v>0</v>
      </c>
      <c r="BG269">
        <v>46.744</v>
      </c>
      <c r="BH269">
        <v>63.183</v>
      </c>
      <c r="BI269">
        <v>52.88</v>
      </c>
      <c r="BJ269">
        <v>0</v>
      </c>
      <c r="BK269">
        <v>0</v>
      </c>
      <c r="BL269">
        <v>0</v>
      </c>
      <c r="BM269">
        <v>-1.32</v>
      </c>
      <c r="BN269">
        <v>52.88</v>
      </c>
      <c r="BO269">
        <v>63.183</v>
      </c>
      <c r="BP269">
        <v>0</v>
      </c>
      <c r="BQ269">
        <v>46.744</v>
      </c>
      <c r="BR269">
        <v>1.32</v>
      </c>
      <c r="BS269">
        <v>0</v>
      </c>
      <c r="BT269">
        <v>0</v>
      </c>
      <c r="BU269">
        <v>0</v>
      </c>
      <c r="BV269">
        <v>2471</v>
      </c>
      <c r="BW269">
        <v>68.570999999999998</v>
      </c>
      <c r="BX269">
        <v>202.85714999999999</v>
      </c>
      <c r="BY269">
        <v>20</v>
      </c>
      <c r="BZ269">
        <v>308.71429999999998</v>
      </c>
      <c r="CA269">
        <v>7.1479999999999997</v>
      </c>
      <c r="CB269">
        <v>750</v>
      </c>
      <c r="CC269">
        <v>94.286000000000001</v>
      </c>
      <c r="CD269">
        <v>4.0739999999999998</v>
      </c>
      <c r="CE269">
        <v>3</v>
      </c>
      <c r="CF269">
        <v>2781</v>
      </c>
      <c r="CG269">
        <v>16</v>
      </c>
      <c r="CH269">
        <v>214.429</v>
      </c>
      <c r="CI269">
        <v>10.423999999999999</v>
      </c>
      <c r="CJ269">
        <v>6.4089999999999998</v>
      </c>
      <c r="CK269">
        <v>7.4379999999999997</v>
      </c>
      <c r="CL269">
        <v>0</v>
      </c>
      <c r="CM269">
        <v>22</v>
      </c>
      <c r="CN269">
        <v>0</v>
      </c>
      <c r="CO269">
        <v>100</v>
      </c>
      <c r="CP269">
        <v>87.5</v>
      </c>
      <c r="CQ269">
        <v>14</v>
      </c>
      <c r="CR269">
        <v>59</v>
      </c>
      <c r="CS269">
        <v>8.25</v>
      </c>
      <c r="CT269">
        <v>23</v>
      </c>
      <c r="CU269">
        <v>8</v>
      </c>
      <c r="CV269">
        <v>0</v>
      </c>
      <c r="CW269">
        <v>16</v>
      </c>
      <c r="CX269">
        <v>175</v>
      </c>
      <c r="CY269">
        <v>17.428999999999998</v>
      </c>
      <c r="CZ269">
        <v>50</v>
      </c>
      <c r="DA269">
        <v>38.960999999999999</v>
      </c>
      <c r="DB269">
        <v>75.94</v>
      </c>
      <c r="DC269">
        <v>4</v>
      </c>
      <c r="DD269">
        <v>2046</v>
      </c>
      <c r="DE269">
        <v>69.73</v>
      </c>
      <c r="DF269">
        <v>182.28572</v>
      </c>
      <c r="DG269">
        <v>19</v>
      </c>
      <c r="DH269">
        <v>337.14285000000001</v>
      </c>
      <c r="DI269">
        <v>7.7080000000000002</v>
      </c>
      <c r="DJ269">
        <v>1139</v>
      </c>
      <c r="DK269">
        <v>133.429</v>
      </c>
      <c r="DL269">
        <v>5.2770000000000001</v>
      </c>
      <c r="DM269">
        <v>8</v>
      </c>
      <c r="DN269">
        <v>2456</v>
      </c>
      <c r="DO269">
        <v>11</v>
      </c>
      <c r="DP269">
        <v>203.714</v>
      </c>
      <c r="DQ269">
        <v>11.054</v>
      </c>
      <c r="DR269">
        <v>6.8890000000000002</v>
      </c>
      <c r="DS269">
        <v>2.4089999999999998</v>
      </c>
      <c r="DT269">
        <v>1</v>
      </c>
      <c r="DU269">
        <v>9</v>
      </c>
      <c r="DV269">
        <v>0</v>
      </c>
      <c r="DW269">
        <v>94.736999999999995</v>
      </c>
      <c r="DX269">
        <v>92.308000000000007</v>
      </c>
      <c r="DY269">
        <v>12</v>
      </c>
      <c r="DZ269">
        <v>54</v>
      </c>
      <c r="EA269">
        <v>5.8330000000000002</v>
      </c>
      <c r="EB269">
        <v>8</v>
      </c>
      <c r="EC269">
        <v>19</v>
      </c>
      <c r="ED269">
        <v>6</v>
      </c>
      <c r="EE269">
        <v>11</v>
      </c>
      <c r="EF269">
        <v>174</v>
      </c>
      <c r="EG269">
        <v>18.143000000000001</v>
      </c>
      <c r="EH269">
        <v>38.462000000000003</v>
      </c>
      <c r="EI269">
        <v>40.506</v>
      </c>
      <c r="EJ269">
        <v>52.38</v>
      </c>
      <c r="EK269">
        <v>-6</v>
      </c>
    </row>
    <row r="270" spans="1:141" x14ac:dyDescent="0.25">
      <c r="A270">
        <v>0</v>
      </c>
      <c r="B270">
        <v>0</v>
      </c>
      <c r="C270">
        <v>0</v>
      </c>
      <c r="D270">
        <v>2025</v>
      </c>
      <c r="E270">
        <v>18</v>
      </c>
      <c r="F270" t="str">
        <f>VLOOKUP(G270, Map!$A$1:$B$33, 2, FALSE)</f>
        <v>SF</v>
      </c>
      <c r="G270" t="s">
        <v>143</v>
      </c>
      <c r="H270" t="str">
        <f>VLOOKUP(I270, Map!$A$1:$B$33, 2, FALSE)</f>
        <v>SEA</v>
      </c>
      <c r="I270" t="s">
        <v>144</v>
      </c>
      <c r="J270">
        <v>0</v>
      </c>
      <c r="K270">
        <v>0</v>
      </c>
      <c r="L270">
        <v>0</v>
      </c>
      <c r="M270">
        <v>0</v>
      </c>
      <c r="N270">
        <v>5</v>
      </c>
      <c r="O270">
        <v>3</v>
      </c>
      <c r="P270">
        <v>20.5</v>
      </c>
      <c r="Q270">
        <v>20</v>
      </c>
      <c r="R270">
        <v>-4</v>
      </c>
      <c r="S270">
        <v>-1</v>
      </c>
      <c r="T270">
        <v>0.625</v>
      </c>
      <c r="U270">
        <v>3</v>
      </c>
      <c r="V270">
        <v>0</v>
      </c>
      <c r="W270">
        <v>2</v>
      </c>
      <c r="X270">
        <v>1</v>
      </c>
      <c r="Y270">
        <v>3</v>
      </c>
      <c r="Z270">
        <v>2</v>
      </c>
      <c r="AA270">
        <v>5</v>
      </c>
      <c r="AB270">
        <v>1</v>
      </c>
      <c r="AC270">
        <v>15</v>
      </c>
      <c r="AD270">
        <v>5</v>
      </c>
      <c r="AE270">
        <v>13</v>
      </c>
      <c r="AF270">
        <v>7</v>
      </c>
      <c r="AG270">
        <v>68</v>
      </c>
      <c r="AH270">
        <v>0</v>
      </c>
      <c r="AI270">
        <v>5</v>
      </c>
      <c r="AJ270">
        <v>2</v>
      </c>
      <c r="AK270">
        <v>19.428571999999999</v>
      </c>
      <c r="AL270">
        <v>27.571428000000001</v>
      </c>
      <c r="AM270">
        <v>57</v>
      </c>
      <c r="AN270">
        <v>2</v>
      </c>
      <c r="AO270">
        <v>0.71428572999999995</v>
      </c>
      <c r="AP270">
        <v>1</v>
      </c>
      <c r="AQ270">
        <v>1</v>
      </c>
      <c r="AR270">
        <v>2</v>
      </c>
      <c r="AS270">
        <v>2</v>
      </c>
      <c r="AT270">
        <v>3</v>
      </c>
      <c r="AU270">
        <v>0</v>
      </c>
      <c r="AV270">
        <v>2</v>
      </c>
      <c r="AW270">
        <v>2</v>
      </c>
      <c r="AX270">
        <v>9</v>
      </c>
      <c r="AY270">
        <v>8</v>
      </c>
      <c r="AZ270">
        <v>7</v>
      </c>
      <c r="BA270">
        <v>10</v>
      </c>
      <c r="BB270">
        <v>61</v>
      </c>
      <c r="BC270">
        <v>0</v>
      </c>
      <c r="BD270">
        <v>0</v>
      </c>
      <c r="BE270">
        <v>0</v>
      </c>
      <c r="BF270">
        <v>0</v>
      </c>
      <c r="BG270">
        <v>58.899000000000001</v>
      </c>
      <c r="BH270">
        <v>66.347999999999999</v>
      </c>
      <c r="BI270">
        <v>40.774000000000001</v>
      </c>
      <c r="BJ270">
        <v>0</v>
      </c>
      <c r="BK270">
        <v>0</v>
      </c>
      <c r="BL270">
        <v>0</v>
      </c>
      <c r="BM270">
        <v>3.4279999999999999</v>
      </c>
      <c r="BN270">
        <v>40.774000000000001</v>
      </c>
      <c r="BO270">
        <v>66.347999999999999</v>
      </c>
      <c r="BP270">
        <v>0</v>
      </c>
      <c r="BQ270">
        <v>58.899000000000001</v>
      </c>
      <c r="BR270">
        <v>-3.4279999999999999</v>
      </c>
      <c r="BS270">
        <v>0</v>
      </c>
      <c r="BT270">
        <v>0</v>
      </c>
      <c r="BU270">
        <v>0</v>
      </c>
      <c r="BV270">
        <v>2753</v>
      </c>
      <c r="BW270">
        <v>65.885999999999996</v>
      </c>
      <c r="BX270">
        <v>259.25</v>
      </c>
      <c r="BY270">
        <v>23</v>
      </c>
      <c r="BZ270">
        <v>362.25</v>
      </c>
      <c r="CA270">
        <v>7.3010000000000002</v>
      </c>
      <c r="CB270">
        <v>775</v>
      </c>
      <c r="CC270">
        <v>89.375</v>
      </c>
      <c r="CD270">
        <v>3.4049999999999998</v>
      </c>
      <c r="CE270">
        <v>3</v>
      </c>
      <c r="CF270">
        <v>3588</v>
      </c>
      <c r="CG270">
        <v>12</v>
      </c>
      <c r="CH270">
        <v>272.875</v>
      </c>
      <c r="CI270">
        <v>11.081</v>
      </c>
      <c r="CJ270">
        <v>6.6669999999999998</v>
      </c>
      <c r="CK270">
        <v>1.889</v>
      </c>
      <c r="CL270">
        <v>0</v>
      </c>
      <c r="CM270">
        <v>9</v>
      </c>
      <c r="CN270">
        <v>0</v>
      </c>
      <c r="CO270">
        <v>92.308000000000007</v>
      </c>
      <c r="CP270">
        <v>90</v>
      </c>
      <c r="CQ270">
        <v>18</v>
      </c>
      <c r="CR270">
        <v>66</v>
      </c>
      <c r="CS270">
        <v>14.308</v>
      </c>
      <c r="CT270">
        <v>25</v>
      </c>
      <c r="CU270">
        <v>12</v>
      </c>
      <c r="CV270">
        <v>0</v>
      </c>
      <c r="CW270">
        <v>12</v>
      </c>
      <c r="CX270">
        <v>160</v>
      </c>
      <c r="CY270">
        <v>20.875</v>
      </c>
      <c r="CZ270">
        <v>54.545000000000002</v>
      </c>
      <c r="DA270">
        <v>46.363999999999997</v>
      </c>
      <c r="DB270">
        <v>65.709999999999994</v>
      </c>
      <c r="DC270">
        <v>-5</v>
      </c>
      <c r="DD270">
        <v>2459</v>
      </c>
      <c r="DE270">
        <v>67.856999999999999</v>
      </c>
      <c r="DF270">
        <v>244.42857000000001</v>
      </c>
      <c r="DG270">
        <v>27</v>
      </c>
      <c r="DH270">
        <v>358.85714999999999</v>
      </c>
      <c r="DI270">
        <v>9.0259999999999998</v>
      </c>
      <c r="DJ270">
        <v>918</v>
      </c>
      <c r="DK270">
        <v>106.143</v>
      </c>
      <c r="DL270">
        <v>3.6779999999999999</v>
      </c>
      <c r="DM270">
        <v>8</v>
      </c>
      <c r="DN270">
        <v>2854</v>
      </c>
      <c r="DO270">
        <v>12</v>
      </c>
      <c r="DP270">
        <v>252.714</v>
      </c>
      <c r="DQ270">
        <v>13.301</v>
      </c>
      <c r="DR270">
        <v>7.1740000000000004</v>
      </c>
      <c r="DS270">
        <v>7.8890000000000002</v>
      </c>
      <c r="DT270">
        <v>2</v>
      </c>
      <c r="DU270">
        <v>23</v>
      </c>
      <c r="DV270">
        <v>0</v>
      </c>
      <c r="DW270">
        <v>100</v>
      </c>
      <c r="DX270">
        <v>76.471000000000004</v>
      </c>
      <c r="DY270">
        <v>13</v>
      </c>
      <c r="DZ270">
        <v>61</v>
      </c>
      <c r="EA270">
        <v>11</v>
      </c>
      <c r="EB270">
        <v>10</v>
      </c>
      <c r="EC270">
        <v>26</v>
      </c>
      <c r="ED270">
        <v>6</v>
      </c>
      <c r="EE270">
        <v>12</v>
      </c>
      <c r="EF270">
        <v>193</v>
      </c>
      <c r="EG270">
        <v>19.428999999999998</v>
      </c>
      <c r="EH270">
        <v>66.667000000000002</v>
      </c>
      <c r="EI270">
        <v>33.332999999999998</v>
      </c>
      <c r="EJ270">
        <v>76.569999999999993</v>
      </c>
      <c r="EK270">
        <v>-4</v>
      </c>
    </row>
    <row r="271" spans="1:141" x14ac:dyDescent="0.25">
      <c r="A271">
        <v>0</v>
      </c>
      <c r="B271">
        <v>0</v>
      </c>
      <c r="C271">
        <v>0</v>
      </c>
      <c r="D271">
        <v>2025</v>
      </c>
      <c r="E271">
        <v>18</v>
      </c>
      <c r="F271" t="str">
        <f>VLOOKUP(G271, Map!$A$1:$B$33, 2, FALSE)</f>
        <v>TB</v>
      </c>
      <c r="G271" t="s">
        <v>141</v>
      </c>
      <c r="H271" t="str">
        <f>VLOOKUP(I271, Map!$A$1:$B$33, 2, FALSE)</f>
        <v>CAR</v>
      </c>
      <c r="I271" t="s">
        <v>142</v>
      </c>
      <c r="J271">
        <v>0</v>
      </c>
      <c r="K271">
        <v>0</v>
      </c>
      <c r="L271">
        <v>0</v>
      </c>
      <c r="M271">
        <v>0</v>
      </c>
      <c r="N271">
        <v>6</v>
      </c>
      <c r="O271">
        <v>2</v>
      </c>
      <c r="P271">
        <v>22.25</v>
      </c>
      <c r="Q271">
        <v>24.625</v>
      </c>
      <c r="R271">
        <v>19</v>
      </c>
      <c r="S271">
        <v>1</v>
      </c>
      <c r="T271">
        <v>0.75</v>
      </c>
      <c r="U271">
        <v>2</v>
      </c>
      <c r="V271">
        <v>0</v>
      </c>
      <c r="W271">
        <v>2</v>
      </c>
      <c r="X271">
        <v>1</v>
      </c>
      <c r="Y271">
        <v>4</v>
      </c>
      <c r="Z271">
        <v>1</v>
      </c>
      <c r="AA271">
        <v>4</v>
      </c>
      <c r="AB271">
        <v>2</v>
      </c>
      <c r="AC271">
        <v>8</v>
      </c>
      <c r="AD271">
        <v>9</v>
      </c>
      <c r="AE271">
        <v>4</v>
      </c>
      <c r="AF271">
        <v>12</v>
      </c>
      <c r="AG271">
        <v>59</v>
      </c>
      <c r="AH271">
        <v>0</v>
      </c>
      <c r="AI271">
        <v>4</v>
      </c>
      <c r="AJ271">
        <v>4</v>
      </c>
      <c r="AK271">
        <v>24</v>
      </c>
      <c r="AL271">
        <v>19.25</v>
      </c>
      <c r="AM271">
        <v>-38</v>
      </c>
      <c r="AN271">
        <v>-1</v>
      </c>
      <c r="AO271">
        <v>0.5</v>
      </c>
      <c r="AP271">
        <v>1</v>
      </c>
      <c r="AQ271">
        <v>0</v>
      </c>
      <c r="AR271">
        <v>3</v>
      </c>
      <c r="AS271">
        <v>1</v>
      </c>
      <c r="AT271">
        <v>1</v>
      </c>
      <c r="AU271">
        <v>3</v>
      </c>
      <c r="AV271">
        <v>2</v>
      </c>
      <c r="AW271">
        <v>1</v>
      </c>
      <c r="AX271">
        <v>7</v>
      </c>
      <c r="AY271">
        <v>10</v>
      </c>
      <c r="AZ271">
        <v>9</v>
      </c>
      <c r="BA271">
        <v>8</v>
      </c>
      <c r="BB271">
        <v>58</v>
      </c>
      <c r="BC271">
        <v>0</v>
      </c>
      <c r="BD271">
        <v>0</v>
      </c>
      <c r="BE271">
        <v>0</v>
      </c>
      <c r="BF271">
        <v>0</v>
      </c>
      <c r="BG271">
        <v>67.174000000000007</v>
      </c>
      <c r="BH271">
        <v>42.082999999999998</v>
      </c>
      <c r="BI271">
        <v>32.564</v>
      </c>
      <c r="BJ271">
        <v>0</v>
      </c>
      <c r="BK271">
        <v>0</v>
      </c>
      <c r="BL271">
        <v>0</v>
      </c>
      <c r="BM271">
        <v>6.9560000000000004</v>
      </c>
      <c r="BN271">
        <v>32.564</v>
      </c>
      <c r="BO271">
        <v>42.082999999999998</v>
      </c>
      <c r="BP271">
        <v>0</v>
      </c>
      <c r="BQ271">
        <v>67.174000000000007</v>
      </c>
      <c r="BR271">
        <v>-6.9560000000000004</v>
      </c>
      <c r="BS271">
        <v>0</v>
      </c>
      <c r="BT271">
        <v>0</v>
      </c>
      <c r="BU271">
        <v>0</v>
      </c>
      <c r="BV271">
        <v>2769</v>
      </c>
      <c r="BW271">
        <v>63.941000000000003</v>
      </c>
      <c r="BX271">
        <v>224.875</v>
      </c>
      <c r="BY271">
        <v>29</v>
      </c>
      <c r="BZ271">
        <v>338</v>
      </c>
      <c r="CA271">
        <v>7.1340000000000003</v>
      </c>
      <c r="CB271">
        <v>950</v>
      </c>
      <c r="CC271">
        <v>98.125</v>
      </c>
      <c r="CD271">
        <v>3.8479999999999999</v>
      </c>
      <c r="CE271">
        <v>6</v>
      </c>
      <c r="CF271">
        <v>3234</v>
      </c>
      <c r="CG271">
        <v>13</v>
      </c>
      <c r="CH271">
        <v>239.875</v>
      </c>
      <c r="CI271">
        <v>11.157</v>
      </c>
      <c r="CJ271">
        <v>7.8</v>
      </c>
      <c r="CK271">
        <v>6.8</v>
      </c>
      <c r="CL271">
        <v>2</v>
      </c>
      <c r="CM271">
        <v>25</v>
      </c>
      <c r="CN271">
        <v>0</v>
      </c>
      <c r="CO271">
        <v>94.117999999999995</v>
      </c>
      <c r="CP271">
        <v>80.951999999999998</v>
      </c>
      <c r="CQ271">
        <v>17</v>
      </c>
      <c r="CR271">
        <v>67</v>
      </c>
      <c r="CS271">
        <v>14.667</v>
      </c>
      <c r="CT271">
        <v>32</v>
      </c>
      <c r="CU271">
        <v>12</v>
      </c>
      <c r="CV271">
        <v>14</v>
      </c>
      <c r="CW271">
        <v>13</v>
      </c>
      <c r="CX271">
        <v>197</v>
      </c>
      <c r="CY271">
        <v>18.875</v>
      </c>
      <c r="CZ271">
        <v>50</v>
      </c>
      <c r="DA271">
        <v>36.274999999999999</v>
      </c>
      <c r="DB271">
        <v>55.19</v>
      </c>
      <c r="DC271">
        <v>7</v>
      </c>
      <c r="DD271">
        <v>2241</v>
      </c>
      <c r="DE271">
        <v>62.451999999999998</v>
      </c>
      <c r="DF271">
        <v>179.5</v>
      </c>
      <c r="DG271">
        <v>19</v>
      </c>
      <c r="DH271">
        <v>334.5</v>
      </c>
      <c r="DI271">
        <v>6.0570000000000004</v>
      </c>
      <c r="DJ271">
        <v>1145</v>
      </c>
      <c r="DK271">
        <v>136.875</v>
      </c>
      <c r="DL271">
        <v>4.6399999999999997</v>
      </c>
      <c r="DM271">
        <v>4</v>
      </c>
      <c r="DN271">
        <v>2816</v>
      </c>
      <c r="DO271">
        <v>12</v>
      </c>
      <c r="DP271">
        <v>197.625</v>
      </c>
      <c r="DQ271">
        <v>9.6989999999999998</v>
      </c>
      <c r="DR271">
        <v>6.8460000000000001</v>
      </c>
      <c r="DS271">
        <v>4.75</v>
      </c>
      <c r="DT271">
        <v>1</v>
      </c>
      <c r="DU271">
        <v>13</v>
      </c>
      <c r="DV271">
        <v>0</v>
      </c>
      <c r="DW271">
        <v>86.667000000000002</v>
      </c>
      <c r="DX271">
        <v>86.667000000000002</v>
      </c>
      <c r="DY271">
        <v>13</v>
      </c>
      <c r="DZ271">
        <v>52</v>
      </c>
      <c r="EA271">
        <v>16.411999999999999</v>
      </c>
      <c r="EB271">
        <v>11</v>
      </c>
      <c r="EC271">
        <v>27</v>
      </c>
      <c r="ED271">
        <v>6</v>
      </c>
      <c r="EE271">
        <v>12</v>
      </c>
      <c r="EF271">
        <v>154</v>
      </c>
      <c r="EG271">
        <v>20.75</v>
      </c>
      <c r="EH271">
        <v>68.421000000000006</v>
      </c>
      <c r="EI271">
        <v>37.255000000000003</v>
      </c>
      <c r="EJ271">
        <v>70.83</v>
      </c>
      <c r="EK271">
        <v>-5</v>
      </c>
    </row>
    <row r="272" spans="1:141" x14ac:dyDescent="0.25">
      <c r="A272">
        <v>0</v>
      </c>
      <c r="B272">
        <v>0</v>
      </c>
      <c r="C272">
        <v>0</v>
      </c>
      <c r="D272">
        <v>2025</v>
      </c>
      <c r="E272">
        <v>18</v>
      </c>
      <c r="F272" t="str">
        <f>VLOOKUP(G272, Map!$A$1:$B$33, 2, FALSE)</f>
        <v>JAX</v>
      </c>
      <c r="G272" t="s">
        <v>139</v>
      </c>
      <c r="H272" t="str">
        <f>VLOOKUP(I272, Map!$A$1:$B$33, 2, FALSE)</f>
        <v>TEN</v>
      </c>
      <c r="I272" t="s">
        <v>140</v>
      </c>
      <c r="J272">
        <v>0</v>
      </c>
      <c r="K272">
        <v>0</v>
      </c>
      <c r="L272">
        <v>0</v>
      </c>
      <c r="M272">
        <v>0</v>
      </c>
      <c r="N272">
        <v>4</v>
      </c>
      <c r="O272">
        <v>3</v>
      </c>
      <c r="P272">
        <v>22.142856999999999</v>
      </c>
      <c r="Q272">
        <v>20.857143000000001</v>
      </c>
      <c r="R272">
        <v>-9</v>
      </c>
      <c r="S272">
        <v>-2</v>
      </c>
      <c r="T272">
        <v>0.57142859999999995</v>
      </c>
      <c r="U272">
        <v>1</v>
      </c>
      <c r="V272">
        <v>0</v>
      </c>
      <c r="W272">
        <v>3</v>
      </c>
      <c r="X272">
        <v>2</v>
      </c>
      <c r="Y272">
        <v>1</v>
      </c>
      <c r="Z272">
        <v>1</v>
      </c>
      <c r="AA272">
        <v>2</v>
      </c>
      <c r="AB272">
        <v>1</v>
      </c>
      <c r="AC272">
        <v>10</v>
      </c>
      <c r="AD272">
        <v>8</v>
      </c>
      <c r="AE272">
        <v>9</v>
      </c>
      <c r="AF272">
        <v>9</v>
      </c>
      <c r="AG272">
        <v>58</v>
      </c>
      <c r="AH272">
        <v>0</v>
      </c>
      <c r="AI272">
        <v>1</v>
      </c>
      <c r="AJ272">
        <v>7</v>
      </c>
      <c r="AK272">
        <v>28.75</v>
      </c>
      <c r="AL272">
        <v>13.75</v>
      </c>
      <c r="AM272">
        <v>-120</v>
      </c>
      <c r="AN272">
        <v>-3</v>
      </c>
      <c r="AO272">
        <v>0.125</v>
      </c>
      <c r="AP272">
        <v>0</v>
      </c>
      <c r="AQ272">
        <v>3</v>
      </c>
      <c r="AR272">
        <v>0</v>
      </c>
      <c r="AS272">
        <v>3</v>
      </c>
      <c r="AT272">
        <v>1</v>
      </c>
      <c r="AU272">
        <v>4</v>
      </c>
      <c r="AV272">
        <v>0</v>
      </c>
      <c r="AW272">
        <v>6</v>
      </c>
      <c r="AX272">
        <v>7</v>
      </c>
      <c r="AY272">
        <v>9</v>
      </c>
      <c r="AZ272">
        <v>8</v>
      </c>
      <c r="BA272">
        <v>7</v>
      </c>
      <c r="BB272">
        <v>59</v>
      </c>
      <c r="BC272">
        <v>0</v>
      </c>
      <c r="BD272">
        <v>0</v>
      </c>
      <c r="BE272">
        <v>0</v>
      </c>
      <c r="BF272">
        <v>0</v>
      </c>
      <c r="BG272">
        <v>72.242000000000004</v>
      </c>
      <c r="BH272">
        <v>25.695</v>
      </c>
      <c r="BI272">
        <v>27.536999999999999</v>
      </c>
      <c r="BJ272">
        <v>0</v>
      </c>
      <c r="BK272">
        <v>0</v>
      </c>
      <c r="BL272">
        <v>0</v>
      </c>
      <c r="BM272">
        <v>9.0670000000000002</v>
      </c>
      <c r="BN272">
        <v>27.536999999999999</v>
      </c>
      <c r="BO272">
        <v>25.695</v>
      </c>
      <c r="BP272">
        <v>0</v>
      </c>
      <c r="BQ272">
        <v>72.242000000000004</v>
      </c>
      <c r="BR272">
        <v>-9.0670000000000002</v>
      </c>
      <c r="BS272">
        <v>0</v>
      </c>
      <c r="BT272">
        <v>0</v>
      </c>
      <c r="BU272">
        <v>0</v>
      </c>
      <c r="BV272">
        <v>2100</v>
      </c>
      <c r="BW272">
        <v>58.686999999999998</v>
      </c>
      <c r="BX272">
        <v>215.14285000000001</v>
      </c>
      <c r="BY272">
        <v>21</v>
      </c>
      <c r="BZ272">
        <v>351.14285000000001</v>
      </c>
      <c r="CA272">
        <v>6.2549999999999999</v>
      </c>
      <c r="CB272">
        <v>1033</v>
      </c>
      <c r="CC272">
        <v>119.714</v>
      </c>
      <c r="CD272">
        <v>4.6820000000000004</v>
      </c>
      <c r="CE272">
        <v>6</v>
      </c>
      <c r="CF272">
        <v>2695</v>
      </c>
      <c r="CG272">
        <v>9</v>
      </c>
      <c r="CH272">
        <v>231.429</v>
      </c>
      <c r="CI272">
        <v>10.657999999999999</v>
      </c>
      <c r="CJ272">
        <v>7.375</v>
      </c>
      <c r="CK272">
        <v>3.1880000000000002</v>
      </c>
      <c r="CL272">
        <v>2</v>
      </c>
      <c r="CM272">
        <v>8</v>
      </c>
      <c r="CN272">
        <v>0</v>
      </c>
      <c r="CO272">
        <v>93.332999999999998</v>
      </c>
      <c r="CP272">
        <v>71.429000000000002</v>
      </c>
      <c r="CQ272">
        <v>10</v>
      </c>
      <c r="CR272">
        <v>44</v>
      </c>
      <c r="CS272">
        <v>4.4290000000000003</v>
      </c>
      <c r="CT272">
        <v>30</v>
      </c>
      <c r="CU272">
        <v>10</v>
      </c>
      <c r="CV272">
        <v>12</v>
      </c>
      <c r="CW272">
        <v>9</v>
      </c>
      <c r="CX272">
        <v>146</v>
      </c>
      <c r="CY272">
        <v>19.143000000000001</v>
      </c>
      <c r="CZ272">
        <v>53.332999999999998</v>
      </c>
      <c r="DA272">
        <v>32.978999999999999</v>
      </c>
      <c r="DB272">
        <v>59.74</v>
      </c>
      <c r="DC272">
        <v>8</v>
      </c>
      <c r="DD272">
        <v>1785</v>
      </c>
      <c r="DE272">
        <v>57.664000000000001</v>
      </c>
      <c r="DF272">
        <v>168.375</v>
      </c>
      <c r="DG272">
        <v>21</v>
      </c>
      <c r="DH272">
        <v>282.25</v>
      </c>
      <c r="DI272">
        <v>5.8940000000000001</v>
      </c>
      <c r="DJ272">
        <v>643</v>
      </c>
      <c r="DK272">
        <v>80.375</v>
      </c>
      <c r="DL272">
        <v>3.9209999999999998</v>
      </c>
      <c r="DM272">
        <v>3</v>
      </c>
      <c r="DN272">
        <v>2580</v>
      </c>
      <c r="DO272">
        <v>5</v>
      </c>
      <c r="DP272">
        <v>201.875</v>
      </c>
      <c r="DQ272">
        <v>10.222</v>
      </c>
      <c r="DR272">
        <v>6.8129999999999997</v>
      </c>
      <c r="DS272">
        <v>4.8949999999999996</v>
      </c>
      <c r="DT272">
        <v>0</v>
      </c>
      <c r="DU272">
        <v>16</v>
      </c>
      <c r="DV272">
        <v>0</v>
      </c>
      <c r="DW272">
        <v>88.888999999999996</v>
      </c>
      <c r="DX272">
        <v>76.19</v>
      </c>
      <c r="DY272">
        <v>16</v>
      </c>
      <c r="DZ272">
        <v>56</v>
      </c>
      <c r="EA272">
        <v>10.75</v>
      </c>
      <c r="EB272">
        <v>12</v>
      </c>
      <c r="EC272">
        <v>37</v>
      </c>
      <c r="ED272">
        <v>6</v>
      </c>
      <c r="EE272">
        <v>5</v>
      </c>
      <c r="EF272">
        <v>110</v>
      </c>
      <c r="EG272">
        <v>15.875</v>
      </c>
      <c r="EH272">
        <v>38.462000000000003</v>
      </c>
      <c r="EI272">
        <v>29.907</v>
      </c>
      <c r="EJ272">
        <v>65.31</v>
      </c>
      <c r="EK272">
        <v>-4</v>
      </c>
    </row>
    <row r="273" spans="1:141" x14ac:dyDescent="0.25">
      <c r="A273">
        <v>0</v>
      </c>
      <c r="B273">
        <v>0</v>
      </c>
      <c r="C273">
        <v>0</v>
      </c>
      <c r="D273">
        <v>2025</v>
      </c>
      <c r="E273">
        <v>18</v>
      </c>
      <c r="F273" t="str">
        <f>VLOOKUP(G273, Map!$A$1:$B$33, 2, FALSE)</f>
        <v>HOU</v>
      </c>
      <c r="G273" t="s">
        <v>137</v>
      </c>
      <c r="H273" t="str">
        <f>VLOOKUP(I273, Map!$A$1:$B$33, 2, FALSE)</f>
        <v>IND</v>
      </c>
      <c r="I273" t="s">
        <v>138</v>
      </c>
      <c r="J273">
        <v>0</v>
      </c>
      <c r="K273">
        <v>0</v>
      </c>
      <c r="L273">
        <v>0</v>
      </c>
      <c r="M273">
        <v>0</v>
      </c>
      <c r="N273">
        <v>3</v>
      </c>
      <c r="O273">
        <v>4</v>
      </c>
      <c r="P273">
        <v>14.714286</v>
      </c>
      <c r="Q273">
        <v>21.857143000000001</v>
      </c>
      <c r="R273">
        <v>50</v>
      </c>
      <c r="S273">
        <v>1</v>
      </c>
      <c r="T273">
        <v>0.42857142999999998</v>
      </c>
      <c r="U273">
        <v>1</v>
      </c>
      <c r="V273">
        <v>1</v>
      </c>
      <c r="W273">
        <v>2</v>
      </c>
      <c r="X273">
        <v>1</v>
      </c>
      <c r="Y273">
        <v>1</v>
      </c>
      <c r="Z273">
        <v>3</v>
      </c>
      <c r="AA273">
        <v>2</v>
      </c>
      <c r="AB273">
        <v>1</v>
      </c>
      <c r="AC273">
        <v>3</v>
      </c>
      <c r="AD273">
        <v>13</v>
      </c>
      <c r="AE273">
        <v>8</v>
      </c>
      <c r="AF273">
        <v>8</v>
      </c>
      <c r="AG273">
        <v>69</v>
      </c>
      <c r="AH273">
        <v>0</v>
      </c>
      <c r="AI273">
        <v>7</v>
      </c>
      <c r="AJ273">
        <v>1</v>
      </c>
      <c r="AK273">
        <v>19.25</v>
      </c>
      <c r="AL273">
        <v>33.75</v>
      </c>
      <c r="AM273">
        <v>116</v>
      </c>
      <c r="AN273">
        <v>4</v>
      </c>
      <c r="AO273">
        <v>0.875</v>
      </c>
      <c r="AP273">
        <v>2</v>
      </c>
      <c r="AQ273">
        <v>0</v>
      </c>
      <c r="AR273">
        <v>5</v>
      </c>
      <c r="AS273">
        <v>0</v>
      </c>
      <c r="AT273">
        <v>2</v>
      </c>
      <c r="AU273">
        <v>1</v>
      </c>
      <c r="AV273">
        <v>6</v>
      </c>
      <c r="AW273">
        <v>0</v>
      </c>
      <c r="AX273">
        <v>4</v>
      </c>
      <c r="AY273">
        <v>12</v>
      </c>
      <c r="AZ273">
        <v>6</v>
      </c>
      <c r="BA273">
        <v>11</v>
      </c>
      <c r="BB273">
        <v>68</v>
      </c>
      <c r="BC273">
        <v>0</v>
      </c>
      <c r="BD273">
        <v>0</v>
      </c>
      <c r="BE273">
        <v>0</v>
      </c>
      <c r="BF273">
        <v>0</v>
      </c>
      <c r="BG273">
        <v>46.070999999999998</v>
      </c>
      <c r="BH273">
        <v>73.628</v>
      </c>
      <c r="BI273">
        <v>53.558999999999997</v>
      </c>
      <c r="BJ273">
        <v>0</v>
      </c>
      <c r="BK273">
        <v>0</v>
      </c>
      <c r="BL273">
        <v>0</v>
      </c>
      <c r="BM273">
        <v>-1.5649999999999999</v>
      </c>
      <c r="BN273">
        <v>53.558999999999997</v>
      </c>
      <c r="BO273">
        <v>73.628</v>
      </c>
      <c r="BP273">
        <v>0</v>
      </c>
      <c r="BQ273">
        <v>46.070999999999998</v>
      </c>
      <c r="BR273">
        <v>1.5649999999999999</v>
      </c>
      <c r="BS273">
        <v>0</v>
      </c>
      <c r="BT273">
        <v>0</v>
      </c>
      <c r="BU273">
        <v>0</v>
      </c>
      <c r="BV273">
        <v>2266</v>
      </c>
      <c r="BW273">
        <v>66.525000000000006</v>
      </c>
      <c r="BX273">
        <v>215.28572</v>
      </c>
      <c r="BY273">
        <v>22</v>
      </c>
      <c r="BZ273">
        <v>348.57144</v>
      </c>
      <c r="CA273">
        <v>6.9749999999999996</v>
      </c>
      <c r="CB273">
        <v>869</v>
      </c>
      <c r="CC273">
        <v>113.429</v>
      </c>
      <c r="CD273">
        <v>4.2690000000000001</v>
      </c>
      <c r="CE273">
        <v>3</v>
      </c>
      <c r="CF273">
        <v>2816</v>
      </c>
      <c r="CG273">
        <v>11</v>
      </c>
      <c r="CH273">
        <v>235.143</v>
      </c>
      <c r="CI273">
        <v>10.484</v>
      </c>
      <c r="CJ273">
        <v>7.875</v>
      </c>
      <c r="CK273">
        <v>6.1109999999999998</v>
      </c>
      <c r="CL273">
        <v>1</v>
      </c>
      <c r="CM273">
        <v>16</v>
      </c>
      <c r="CN273">
        <v>0</v>
      </c>
      <c r="CO273">
        <v>100</v>
      </c>
      <c r="CP273">
        <v>89.474000000000004</v>
      </c>
      <c r="CQ273">
        <v>17</v>
      </c>
      <c r="CR273">
        <v>63</v>
      </c>
      <c r="CS273">
        <v>11.545</v>
      </c>
      <c r="CT273">
        <v>27</v>
      </c>
      <c r="CU273">
        <v>9</v>
      </c>
      <c r="CV273">
        <v>6</v>
      </c>
      <c r="CW273">
        <v>11</v>
      </c>
      <c r="CX273">
        <v>153</v>
      </c>
      <c r="CY273">
        <v>18.713999999999999</v>
      </c>
      <c r="CZ273">
        <v>66.667000000000002</v>
      </c>
      <c r="DA273">
        <v>35.164999999999999</v>
      </c>
      <c r="DB273">
        <v>60.15</v>
      </c>
      <c r="DC273">
        <v>4</v>
      </c>
      <c r="DD273">
        <v>2891</v>
      </c>
      <c r="DE273">
        <v>70.161000000000001</v>
      </c>
      <c r="DF273">
        <v>250.875</v>
      </c>
      <c r="DG273">
        <v>23</v>
      </c>
      <c r="DH273">
        <v>393.25</v>
      </c>
      <c r="DI273">
        <v>8.3510000000000009</v>
      </c>
      <c r="DJ273">
        <v>1690</v>
      </c>
      <c r="DK273">
        <v>134.375</v>
      </c>
      <c r="DL273">
        <v>5.0229999999999997</v>
      </c>
      <c r="DM273">
        <v>18</v>
      </c>
      <c r="DN273">
        <v>3396</v>
      </c>
      <c r="DO273">
        <v>13</v>
      </c>
      <c r="DP273">
        <v>258.875</v>
      </c>
      <c r="DQ273">
        <v>11.901999999999999</v>
      </c>
      <c r="DR273">
        <v>6.8259999999999996</v>
      </c>
      <c r="DS273">
        <v>6.0910000000000002</v>
      </c>
      <c r="DT273">
        <v>1</v>
      </c>
      <c r="DU273">
        <v>23</v>
      </c>
      <c r="DV273">
        <v>0</v>
      </c>
      <c r="DW273">
        <v>96.296000000000006</v>
      </c>
      <c r="DX273">
        <v>94.117999999999995</v>
      </c>
      <c r="DY273">
        <v>16</v>
      </c>
      <c r="DZ273">
        <v>74</v>
      </c>
      <c r="EA273">
        <v>4.25</v>
      </c>
      <c r="EB273">
        <v>8</v>
      </c>
      <c r="EC273">
        <v>16</v>
      </c>
      <c r="ED273">
        <v>6</v>
      </c>
      <c r="EE273">
        <v>13</v>
      </c>
      <c r="EF273">
        <v>270</v>
      </c>
      <c r="EG273">
        <v>23.25</v>
      </c>
      <c r="EH273">
        <v>83.332999999999998</v>
      </c>
      <c r="EI273">
        <v>45.348999999999997</v>
      </c>
      <c r="EJ273">
        <v>77.069999999999993</v>
      </c>
      <c r="EK273">
        <v>8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D156-215F-4CF8-BEFE-E401DA5F215C}">
  <dimension ref="A1:B33"/>
  <sheetViews>
    <sheetView workbookViewId="0">
      <selection activeCell="A27" sqref="A27"/>
    </sheetView>
  </sheetViews>
  <sheetFormatPr defaultRowHeight="15" x14ac:dyDescent="0.25"/>
  <cols>
    <col min="1" max="1" width="19.42578125" customWidth="1"/>
    <col min="2" max="2" width="21" customWidth="1"/>
  </cols>
  <sheetData>
    <row r="1" spans="1:2" ht="30" x14ac:dyDescent="0.25">
      <c r="A1" s="2" t="s">
        <v>221</v>
      </c>
      <c r="B1" s="2" t="s">
        <v>222</v>
      </c>
    </row>
    <row r="2" spans="1:2" x14ac:dyDescent="0.25">
      <c r="A2" s="3" t="s">
        <v>156</v>
      </c>
      <c r="B2" s="3" t="s">
        <v>223</v>
      </c>
    </row>
    <row r="3" spans="1:2" x14ac:dyDescent="0.25">
      <c r="A3" s="3" t="s">
        <v>167</v>
      </c>
      <c r="B3" s="3" t="s">
        <v>224</v>
      </c>
    </row>
    <row r="4" spans="1:2" x14ac:dyDescent="0.25">
      <c r="A4" s="3" t="s">
        <v>146</v>
      </c>
      <c r="B4" s="3" t="s">
        <v>225</v>
      </c>
    </row>
    <row r="5" spans="1:2" x14ac:dyDescent="0.25">
      <c r="A5" s="3" t="s">
        <v>165</v>
      </c>
      <c r="B5" s="3" t="s">
        <v>226</v>
      </c>
    </row>
    <row r="6" spans="1:2" x14ac:dyDescent="0.25">
      <c r="A6" s="3" t="s">
        <v>142</v>
      </c>
      <c r="B6" s="3" t="s">
        <v>227</v>
      </c>
    </row>
    <row r="7" spans="1:2" x14ac:dyDescent="0.25">
      <c r="A7" s="3" t="s">
        <v>163</v>
      </c>
      <c r="B7" s="3" t="s">
        <v>228</v>
      </c>
    </row>
    <row r="8" spans="1:2" x14ac:dyDescent="0.25">
      <c r="A8" s="3" t="s">
        <v>161</v>
      </c>
      <c r="B8" s="3" t="s">
        <v>229</v>
      </c>
    </row>
    <row r="9" spans="1:2" x14ac:dyDescent="0.25">
      <c r="A9" s="3" t="s">
        <v>162</v>
      </c>
      <c r="B9" s="3" t="s">
        <v>230</v>
      </c>
    </row>
    <row r="10" spans="1:2" x14ac:dyDescent="0.25">
      <c r="A10" s="3" t="s">
        <v>150</v>
      </c>
      <c r="B10" s="3" t="s">
        <v>231</v>
      </c>
    </row>
    <row r="11" spans="1:2" x14ac:dyDescent="0.25">
      <c r="A11" s="3" t="s">
        <v>159</v>
      </c>
      <c r="B11" s="3" t="s">
        <v>232</v>
      </c>
    </row>
    <row r="12" spans="1:2" x14ac:dyDescent="0.25">
      <c r="A12" s="3" t="s">
        <v>164</v>
      </c>
      <c r="B12" s="3" t="s">
        <v>233</v>
      </c>
    </row>
    <row r="13" spans="1:2" x14ac:dyDescent="0.25">
      <c r="A13" s="3" t="s">
        <v>154</v>
      </c>
      <c r="B13" s="3" t="s">
        <v>234</v>
      </c>
    </row>
    <row r="14" spans="1:2" x14ac:dyDescent="0.25">
      <c r="A14" s="3" t="s">
        <v>137</v>
      </c>
      <c r="B14" s="3" t="s">
        <v>235</v>
      </c>
    </row>
    <row r="15" spans="1:2" x14ac:dyDescent="0.25">
      <c r="A15" s="3" t="s">
        <v>138</v>
      </c>
      <c r="B15" s="3" t="s">
        <v>236</v>
      </c>
    </row>
    <row r="16" spans="1:2" x14ac:dyDescent="0.25">
      <c r="A16" s="3" t="s">
        <v>139</v>
      </c>
      <c r="B16" s="3" t="s">
        <v>237</v>
      </c>
    </row>
    <row r="17" spans="1:2" x14ac:dyDescent="0.25">
      <c r="A17" s="3" t="s">
        <v>158</v>
      </c>
      <c r="B17" s="3" t="s">
        <v>238</v>
      </c>
    </row>
    <row r="18" spans="1:2" x14ac:dyDescent="0.25">
      <c r="A18" s="3" t="s">
        <v>155</v>
      </c>
      <c r="B18" s="3" t="s">
        <v>239</v>
      </c>
    </row>
    <row r="19" spans="1:2" x14ac:dyDescent="0.25">
      <c r="A19" s="3" t="s">
        <v>160</v>
      </c>
      <c r="B19" s="3" t="s">
        <v>240</v>
      </c>
    </row>
    <row r="20" spans="1:2" x14ac:dyDescent="0.25">
      <c r="A20" s="3" t="s">
        <v>157</v>
      </c>
      <c r="B20" s="3" t="s">
        <v>241</v>
      </c>
    </row>
    <row r="21" spans="1:2" x14ac:dyDescent="0.25">
      <c r="A21" s="3" t="s">
        <v>152</v>
      </c>
      <c r="B21" s="3" t="s">
        <v>242</v>
      </c>
    </row>
    <row r="22" spans="1:2" x14ac:dyDescent="0.25">
      <c r="A22" s="3" t="s">
        <v>153</v>
      </c>
      <c r="B22" s="3" t="s">
        <v>243</v>
      </c>
    </row>
    <row r="23" spans="1:2" x14ac:dyDescent="0.25">
      <c r="A23" s="3" t="s">
        <v>151</v>
      </c>
      <c r="B23" s="3" t="s">
        <v>244</v>
      </c>
    </row>
    <row r="24" spans="1:2" x14ac:dyDescent="0.25">
      <c r="A24" s="3" t="s">
        <v>168</v>
      </c>
      <c r="B24" s="3" t="s">
        <v>245</v>
      </c>
    </row>
    <row r="25" spans="1:2" x14ac:dyDescent="0.25">
      <c r="A25" s="3" t="s">
        <v>149</v>
      </c>
      <c r="B25" s="3" t="s">
        <v>246</v>
      </c>
    </row>
    <row r="26" spans="1:2" x14ac:dyDescent="0.25">
      <c r="A26" s="3" t="s">
        <v>166</v>
      </c>
      <c r="B26" s="3" t="s">
        <v>247</v>
      </c>
    </row>
    <row r="27" spans="1:2" x14ac:dyDescent="0.25">
      <c r="A27" s="3" t="s">
        <v>147</v>
      </c>
      <c r="B27" s="3" t="s">
        <v>248</v>
      </c>
    </row>
    <row r="28" spans="1:2" x14ac:dyDescent="0.25">
      <c r="A28" s="3" t="s">
        <v>145</v>
      </c>
      <c r="B28" s="3" t="s">
        <v>249</v>
      </c>
    </row>
    <row r="29" spans="1:2" ht="30" x14ac:dyDescent="0.25">
      <c r="A29" s="3" t="s">
        <v>144</v>
      </c>
      <c r="B29" s="3" t="s">
        <v>250</v>
      </c>
    </row>
    <row r="30" spans="1:2" x14ac:dyDescent="0.25">
      <c r="A30" s="3" t="s">
        <v>143</v>
      </c>
      <c r="B30" s="3" t="s">
        <v>251</v>
      </c>
    </row>
    <row r="31" spans="1:2" ht="30" x14ac:dyDescent="0.25">
      <c r="A31" s="3" t="s">
        <v>141</v>
      </c>
      <c r="B31" s="3" t="s">
        <v>252</v>
      </c>
    </row>
    <row r="32" spans="1:2" x14ac:dyDescent="0.25">
      <c r="A32" s="3" t="s">
        <v>140</v>
      </c>
      <c r="B32" s="3" t="s">
        <v>253</v>
      </c>
    </row>
    <row r="33" spans="1:2" ht="30" x14ac:dyDescent="0.25">
      <c r="A33" s="3" t="s">
        <v>148</v>
      </c>
      <c r="B33" s="3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857"/>
  <sheetViews>
    <sheetView tabSelected="1" workbookViewId="0">
      <selection activeCell="F26" sqref="F26"/>
    </sheetView>
  </sheetViews>
  <sheetFormatPr defaultRowHeight="15" x14ac:dyDescent="0.25"/>
  <cols>
    <col min="1" max="1" width="11" customWidth="1"/>
    <col min="2" max="2" width="7.28515625" customWidth="1"/>
    <col min="3" max="3" width="9.85546875" customWidth="1"/>
    <col min="4" max="4" width="11.140625" customWidth="1"/>
    <col min="5" max="6" width="13.42578125" customWidth="1"/>
    <col min="7" max="8" width="16.42578125" customWidth="1"/>
    <col min="9" max="9" width="15.85546875" customWidth="1"/>
    <col min="10" max="10" width="13.140625" customWidth="1"/>
    <col min="11" max="11" width="12.5703125" customWidth="1"/>
    <col min="12" max="12" width="13" customWidth="1"/>
    <col min="13" max="13" width="12.42578125" customWidth="1"/>
    <col min="14" max="14" width="21.140625" customWidth="1"/>
    <col min="15" max="15" width="23.140625" customWidth="1"/>
    <col min="16" max="16" width="18" customWidth="1"/>
    <col min="17" max="17" width="19.7109375" customWidth="1"/>
    <col min="18" max="18" width="18" customWidth="1"/>
    <col min="19" max="19" width="16.42578125" customWidth="1"/>
    <col min="20" max="20" width="16.140625" customWidth="1"/>
    <col min="21" max="21" width="21" customWidth="1"/>
    <col min="22" max="22" width="16.28515625" customWidth="1"/>
    <col min="23" max="23" width="12.5703125" customWidth="1"/>
    <col min="24" max="24" width="17.85546875" customWidth="1"/>
    <col min="25" max="25" width="8.85546875" customWidth="1"/>
    <col min="26" max="26" width="15.140625" customWidth="1"/>
    <col min="27" max="27" width="14.7109375" customWidth="1"/>
    <col min="28" max="28" width="23" customWidth="1"/>
    <col min="29" max="29" width="21.42578125" customWidth="1"/>
    <col min="30" max="30" width="16" customWidth="1"/>
    <col min="31" max="31" width="16.42578125" customWidth="1"/>
    <col min="32" max="32" width="25.42578125" customWidth="1"/>
    <col min="33" max="33" width="30.140625" customWidth="1"/>
    <col min="34" max="34" width="25.7109375" customWidth="1"/>
    <col min="35" max="35" width="30.42578125" customWidth="1"/>
    <col min="36" max="36" width="30.140625" customWidth="1"/>
    <col min="37" max="37" width="27.85546875" customWidth="1"/>
    <col min="38" max="38" width="29.5703125" customWidth="1"/>
    <col min="39" max="39" width="24.85546875" customWidth="1"/>
    <col min="40" max="40" width="29.5703125" customWidth="1"/>
    <col min="41" max="41" width="25.140625" customWidth="1"/>
    <col min="42" max="42" width="29" customWidth="1"/>
    <col min="43" max="43" width="29.85546875" customWidth="1"/>
    <col min="44" max="44" width="29.5703125" customWidth="1"/>
    <col min="45" max="45" width="27" customWidth="1"/>
  </cols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257</v>
      </c>
      <c r="G1" s="1" t="s">
        <v>3</v>
      </c>
      <c r="H1" s="1" t="s">
        <v>258</v>
      </c>
      <c r="I1" s="1" t="s">
        <v>4</v>
      </c>
      <c r="J1" s="1" t="s">
        <v>189</v>
      </c>
      <c r="K1" s="1" t="s">
        <v>203</v>
      </c>
      <c r="L1" s="1" t="s">
        <v>8</v>
      </c>
      <c r="M1" s="1" t="s">
        <v>29</v>
      </c>
      <c r="N1" s="1" t="s">
        <v>50</v>
      </c>
      <c r="O1" s="1" t="s">
        <v>51</v>
      </c>
      <c r="P1" s="1" t="s">
        <v>195</v>
      </c>
      <c r="Q1" s="1" t="s">
        <v>191</v>
      </c>
      <c r="R1" s="1" t="s">
        <v>193</v>
      </c>
      <c r="S1" s="1" t="s">
        <v>199</v>
      </c>
      <c r="T1" s="1" t="s">
        <v>212</v>
      </c>
      <c r="U1" s="1" t="s">
        <v>208</v>
      </c>
      <c r="V1" s="1" t="s">
        <v>215</v>
      </c>
      <c r="W1" s="1" t="s">
        <v>196</v>
      </c>
      <c r="X1" s="1" t="s">
        <v>217</v>
      </c>
      <c r="Y1" s="1" t="s">
        <v>207</v>
      </c>
      <c r="Z1" s="1" t="s">
        <v>213</v>
      </c>
      <c r="AA1" s="1" t="s">
        <v>218</v>
      </c>
      <c r="AB1" s="1" t="s">
        <v>198</v>
      </c>
      <c r="AC1" s="1" t="s">
        <v>201</v>
      </c>
      <c r="AD1" s="1" t="s">
        <v>211</v>
      </c>
      <c r="AE1" s="1" t="s">
        <v>194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</row>
    <row r="2" spans="1:45" x14ac:dyDescent="0.25">
      <c r="A2">
        <v>47</v>
      </c>
      <c r="B2">
        <v>1</v>
      </c>
      <c r="C2">
        <v>1</v>
      </c>
      <c r="D2">
        <v>2018</v>
      </c>
      <c r="E2">
        <v>1</v>
      </c>
      <c r="F2" t="str">
        <f>H2</f>
        <v>CHI</v>
      </c>
      <c r="G2" t="s">
        <v>154</v>
      </c>
      <c r="H2" t="str">
        <f>IFERROR(VLOOKUP(I2, Map!$A$1:$B$33, 2, FALSE),"WAS")</f>
        <v>CHI</v>
      </c>
      <c r="I2" t="s">
        <v>163</v>
      </c>
      <c r="J2" t="s">
        <v>200</v>
      </c>
      <c r="K2" t="s">
        <v>216</v>
      </c>
      <c r="L2">
        <v>1</v>
      </c>
      <c r="M2">
        <v>0</v>
      </c>
      <c r="N2">
        <v>41.5833333333333</v>
      </c>
      <c r="O2">
        <v>-6.25</v>
      </c>
      <c r="P2">
        <v>-6.5</v>
      </c>
      <c r="Q2">
        <v>45</v>
      </c>
      <c r="R2">
        <v>15.4</v>
      </c>
      <c r="S2">
        <v>21</v>
      </c>
      <c r="T2">
        <v>10.7</v>
      </c>
      <c r="U2">
        <v>15</v>
      </c>
      <c r="V2">
        <v>0</v>
      </c>
      <c r="W2">
        <v>0</v>
      </c>
      <c r="X2">
        <v>0</v>
      </c>
      <c r="Y2">
        <v>0</v>
      </c>
      <c r="Z2">
        <v>11.2</v>
      </c>
      <c r="AA2">
        <v>24.8</v>
      </c>
      <c r="AB2">
        <v>42</v>
      </c>
      <c r="AC2">
        <v>77</v>
      </c>
      <c r="AD2">
        <v>14.2</v>
      </c>
      <c r="AE2">
        <v>6.1</v>
      </c>
      <c r="AF2">
        <v>73.099999999999994</v>
      </c>
      <c r="AG2">
        <v>77.433999999999997</v>
      </c>
      <c r="AH2">
        <v>26.7</v>
      </c>
      <c r="AI2">
        <v>51</v>
      </c>
      <c r="AJ2">
        <v>25.837</v>
      </c>
      <c r="AK2">
        <v>34.597000000000001</v>
      </c>
      <c r="AL2">
        <v>8.8710000000000004</v>
      </c>
      <c r="AM2">
        <v>26.7</v>
      </c>
      <c r="AN2">
        <v>77.433999999999997</v>
      </c>
      <c r="AO2">
        <v>73.099999999999994</v>
      </c>
      <c r="AP2">
        <v>-8.8710000000000004</v>
      </c>
      <c r="AQ2">
        <v>74.162999999999997</v>
      </c>
      <c r="AR2">
        <v>49</v>
      </c>
      <c r="AS2">
        <v>65.403000000000006</v>
      </c>
    </row>
    <row r="3" spans="1:45" x14ac:dyDescent="0.25">
      <c r="A3">
        <v>40</v>
      </c>
      <c r="B3">
        <v>8</v>
      </c>
      <c r="C3">
        <v>1</v>
      </c>
      <c r="D3">
        <v>2018</v>
      </c>
      <c r="E3">
        <v>1</v>
      </c>
      <c r="F3" t="str">
        <f>IFERROR(VLOOKUP(G3, Map!$A$1:$B$33, 2, FALSE),"WAS")</f>
        <v>MIN</v>
      </c>
      <c r="G3" t="s">
        <v>153</v>
      </c>
      <c r="H3" t="str">
        <f>IFERROR(VLOOKUP(I3, Map!$A$1:$B$33, 2, FALSE),"WAS")</f>
        <v>SF</v>
      </c>
      <c r="I3" t="s">
        <v>143</v>
      </c>
      <c r="J3" t="s">
        <v>214</v>
      </c>
      <c r="K3" t="s">
        <v>197</v>
      </c>
      <c r="L3">
        <v>1</v>
      </c>
      <c r="M3">
        <v>0</v>
      </c>
      <c r="N3">
        <v>42.125</v>
      </c>
      <c r="O3">
        <v>-5.9166666666666696</v>
      </c>
      <c r="P3">
        <v>-6</v>
      </c>
      <c r="Q3">
        <v>44.5</v>
      </c>
      <c r="R3">
        <v>15.9</v>
      </c>
      <c r="S3">
        <v>21.1</v>
      </c>
      <c r="T3">
        <v>11.4</v>
      </c>
      <c r="U3">
        <v>14.5</v>
      </c>
      <c r="V3">
        <v>0</v>
      </c>
      <c r="W3">
        <v>0</v>
      </c>
      <c r="X3">
        <v>0</v>
      </c>
      <c r="Y3">
        <v>0</v>
      </c>
      <c r="Z3">
        <v>15.1</v>
      </c>
      <c r="AA3">
        <v>32</v>
      </c>
      <c r="AB3">
        <v>138</v>
      </c>
      <c r="AC3">
        <v>71</v>
      </c>
      <c r="AD3">
        <v>21.5</v>
      </c>
      <c r="AE3">
        <v>10.9</v>
      </c>
      <c r="AF3">
        <v>69.7</v>
      </c>
      <c r="AG3">
        <v>48.902999999999999</v>
      </c>
      <c r="AH3">
        <v>30</v>
      </c>
      <c r="AI3">
        <v>93.84</v>
      </c>
      <c r="AJ3">
        <v>42.064999999999998</v>
      </c>
      <c r="AK3">
        <v>81.007000000000005</v>
      </c>
      <c r="AL3">
        <v>7.4420000000000002</v>
      </c>
      <c r="AM3">
        <v>30</v>
      </c>
      <c r="AN3">
        <v>48.902999999999999</v>
      </c>
      <c r="AO3">
        <v>69.7</v>
      </c>
      <c r="AP3">
        <v>-7.4420000000000002</v>
      </c>
      <c r="AQ3">
        <v>57.935000000000002</v>
      </c>
      <c r="AR3">
        <v>6.16</v>
      </c>
      <c r="AS3">
        <v>18.992999999999999</v>
      </c>
    </row>
    <row r="4" spans="1:45" x14ac:dyDescent="0.25">
      <c r="A4">
        <v>30</v>
      </c>
      <c r="B4">
        <v>6</v>
      </c>
      <c r="C4">
        <v>1</v>
      </c>
      <c r="D4">
        <v>2018</v>
      </c>
      <c r="E4">
        <v>1</v>
      </c>
      <c r="F4" t="str">
        <f>IFERROR(VLOOKUP(G4, Map!$A$1:$B$33, 2, FALSE),"WAS")</f>
        <v>PHI</v>
      </c>
      <c r="G4" t="s">
        <v>147</v>
      </c>
      <c r="H4" t="str">
        <f>IFERROR(VLOOKUP(I4, Map!$A$1:$B$33, 2, FALSE),"WAS")</f>
        <v>ATL</v>
      </c>
      <c r="I4" t="s">
        <v>167</v>
      </c>
      <c r="J4" t="s">
        <v>206</v>
      </c>
      <c r="K4" t="s">
        <v>188</v>
      </c>
      <c r="L4">
        <v>1</v>
      </c>
      <c r="M4">
        <v>0</v>
      </c>
      <c r="N4">
        <v>40.5833333333333</v>
      </c>
      <c r="O4">
        <v>0.25</v>
      </c>
      <c r="P4">
        <v>1</v>
      </c>
      <c r="Q4">
        <v>44</v>
      </c>
      <c r="R4">
        <v>25.1</v>
      </c>
      <c r="S4">
        <v>28.9</v>
      </c>
      <c r="T4">
        <v>22.9</v>
      </c>
      <c r="U4">
        <v>28.6</v>
      </c>
      <c r="V4">
        <v>9.5</v>
      </c>
      <c r="W4">
        <v>0</v>
      </c>
      <c r="X4">
        <v>8</v>
      </c>
      <c r="Y4">
        <v>9.5</v>
      </c>
      <c r="Z4">
        <v>11.2</v>
      </c>
      <c r="AA4">
        <v>25.2</v>
      </c>
      <c r="AB4">
        <v>23</v>
      </c>
      <c r="AC4">
        <v>82</v>
      </c>
      <c r="AD4">
        <v>17.5</v>
      </c>
      <c r="AE4">
        <v>8.5</v>
      </c>
      <c r="AF4">
        <v>58.6</v>
      </c>
      <c r="AG4">
        <v>69.084000000000003</v>
      </c>
      <c r="AH4">
        <v>41.1</v>
      </c>
      <c r="AI4">
        <v>84.525999999999996</v>
      </c>
      <c r="AJ4">
        <v>40.232999999999997</v>
      </c>
      <c r="AK4">
        <v>61.075000000000003</v>
      </c>
      <c r="AL4">
        <v>3.1760000000000002</v>
      </c>
      <c r="AM4">
        <v>41.1</v>
      </c>
      <c r="AN4">
        <v>69.084000000000003</v>
      </c>
      <c r="AO4">
        <v>58.6</v>
      </c>
      <c r="AP4">
        <v>-3.1760000000000002</v>
      </c>
      <c r="AQ4">
        <v>59.767000000000003</v>
      </c>
      <c r="AR4">
        <v>15.474</v>
      </c>
      <c r="AS4">
        <v>38.924999999999997</v>
      </c>
    </row>
    <row r="5" spans="1:45" x14ac:dyDescent="0.25">
      <c r="A5">
        <v>47</v>
      </c>
      <c r="B5">
        <v>7</v>
      </c>
      <c r="C5">
        <v>1</v>
      </c>
      <c r="D5">
        <v>2018</v>
      </c>
      <c r="E5">
        <v>1</v>
      </c>
      <c r="F5" t="str">
        <f>IFERROR(VLOOKUP(G5, Map!$A$1:$B$33, 2, FALSE),"WAS")</f>
        <v>NE</v>
      </c>
      <c r="G5" t="s">
        <v>151</v>
      </c>
      <c r="H5" t="str">
        <f>IFERROR(VLOOKUP(I5, Map!$A$1:$B$33, 2, FALSE),"WAS")</f>
        <v>HOU</v>
      </c>
      <c r="I5" t="s">
        <v>137</v>
      </c>
      <c r="J5" t="s">
        <v>187</v>
      </c>
      <c r="K5" t="s">
        <v>209</v>
      </c>
      <c r="L5">
        <v>1</v>
      </c>
      <c r="M5">
        <v>0</v>
      </c>
      <c r="N5">
        <v>45.0833333333333</v>
      </c>
      <c r="O5">
        <v>-5.7083333333333304</v>
      </c>
      <c r="P5">
        <v>-6</v>
      </c>
      <c r="Q5">
        <v>45.5</v>
      </c>
      <c r="R5">
        <v>14.8</v>
      </c>
      <c r="S5">
        <v>16.899999999999999</v>
      </c>
      <c r="T5">
        <v>12.9</v>
      </c>
      <c r="U5">
        <v>12.2</v>
      </c>
      <c r="V5">
        <v>0.1</v>
      </c>
      <c r="W5">
        <v>0</v>
      </c>
      <c r="X5">
        <v>1</v>
      </c>
      <c r="Y5">
        <v>0.1</v>
      </c>
      <c r="Z5">
        <v>17.3</v>
      </c>
      <c r="AA5">
        <v>41.8</v>
      </c>
      <c r="AB5">
        <v>26</v>
      </c>
      <c r="AC5">
        <v>60</v>
      </c>
      <c r="AD5">
        <v>29.7</v>
      </c>
      <c r="AE5">
        <v>12.8</v>
      </c>
      <c r="AF5">
        <v>72.599999999999994</v>
      </c>
      <c r="AG5">
        <v>72.971000000000004</v>
      </c>
      <c r="AH5">
        <v>27.1</v>
      </c>
      <c r="AI5">
        <v>92.760999999999996</v>
      </c>
      <c r="AJ5">
        <v>58.186999999999998</v>
      </c>
      <c r="AK5">
        <v>80.421999999999997</v>
      </c>
      <c r="AL5">
        <v>8.6669999999999998</v>
      </c>
      <c r="AM5">
        <v>27.1</v>
      </c>
      <c r="AN5">
        <v>72.971000000000004</v>
      </c>
      <c r="AO5">
        <v>72.599999999999994</v>
      </c>
      <c r="AP5">
        <v>-8.6669999999999998</v>
      </c>
      <c r="AQ5">
        <v>41.813000000000002</v>
      </c>
      <c r="AR5">
        <v>7.2389999999999999</v>
      </c>
      <c r="AS5">
        <v>19.577999999999999</v>
      </c>
    </row>
    <row r="6" spans="1:45" x14ac:dyDescent="0.25">
      <c r="A6">
        <v>66</v>
      </c>
      <c r="B6">
        <v>-10</v>
      </c>
      <c r="C6">
        <v>0</v>
      </c>
      <c r="D6">
        <v>2018</v>
      </c>
      <c r="E6">
        <v>1</v>
      </c>
      <c r="F6" t="str">
        <f>IFERROR(VLOOKUP(G6, Map!$A$1:$B$33, 2, FALSE),"WAS")</f>
        <v>LAC</v>
      </c>
      <c r="G6" t="s">
        <v>160</v>
      </c>
      <c r="H6" t="str">
        <f>IFERROR(VLOOKUP(I6, Map!$A$1:$B$33, 2, FALSE),"WAS")</f>
        <v>KC</v>
      </c>
      <c r="I6" t="s">
        <v>158</v>
      </c>
      <c r="J6" t="s">
        <v>210</v>
      </c>
      <c r="K6" t="s">
        <v>202</v>
      </c>
      <c r="L6">
        <v>0</v>
      </c>
      <c r="M6">
        <v>0</v>
      </c>
      <c r="N6">
        <v>45.4583333333333</v>
      </c>
      <c r="O6">
        <v>-2.125</v>
      </c>
      <c r="P6">
        <v>-3.5</v>
      </c>
      <c r="Q6">
        <v>47.5</v>
      </c>
      <c r="R6">
        <v>22.9</v>
      </c>
      <c r="S6">
        <v>31.5</v>
      </c>
      <c r="T6">
        <v>17.7</v>
      </c>
      <c r="U6">
        <v>24.9</v>
      </c>
      <c r="V6">
        <v>0</v>
      </c>
      <c r="W6">
        <v>0</v>
      </c>
      <c r="X6">
        <v>0</v>
      </c>
      <c r="Y6">
        <v>0</v>
      </c>
      <c r="Z6">
        <v>17.600000000000001</v>
      </c>
      <c r="AA6">
        <v>36</v>
      </c>
      <c r="AB6">
        <v>226</v>
      </c>
      <c r="AC6">
        <v>77</v>
      </c>
      <c r="AD6">
        <v>17.600000000000001</v>
      </c>
      <c r="AE6">
        <v>7.8</v>
      </c>
      <c r="AF6">
        <v>62.4</v>
      </c>
      <c r="AG6">
        <v>93.736999999999995</v>
      </c>
      <c r="AH6">
        <v>37.299999999999997</v>
      </c>
      <c r="AI6">
        <v>14.156000000000001</v>
      </c>
      <c r="AJ6">
        <v>71.459999999999994</v>
      </c>
      <c r="AK6">
        <v>13.898</v>
      </c>
      <c r="AL6">
        <v>4.569</v>
      </c>
      <c r="AM6">
        <v>37.299999999999997</v>
      </c>
      <c r="AN6">
        <v>93.736999999999995</v>
      </c>
      <c r="AO6">
        <v>62.4</v>
      </c>
      <c r="AP6">
        <v>-4.569</v>
      </c>
      <c r="AQ6">
        <v>28.54</v>
      </c>
      <c r="AR6">
        <v>85.843999999999994</v>
      </c>
      <c r="AS6">
        <v>86.102000000000004</v>
      </c>
    </row>
    <row r="7" spans="1:45" x14ac:dyDescent="0.25">
      <c r="A7">
        <v>35</v>
      </c>
      <c r="B7">
        <v>-5</v>
      </c>
      <c r="C7">
        <v>0</v>
      </c>
      <c r="D7">
        <v>2018</v>
      </c>
      <c r="E7">
        <v>1</v>
      </c>
      <c r="F7" t="str">
        <f>IFERROR(VLOOKUP(G7, Map!$A$1:$B$33, 2, FALSE),"WAS")</f>
        <v>NYG</v>
      </c>
      <c r="G7" t="s">
        <v>149</v>
      </c>
      <c r="H7" t="str">
        <f>IFERROR(VLOOKUP(I7, Map!$A$1:$B$33, 2, FALSE),"WAS")</f>
        <v>JAX</v>
      </c>
      <c r="I7" t="s">
        <v>139</v>
      </c>
      <c r="J7" t="s">
        <v>219</v>
      </c>
      <c r="K7" t="s">
        <v>220</v>
      </c>
      <c r="L7">
        <v>0</v>
      </c>
      <c r="M7">
        <v>0</v>
      </c>
      <c r="N7">
        <v>38.75</v>
      </c>
      <c r="O7">
        <v>2.875</v>
      </c>
      <c r="P7">
        <v>2.5</v>
      </c>
      <c r="Q7">
        <v>40.5</v>
      </c>
      <c r="R7">
        <v>14.8</v>
      </c>
      <c r="S7">
        <v>16.600000000000001</v>
      </c>
      <c r="T7">
        <v>13.1</v>
      </c>
      <c r="U7">
        <v>13.3</v>
      </c>
      <c r="V7">
        <v>14.4</v>
      </c>
      <c r="W7">
        <v>0</v>
      </c>
      <c r="X7">
        <v>24</v>
      </c>
      <c r="Y7">
        <v>14.4</v>
      </c>
      <c r="Z7">
        <v>16.100000000000001</v>
      </c>
      <c r="AA7">
        <v>33.1</v>
      </c>
      <c r="AB7">
        <v>33</v>
      </c>
      <c r="AC7">
        <v>84</v>
      </c>
      <c r="AD7">
        <v>28.8</v>
      </c>
      <c r="AE7">
        <v>14.7</v>
      </c>
      <c r="AF7">
        <v>51</v>
      </c>
      <c r="AG7">
        <v>38.121000000000002</v>
      </c>
      <c r="AH7">
        <v>48.7</v>
      </c>
      <c r="AI7">
        <v>72.278999999999996</v>
      </c>
      <c r="AJ7">
        <v>10.901999999999999</v>
      </c>
      <c r="AK7">
        <v>32.557000000000002</v>
      </c>
      <c r="AL7">
        <v>0.41399999999999998</v>
      </c>
      <c r="AM7">
        <v>48.7</v>
      </c>
      <c r="AN7">
        <v>38.121000000000002</v>
      </c>
      <c r="AO7">
        <v>51</v>
      </c>
      <c r="AP7">
        <v>-0.41399999999999998</v>
      </c>
      <c r="AQ7">
        <v>89.097999999999999</v>
      </c>
      <c r="AR7">
        <v>27.721</v>
      </c>
      <c r="AS7">
        <v>67.442999999999998</v>
      </c>
    </row>
    <row r="8" spans="1:45" x14ac:dyDescent="0.25">
      <c r="A8">
        <v>30</v>
      </c>
      <c r="B8">
        <v>-18</v>
      </c>
      <c r="C8">
        <v>0</v>
      </c>
      <c r="D8">
        <v>2018</v>
      </c>
      <c r="E8">
        <v>1</v>
      </c>
      <c r="F8" t="str">
        <f>IFERROR(VLOOKUP(G8, Map!$A$1:$B$33, 2, FALSE),"WAS")</f>
        <v>ARI</v>
      </c>
      <c r="G8" t="s">
        <v>156</v>
      </c>
      <c r="H8" t="str">
        <f>IFERROR(VLOOKUP(I8, Map!$A$1:$B$33, 2, FALSE),"WAS")</f>
        <v>WAS</v>
      </c>
      <c r="I8" t="s">
        <v>204</v>
      </c>
      <c r="J8" t="s">
        <v>190</v>
      </c>
      <c r="K8" t="s">
        <v>205</v>
      </c>
      <c r="L8">
        <v>0</v>
      </c>
      <c r="M8">
        <v>0</v>
      </c>
      <c r="N8">
        <v>38.9166666666667</v>
      </c>
      <c r="O8">
        <v>-0.41666666666666702</v>
      </c>
      <c r="P8">
        <v>-2</v>
      </c>
      <c r="Q8">
        <v>31.5</v>
      </c>
      <c r="R8">
        <v>25.2</v>
      </c>
      <c r="S8">
        <v>34.4</v>
      </c>
      <c r="T8">
        <v>18</v>
      </c>
      <c r="U8">
        <v>26.7</v>
      </c>
      <c r="V8">
        <v>0</v>
      </c>
      <c r="W8">
        <v>0</v>
      </c>
      <c r="X8">
        <v>0</v>
      </c>
      <c r="Y8">
        <v>0</v>
      </c>
      <c r="Z8">
        <v>12.6</v>
      </c>
      <c r="AA8">
        <v>31.7</v>
      </c>
      <c r="AB8">
        <v>161</v>
      </c>
      <c r="AC8">
        <v>60</v>
      </c>
      <c r="AD8">
        <v>15.7</v>
      </c>
      <c r="AE8">
        <v>6</v>
      </c>
      <c r="AF8">
        <v>57.3</v>
      </c>
      <c r="AG8">
        <v>2.67</v>
      </c>
      <c r="AH8">
        <v>42.3</v>
      </c>
      <c r="AI8">
        <v>11.513999999999999</v>
      </c>
      <c r="AJ8">
        <v>13.760999999999999</v>
      </c>
      <c r="AK8">
        <v>6.1710000000000003</v>
      </c>
      <c r="AL8">
        <v>2.7080000000000002</v>
      </c>
      <c r="AM8">
        <v>42.3</v>
      </c>
      <c r="AN8">
        <v>2.67</v>
      </c>
      <c r="AO8">
        <v>57.3</v>
      </c>
      <c r="AP8">
        <v>-2.7080000000000002</v>
      </c>
      <c r="AQ8">
        <v>86.239000000000004</v>
      </c>
      <c r="AR8">
        <v>88.486000000000004</v>
      </c>
      <c r="AS8">
        <v>93.828999999999994</v>
      </c>
    </row>
    <row r="9" spans="1:45" x14ac:dyDescent="0.25">
      <c r="A9">
        <v>88</v>
      </c>
      <c r="B9">
        <v>-8</v>
      </c>
      <c r="C9">
        <v>0</v>
      </c>
      <c r="D9">
        <v>2018</v>
      </c>
      <c r="E9">
        <v>1</v>
      </c>
      <c r="F9" t="str">
        <f>IFERROR(VLOOKUP(G9, Map!$A$1:$B$33, 2, FALSE),"WAS")</f>
        <v>NO</v>
      </c>
      <c r="G9" t="s">
        <v>168</v>
      </c>
      <c r="H9" t="str">
        <f>IFERROR(VLOOKUP(I9, Map!$A$1:$B$33, 2, FALSE),"WAS")</f>
        <v>TB</v>
      </c>
      <c r="I9" t="s">
        <v>141</v>
      </c>
      <c r="J9" t="s">
        <v>192</v>
      </c>
      <c r="K9" t="s">
        <v>186</v>
      </c>
      <c r="L9">
        <v>0</v>
      </c>
      <c r="M9">
        <v>0</v>
      </c>
      <c r="N9">
        <v>48.625</v>
      </c>
      <c r="O9">
        <v>-8.25</v>
      </c>
      <c r="P9">
        <v>0.5</v>
      </c>
      <c r="Q9">
        <v>49.5</v>
      </c>
      <c r="R9">
        <v>26.5</v>
      </c>
      <c r="S9">
        <v>29.4</v>
      </c>
      <c r="T9">
        <v>24.2</v>
      </c>
      <c r="U9">
        <v>32</v>
      </c>
      <c r="V9">
        <v>3.4</v>
      </c>
      <c r="W9">
        <v>0</v>
      </c>
      <c r="X9">
        <v>11</v>
      </c>
      <c r="Y9">
        <v>3.4</v>
      </c>
      <c r="Z9">
        <v>8.5</v>
      </c>
      <c r="AA9">
        <v>21.2</v>
      </c>
      <c r="AB9">
        <v>190</v>
      </c>
      <c r="AC9">
        <v>88</v>
      </c>
      <c r="AD9">
        <v>14.1</v>
      </c>
      <c r="AE9">
        <v>5.5</v>
      </c>
      <c r="AF9">
        <v>81.900000000000006</v>
      </c>
      <c r="AG9">
        <v>52.67</v>
      </c>
      <c r="AH9">
        <v>17.899999999999999</v>
      </c>
      <c r="AI9">
        <v>1.29</v>
      </c>
      <c r="AJ9">
        <v>74.814999999999998</v>
      </c>
      <c r="AK9">
        <v>15.385</v>
      </c>
      <c r="AL9">
        <v>13.117000000000001</v>
      </c>
      <c r="AM9">
        <v>17.899999999999999</v>
      </c>
      <c r="AN9">
        <v>52.67</v>
      </c>
      <c r="AO9">
        <v>81.900000000000006</v>
      </c>
      <c r="AP9">
        <v>-13.117000000000001</v>
      </c>
      <c r="AQ9">
        <v>25.184999999999999</v>
      </c>
      <c r="AR9">
        <v>98.71</v>
      </c>
      <c r="AS9">
        <v>84.614999999999995</v>
      </c>
    </row>
    <row r="10" spans="1:45" x14ac:dyDescent="0.25">
      <c r="A10">
        <v>24</v>
      </c>
      <c r="B10">
        <v>8</v>
      </c>
      <c r="C10">
        <v>1</v>
      </c>
      <c r="D10">
        <v>2018</v>
      </c>
      <c r="E10">
        <v>1</v>
      </c>
      <c r="F10" t="str">
        <f>IFERROR(VLOOKUP(G10, Map!$A$1:$B$33, 2, FALSE),"WAS")</f>
        <v>CAR</v>
      </c>
      <c r="G10" t="s">
        <v>142</v>
      </c>
      <c r="H10" t="str">
        <f>IFERROR(VLOOKUP(I10, Map!$A$1:$B$33, 2, FALSE),"WAS")</f>
        <v>DAL</v>
      </c>
      <c r="I10" t="s">
        <v>150</v>
      </c>
      <c r="J10" t="s">
        <v>185</v>
      </c>
      <c r="K10" t="s">
        <v>184</v>
      </c>
      <c r="L10">
        <v>1</v>
      </c>
      <c r="M10">
        <v>0</v>
      </c>
      <c r="N10">
        <v>37.4583333333333</v>
      </c>
      <c r="O10">
        <v>-3</v>
      </c>
      <c r="P10">
        <v>-2.5</v>
      </c>
      <c r="Q10">
        <v>29.5</v>
      </c>
      <c r="R10">
        <v>26.2</v>
      </c>
      <c r="S10">
        <v>29.2</v>
      </c>
      <c r="T10">
        <v>22.4</v>
      </c>
      <c r="U10">
        <v>29.1</v>
      </c>
      <c r="V10">
        <v>3.4</v>
      </c>
      <c r="W10">
        <v>0</v>
      </c>
      <c r="X10">
        <v>11</v>
      </c>
      <c r="Y10">
        <v>3.4</v>
      </c>
      <c r="Z10">
        <v>11.8</v>
      </c>
      <c r="AA10">
        <v>28.4</v>
      </c>
      <c r="AB10">
        <v>146</v>
      </c>
      <c r="AC10">
        <v>70</v>
      </c>
      <c r="AD10">
        <v>18</v>
      </c>
      <c r="AE10">
        <v>7.1</v>
      </c>
      <c r="AF10">
        <v>59.9</v>
      </c>
      <c r="AG10">
        <v>66.323999999999998</v>
      </c>
      <c r="AH10">
        <v>39.799999999999997</v>
      </c>
      <c r="AI10">
        <v>84.099000000000004</v>
      </c>
      <c r="AJ10">
        <v>39.161000000000001</v>
      </c>
      <c r="AK10">
        <v>79.22</v>
      </c>
      <c r="AL10">
        <v>3.6469999999999998</v>
      </c>
      <c r="AM10">
        <v>39.799999999999997</v>
      </c>
      <c r="AN10">
        <v>66.323999999999998</v>
      </c>
      <c r="AO10">
        <v>59.9</v>
      </c>
      <c r="AP10">
        <v>-3.6469999999999998</v>
      </c>
      <c r="AQ10">
        <v>60.838999999999999</v>
      </c>
      <c r="AR10">
        <v>15.901</v>
      </c>
      <c r="AS10">
        <v>20.78</v>
      </c>
    </row>
    <row r="11" spans="1:45" x14ac:dyDescent="0.25">
      <c r="A11">
        <v>51</v>
      </c>
      <c r="B11">
        <v>3</v>
      </c>
      <c r="C11">
        <v>1</v>
      </c>
      <c r="D11">
        <v>2018</v>
      </c>
      <c r="E11">
        <v>1</v>
      </c>
      <c r="F11" t="str">
        <f>IFERROR(VLOOKUP(G11, Map!$A$1:$B$33, 2, FALSE),"WAS")</f>
        <v>DEN</v>
      </c>
      <c r="G11" t="s">
        <v>159</v>
      </c>
      <c r="H11" t="str">
        <f>IFERROR(VLOOKUP(I11, Map!$A$1:$B$33, 2, FALSE),"WAS")</f>
        <v>SEA</v>
      </c>
      <c r="I11" t="s">
        <v>144</v>
      </c>
      <c r="J11" t="s">
        <v>183</v>
      </c>
      <c r="K11" t="s">
        <v>182</v>
      </c>
      <c r="L11">
        <v>1</v>
      </c>
      <c r="M11">
        <v>0</v>
      </c>
      <c r="N11">
        <v>40.25</v>
      </c>
      <c r="O11">
        <v>-2.9583333333333299</v>
      </c>
      <c r="P11">
        <v>-3</v>
      </c>
      <c r="Q11">
        <v>42.5</v>
      </c>
      <c r="R11">
        <v>20.5</v>
      </c>
      <c r="S11">
        <v>28.7</v>
      </c>
      <c r="T11">
        <v>12.1</v>
      </c>
      <c r="U11">
        <v>18.7</v>
      </c>
      <c r="V11">
        <v>0</v>
      </c>
      <c r="W11">
        <v>0</v>
      </c>
      <c r="X11">
        <v>0</v>
      </c>
      <c r="Y11">
        <v>0</v>
      </c>
      <c r="Z11">
        <v>23.9</v>
      </c>
      <c r="AA11">
        <v>39.6</v>
      </c>
      <c r="AB11">
        <v>295</v>
      </c>
      <c r="AC11">
        <v>46</v>
      </c>
      <c r="AD11">
        <v>21</v>
      </c>
      <c r="AE11">
        <v>9.1</v>
      </c>
      <c r="AF11">
        <v>54.6</v>
      </c>
      <c r="AG11">
        <v>65.009</v>
      </c>
      <c r="AH11">
        <v>45</v>
      </c>
      <c r="AI11">
        <v>72.757999999999996</v>
      </c>
      <c r="AJ11">
        <v>41.936</v>
      </c>
      <c r="AK11">
        <v>59.524999999999999</v>
      </c>
      <c r="AL11">
        <v>1.7190000000000001</v>
      </c>
      <c r="AM11">
        <v>45</v>
      </c>
      <c r="AN11">
        <v>65.009</v>
      </c>
      <c r="AO11">
        <v>54.6</v>
      </c>
      <c r="AP11">
        <v>-1.7190000000000001</v>
      </c>
      <c r="AQ11">
        <v>58.064</v>
      </c>
      <c r="AR11">
        <v>27.242000000000001</v>
      </c>
      <c r="AS11">
        <v>40.475000000000001</v>
      </c>
    </row>
    <row r="12" spans="1:45" x14ac:dyDescent="0.25">
      <c r="A12">
        <v>50</v>
      </c>
      <c r="B12">
        <v>44</v>
      </c>
      <c r="C12">
        <v>1</v>
      </c>
      <c r="D12">
        <v>2018</v>
      </c>
      <c r="E12">
        <v>1</v>
      </c>
      <c r="F12" t="str">
        <f>IFERROR(VLOOKUP(G12, Map!$A$1:$B$33, 2, FALSE),"WAS")</f>
        <v>BAL</v>
      </c>
      <c r="G12" t="s">
        <v>146</v>
      </c>
      <c r="H12" t="str">
        <f>IFERROR(VLOOKUP(I12, Map!$A$1:$B$33, 2, FALSE),"WAS")</f>
        <v>BUF</v>
      </c>
      <c r="I12" t="s">
        <v>165</v>
      </c>
      <c r="J12" t="s">
        <v>181</v>
      </c>
      <c r="K12" t="s">
        <v>180</v>
      </c>
      <c r="L12">
        <v>1</v>
      </c>
      <c r="M12">
        <v>0</v>
      </c>
      <c r="N12">
        <v>35.7916666666667</v>
      </c>
      <c r="O12">
        <v>-7.125</v>
      </c>
      <c r="P12">
        <v>-7.5</v>
      </c>
      <c r="Q12">
        <v>38.5</v>
      </c>
      <c r="R12">
        <v>16.8</v>
      </c>
      <c r="S12">
        <v>19</v>
      </c>
      <c r="T12">
        <v>15.3</v>
      </c>
      <c r="U12">
        <v>15.1</v>
      </c>
      <c r="V12">
        <v>42.2</v>
      </c>
      <c r="W12">
        <v>0</v>
      </c>
      <c r="X12">
        <v>24</v>
      </c>
      <c r="Y12">
        <v>42.2</v>
      </c>
      <c r="Z12">
        <v>30.9</v>
      </c>
      <c r="AA12">
        <v>54.7</v>
      </c>
      <c r="AB12">
        <v>54</v>
      </c>
      <c r="AC12">
        <v>91</v>
      </c>
      <c r="AD12">
        <v>42.6</v>
      </c>
      <c r="AE12">
        <v>23.9</v>
      </c>
      <c r="AF12">
        <v>83.7</v>
      </c>
      <c r="AG12">
        <v>51.451999999999998</v>
      </c>
      <c r="AH12">
        <v>16.2</v>
      </c>
      <c r="AI12">
        <v>99.727000000000004</v>
      </c>
      <c r="AJ12">
        <v>69.325000000000003</v>
      </c>
      <c r="AK12">
        <v>98.78</v>
      </c>
      <c r="AL12">
        <v>14.122</v>
      </c>
      <c r="AM12">
        <v>16.2</v>
      </c>
      <c r="AN12">
        <v>51.451999999999998</v>
      </c>
      <c r="AO12">
        <v>83.7</v>
      </c>
      <c r="AP12">
        <v>-14.122</v>
      </c>
      <c r="AQ12">
        <v>30.675000000000001</v>
      </c>
      <c r="AR12">
        <v>0.27300000000000002</v>
      </c>
      <c r="AS12">
        <v>1.22</v>
      </c>
    </row>
    <row r="13" spans="1:45" x14ac:dyDescent="0.25">
      <c r="A13">
        <v>46</v>
      </c>
      <c r="B13">
        <v>-20</v>
      </c>
      <c r="C13">
        <v>0</v>
      </c>
      <c r="D13">
        <v>2018</v>
      </c>
      <c r="E13">
        <v>1</v>
      </c>
      <c r="F13" t="str">
        <f>IFERROR(VLOOKUP(G13, Map!$A$1:$B$33, 2, FALSE),"WAS")</f>
        <v>LV</v>
      </c>
      <c r="G13" t="s">
        <v>157</v>
      </c>
      <c r="H13" t="str">
        <f>IFERROR(VLOOKUP(I13, Map!$A$1:$B$33, 2, FALSE),"WAS")</f>
        <v>LA</v>
      </c>
      <c r="I13" t="s">
        <v>155</v>
      </c>
      <c r="J13" t="s">
        <v>179</v>
      </c>
      <c r="K13" t="s">
        <v>178</v>
      </c>
      <c r="L13">
        <v>0</v>
      </c>
      <c r="M13">
        <v>0</v>
      </c>
      <c r="N13">
        <v>43.4166666666667</v>
      </c>
      <c r="O13">
        <v>5.75</v>
      </c>
      <c r="P13">
        <v>6</v>
      </c>
      <c r="Q13">
        <v>46.5</v>
      </c>
      <c r="R13">
        <v>17.5</v>
      </c>
      <c r="S13">
        <v>21.8</v>
      </c>
      <c r="T13">
        <v>13.7</v>
      </c>
      <c r="U13">
        <v>16</v>
      </c>
      <c r="V13">
        <v>0</v>
      </c>
      <c r="W13">
        <v>0</v>
      </c>
      <c r="X13">
        <v>0</v>
      </c>
      <c r="Y13">
        <v>0</v>
      </c>
      <c r="Z13">
        <v>30.3</v>
      </c>
      <c r="AA13">
        <v>51.1</v>
      </c>
      <c r="AB13">
        <v>255</v>
      </c>
      <c r="AC13">
        <v>68</v>
      </c>
      <c r="AD13">
        <v>27.4</v>
      </c>
      <c r="AE13">
        <v>15.6</v>
      </c>
      <c r="AF13">
        <v>42.7</v>
      </c>
      <c r="AG13">
        <v>49.698999999999998</v>
      </c>
      <c r="AH13">
        <v>56.9</v>
      </c>
      <c r="AI13">
        <v>15.382</v>
      </c>
      <c r="AJ13">
        <v>26.95</v>
      </c>
      <c r="AK13">
        <v>19.928999999999998</v>
      </c>
      <c r="AL13">
        <v>-2.5659999999999998</v>
      </c>
      <c r="AM13">
        <v>56.9</v>
      </c>
      <c r="AN13">
        <v>49.698999999999998</v>
      </c>
      <c r="AO13">
        <v>42.7</v>
      </c>
      <c r="AP13">
        <v>2.5659999999999998</v>
      </c>
      <c r="AQ13">
        <v>73.05</v>
      </c>
      <c r="AR13">
        <v>84.617999999999995</v>
      </c>
      <c r="AS13">
        <v>80.070999999999998</v>
      </c>
    </row>
    <row r="14" spans="1:45" x14ac:dyDescent="0.25">
      <c r="A14">
        <v>57</v>
      </c>
      <c r="B14">
        <v>-11</v>
      </c>
      <c r="C14">
        <v>0</v>
      </c>
      <c r="D14">
        <v>2018</v>
      </c>
      <c r="E14">
        <v>1</v>
      </c>
      <c r="F14" t="str">
        <f>IFERROR(VLOOKUP(G14, Map!$A$1:$B$33, 2, FALSE),"WAS")</f>
        <v>IND</v>
      </c>
      <c r="G14" t="s">
        <v>138</v>
      </c>
      <c r="H14" t="str">
        <f>IFERROR(VLOOKUP(I14, Map!$A$1:$B$33, 2, FALSE),"WAS")</f>
        <v>CIN</v>
      </c>
      <c r="I14" t="s">
        <v>161</v>
      </c>
      <c r="J14" t="s">
        <v>177</v>
      </c>
      <c r="K14" t="s">
        <v>176</v>
      </c>
      <c r="L14">
        <v>0</v>
      </c>
      <c r="M14">
        <v>0</v>
      </c>
      <c r="N14">
        <v>44.125</v>
      </c>
      <c r="O14">
        <v>0.33333333333333298</v>
      </c>
      <c r="P14">
        <v>-1</v>
      </c>
      <c r="Q14">
        <v>47.5</v>
      </c>
      <c r="R14">
        <v>15.6</v>
      </c>
      <c r="S14">
        <v>17.7</v>
      </c>
      <c r="T14">
        <v>14.2</v>
      </c>
      <c r="U14">
        <v>13.6</v>
      </c>
      <c r="V14">
        <v>21.1</v>
      </c>
      <c r="W14">
        <v>0</v>
      </c>
      <c r="X14">
        <v>21</v>
      </c>
      <c r="Y14">
        <v>21.1</v>
      </c>
      <c r="Z14">
        <v>26.5</v>
      </c>
      <c r="AA14">
        <v>62.3</v>
      </c>
      <c r="AB14">
        <v>46</v>
      </c>
      <c r="AC14">
        <v>86</v>
      </c>
      <c r="AD14">
        <v>42.4</v>
      </c>
      <c r="AE14">
        <v>21.1</v>
      </c>
      <c r="AF14">
        <v>61.4</v>
      </c>
      <c r="AG14">
        <v>51.689</v>
      </c>
      <c r="AH14">
        <v>38.299999999999997</v>
      </c>
      <c r="AI14">
        <v>39.500999999999998</v>
      </c>
      <c r="AJ14">
        <v>38.134999999999998</v>
      </c>
      <c r="AK14">
        <v>33.295999999999999</v>
      </c>
      <c r="AL14">
        <v>4.21</v>
      </c>
      <c r="AM14">
        <v>38.299999999999997</v>
      </c>
      <c r="AN14">
        <v>51.689</v>
      </c>
      <c r="AO14">
        <v>61.4</v>
      </c>
      <c r="AP14">
        <v>-4.21</v>
      </c>
      <c r="AQ14">
        <v>61.865000000000002</v>
      </c>
      <c r="AR14">
        <v>60.499000000000002</v>
      </c>
      <c r="AS14">
        <v>66.703999999999994</v>
      </c>
    </row>
    <row r="15" spans="1:45" x14ac:dyDescent="0.25">
      <c r="A15">
        <v>47</v>
      </c>
      <c r="B15">
        <v>7</v>
      </c>
      <c r="C15">
        <v>1</v>
      </c>
      <c r="D15">
        <v>2018</v>
      </c>
      <c r="E15">
        <v>1</v>
      </c>
      <c r="F15" t="str">
        <f>IFERROR(VLOOKUP(G15, Map!$A$1:$B$33, 2, FALSE),"WAS")</f>
        <v>MIA</v>
      </c>
      <c r="G15" t="s">
        <v>152</v>
      </c>
      <c r="H15" t="str">
        <f>IFERROR(VLOOKUP(I15, Map!$A$1:$B$33, 2, FALSE),"WAS")</f>
        <v>TEN</v>
      </c>
      <c r="I15" t="s">
        <v>140</v>
      </c>
      <c r="J15" t="s">
        <v>175</v>
      </c>
      <c r="K15" t="s">
        <v>174</v>
      </c>
      <c r="L15">
        <v>1</v>
      </c>
      <c r="M15">
        <v>0</v>
      </c>
      <c r="N15">
        <v>38.5416666666667</v>
      </c>
      <c r="O15">
        <v>-0.66666666666666696</v>
      </c>
      <c r="P15">
        <v>1</v>
      </c>
      <c r="Q15">
        <v>26.5</v>
      </c>
      <c r="R15">
        <v>25.4</v>
      </c>
      <c r="S15">
        <v>30.6</v>
      </c>
      <c r="T15">
        <v>22.5</v>
      </c>
      <c r="U15">
        <v>30.3</v>
      </c>
      <c r="V15">
        <v>12.2</v>
      </c>
      <c r="W15">
        <v>0</v>
      </c>
      <c r="X15">
        <v>12</v>
      </c>
      <c r="Y15">
        <v>12.2</v>
      </c>
      <c r="Z15">
        <v>15.9</v>
      </c>
      <c r="AA15">
        <v>33.5</v>
      </c>
      <c r="AB15">
        <v>222</v>
      </c>
      <c r="AC15">
        <v>89</v>
      </c>
      <c r="AD15">
        <v>16.2</v>
      </c>
      <c r="AE15">
        <v>6.5</v>
      </c>
      <c r="AF15">
        <v>49.2</v>
      </c>
      <c r="AG15">
        <v>23.437000000000001</v>
      </c>
      <c r="AH15">
        <v>50.4</v>
      </c>
      <c r="AI15">
        <v>93.613</v>
      </c>
      <c r="AJ15">
        <v>38.680999999999997</v>
      </c>
      <c r="AK15">
        <v>79.736000000000004</v>
      </c>
      <c r="AL15">
        <v>-0.224</v>
      </c>
      <c r="AM15">
        <v>50.4</v>
      </c>
      <c r="AN15">
        <v>23.437000000000001</v>
      </c>
      <c r="AO15">
        <v>49.2</v>
      </c>
      <c r="AP15">
        <v>0.224</v>
      </c>
      <c r="AQ15">
        <v>61.319000000000003</v>
      </c>
      <c r="AR15">
        <v>6.3869999999999996</v>
      </c>
      <c r="AS15">
        <v>20.263999999999999</v>
      </c>
    </row>
    <row r="16" spans="1:45" x14ac:dyDescent="0.25">
      <c r="A16">
        <v>65</v>
      </c>
      <c r="B16">
        <v>-31</v>
      </c>
      <c r="C16">
        <v>0</v>
      </c>
      <c r="D16">
        <v>2018</v>
      </c>
      <c r="E16">
        <v>1</v>
      </c>
      <c r="F16" t="str">
        <f>IFERROR(VLOOKUP(G16, Map!$A$1:$B$33, 2, FALSE),"WAS")</f>
        <v>DET</v>
      </c>
      <c r="G16" t="s">
        <v>164</v>
      </c>
      <c r="H16" t="str">
        <f>IFERROR(VLOOKUP(I16, Map!$A$1:$B$33, 2, FALSE),"WAS")</f>
        <v>NYJ</v>
      </c>
      <c r="I16" t="s">
        <v>166</v>
      </c>
      <c r="J16" t="s">
        <v>173</v>
      </c>
      <c r="K16" t="s">
        <v>172</v>
      </c>
      <c r="L16">
        <v>0</v>
      </c>
      <c r="M16">
        <v>0</v>
      </c>
      <c r="N16">
        <v>46.9166666666667</v>
      </c>
      <c r="O16">
        <v>0.25</v>
      </c>
      <c r="P16">
        <v>-7</v>
      </c>
      <c r="Q16">
        <v>44</v>
      </c>
      <c r="R16">
        <v>15.2</v>
      </c>
      <c r="S16">
        <v>17.5</v>
      </c>
      <c r="T16">
        <v>13.4</v>
      </c>
      <c r="U16">
        <v>12.5</v>
      </c>
      <c r="V16">
        <v>9.6999999999999993</v>
      </c>
      <c r="W16">
        <v>0</v>
      </c>
      <c r="X16">
        <v>20</v>
      </c>
      <c r="Y16">
        <v>9.6999999999999993</v>
      </c>
      <c r="Z16">
        <v>35.4</v>
      </c>
      <c r="AA16">
        <v>57.6</v>
      </c>
      <c r="AB16">
        <v>45</v>
      </c>
      <c r="AC16">
        <v>87</v>
      </c>
      <c r="AD16">
        <v>43.6</v>
      </c>
      <c r="AE16">
        <v>25.2</v>
      </c>
      <c r="AF16">
        <v>71.7</v>
      </c>
      <c r="AG16">
        <v>23.431999999999999</v>
      </c>
      <c r="AH16">
        <v>28.1</v>
      </c>
      <c r="AI16">
        <v>36.219000000000001</v>
      </c>
      <c r="AJ16">
        <v>11.125</v>
      </c>
      <c r="AK16">
        <v>7.8319999999999999</v>
      </c>
      <c r="AL16">
        <v>8.2509999999999994</v>
      </c>
      <c r="AM16">
        <v>28.1</v>
      </c>
      <c r="AN16">
        <v>23.431999999999999</v>
      </c>
      <c r="AO16">
        <v>71.7</v>
      </c>
      <c r="AP16">
        <v>-8.2509999999999994</v>
      </c>
      <c r="AQ16">
        <v>88.875</v>
      </c>
      <c r="AR16">
        <v>63.780999999999999</v>
      </c>
      <c r="AS16">
        <v>92.168000000000006</v>
      </c>
    </row>
    <row r="17" spans="1:45" x14ac:dyDescent="0.25">
      <c r="A17">
        <v>42</v>
      </c>
      <c r="B17">
        <v>0</v>
      </c>
      <c r="C17">
        <v>0</v>
      </c>
      <c r="D17">
        <v>2018</v>
      </c>
      <c r="E17">
        <v>1</v>
      </c>
      <c r="F17" t="str">
        <f>IFERROR(VLOOKUP(G17, Map!$A$1:$B$33, 2, FALSE),"WAS")</f>
        <v>CLE</v>
      </c>
      <c r="G17" t="s">
        <v>162</v>
      </c>
      <c r="H17" t="str">
        <f>IFERROR(VLOOKUP(I17, Map!$A$1:$B$33, 2, FALSE),"WAS")</f>
        <v>PIT</v>
      </c>
      <c r="I17" t="s">
        <v>145</v>
      </c>
      <c r="J17" t="s">
        <v>171</v>
      </c>
      <c r="K17" t="s">
        <v>170</v>
      </c>
      <c r="L17">
        <v>0</v>
      </c>
      <c r="M17">
        <v>0</v>
      </c>
      <c r="N17">
        <v>37.0416666666667</v>
      </c>
      <c r="O17">
        <v>3.1666666666666701</v>
      </c>
      <c r="P17">
        <v>3</v>
      </c>
      <c r="Q17">
        <v>35.5</v>
      </c>
      <c r="R17">
        <v>15.4</v>
      </c>
      <c r="S17">
        <v>18</v>
      </c>
      <c r="T17">
        <v>13.4</v>
      </c>
      <c r="U17">
        <v>13</v>
      </c>
      <c r="V17">
        <v>18.899999999999999</v>
      </c>
      <c r="W17">
        <v>0</v>
      </c>
      <c r="X17">
        <v>19</v>
      </c>
      <c r="Y17">
        <v>18.899999999999999</v>
      </c>
      <c r="Z17">
        <v>28.3</v>
      </c>
      <c r="AA17">
        <v>46.4</v>
      </c>
      <c r="AB17">
        <v>78</v>
      </c>
      <c r="AC17">
        <v>87</v>
      </c>
      <c r="AD17">
        <v>38.9</v>
      </c>
      <c r="AE17">
        <v>23.5</v>
      </c>
      <c r="AF17">
        <v>34.700000000000003</v>
      </c>
      <c r="AG17">
        <v>68.078000000000003</v>
      </c>
      <c r="AH17">
        <v>65</v>
      </c>
      <c r="AI17">
        <v>74.001999999999995</v>
      </c>
      <c r="AJ17">
        <v>26.837</v>
      </c>
      <c r="AK17">
        <v>38.9</v>
      </c>
      <c r="AL17">
        <v>-5.5750000000000002</v>
      </c>
      <c r="AM17">
        <v>65</v>
      </c>
      <c r="AN17">
        <v>68.078000000000003</v>
      </c>
      <c r="AO17">
        <v>34.700000000000003</v>
      </c>
      <c r="AP17">
        <v>5.5750000000000002</v>
      </c>
      <c r="AQ17">
        <v>73.162999999999997</v>
      </c>
      <c r="AR17">
        <v>25.998000000000001</v>
      </c>
      <c r="AS17">
        <v>61.1</v>
      </c>
    </row>
    <row r="18" spans="1:45" x14ac:dyDescent="0.25">
      <c r="A18">
        <v>41</v>
      </c>
      <c r="B18">
        <v>7</v>
      </c>
      <c r="C18">
        <v>1</v>
      </c>
      <c r="D18">
        <v>2018</v>
      </c>
      <c r="E18">
        <v>2</v>
      </c>
      <c r="F18" t="str">
        <f>IFERROR(VLOOKUP(G18, Map!$A$1:$B$33, 2, FALSE),"WAS")</f>
        <v>CHI</v>
      </c>
      <c r="G18" t="s">
        <v>163</v>
      </c>
      <c r="H18" t="str">
        <f>IFERROR(VLOOKUP(I18, Map!$A$1:$B$33, 2, FALSE),"WAS")</f>
        <v>SEA</v>
      </c>
      <c r="I18" t="s">
        <v>144</v>
      </c>
      <c r="J18" t="s">
        <v>216</v>
      </c>
      <c r="K18" t="s">
        <v>182</v>
      </c>
      <c r="L18">
        <v>1</v>
      </c>
      <c r="M18">
        <v>0</v>
      </c>
      <c r="N18">
        <v>38.9583333333333</v>
      </c>
      <c r="O18">
        <v>-4.125</v>
      </c>
      <c r="P18">
        <v>-3</v>
      </c>
      <c r="Q18">
        <v>42</v>
      </c>
      <c r="R18">
        <v>22.2</v>
      </c>
      <c r="S18">
        <v>25.8</v>
      </c>
      <c r="T18">
        <v>19.8</v>
      </c>
      <c r="U18">
        <v>24.4</v>
      </c>
      <c r="V18">
        <v>0.5</v>
      </c>
      <c r="W18">
        <v>0</v>
      </c>
      <c r="X18">
        <v>2</v>
      </c>
      <c r="Y18">
        <v>0.5</v>
      </c>
      <c r="Z18">
        <v>19.5</v>
      </c>
      <c r="AA18">
        <v>32.799999999999997</v>
      </c>
      <c r="AB18">
        <v>8</v>
      </c>
      <c r="AC18">
        <v>87</v>
      </c>
      <c r="AD18">
        <v>20.3</v>
      </c>
      <c r="AE18">
        <v>11.4</v>
      </c>
      <c r="AF18">
        <v>57.1</v>
      </c>
      <c r="AG18">
        <v>77.472999999999999</v>
      </c>
      <c r="AH18">
        <v>42.5</v>
      </c>
      <c r="AI18">
        <v>97.206999999999994</v>
      </c>
      <c r="AJ18">
        <v>41.497</v>
      </c>
      <c r="AK18">
        <v>84.221999999999994</v>
      </c>
      <c r="AL18">
        <v>2.6040000000000001</v>
      </c>
      <c r="AM18">
        <v>42.5</v>
      </c>
      <c r="AN18">
        <v>77.472999999999999</v>
      </c>
      <c r="AO18">
        <v>57.1</v>
      </c>
      <c r="AP18">
        <v>-2.6040000000000001</v>
      </c>
      <c r="AQ18">
        <v>58.503</v>
      </c>
      <c r="AR18">
        <v>2.7930000000000001</v>
      </c>
      <c r="AS18">
        <v>15.778</v>
      </c>
    </row>
    <row r="19" spans="1:45" x14ac:dyDescent="0.25">
      <c r="A19">
        <v>33</v>
      </c>
      <c r="B19">
        <v>7</v>
      </c>
      <c r="C19">
        <v>1</v>
      </c>
      <c r="D19">
        <v>2018</v>
      </c>
      <c r="E19">
        <v>2</v>
      </c>
      <c r="F19" t="str">
        <f>IFERROR(VLOOKUP(G19, Map!$A$1:$B$33, 2, FALSE),"WAS")</f>
        <v>DAL</v>
      </c>
      <c r="G19" t="s">
        <v>150</v>
      </c>
      <c r="H19" t="str">
        <f>IFERROR(VLOOKUP(I19, Map!$A$1:$B$33, 2, FALSE),"WAS")</f>
        <v>NYG</v>
      </c>
      <c r="I19" t="s">
        <v>149</v>
      </c>
      <c r="J19" t="s">
        <v>184</v>
      </c>
      <c r="K19" t="s">
        <v>219</v>
      </c>
      <c r="L19">
        <v>1</v>
      </c>
      <c r="M19">
        <v>0</v>
      </c>
      <c r="N19">
        <v>38.375</v>
      </c>
      <c r="O19">
        <v>-2.7083333333333299</v>
      </c>
      <c r="P19">
        <v>-2.5</v>
      </c>
      <c r="Q19">
        <v>41.5</v>
      </c>
      <c r="R19">
        <v>27.4</v>
      </c>
      <c r="S19">
        <v>31.7</v>
      </c>
      <c r="T19">
        <v>23.5</v>
      </c>
      <c r="U19">
        <v>32</v>
      </c>
      <c r="V19">
        <v>0</v>
      </c>
      <c r="W19">
        <v>0</v>
      </c>
      <c r="X19">
        <v>0</v>
      </c>
      <c r="Y19">
        <v>0</v>
      </c>
      <c r="Z19">
        <v>8.6999999999999993</v>
      </c>
      <c r="AA19">
        <v>20.2</v>
      </c>
      <c r="AB19">
        <v>220</v>
      </c>
      <c r="AC19">
        <v>77</v>
      </c>
      <c r="AD19">
        <v>13.1</v>
      </c>
      <c r="AE19">
        <v>6.2</v>
      </c>
      <c r="AF19">
        <v>71.3</v>
      </c>
      <c r="AG19">
        <v>53.65</v>
      </c>
      <c r="AH19">
        <v>28.4</v>
      </c>
      <c r="AI19">
        <v>86.361999999999995</v>
      </c>
      <c r="AJ19">
        <v>68.5</v>
      </c>
      <c r="AK19">
        <v>83.004999999999995</v>
      </c>
      <c r="AL19">
        <v>8.0030000000000001</v>
      </c>
      <c r="AM19">
        <v>28.4</v>
      </c>
      <c r="AN19">
        <v>53.65</v>
      </c>
      <c r="AO19">
        <v>71.3</v>
      </c>
      <c r="AP19">
        <v>-8.0030000000000001</v>
      </c>
      <c r="AQ19">
        <v>31.5</v>
      </c>
      <c r="AR19">
        <v>13.638</v>
      </c>
      <c r="AS19">
        <v>16.995000000000001</v>
      </c>
    </row>
    <row r="20" spans="1:45" x14ac:dyDescent="0.25">
      <c r="A20">
        <v>39</v>
      </c>
      <c r="B20">
        <v>3</v>
      </c>
      <c r="C20">
        <v>1</v>
      </c>
      <c r="D20">
        <v>2018</v>
      </c>
      <c r="E20">
        <v>2</v>
      </c>
      <c r="F20" t="str">
        <f>IFERROR(VLOOKUP(G20, Map!$A$1:$B$33, 2, FALSE),"WAS")</f>
        <v>NO</v>
      </c>
      <c r="G20" t="s">
        <v>168</v>
      </c>
      <c r="H20" t="str">
        <f>IFERROR(VLOOKUP(I20, Map!$A$1:$B$33, 2, FALSE),"WAS")</f>
        <v>CLE</v>
      </c>
      <c r="I20" t="s">
        <v>162</v>
      </c>
      <c r="J20" t="s">
        <v>192</v>
      </c>
      <c r="K20" t="s">
        <v>171</v>
      </c>
      <c r="L20">
        <v>1</v>
      </c>
      <c r="M20">
        <v>0</v>
      </c>
      <c r="N20">
        <v>44.3333333333333</v>
      </c>
      <c r="O20">
        <v>-8.2083333333333304</v>
      </c>
      <c r="P20">
        <v>-2.5</v>
      </c>
      <c r="Q20">
        <v>28.5</v>
      </c>
      <c r="R20">
        <v>28.5</v>
      </c>
      <c r="S20">
        <v>32.5</v>
      </c>
      <c r="T20">
        <v>25.6</v>
      </c>
      <c r="U20">
        <v>33.9</v>
      </c>
      <c r="V20">
        <v>3.3</v>
      </c>
      <c r="W20">
        <v>0</v>
      </c>
      <c r="X20">
        <v>4</v>
      </c>
      <c r="Y20">
        <v>3.3</v>
      </c>
      <c r="Z20">
        <v>13.3</v>
      </c>
      <c r="AA20">
        <v>25.2</v>
      </c>
      <c r="AB20">
        <v>304</v>
      </c>
      <c r="AC20">
        <v>81</v>
      </c>
      <c r="AD20">
        <v>20.6</v>
      </c>
      <c r="AE20">
        <v>9.8000000000000007</v>
      </c>
      <c r="AF20">
        <v>74.400000000000006</v>
      </c>
      <c r="AG20">
        <v>59.966000000000001</v>
      </c>
      <c r="AH20">
        <v>25.4</v>
      </c>
      <c r="AI20">
        <v>58.783999999999999</v>
      </c>
      <c r="AJ20">
        <v>40.174999999999997</v>
      </c>
      <c r="AK20">
        <v>57.06</v>
      </c>
      <c r="AL20">
        <v>9.3030000000000008</v>
      </c>
      <c r="AM20">
        <v>25.4</v>
      </c>
      <c r="AN20">
        <v>59.966000000000001</v>
      </c>
      <c r="AO20">
        <v>74.400000000000006</v>
      </c>
      <c r="AP20">
        <v>-9.3030000000000008</v>
      </c>
      <c r="AQ20">
        <v>59.825000000000003</v>
      </c>
      <c r="AR20">
        <v>41.216000000000001</v>
      </c>
      <c r="AS20">
        <v>42.94</v>
      </c>
    </row>
    <row r="21" spans="1:45" x14ac:dyDescent="0.25">
      <c r="A21">
        <v>57</v>
      </c>
      <c r="B21">
        <v>11</v>
      </c>
      <c r="C21">
        <v>1</v>
      </c>
      <c r="D21">
        <v>2018</v>
      </c>
      <c r="E21">
        <v>2</v>
      </c>
      <c r="F21" t="str">
        <f>IFERROR(VLOOKUP(G21, Map!$A$1:$B$33, 2, FALSE),"WAS")</f>
        <v>CIN</v>
      </c>
      <c r="G21" t="s">
        <v>161</v>
      </c>
      <c r="H21" t="str">
        <f>IFERROR(VLOOKUP(I21, Map!$A$1:$B$33, 2, FALSE),"WAS")</f>
        <v>BAL</v>
      </c>
      <c r="I21" t="s">
        <v>146</v>
      </c>
      <c r="J21" t="s">
        <v>176</v>
      </c>
      <c r="K21" t="s">
        <v>181</v>
      </c>
      <c r="L21">
        <v>1</v>
      </c>
      <c r="M21">
        <v>0</v>
      </c>
      <c r="N21">
        <v>39.7083333333333</v>
      </c>
      <c r="O21">
        <v>1</v>
      </c>
      <c r="P21">
        <v>1</v>
      </c>
      <c r="Q21">
        <v>43</v>
      </c>
      <c r="R21">
        <v>23.9</v>
      </c>
      <c r="S21">
        <v>30.2</v>
      </c>
      <c r="T21">
        <v>18.399999999999999</v>
      </c>
      <c r="U21">
        <v>26.6</v>
      </c>
      <c r="V21">
        <v>0</v>
      </c>
      <c r="W21">
        <v>0</v>
      </c>
      <c r="X21">
        <v>0</v>
      </c>
      <c r="Y21">
        <v>0</v>
      </c>
      <c r="Z21">
        <v>11.2</v>
      </c>
      <c r="AA21">
        <v>23.8</v>
      </c>
      <c r="AB21">
        <v>20</v>
      </c>
      <c r="AC21">
        <v>78</v>
      </c>
      <c r="AD21">
        <v>15.7</v>
      </c>
      <c r="AE21">
        <v>7.2</v>
      </c>
      <c r="AF21">
        <v>43.8</v>
      </c>
      <c r="AG21">
        <v>54.451000000000001</v>
      </c>
      <c r="AH21">
        <v>55.9</v>
      </c>
      <c r="AI21">
        <v>81.293999999999997</v>
      </c>
      <c r="AJ21">
        <v>75.442999999999998</v>
      </c>
      <c r="AK21">
        <v>81.685000000000002</v>
      </c>
      <c r="AL21">
        <v>-2.15</v>
      </c>
      <c r="AM21">
        <v>55.9</v>
      </c>
      <c r="AN21">
        <v>54.451000000000001</v>
      </c>
      <c r="AO21">
        <v>43.8</v>
      </c>
      <c r="AP21">
        <v>2.15</v>
      </c>
      <c r="AQ21">
        <v>24.556999999999999</v>
      </c>
      <c r="AR21">
        <v>18.706</v>
      </c>
      <c r="AS21">
        <v>18.315000000000001</v>
      </c>
    </row>
    <row r="22" spans="1:45" x14ac:dyDescent="0.25">
      <c r="A22">
        <v>48</v>
      </c>
      <c r="B22">
        <v>6</v>
      </c>
      <c r="C22">
        <v>1</v>
      </c>
      <c r="D22">
        <v>2018</v>
      </c>
      <c r="E22">
        <v>2</v>
      </c>
      <c r="F22" t="str">
        <f>IFERROR(VLOOKUP(G22, Map!$A$1:$B$33, 2, FALSE),"WAS")</f>
        <v>TB</v>
      </c>
      <c r="G22" t="s">
        <v>141</v>
      </c>
      <c r="H22" t="str">
        <f>IFERROR(VLOOKUP(I22, Map!$A$1:$B$33, 2, FALSE),"WAS")</f>
        <v>PHI</v>
      </c>
      <c r="I22" t="s">
        <v>147</v>
      </c>
      <c r="J22" t="s">
        <v>186</v>
      </c>
      <c r="K22" t="s">
        <v>206</v>
      </c>
      <c r="L22">
        <v>1</v>
      </c>
      <c r="M22">
        <v>0</v>
      </c>
      <c r="N22">
        <v>42.4583333333333</v>
      </c>
      <c r="O22">
        <v>2</v>
      </c>
      <c r="P22">
        <v>3</v>
      </c>
      <c r="Q22">
        <v>44</v>
      </c>
      <c r="R22">
        <v>28.4</v>
      </c>
      <c r="S22">
        <v>30.6</v>
      </c>
      <c r="T22">
        <v>27</v>
      </c>
      <c r="U22">
        <v>33.799999999999997</v>
      </c>
      <c r="V22">
        <v>1.2</v>
      </c>
      <c r="W22">
        <v>0</v>
      </c>
      <c r="X22">
        <v>7</v>
      </c>
      <c r="Y22">
        <v>1.2</v>
      </c>
      <c r="Z22">
        <v>14.3</v>
      </c>
      <c r="AA22">
        <v>28.1</v>
      </c>
      <c r="AB22">
        <v>235</v>
      </c>
      <c r="AC22">
        <v>82</v>
      </c>
      <c r="AD22">
        <v>19.3</v>
      </c>
      <c r="AE22">
        <v>9.6</v>
      </c>
      <c r="AF22">
        <v>40.200000000000003</v>
      </c>
      <c r="AG22">
        <v>43.231999999999999</v>
      </c>
      <c r="AH22">
        <v>59.5</v>
      </c>
      <c r="AI22">
        <v>62.497</v>
      </c>
      <c r="AJ22">
        <v>87.977000000000004</v>
      </c>
      <c r="AK22">
        <v>79.984999999999999</v>
      </c>
      <c r="AL22">
        <v>-3.4660000000000002</v>
      </c>
      <c r="AM22">
        <v>59.5</v>
      </c>
      <c r="AN22">
        <v>43.231999999999999</v>
      </c>
      <c r="AO22">
        <v>40.200000000000003</v>
      </c>
      <c r="AP22">
        <v>3.4660000000000002</v>
      </c>
      <c r="AQ22">
        <v>12.023</v>
      </c>
      <c r="AR22">
        <v>37.503</v>
      </c>
      <c r="AS22">
        <v>20.015000000000001</v>
      </c>
    </row>
    <row r="23" spans="1:45" x14ac:dyDescent="0.25">
      <c r="A23">
        <v>51</v>
      </c>
      <c r="B23">
        <v>11</v>
      </c>
      <c r="C23">
        <v>1</v>
      </c>
      <c r="D23">
        <v>2018</v>
      </c>
      <c r="E23">
        <v>2</v>
      </c>
      <c r="F23" t="str">
        <f>IFERROR(VLOOKUP(G23, Map!$A$1:$B$33, 2, FALSE),"WAS")</f>
        <v>JAX</v>
      </c>
      <c r="G23" t="s">
        <v>139</v>
      </c>
      <c r="H23" t="str">
        <f>IFERROR(VLOOKUP(I23, Map!$A$1:$B$33, 2, FALSE),"WAS")</f>
        <v>NE</v>
      </c>
      <c r="I23" t="s">
        <v>151</v>
      </c>
      <c r="J23" t="s">
        <v>220</v>
      </c>
      <c r="K23" t="s">
        <v>187</v>
      </c>
      <c r="L23">
        <v>1</v>
      </c>
      <c r="M23">
        <v>0</v>
      </c>
      <c r="N23">
        <v>40.9583333333333</v>
      </c>
      <c r="O23">
        <v>0.41666666666666702</v>
      </c>
      <c r="P23">
        <v>1.5</v>
      </c>
      <c r="Q23">
        <v>43.5</v>
      </c>
      <c r="R23">
        <v>28.8</v>
      </c>
      <c r="S23">
        <v>33.6</v>
      </c>
      <c r="T23">
        <v>24.4</v>
      </c>
      <c r="U23">
        <v>32.700000000000003</v>
      </c>
      <c r="V23">
        <v>0.3</v>
      </c>
      <c r="W23">
        <v>0</v>
      </c>
      <c r="X23">
        <v>2</v>
      </c>
      <c r="Y23">
        <v>0.3</v>
      </c>
      <c r="Z23">
        <v>19.5</v>
      </c>
      <c r="AA23">
        <v>41</v>
      </c>
      <c r="AB23">
        <v>226</v>
      </c>
      <c r="AC23">
        <v>72</v>
      </c>
      <c r="AD23">
        <v>23.9</v>
      </c>
      <c r="AE23">
        <v>12.4</v>
      </c>
      <c r="AF23">
        <v>50.3</v>
      </c>
      <c r="AG23">
        <v>68.55</v>
      </c>
      <c r="AH23">
        <v>49.3</v>
      </c>
      <c r="AI23">
        <v>75.350999999999999</v>
      </c>
      <c r="AJ23">
        <v>86.447999999999993</v>
      </c>
      <c r="AK23">
        <v>90.786000000000001</v>
      </c>
      <c r="AL23">
        <v>0.17399999999999999</v>
      </c>
      <c r="AM23">
        <v>49.3</v>
      </c>
      <c r="AN23">
        <v>68.55</v>
      </c>
      <c r="AO23">
        <v>50.3</v>
      </c>
      <c r="AP23">
        <v>-0.17399999999999999</v>
      </c>
      <c r="AQ23">
        <v>13.552</v>
      </c>
      <c r="AR23">
        <v>24.649000000000001</v>
      </c>
      <c r="AS23">
        <v>9.2140000000000004</v>
      </c>
    </row>
    <row r="24" spans="1:45" x14ac:dyDescent="0.25">
      <c r="A24">
        <v>32</v>
      </c>
      <c r="B24">
        <v>-8</v>
      </c>
      <c r="C24">
        <v>0</v>
      </c>
      <c r="D24">
        <v>2018</v>
      </c>
      <c r="E24">
        <v>2</v>
      </c>
      <c r="F24" t="str">
        <f>IFERROR(VLOOKUP(G24, Map!$A$1:$B$33, 2, FALSE),"WAS")</f>
        <v>NYJ</v>
      </c>
      <c r="G24" t="s">
        <v>166</v>
      </c>
      <c r="H24" t="str">
        <f>IFERROR(VLOOKUP(I24, Map!$A$1:$B$33, 2, FALSE),"WAS")</f>
        <v>MIA</v>
      </c>
      <c r="I24" t="s">
        <v>152</v>
      </c>
      <c r="J24" t="s">
        <v>172</v>
      </c>
      <c r="K24" t="s">
        <v>175</v>
      </c>
      <c r="L24">
        <v>0</v>
      </c>
      <c r="M24">
        <v>0</v>
      </c>
      <c r="N24">
        <v>38.9166666666667</v>
      </c>
      <c r="O24">
        <v>-1.9583333333333299</v>
      </c>
      <c r="P24">
        <v>-3</v>
      </c>
      <c r="Q24">
        <v>35.5</v>
      </c>
      <c r="R24">
        <v>21.6</v>
      </c>
      <c r="S24">
        <v>27.6</v>
      </c>
      <c r="T24">
        <v>17.100000000000001</v>
      </c>
      <c r="U24">
        <v>24.5</v>
      </c>
      <c r="V24">
        <v>0</v>
      </c>
      <c r="W24">
        <v>0</v>
      </c>
      <c r="X24">
        <v>0</v>
      </c>
      <c r="Y24">
        <v>0</v>
      </c>
      <c r="Z24">
        <v>12.4</v>
      </c>
      <c r="AA24">
        <v>27.7</v>
      </c>
      <c r="AB24">
        <v>165</v>
      </c>
      <c r="AC24">
        <v>88</v>
      </c>
      <c r="AD24">
        <v>14.6</v>
      </c>
      <c r="AE24">
        <v>5.3</v>
      </c>
      <c r="AF24">
        <v>62.1</v>
      </c>
      <c r="AG24">
        <v>4.9560000000000004</v>
      </c>
      <c r="AH24">
        <v>37.6</v>
      </c>
      <c r="AI24">
        <v>63.128999999999998</v>
      </c>
      <c r="AJ24">
        <v>2.7069999999999999</v>
      </c>
      <c r="AK24">
        <v>10.118</v>
      </c>
      <c r="AL24">
        <v>4.4059999999999997</v>
      </c>
      <c r="AM24">
        <v>37.6</v>
      </c>
      <c r="AN24">
        <v>4.9560000000000004</v>
      </c>
      <c r="AO24">
        <v>62.1</v>
      </c>
      <c r="AP24">
        <v>-4.4059999999999997</v>
      </c>
      <c r="AQ24">
        <v>97.293000000000006</v>
      </c>
      <c r="AR24">
        <v>36.871000000000002</v>
      </c>
      <c r="AS24">
        <v>89.882000000000005</v>
      </c>
    </row>
    <row r="25" spans="1:45" x14ac:dyDescent="0.25">
      <c r="A25">
        <v>55</v>
      </c>
      <c r="B25">
        <v>7</v>
      </c>
      <c r="C25">
        <v>1</v>
      </c>
      <c r="D25">
        <v>2018</v>
      </c>
      <c r="E25">
        <v>2</v>
      </c>
      <c r="F25" t="str">
        <f>IFERROR(VLOOKUP(G25, Map!$A$1:$B$33, 2, FALSE),"WAS")</f>
        <v>ATL</v>
      </c>
      <c r="G25" t="s">
        <v>167</v>
      </c>
      <c r="H25" t="str">
        <f>IFERROR(VLOOKUP(I25, Map!$A$1:$B$33, 2, FALSE),"WAS")</f>
        <v>CAR</v>
      </c>
      <c r="I25" t="s">
        <v>142</v>
      </c>
      <c r="J25" t="s">
        <v>188</v>
      </c>
      <c r="K25" t="s">
        <v>185</v>
      </c>
      <c r="L25">
        <v>1</v>
      </c>
      <c r="M25">
        <v>0</v>
      </c>
      <c r="N25">
        <v>41</v>
      </c>
      <c r="O25">
        <v>-5.1666666666666696</v>
      </c>
      <c r="P25">
        <v>-5</v>
      </c>
      <c r="Q25">
        <v>43</v>
      </c>
      <c r="R25">
        <v>23.7</v>
      </c>
      <c r="S25">
        <v>26.8</v>
      </c>
      <c r="T25">
        <v>21.7</v>
      </c>
      <c r="U25">
        <v>25.6</v>
      </c>
      <c r="V25">
        <v>9</v>
      </c>
      <c r="W25">
        <v>0</v>
      </c>
      <c r="X25">
        <v>8</v>
      </c>
      <c r="Y25">
        <v>9</v>
      </c>
      <c r="Z25">
        <v>19.899999999999999</v>
      </c>
      <c r="AA25">
        <v>52.6</v>
      </c>
      <c r="AB25">
        <v>327</v>
      </c>
      <c r="AC25">
        <v>82</v>
      </c>
      <c r="AD25">
        <v>30.5</v>
      </c>
      <c r="AE25">
        <v>15.4</v>
      </c>
      <c r="AF25">
        <v>65.2</v>
      </c>
      <c r="AG25">
        <v>64.256</v>
      </c>
      <c r="AH25">
        <v>34.5</v>
      </c>
      <c r="AI25">
        <v>45.69</v>
      </c>
      <c r="AJ25">
        <v>95.227999999999994</v>
      </c>
      <c r="AK25">
        <v>80.296999999999997</v>
      </c>
      <c r="AL25">
        <v>5.5720000000000001</v>
      </c>
      <c r="AM25">
        <v>34.5</v>
      </c>
      <c r="AN25">
        <v>64.256</v>
      </c>
      <c r="AO25">
        <v>65.2</v>
      </c>
      <c r="AP25">
        <v>-5.5720000000000001</v>
      </c>
      <c r="AQ25">
        <v>4.7720000000000002</v>
      </c>
      <c r="AR25">
        <v>54.31</v>
      </c>
      <c r="AS25">
        <v>19.702999999999999</v>
      </c>
    </row>
    <row r="26" spans="1:45" x14ac:dyDescent="0.25">
      <c r="A26">
        <v>57</v>
      </c>
      <c r="B26">
        <v>3</v>
      </c>
      <c r="C26">
        <v>1</v>
      </c>
      <c r="D26">
        <v>2018</v>
      </c>
      <c r="E26">
        <v>2</v>
      </c>
      <c r="F26" t="str">
        <f>IFERROR(VLOOKUP(G26, Map!$A$1:$B$33, 2, FALSE),"WAS")</f>
        <v>SF</v>
      </c>
      <c r="G26" t="s">
        <v>143</v>
      </c>
      <c r="H26" t="str">
        <f>IFERROR(VLOOKUP(I26, Map!$A$1:$B$33, 2, FALSE),"WAS")</f>
        <v>DET</v>
      </c>
      <c r="I26" t="s">
        <v>164</v>
      </c>
      <c r="J26" t="s">
        <v>197</v>
      </c>
      <c r="K26" t="s">
        <v>173</v>
      </c>
      <c r="L26">
        <v>1</v>
      </c>
      <c r="M26">
        <v>0</v>
      </c>
      <c r="N26">
        <v>44.4166666666667</v>
      </c>
      <c r="O26">
        <v>-5.5</v>
      </c>
      <c r="P26">
        <v>-5.5</v>
      </c>
      <c r="Q26">
        <v>48</v>
      </c>
      <c r="R26">
        <v>16.8</v>
      </c>
      <c r="S26">
        <v>23.8</v>
      </c>
      <c r="T26">
        <v>10.8</v>
      </c>
      <c r="U26">
        <v>15.6</v>
      </c>
      <c r="V26">
        <v>0</v>
      </c>
      <c r="W26">
        <v>0</v>
      </c>
      <c r="X26">
        <v>0</v>
      </c>
      <c r="Y26">
        <v>0</v>
      </c>
      <c r="Z26">
        <v>21.9</v>
      </c>
      <c r="AA26">
        <v>41.4</v>
      </c>
      <c r="AB26">
        <v>318</v>
      </c>
      <c r="AC26">
        <v>68</v>
      </c>
      <c r="AD26">
        <v>20.7</v>
      </c>
      <c r="AE26">
        <v>10.4</v>
      </c>
      <c r="AF26">
        <v>74.400000000000006</v>
      </c>
      <c r="AG26">
        <v>30.361000000000001</v>
      </c>
      <c r="AH26">
        <v>25.4</v>
      </c>
      <c r="AI26">
        <v>51.008000000000003</v>
      </c>
      <c r="AJ26">
        <v>78.094999999999999</v>
      </c>
      <c r="AK26">
        <v>70.796000000000006</v>
      </c>
      <c r="AL26">
        <v>9.3040000000000003</v>
      </c>
      <c r="AM26">
        <v>25.4</v>
      </c>
      <c r="AN26">
        <v>30.361000000000001</v>
      </c>
      <c r="AO26">
        <v>74.400000000000006</v>
      </c>
      <c r="AP26">
        <v>-9.3040000000000003</v>
      </c>
      <c r="AQ26">
        <v>21.905000000000001</v>
      </c>
      <c r="AR26">
        <v>48.991999999999997</v>
      </c>
      <c r="AS26">
        <v>29.204000000000001</v>
      </c>
    </row>
    <row r="27" spans="1:45" x14ac:dyDescent="0.25">
      <c r="A27">
        <v>58</v>
      </c>
      <c r="B27">
        <v>0</v>
      </c>
      <c r="C27">
        <v>0</v>
      </c>
      <c r="D27">
        <v>2018</v>
      </c>
      <c r="E27">
        <v>2</v>
      </c>
      <c r="F27" t="str">
        <f>IFERROR(VLOOKUP(G27, Map!$A$1:$B$33, 2, FALSE),"WAS")</f>
        <v>GB</v>
      </c>
      <c r="G27" t="s">
        <v>154</v>
      </c>
      <c r="H27" t="str">
        <f>IFERROR(VLOOKUP(I27, Map!$A$1:$B$33, 2, FALSE),"WAS")</f>
        <v>MIN</v>
      </c>
      <c r="I27" t="s">
        <v>153</v>
      </c>
      <c r="J27" t="s">
        <v>200</v>
      </c>
      <c r="K27" t="s">
        <v>214</v>
      </c>
      <c r="L27">
        <v>0</v>
      </c>
      <c r="M27">
        <v>0</v>
      </c>
      <c r="N27">
        <v>41.0833333333333</v>
      </c>
      <c r="O27">
        <v>1.6666666666666701</v>
      </c>
      <c r="P27">
        <v>1.5</v>
      </c>
      <c r="Q27">
        <v>44.5</v>
      </c>
      <c r="R27">
        <v>22.3</v>
      </c>
      <c r="S27">
        <v>28.1</v>
      </c>
      <c r="T27">
        <v>17</v>
      </c>
      <c r="U27">
        <v>23.6</v>
      </c>
      <c r="V27">
        <v>0.3</v>
      </c>
      <c r="W27">
        <v>0</v>
      </c>
      <c r="X27">
        <v>3</v>
      </c>
      <c r="Y27">
        <v>0.3</v>
      </c>
      <c r="Z27">
        <v>14.8</v>
      </c>
      <c r="AA27">
        <v>31.7</v>
      </c>
      <c r="AB27">
        <v>169</v>
      </c>
      <c r="AC27">
        <v>75</v>
      </c>
      <c r="AD27">
        <v>17.899999999999999</v>
      </c>
      <c r="AE27">
        <v>9.1</v>
      </c>
      <c r="AF27">
        <v>59.6</v>
      </c>
      <c r="AG27">
        <v>68.388000000000005</v>
      </c>
      <c r="AH27">
        <v>40.1</v>
      </c>
      <c r="AI27">
        <v>26.738</v>
      </c>
      <c r="AJ27">
        <v>55.445999999999998</v>
      </c>
      <c r="AK27">
        <v>67.308000000000007</v>
      </c>
      <c r="AL27">
        <v>3.4860000000000002</v>
      </c>
      <c r="AM27">
        <v>40.1</v>
      </c>
      <c r="AN27">
        <v>68.388000000000005</v>
      </c>
      <c r="AO27">
        <v>59.6</v>
      </c>
      <c r="AP27">
        <v>-3.4860000000000002</v>
      </c>
      <c r="AQ27">
        <v>44.554000000000002</v>
      </c>
      <c r="AR27">
        <v>73.262</v>
      </c>
      <c r="AS27">
        <v>32.692</v>
      </c>
    </row>
    <row r="28" spans="1:45" x14ac:dyDescent="0.25">
      <c r="A28">
        <v>39</v>
      </c>
      <c r="B28">
        <v>1</v>
      </c>
      <c r="C28">
        <v>1</v>
      </c>
      <c r="D28">
        <v>2018</v>
      </c>
      <c r="E28">
        <v>2</v>
      </c>
      <c r="F28" t="str">
        <f>IFERROR(VLOOKUP(G28, Map!$A$1:$B$33, 2, FALSE),"WAS")</f>
        <v>DEN</v>
      </c>
      <c r="G28" t="s">
        <v>159</v>
      </c>
      <c r="H28" t="str">
        <f>IFERROR(VLOOKUP(I28, Map!$A$1:$B$33, 2, FALSE),"WAS")</f>
        <v>LV</v>
      </c>
      <c r="I28" t="s">
        <v>157</v>
      </c>
      <c r="J28" t="s">
        <v>183</v>
      </c>
      <c r="K28" t="s">
        <v>179</v>
      </c>
      <c r="L28">
        <v>1</v>
      </c>
      <c r="M28">
        <v>0</v>
      </c>
      <c r="N28">
        <v>40.5833333333333</v>
      </c>
      <c r="O28">
        <v>-4.7916666666666696</v>
      </c>
      <c r="P28">
        <v>0.5</v>
      </c>
      <c r="Q28">
        <v>39.5</v>
      </c>
      <c r="R28">
        <v>24.2</v>
      </c>
      <c r="S28">
        <v>33.200000000000003</v>
      </c>
      <c r="T28">
        <v>14.8</v>
      </c>
      <c r="U28">
        <v>21.1</v>
      </c>
      <c r="V28">
        <v>0</v>
      </c>
      <c r="W28">
        <v>0</v>
      </c>
      <c r="X28">
        <v>0</v>
      </c>
      <c r="Y28">
        <v>0</v>
      </c>
      <c r="Z28">
        <v>19</v>
      </c>
      <c r="AA28">
        <v>34.6</v>
      </c>
      <c r="AB28">
        <v>157</v>
      </c>
      <c r="AC28">
        <v>26</v>
      </c>
      <c r="AD28">
        <v>20.9</v>
      </c>
      <c r="AE28">
        <v>10.3</v>
      </c>
      <c r="AF28">
        <v>63.6</v>
      </c>
      <c r="AG28">
        <v>35.700000000000003</v>
      </c>
      <c r="AH28">
        <v>36.1</v>
      </c>
      <c r="AI28">
        <v>36.412999999999997</v>
      </c>
      <c r="AJ28">
        <v>56.042999999999999</v>
      </c>
      <c r="AK28">
        <v>43.746000000000002</v>
      </c>
      <c r="AL28">
        <v>4.9550000000000001</v>
      </c>
      <c r="AM28">
        <v>36.1</v>
      </c>
      <c r="AN28">
        <v>35.700000000000003</v>
      </c>
      <c r="AO28">
        <v>63.6</v>
      </c>
      <c r="AP28">
        <v>-4.9550000000000001</v>
      </c>
      <c r="AQ28">
        <v>43.957000000000001</v>
      </c>
      <c r="AR28">
        <v>63.587000000000003</v>
      </c>
      <c r="AS28">
        <v>56.253999999999998</v>
      </c>
    </row>
    <row r="29" spans="1:45" x14ac:dyDescent="0.25">
      <c r="A29">
        <v>79</v>
      </c>
      <c r="B29">
        <v>-5</v>
      </c>
      <c r="C29">
        <v>0</v>
      </c>
      <c r="D29">
        <v>2018</v>
      </c>
      <c r="E29">
        <v>2</v>
      </c>
      <c r="F29" t="str">
        <f>IFERROR(VLOOKUP(G29, Map!$A$1:$B$33, 2, FALSE),"WAS")</f>
        <v>PIT</v>
      </c>
      <c r="G29" t="s">
        <v>145</v>
      </c>
      <c r="H29" t="str">
        <f>IFERROR(VLOOKUP(I29, Map!$A$1:$B$33, 2, FALSE),"WAS")</f>
        <v>KC</v>
      </c>
      <c r="I29" t="s">
        <v>158</v>
      </c>
      <c r="J29" t="s">
        <v>170</v>
      </c>
      <c r="K29" t="s">
        <v>202</v>
      </c>
      <c r="L29">
        <v>0</v>
      </c>
      <c r="M29">
        <v>0</v>
      </c>
      <c r="N29">
        <v>50.4583333333333</v>
      </c>
      <c r="O29">
        <v>-3.25</v>
      </c>
      <c r="P29">
        <v>-4</v>
      </c>
      <c r="Q29">
        <v>52</v>
      </c>
      <c r="R29">
        <v>22.6</v>
      </c>
      <c r="S29">
        <v>26.6</v>
      </c>
      <c r="T29">
        <v>18.3</v>
      </c>
      <c r="U29">
        <v>24.4</v>
      </c>
      <c r="V29">
        <v>0</v>
      </c>
      <c r="W29">
        <v>0</v>
      </c>
      <c r="X29">
        <v>0</v>
      </c>
      <c r="Y29">
        <v>0</v>
      </c>
      <c r="Z29">
        <v>15.6</v>
      </c>
      <c r="AA29">
        <v>34.200000000000003</v>
      </c>
      <c r="AB29">
        <v>94</v>
      </c>
      <c r="AC29">
        <v>82</v>
      </c>
      <c r="AD29">
        <v>23.4</v>
      </c>
      <c r="AE29">
        <v>11</v>
      </c>
      <c r="AF29">
        <v>64.599999999999994</v>
      </c>
      <c r="AG29">
        <v>93.688999999999993</v>
      </c>
      <c r="AH29">
        <v>35.1</v>
      </c>
      <c r="AI29">
        <v>1.3540000000000001</v>
      </c>
      <c r="AJ29">
        <v>87.549000000000007</v>
      </c>
      <c r="AK29">
        <v>26.106000000000002</v>
      </c>
      <c r="AL29">
        <v>5.3250000000000002</v>
      </c>
      <c r="AM29">
        <v>35.1</v>
      </c>
      <c r="AN29">
        <v>93.688999999999993</v>
      </c>
      <c r="AO29">
        <v>64.599999999999994</v>
      </c>
      <c r="AP29">
        <v>-5.3250000000000002</v>
      </c>
      <c r="AQ29">
        <v>12.451000000000001</v>
      </c>
      <c r="AR29">
        <v>98.646000000000001</v>
      </c>
      <c r="AS29">
        <v>73.894000000000005</v>
      </c>
    </row>
    <row r="30" spans="1:45" x14ac:dyDescent="0.25">
      <c r="A30">
        <v>51</v>
      </c>
      <c r="B30">
        <v>-11</v>
      </c>
      <c r="C30">
        <v>0</v>
      </c>
      <c r="D30">
        <v>2018</v>
      </c>
      <c r="E30">
        <v>2</v>
      </c>
      <c r="F30" t="str">
        <f>IFERROR(VLOOKUP(G30, Map!$A$1:$B$33, 2, FALSE),"WAS")</f>
        <v>BUF</v>
      </c>
      <c r="G30" t="s">
        <v>165</v>
      </c>
      <c r="H30" t="str">
        <f>IFERROR(VLOOKUP(I30, Map!$A$1:$B$33, 2, FALSE),"WAS")</f>
        <v>LAC</v>
      </c>
      <c r="I30" t="s">
        <v>160</v>
      </c>
      <c r="J30" t="s">
        <v>180</v>
      </c>
      <c r="K30" t="s">
        <v>210</v>
      </c>
      <c r="L30">
        <v>0</v>
      </c>
      <c r="M30">
        <v>0</v>
      </c>
      <c r="N30">
        <v>38.875</v>
      </c>
      <c r="O30">
        <v>7.1666666666666696</v>
      </c>
      <c r="P30">
        <v>7</v>
      </c>
      <c r="Q30">
        <v>41.5</v>
      </c>
      <c r="R30">
        <v>21.9</v>
      </c>
      <c r="S30">
        <v>23.4</v>
      </c>
      <c r="T30">
        <v>20.6</v>
      </c>
      <c r="U30">
        <v>22.1</v>
      </c>
      <c r="V30">
        <v>155.4</v>
      </c>
      <c r="W30">
        <v>0</v>
      </c>
      <c r="X30">
        <v>24</v>
      </c>
      <c r="Y30">
        <v>155.4</v>
      </c>
      <c r="Z30">
        <v>41</v>
      </c>
      <c r="AA30">
        <v>89.3</v>
      </c>
      <c r="AB30">
        <v>68</v>
      </c>
      <c r="AC30">
        <v>97</v>
      </c>
      <c r="AD30">
        <v>62.7</v>
      </c>
      <c r="AE30">
        <v>30.3</v>
      </c>
      <c r="AF30">
        <v>29.1</v>
      </c>
      <c r="AG30">
        <v>60.155999999999999</v>
      </c>
      <c r="AH30">
        <v>70.7</v>
      </c>
      <c r="AI30">
        <v>10.077</v>
      </c>
      <c r="AJ30">
        <v>17.995999999999999</v>
      </c>
      <c r="AK30">
        <v>8.0440000000000005</v>
      </c>
      <c r="AL30">
        <v>-7.7220000000000004</v>
      </c>
      <c r="AM30">
        <v>70.7</v>
      </c>
      <c r="AN30">
        <v>60.155999999999999</v>
      </c>
      <c r="AO30">
        <v>29.1</v>
      </c>
      <c r="AP30">
        <v>7.7220000000000004</v>
      </c>
      <c r="AQ30">
        <v>82.004000000000005</v>
      </c>
      <c r="AR30">
        <v>89.923000000000002</v>
      </c>
      <c r="AS30">
        <v>91.956000000000003</v>
      </c>
    </row>
    <row r="31" spans="1:45" x14ac:dyDescent="0.25">
      <c r="A31">
        <v>30</v>
      </c>
      <c r="B31">
        <v>-12</v>
      </c>
      <c r="C31">
        <v>0</v>
      </c>
      <c r="D31">
        <v>2018</v>
      </c>
      <c r="E31">
        <v>2</v>
      </c>
      <c r="F31" t="str">
        <f>IFERROR(VLOOKUP(G31, Map!$A$1:$B$33, 2, FALSE),"WAS")</f>
        <v>WAS</v>
      </c>
      <c r="G31" t="s">
        <v>204</v>
      </c>
      <c r="H31" t="str">
        <f>IFERROR(VLOOKUP(I31, Map!$A$1:$B$33, 2, FALSE),"WAS")</f>
        <v>IND</v>
      </c>
      <c r="I31" t="s">
        <v>138</v>
      </c>
      <c r="J31" t="s">
        <v>205</v>
      </c>
      <c r="K31" t="s">
        <v>177</v>
      </c>
      <c r="L31">
        <v>0</v>
      </c>
      <c r="M31">
        <v>0</v>
      </c>
      <c r="N31">
        <v>42.875</v>
      </c>
      <c r="O31">
        <v>-3.9583333333333299</v>
      </c>
      <c r="P31">
        <v>-5.5</v>
      </c>
      <c r="Q31">
        <v>35.5</v>
      </c>
      <c r="R31">
        <v>22.5</v>
      </c>
      <c r="S31">
        <v>26.4</v>
      </c>
      <c r="T31">
        <v>19.100000000000001</v>
      </c>
      <c r="U31">
        <v>24.6</v>
      </c>
      <c r="V31">
        <v>1.5</v>
      </c>
      <c r="W31">
        <v>0</v>
      </c>
      <c r="X31">
        <v>6</v>
      </c>
      <c r="Y31">
        <v>1.5</v>
      </c>
      <c r="Z31">
        <v>16</v>
      </c>
      <c r="AA31">
        <v>32.799999999999997</v>
      </c>
      <c r="AB31">
        <v>73</v>
      </c>
      <c r="AC31">
        <v>86</v>
      </c>
      <c r="AD31">
        <v>23.7</v>
      </c>
      <c r="AE31">
        <v>11.7</v>
      </c>
      <c r="AF31">
        <v>69.5</v>
      </c>
      <c r="AG31">
        <v>49.353000000000002</v>
      </c>
      <c r="AH31">
        <v>30.2</v>
      </c>
      <c r="AI31">
        <v>33.643999999999998</v>
      </c>
      <c r="AJ31">
        <v>22.89</v>
      </c>
      <c r="AK31">
        <v>19.539000000000001</v>
      </c>
      <c r="AL31">
        <v>7.2590000000000003</v>
      </c>
      <c r="AM31">
        <v>30.2</v>
      </c>
      <c r="AN31">
        <v>49.353000000000002</v>
      </c>
      <c r="AO31">
        <v>69.5</v>
      </c>
      <c r="AP31">
        <v>-7.2590000000000003</v>
      </c>
      <c r="AQ31">
        <v>77.11</v>
      </c>
      <c r="AR31">
        <v>66.355999999999995</v>
      </c>
      <c r="AS31">
        <v>80.460999999999999</v>
      </c>
    </row>
    <row r="32" spans="1:45" x14ac:dyDescent="0.25">
      <c r="A32">
        <v>34</v>
      </c>
      <c r="B32">
        <v>34</v>
      </c>
      <c r="C32">
        <v>1</v>
      </c>
      <c r="D32">
        <v>2018</v>
      </c>
      <c r="E32">
        <v>2</v>
      </c>
      <c r="F32" t="str">
        <f>IFERROR(VLOOKUP(G32, Map!$A$1:$B$33, 2, FALSE),"WAS")</f>
        <v>LA</v>
      </c>
      <c r="G32" t="s">
        <v>155</v>
      </c>
      <c r="H32" t="str">
        <f>IFERROR(VLOOKUP(I32, Map!$A$1:$B$33, 2, FALSE),"WAS")</f>
        <v>ARI</v>
      </c>
      <c r="I32" t="s">
        <v>156</v>
      </c>
      <c r="J32" t="s">
        <v>178</v>
      </c>
      <c r="K32" t="s">
        <v>190</v>
      </c>
      <c r="L32">
        <v>1</v>
      </c>
      <c r="M32">
        <v>0</v>
      </c>
      <c r="N32">
        <v>40.25</v>
      </c>
      <c r="O32">
        <v>-11.75</v>
      </c>
      <c r="P32">
        <v>-12</v>
      </c>
      <c r="Q32">
        <v>43.5</v>
      </c>
      <c r="R32">
        <v>22.4</v>
      </c>
      <c r="S32">
        <v>31.3</v>
      </c>
      <c r="T32">
        <v>15.4</v>
      </c>
      <c r="U32">
        <v>22.2</v>
      </c>
      <c r="V32">
        <v>0</v>
      </c>
      <c r="W32">
        <v>0</v>
      </c>
      <c r="X32">
        <v>0</v>
      </c>
      <c r="Y32">
        <v>0</v>
      </c>
      <c r="Z32">
        <v>16.5</v>
      </c>
      <c r="AA32">
        <v>33.5</v>
      </c>
      <c r="AB32">
        <v>186</v>
      </c>
      <c r="AC32">
        <v>59</v>
      </c>
      <c r="AD32">
        <v>17.2</v>
      </c>
      <c r="AE32">
        <v>8</v>
      </c>
      <c r="AF32">
        <v>85.6</v>
      </c>
      <c r="AG32">
        <v>49.682000000000002</v>
      </c>
      <c r="AH32">
        <v>14.3</v>
      </c>
      <c r="AI32">
        <v>96.388999999999996</v>
      </c>
      <c r="AJ32">
        <v>82.222999999999999</v>
      </c>
      <c r="AK32">
        <v>97.712999999999994</v>
      </c>
      <c r="AL32">
        <v>15.038</v>
      </c>
      <c r="AM32">
        <v>14.3</v>
      </c>
      <c r="AN32">
        <v>49.682000000000002</v>
      </c>
      <c r="AO32">
        <v>85.6</v>
      </c>
      <c r="AP32">
        <v>-15.038</v>
      </c>
      <c r="AQ32">
        <v>17.777000000000001</v>
      </c>
      <c r="AR32">
        <v>3.6110000000000002</v>
      </c>
      <c r="AS32">
        <v>2.2869999999999999</v>
      </c>
    </row>
    <row r="33" spans="1:45" x14ac:dyDescent="0.25">
      <c r="A33">
        <v>37</v>
      </c>
      <c r="B33">
        <v>3</v>
      </c>
      <c r="C33">
        <v>1</v>
      </c>
      <c r="D33">
        <v>2018</v>
      </c>
      <c r="E33">
        <v>2</v>
      </c>
      <c r="F33" t="str">
        <f>IFERROR(VLOOKUP(G33, Map!$A$1:$B$33, 2, FALSE),"WAS")</f>
        <v>TEN</v>
      </c>
      <c r="G33" t="s">
        <v>140</v>
      </c>
      <c r="H33" t="str">
        <f>IFERROR(VLOOKUP(I33, Map!$A$1:$B$33, 2, FALSE),"WAS")</f>
        <v>HOU</v>
      </c>
      <c r="I33" t="s">
        <v>137</v>
      </c>
      <c r="J33" t="s">
        <v>174</v>
      </c>
      <c r="K33" t="s">
        <v>209</v>
      </c>
      <c r="L33">
        <v>1</v>
      </c>
      <c r="M33">
        <v>0</v>
      </c>
      <c r="N33">
        <v>37.454545454545503</v>
      </c>
      <c r="O33">
        <v>3.2272727272727302</v>
      </c>
      <c r="P33">
        <v>3.5</v>
      </c>
      <c r="Q33">
        <v>40.5</v>
      </c>
      <c r="R33">
        <v>25.2</v>
      </c>
      <c r="S33">
        <v>28.8</v>
      </c>
      <c r="T33">
        <v>21.7</v>
      </c>
      <c r="U33">
        <v>27.7</v>
      </c>
      <c r="V33">
        <v>0</v>
      </c>
      <c r="W33">
        <v>0</v>
      </c>
      <c r="X33">
        <v>0</v>
      </c>
      <c r="Y33">
        <v>0</v>
      </c>
      <c r="Z33">
        <v>19.2</v>
      </c>
      <c r="AA33">
        <v>39.200000000000003</v>
      </c>
      <c r="AB33">
        <v>40</v>
      </c>
      <c r="AC33">
        <v>76</v>
      </c>
      <c r="AD33">
        <v>23.5</v>
      </c>
      <c r="AE33">
        <v>12.1</v>
      </c>
      <c r="AF33">
        <v>50.4</v>
      </c>
      <c r="AG33">
        <v>58.281999999999996</v>
      </c>
      <c r="AH33">
        <v>49.2</v>
      </c>
      <c r="AI33">
        <v>38.828000000000003</v>
      </c>
      <c r="AJ33">
        <v>31.481999999999999</v>
      </c>
      <c r="AK33">
        <v>59.235999999999997</v>
      </c>
      <c r="AL33">
        <v>0.22900000000000001</v>
      </c>
      <c r="AM33">
        <v>49.2</v>
      </c>
      <c r="AN33">
        <v>58.281999999999996</v>
      </c>
      <c r="AO33">
        <v>50.4</v>
      </c>
      <c r="AP33">
        <v>-0.22900000000000001</v>
      </c>
      <c r="AQ33">
        <v>68.518000000000001</v>
      </c>
      <c r="AR33">
        <v>61.171999999999997</v>
      </c>
      <c r="AS33">
        <v>40.764000000000003</v>
      </c>
    </row>
    <row r="34" spans="1:45" x14ac:dyDescent="0.25">
      <c r="A34">
        <v>38</v>
      </c>
      <c r="B34">
        <v>4</v>
      </c>
      <c r="C34">
        <v>1</v>
      </c>
      <c r="D34">
        <v>2018</v>
      </c>
      <c r="E34">
        <v>3</v>
      </c>
      <c r="F34" t="str">
        <f>IFERROR(VLOOKUP(G34, Map!$A$1:$B$33, 2, FALSE),"WAS")</f>
        <v>CLE</v>
      </c>
      <c r="G34" t="s">
        <v>162</v>
      </c>
      <c r="H34" t="str">
        <f>IFERROR(VLOOKUP(I34, Map!$A$1:$B$33, 2, FALSE),"WAS")</f>
        <v>NYJ</v>
      </c>
      <c r="I34" t="s">
        <v>166</v>
      </c>
      <c r="J34" t="s">
        <v>171</v>
      </c>
      <c r="K34" t="s">
        <v>172</v>
      </c>
      <c r="L34">
        <v>1</v>
      </c>
      <c r="M34">
        <v>0</v>
      </c>
      <c r="N34">
        <v>37.045454545454497</v>
      </c>
      <c r="O34">
        <v>-2.7272727272727302</v>
      </c>
      <c r="P34">
        <v>-3</v>
      </c>
      <c r="Q34">
        <v>38.5</v>
      </c>
      <c r="R34">
        <v>25.9</v>
      </c>
      <c r="S34">
        <v>29.5</v>
      </c>
      <c r="T34">
        <v>23.3</v>
      </c>
      <c r="U34">
        <v>26.2</v>
      </c>
      <c r="V34">
        <v>0.9</v>
      </c>
      <c r="W34">
        <v>0</v>
      </c>
      <c r="X34">
        <v>3</v>
      </c>
      <c r="Y34">
        <v>0.9</v>
      </c>
      <c r="Z34">
        <v>35.1</v>
      </c>
      <c r="AA34">
        <v>55.1</v>
      </c>
      <c r="AB34">
        <v>203</v>
      </c>
      <c r="AC34">
        <v>73</v>
      </c>
      <c r="AD34">
        <v>41.8</v>
      </c>
      <c r="AE34">
        <v>26.4</v>
      </c>
      <c r="AF34">
        <v>60.6</v>
      </c>
      <c r="AG34">
        <v>31.692</v>
      </c>
      <c r="AH34">
        <v>39.1</v>
      </c>
      <c r="AI34">
        <v>77.44</v>
      </c>
      <c r="AJ34">
        <v>49.173000000000002</v>
      </c>
      <c r="AK34">
        <v>58.363999999999997</v>
      </c>
      <c r="AL34">
        <v>3.7930000000000001</v>
      </c>
      <c r="AM34">
        <v>39.1</v>
      </c>
      <c r="AN34">
        <v>31.692</v>
      </c>
      <c r="AO34">
        <v>60.6</v>
      </c>
      <c r="AP34">
        <v>-3.7930000000000001</v>
      </c>
      <c r="AQ34">
        <v>50.826999999999998</v>
      </c>
      <c r="AR34">
        <v>22.56</v>
      </c>
      <c r="AS34">
        <v>41.636000000000003</v>
      </c>
    </row>
    <row r="35" spans="1:45" x14ac:dyDescent="0.25">
      <c r="A35">
        <v>41</v>
      </c>
      <c r="B35">
        <v>13</v>
      </c>
      <c r="C35">
        <v>1</v>
      </c>
      <c r="D35">
        <v>2018</v>
      </c>
      <c r="E35">
        <v>3</v>
      </c>
      <c r="F35" t="str">
        <f>IFERROR(VLOOKUP(G35, Map!$A$1:$B$33, 2, FALSE),"WAS")</f>
        <v>BAL</v>
      </c>
      <c r="G35" t="s">
        <v>146</v>
      </c>
      <c r="H35" t="str">
        <f>IFERROR(VLOOKUP(I35, Map!$A$1:$B$33, 2, FALSE),"WAS")</f>
        <v>DEN</v>
      </c>
      <c r="I35" t="s">
        <v>159</v>
      </c>
      <c r="J35" t="s">
        <v>181</v>
      </c>
      <c r="K35" t="s">
        <v>183</v>
      </c>
      <c r="L35">
        <v>1</v>
      </c>
      <c r="M35">
        <v>0</v>
      </c>
      <c r="N35">
        <v>41.772727272727302</v>
      </c>
      <c r="O35">
        <v>-5</v>
      </c>
      <c r="P35">
        <v>-5</v>
      </c>
      <c r="Q35">
        <v>45.5</v>
      </c>
      <c r="R35">
        <v>16.899999999999999</v>
      </c>
      <c r="S35">
        <v>18.5</v>
      </c>
      <c r="T35">
        <v>15.5</v>
      </c>
      <c r="U35">
        <v>16.8</v>
      </c>
      <c r="V35">
        <v>28.1</v>
      </c>
      <c r="W35">
        <v>0</v>
      </c>
      <c r="X35">
        <v>14</v>
      </c>
      <c r="Y35">
        <v>28.1</v>
      </c>
      <c r="Z35">
        <v>13.3</v>
      </c>
      <c r="AA35">
        <v>24.8</v>
      </c>
      <c r="AB35">
        <v>30</v>
      </c>
      <c r="AC35">
        <v>85</v>
      </c>
      <c r="AD35">
        <v>19.3</v>
      </c>
      <c r="AE35">
        <v>10.4</v>
      </c>
      <c r="AF35">
        <v>78.2</v>
      </c>
      <c r="AG35">
        <v>57.274999999999999</v>
      </c>
      <c r="AH35">
        <v>21.6</v>
      </c>
      <c r="AI35">
        <v>80.278000000000006</v>
      </c>
      <c r="AJ35">
        <v>76.147999999999996</v>
      </c>
      <c r="AK35">
        <v>79.296000000000006</v>
      </c>
      <c r="AL35">
        <v>10.904999999999999</v>
      </c>
      <c r="AM35">
        <v>21.6</v>
      </c>
      <c r="AN35">
        <v>57.274999999999999</v>
      </c>
      <c r="AO35">
        <v>78.2</v>
      </c>
      <c r="AP35">
        <v>-10.904999999999999</v>
      </c>
      <c r="AQ35">
        <v>23.852</v>
      </c>
      <c r="AR35">
        <v>19.722000000000001</v>
      </c>
      <c r="AS35">
        <v>20.704000000000001</v>
      </c>
    </row>
    <row r="36" spans="1:45" x14ac:dyDescent="0.25">
      <c r="A36">
        <v>52</v>
      </c>
      <c r="B36">
        <v>10</v>
      </c>
      <c r="C36">
        <v>1</v>
      </c>
      <c r="D36">
        <v>2018</v>
      </c>
      <c r="E36">
        <v>3</v>
      </c>
      <c r="F36" t="str">
        <f>IFERROR(VLOOKUP(G36, Map!$A$1:$B$33, 2, FALSE),"WAS")</f>
        <v>CAR</v>
      </c>
      <c r="G36" t="s">
        <v>142</v>
      </c>
      <c r="H36" t="str">
        <f>IFERROR(VLOOKUP(I36, Map!$A$1:$B$33, 2, FALSE),"WAS")</f>
        <v>CIN</v>
      </c>
      <c r="I36" t="s">
        <v>161</v>
      </c>
      <c r="J36" t="s">
        <v>185</v>
      </c>
      <c r="K36" t="s">
        <v>176</v>
      </c>
      <c r="L36">
        <v>1</v>
      </c>
      <c r="M36">
        <v>0</v>
      </c>
      <c r="N36">
        <v>40.181818181818201</v>
      </c>
      <c r="O36">
        <v>-2.3181818181818201</v>
      </c>
      <c r="P36">
        <v>-2.5</v>
      </c>
      <c r="Q36">
        <v>44</v>
      </c>
      <c r="R36">
        <v>23.5</v>
      </c>
      <c r="S36">
        <v>26.9</v>
      </c>
      <c r="T36">
        <v>19.100000000000001</v>
      </c>
      <c r="U36">
        <v>26.5</v>
      </c>
      <c r="V36">
        <v>0.6</v>
      </c>
      <c r="W36">
        <v>0</v>
      </c>
      <c r="X36">
        <v>3</v>
      </c>
      <c r="Y36">
        <v>0.6</v>
      </c>
      <c r="Z36">
        <v>9.8000000000000007</v>
      </c>
      <c r="AA36">
        <v>19.399999999999999</v>
      </c>
      <c r="AB36">
        <v>170</v>
      </c>
      <c r="AC36">
        <v>82</v>
      </c>
      <c r="AD36">
        <v>13.2</v>
      </c>
      <c r="AE36">
        <v>5.9</v>
      </c>
      <c r="AF36">
        <v>57.6</v>
      </c>
      <c r="AG36">
        <v>44.956000000000003</v>
      </c>
      <c r="AH36">
        <v>42.1</v>
      </c>
      <c r="AI36">
        <v>53.485999999999997</v>
      </c>
      <c r="AJ36">
        <v>82.003</v>
      </c>
      <c r="AK36">
        <v>78.540999999999997</v>
      </c>
      <c r="AL36">
        <v>2.7290000000000001</v>
      </c>
      <c r="AM36">
        <v>42.1</v>
      </c>
      <c r="AN36">
        <v>44.956000000000003</v>
      </c>
      <c r="AO36">
        <v>57.6</v>
      </c>
      <c r="AP36">
        <v>-2.7290000000000001</v>
      </c>
      <c r="AQ36">
        <v>17.997</v>
      </c>
      <c r="AR36">
        <v>46.514000000000003</v>
      </c>
      <c r="AS36">
        <v>21.459</v>
      </c>
    </row>
    <row r="37" spans="1:45" x14ac:dyDescent="0.25">
      <c r="A37">
        <v>49</v>
      </c>
      <c r="B37">
        <v>-5</v>
      </c>
      <c r="C37">
        <v>0</v>
      </c>
      <c r="D37">
        <v>2018</v>
      </c>
      <c r="E37">
        <v>3</v>
      </c>
      <c r="F37" t="str">
        <f>IFERROR(VLOOKUP(G37, Map!$A$1:$B$33, 2, FALSE),"WAS")</f>
        <v>HOU</v>
      </c>
      <c r="G37" t="s">
        <v>137</v>
      </c>
      <c r="H37" t="str">
        <f>IFERROR(VLOOKUP(I37, Map!$A$1:$B$33, 2, FALSE),"WAS")</f>
        <v>NYG</v>
      </c>
      <c r="I37" t="s">
        <v>149</v>
      </c>
      <c r="J37" t="s">
        <v>209</v>
      </c>
      <c r="K37" t="s">
        <v>219</v>
      </c>
      <c r="L37">
        <v>0</v>
      </c>
      <c r="M37">
        <v>0</v>
      </c>
      <c r="N37">
        <v>39.863636363636402</v>
      </c>
      <c r="O37">
        <v>-5.6818181818181799</v>
      </c>
      <c r="P37">
        <v>-6</v>
      </c>
      <c r="Q37">
        <v>43</v>
      </c>
      <c r="R37">
        <v>24.4</v>
      </c>
      <c r="S37">
        <v>27.9</v>
      </c>
      <c r="T37">
        <v>21</v>
      </c>
      <c r="U37">
        <v>28.3</v>
      </c>
      <c r="V37">
        <v>20.6</v>
      </c>
      <c r="W37">
        <v>0</v>
      </c>
      <c r="X37">
        <v>13</v>
      </c>
      <c r="Y37">
        <v>20.6</v>
      </c>
      <c r="Z37">
        <v>13.5</v>
      </c>
      <c r="AA37">
        <v>25.6</v>
      </c>
      <c r="AB37">
        <v>258</v>
      </c>
      <c r="AC37">
        <v>87</v>
      </c>
      <c r="AD37">
        <v>17.899999999999999</v>
      </c>
      <c r="AE37">
        <v>7.1</v>
      </c>
      <c r="AF37">
        <v>69.2</v>
      </c>
      <c r="AG37">
        <v>53.8</v>
      </c>
      <c r="AH37">
        <v>30.6</v>
      </c>
      <c r="AI37">
        <v>12.172000000000001</v>
      </c>
      <c r="AJ37">
        <v>34.904000000000003</v>
      </c>
      <c r="AK37">
        <v>20.876999999999999</v>
      </c>
      <c r="AL37">
        <v>7.0439999999999996</v>
      </c>
      <c r="AM37">
        <v>30.6</v>
      </c>
      <c r="AN37">
        <v>53.8</v>
      </c>
      <c r="AO37">
        <v>69.2</v>
      </c>
      <c r="AP37">
        <v>-7.0439999999999996</v>
      </c>
      <c r="AQ37">
        <v>65.096000000000004</v>
      </c>
      <c r="AR37">
        <v>87.828000000000003</v>
      </c>
      <c r="AS37">
        <v>79.123000000000005</v>
      </c>
    </row>
    <row r="38" spans="1:45" x14ac:dyDescent="0.25">
      <c r="A38">
        <v>33</v>
      </c>
      <c r="B38">
        <v>-21</v>
      </c>
      <c r="C38">
        <v>0</v>
      </c>
      <c r="D38">
        <v>2018</v>
      </c>
      <c r="E38">
        <v>3</v>
      </c>
      <c r="F38" t="str">
        <f>IFERROR(VLOOKUP(G38, Map!$A$1:$B$33, 2, FALSE),"WAS")</f>
        <v>MIN</v>
      </c>
      <c r="G38" t="s">
        <v>153</v>
      </c>
      <c r="H38" t="str">
        <f>IFERROR(VLOOKUP(I38, Map!$A$1:$B$33, 2, FALSE),"WAS")</f>
        <v>BUF</v>
      </c>
      <c r="I38" t="s">
        <v>165</v>
      </c>
      <c r="J38" t="s">
        <v>214</v>
      </c>
      <c r="K38" t="s">
        <v>180</v>
      </c>
      <c r="L38">
        <v>0</v>
      </c>
      <c r="M38">
        <v>0</v>
      </c>
      <c r="N38">
        <v>37.136363636363598</v>
      </c>
      <c r="O38">
        <v>-15.181818181818199</v>
      </c>
      <c r="P38">
        <v>-16.5</v>
      </c>
      <c r="Q38">
        <v>40.5</v>
      </c>
      <c r="R38">
        <v>15.2</v>
      </c>
      <c r="S38">
        <v>22.3</v>
      </c>
      <c r="T38">
        <v>10.1</v>
      </c>
      <c r="U38">
        <v>13.8</v>
      </c>
      <c r="V38">
        <v>0</v>
      </c>
      <c r="W38">
        <v>0</v>
      </c>
      <c r="X38">
        <v>0</v>
      </c>
      <c r="Y38">
        <v>0</v>
      </c>
      <c r="Z38">
        <v>17</v>
      </c>
      <c r="AA38">
        <v>33.5</v>
      </c>
      <c r="AB38">
        <v>153</v>
      </c>
      <c r="AC38">
        <v>72</v>
      </c>
      <c r="AD38">
        <v>21.3</v>
      </c>
      <c r="AE38">
        <v>10.7</v>
      </c>
      <c r="AF38">
        <v>90.7</v>
      </c>
      <c r="AG38">
        <v>47.094000000000001</v>
      </c>
      <c r="AH38">
        <v>9.1999999999999993</v>
      </c>
      <c r="AI38">
        <v>22.303000000000001</v>
      </c>
      <c r="AJ38">
        <v>1.085</v>
      </c>
      <c r="AK38">
        <v>1.6419999999999999</v>
      </c>
      <c r="AL38">
        <v>18.471</v>
      </c>
      <c r="AM38">
        <v>9.1999999999999993</v>
      </c>
      <c r="AN38">
        <v>47.094000000000001</v>
      </c>
      <c r="AO38">
        <v>90.7</v>
      </c>
      <c r="AP38">
        <v>-18.471</v>
      </c>
      <c r="AQ38">
        <v>98.915000000000006</v>
      </c>
      <c r="AR38">
        <v>77.697000000000003</v>
      </c>
      <c r="AS38">
        <v>98.358000000000004</v>
      </c>
    </row>
    <row r="39" spans="1:45" x14ac:dyDescent="0.25">
      <c r="A39">
        <v>57</v>
      </c>
      <c r="B39">
        <v>-3</v>
      </c>
      <c r="C39">
        <v>0</v>
      </c>
      <c r="D39">
        <v>2018</v>
      </c>
      <c r="E39">
        <v>3</v>
      </c>
      <c r="F39" t="str">
        <f>IFERROR(VLOOKUP(G39, Map!$A$1:$B$33, 2, FALSE),"WAS")</f>
        <v>TB</v>
      </c>
      <c r="G39" t="s">
        <v>141</v>
      </c>
      <c r="H39" t="str">
        <f>IFERROR(VLOOKUP(I39, Map!$A$1:$B$33, 2, FALSE),"WAS")</f>
        <v>PIT</v>
      </c>
      <c r="I39" t="s">
        <v>145</v>
      </c>
      <c r="J39" t="s">
        <v>186</v>
      </c>
      <c r="K39" t="s">
        <v>170</v>
      </c>
      <c r="L39">
        <v>0</v>
      </c>
      <c r="M39">
        <v>0</v>
      </c>
      <c r="N39">
        <v>49.863636363636402</v>
      </c>
      <c r="O39">
        <v>-1.0454545454545501</v>
      </c>
      <c r="P39">
        <v>-1</v>
      </c>
      <c r="Q39">
        <v>53.5</v>
      </c>
      <c r="R39">
        <v>27</v>
      </c>
      <c r="S39">
        <v>31.2</v>
      </c>
      <c r="T39">
        <v>24.2</v>
      </c>
      <c r="U39">
        <v>31.6</v>
      </c>
      <c r="V39">
        <v>0.8</v>
      </c>
      <c r="W39">
        <v>0</v>
      </c>
      <c r="X39">
        <v>2</v>
      </c>
      <c r="Y39">
        <v>0.8</v>
      </c>
      <c r="Z39">
        <v>14.2</v>
      </c>
      <c r="AA39">
        <v>27.7</v>
      </c>
      <c r="AB39">
        <v>85</v>
      </c>
      <c r="AC39">
        <v>84</v>
      </c>
      <c r="AD39">
        <v>19.8</v>
      </c>
      <c r="AE39">
        <v>10.199999999999999</v>
      </c>
      <c r="AF39">
        <v>46.5</v>
      </c>
      <c r="AG39">
        <v>54.771000000000001</v>
      </c>
      <c r="AH39">
        <v>53.1</v>
      </c>
      <c r="AI39">
        <v>33.15</v>
      </c>
      <c r="AJ39">
        <v>15.125999999999999</v>
      </c>
      <c r="AK39">
        <v>21.388000000000002</v>
      </c>
      <c r="AL39">
        <v>-1.141</v>
      </c>
      <c r="AM39">
        <v>53.1</v>
      </c>
      <c r="AN39">
        <v>54.771000000000001</v>
      </c>
      <c r="AO39">
        <v>46.5</v>
      </c>
      <c r="AP39">
        <v>1.141</v>
      </c>
      <c r="AQ39">
        <v>84.873999999999995</v>
      </c>
      <c r="AR39">
        <v>66.849999999999994</v>
      </c>
      <c r="AS39">
        <v>78.611999999999995</v>
      </c>
    </row>
    <row r="40" spans="1:45" x14ac:dyDescent="0.25">
      <c r="A40">
        <v>48</v>
      </c>
      <c r="B40">
        <v>14</v>
      </c>
      <c r="C40">
        <v>1</v>
      </c>
      <c r="D40">
        <v>2018</v>
      </c>
      <c r="E40">
        <v>3</v>
      </c>
      <c r="F40" t="str">
        <f>IFERROR(VLOOKUP(G40, Map!$A$1:$B$33, 2, FALSE),"WAS")</f>
        <v>WAS</v>
      </c>
      <c r="G40" t="s">
        <v>204</v>
      </c>
      <c r="H40" t="str">
        <f>IFERROR(VLOOKUP(I40, Map!$A$1:$B$33, 2, FALSE),"WAS")</f>
        <v>GB</v>
      </c>
      <c r="I40" t="s">
        <v>154</v>
      </c>
      <c r="J40" t="s">
        <v>205</v>
      </c>
      <c r="K40" t="s">
        <v>200</v>
      </c>
      <c r="L40">
        <v>1</v>
      </c>
      <c r="M40">
        <v>0</v>
      </c>
      <c r="N40">
        <v>41.681818181818201</v>
      </c>
      <c r="O40">
        <v>2.0909090909090899</v>
      </c>
      <c r="P40">
        <v>2</v>
      </c>
      <c r="Q40">
        <v>45.5</v>
      </c>
      <c r="R40">
        <v>17.3</v>
      </c>
      <c r="S40">
        <v>19.3</v>
      </c>
      <c r="T40">
        <v>15.2</v>
      </c>
      <c r="U40">
        <v>17.100000000000001</v>
      </c>
      <c r="V40">
        <v>27.6</v>
      </c>
      <c r="W40">
        <v>0</v>
      </c>
      <c r="X40">
        <v>19</v>
      </c>
      <c r="Y40">
        <v>27.6</v>
      </c>
      <c r="Z40">
        <v>16.3</v>
      </c>
      <c r="AA40">
        <v>32.4</v>
      </c>
      <c r="AB40">
        <v>37</v>
      </c>
      <c r="AC40">
        <v>84</v>
      </c>
      <c r="AD40">
        <v>23.4</v>
      </c>
      <c r="AE40">
        <v>11.8</v>
      </c>
      <c r="AF40">
        <v>51.7</v>
      </c>
      <c r="AG40">
        <v>41.106000000000002</v>
      </c>
      <c r="AH40">
        <v>48</v>
      </c>
      <c r="AI40">
        <v>75.701999999999998</v>
      </c>
      <c r="AJ40">
        <v>87.724000000000004</v>
      </c>
      <c r="AK40">
        <v>88.394999999999996</v>
      </c>
      <c r="AL40">
        <v>0.64900000000000002</v>
      </c>
      <c r="AM40">
        <v>48</v>
      </c>
      <c r="AN40">
        <v>41.106000000000002</v>
      </c>
      <c r="AO40">
        <v>51.7</v>
      </c>
      <c r="AP40">
        <v>-0.64900000000000002</v>
      </c>
      <c r="AQ40">
        <v>12.276</v>
      </c>
      <c r="AR40">
        <v>24.297999999999998</v>
      </c>
      <c r="AS40">
        <v>11.605</v>
      </c>
    </row>
    <row r="41" spans="1:45" x14ac:dyDescent="0.25">
      <c r="A41">
        <v>36</v>
      </c>
      <c r="B41">
        <v>16</v>
      </c>
      <c r="C41">
        <v>1</v>
      </c>
      <c r="D41">
        <v>2018</v>
      </c>
      <c r="E41">
        <v>3</v>
      </c>
      <c r="F41" t="str">
        <f>IFERROR(VLOOKUP(G41, Map!$A$1:$B$33, 2, FALSE),"WAS")</f>
        <v>DET</v>
      </c>
      <c r="G41" t="s">
        <v>164</v>
      </c>
      <c r="H41" t="str">
        <f>IFERROR(VLOOKUP(I41, Map!$A$1:$B$33, 2, FALSE),"WAS")</f>
        <v>NE</v>
      </c>
      <c r="I41" t="s">
        <v>151</v>
      </c>
      <c r="J41" t="s">
        <v>173</v>
      </c>
      <c r="K41" t="s">
        <v>187</v>
      </c>
      <c r="L41">
        <v>1</v>
      </c>
      <c r="M41">
        <v>0</v>
      </c>
      <c r="N41">
        <v>50.136363636363598</v>
      </c>
      <c r="O41">
        <v>6.1818181818181799</v>
      </c>
      <c r="P41">
        <v>6.5</v>
      </c>
      <c r="Q41">
        <v>53</v>
      </c>
      <c r="R41">
        <v>17.3</v>
      </c>
      <c r="S41">
        <v>19.899999999999999</v>
      </c>
      <c r="T41">
        <v>15.2</v>
      </c>
      <c r="U41">
        <v>16.399999999999999</v>
      </c>
      <c r="V41">
        <v>2.1</v>
      </c>
      <c r="W41">
        <v>0</v>
      </c>
      <c r="X41">
        <v>5</v>
      </c>
      <c r="Y41">
        <v>2.1</v>
      </c>
      <c r="Z41">
        <v>25.6</v>
      </c>
      <c r="AA41">
        <v>42.8</v>
      </c>
      <c r="AB41">
        <v>105</v>
      </c>
      <c r="AC41">
        <v>86</v>
      </c>
      <c r="AD41">
        <v>29.5</v>
      </c>
      <c r="AE41">
        <v>17.5</v>
      </c>
      <c r="AF41">
        <v>38.700000000000003</v>
      </c>
      <c r="AG41">
        <v>64.646000000000001</v>
      </c>
      <c r="AH41">
        <v>61</v>
      </c>
      <c r="AI41">
        <v>76.114999999999995</v>
      </c>
      <c r="AJ41">
        <v>80.504999999999995</v>
      </c>
      <c r="AK41">
        <v>85.727000000000004</v>
      </c>
      <c r="AL41">
        <v>-3.96</v>
      </c>
      <c r="AM41">
        <v>61</v>
      </c>
      <c r="AN41">
        <v>64.646000000000001</v>
      </c>
      <c r="AO41">
        <v>38.700000000000003</v>
      </c>
      <c r="AP41">
        <v>3.96</v>
      </c>
      <c r="AQ41">
        <v>19.495000000000001</v>
      </c>
      <c r="AR41">
        <v>23.885000000000002</v>
      </c>
      <c r="AS41">
        <v>14.273</v>
      </c>
    </row>
    <row r="42" spans="1:45" x14ac:dyDescent="0.25">
      <c r="A42">
        <v>30</v>
      </c>
      <c r="B42">
        <v>-2</v>
      </c>
      <c r="C42">
        <v>0</v>
      </c>
      <c r="D42">
        <v>2018</v>
      </c>
      <c r="E42">
        <v>3</v>
      </c>
      <c r="F42" t="str">
        <f>IFERROR(VLOOKUP(G42, Map!$A$1:$B$33, 2, FALSE),"WAS")</f>
        <v>ARI</v>
      </c>
      <c r="G42" t="s">
        <v>156</v>
      </c>
      <c r="H42" t="str">
        <f>IFERROR(VLOOKUP(I42, Map!$A$1:$B$33, 2, FALSE),"WAS")</f>
        <v>CHI</v>
      </c>
      <c r="I42" t="s">
        <v>163</v>
      </c>
      <c r="J42" t="s">
        <v>190</v>
      </c>
      <c r="K42" t="s">
        <v>216</v>
      </c>
      <c r="L42">
        <v>0</v>
      </c>
      <c r="M42">
        <v>0</v>
      </c>
      <c r="N42">
        <v>35.363636363636402</v>
      </c>
      <c r="O42">
        <v>5.1363636363636402</v>
      </c>
      <c r="P42">
        <v>5.5</v>
      </c>
      <c r="Q42">
        <v>38.5</v>
      </c>
      <c r="R42">
        <v>22.2</v>
      </c>
      <c r="S42">
        <v>28.7</v>
      </c>
      <c r="T42">
        <v>16.100000000000001</v>
      </c>
      <c r="U42">
        <v>22.4</v>
      </c>
      <c r="V42">
        <v>0</v>
      </c>
      <c r="W42">
        <v>0</v>
      </c>
      <c r="X42">
        <v>0</v>
      </c>
      <c r="Y42">
        <v>0</v>
      </c>
      <c r="Z42">
        <v>11.3</v>
      </c>
      <c r="AA42">
        <v>30.2</v>
      </c>
      <c r="AB42">
        <v>156</v>
      </c>
      <c r="AC42">
        <v>59</v>
      </c>
      <c r="AD42">
        <v>17.899999999999999</v>
      </c>
      <c r="AE42">
        <v>7</v>
      </c>
      <c r="AF42">
        <v>44.3</v>
      </c>
      <c r="AG42">
        <v>32.165999999999997</v>
      </c>
      <c r="AH42">
        <v>55.4</v>
      </c>
      <c r="AI42">
        <v>66.171000000000006</v>
      </c>
      <c r="AJ42">
        <v>21.291</v>
      </c>
      <c r="AK42">
        <v>49.731999999999999</v>
      </c>
      <c r="AL42">
        <v>-1.9510000000000001</v>
      </c>
      <c r="AM42">
        <v>55.4</v>
      </c>
      <c r="AN42">
        <v>32.165999999999997</v>
      </c>
      <c r="AO42">
        <v>44.3</v>
      </c>
      <c r="AP42">
        <v>1.9510000000000001</v>
      </c>
      <c r="AQ42">
        <v>78.709000000000003</v>
      </c>
      <c r="AR42">
        <v>33.829000000000001</v>
      </c>
      <c r="AS42">
        <v>50.268000000000001</v>
      </c>
    </row>
    <row r="43" spans="1:45" x14ac:dyDescent="0.25">
      <c r="A43">
        <v>80</v>
      </c>
      <c r="B43">
        <v>-6</v>
      </c>
      <c r="C43">
        <v>0</v>
      </c>
      <c r="D43">
        <v>2018</v>
      </c>
      <c r="E43">
        <v>3</v>
      </c>
      <c r="F43" t="str">
        <f>IFERROR(VLOOKUP(G43, Map!$A$1:$B$33, 2, FALSE),"WAS")</f>
        <v>ATL</v>
      </c>
      <c r="G43" t="s">
        <v>167</v>
      </c>
      <c r="H43" t="str">
        <f>IFERROR(VLOOKUP(I43, Map!$A$1:$B$33, 2, FALSE),"WAS")</f>
        <v>NO</v>
      </c>
      <c r="I43" t="s">
        <v>168</v>
      </c>
      <c r="J43" t="s">
        <v>188</v>
      </c>
      <c r="K43" t="s">
        <v>192</v>
      </c>
      <c r="L43">
        <v>0</v>
      </c>
      <c r="M43">
        <v>0</v>
      </c>
      <c r="N43">
        <v>44.8333333333333</v>
      </c>
      <c r="O43">
        <v>-1.4166666666666701</v>
      </c>
      <c r="P43">
        <v>-1.5</v>
      </c>
      <c r="Q43">
        <v>53.5</v>
      </c>
      <c r="R43">
        <v>24.1</v>
      </c>
      <c r="S43">
        <v>27.9</v>
      </c>
      <c r="T43">
        <v>19.5</v>
      </c>
      <c r="U43">
        <v>26.5</v>
      </c>
      <c r="V43">
        <v>0.6</v>
      </c>
      <c r="W43">
        <v>0</v>
      </c>
      <c r="X43">
        <v>5</v>
      </c>
      <c r="Y43">
        <v>0.6</v>
      </c>
      <c r="Z43">
        <v>12.7</v>
      </c>
      <c r="AA43">
        <v>27</v>
      </c>
      <c r="AB43">
        <v>143</v>
      </c>
      <c r="AC43">
        <v>73</v>
      </c>
      <c r="AD43">
        <v>15.5</v>
      </c>
      <c r="AE43">
        <v>7.1</v>
      </c>
      <c r="AF43">
        <v>64</v>
      </c>
      <c r="AG43">
        <v>88.161000000000001</v>
      </c>
      <c r="AH43">
        <v>35.799999999999997</v>
      </c>
      <c r="AI43">
        <v>9.9350000000000005</v>
      </c>
      <c r="AJ43">
        <v>92.587999999999994</v>
      </c>
      <c r="AK43">
        <v>41.652000000000001</v>
      </c>
      <c r="AL43">
        <v>5.0490000000000004</v>
      </c>
      <c r="AM43">
        <v>35.799999999999997</v>
      </c>
      <c r="AN43">
        <v>88.161000000000001</v>
      </c>
      <c r="AO43">
        <v>64</v>
      </c>
      <c r="AP43">
        <v>-5.0490000000000004</v>
      </c>
      <c r="AQ43">
        <v>7.4119999999999999</v>
      </c>
      <c r="AR43">
        <v>90.064999999999998</v>
      </c>
      <c r="AS43">
        <v>58.347999999999999</v>
      </c>
    </row>
    <row r="44" spans="1:45" x14ac:dyDescent="0.25">
      <c r="A44">
        <v>15</v>
      </c>
      <c r="B44">
        <v>-3</v>
      </c>
      <c r="C44">
        <v>0</v>
      </c>
      <c r="D44">
        <v>2018</v>
      </c>
      <c r="E44">
        <v>3</v>
      </c>
      <c r="F44" t="str">
        <f>IFERROR(VLOOKUP(G44, Map!$A$1:$B$33, 2, FALSE),"WAS")</f>
        <v>JAX</v>
      </c>
      <c r="G44" t="s">
        <v>139</v>
      </c>
      <c r="H44" t="str">
        <f>IFERROR(VLOOKUP(I44, Map!$A$1:$B$33, 2, FALSE),"WAS")</f>
        <v>TEN</v>
      </c>
      <c r="I44" t="s">
        <v>140</v>
      </c>
      <c r="J44" t="s">
        <v>220</v>
      </c>
      <c r="K44" t="s">
        <v>174</v>
      </c>
      <c r="L44">
        <v>0</v>
      </c>
      <c r="M44">
        <v>0</v>
      </c>
      <c r="N44">
        <v>35.636363636363598</v>
      </c>
      <c r="O44">
        <v>-9.0454545454545396</v>
      </c>
      <c r="P44">
        <v>-9.5</v>
      </c>
      <c r="Q44">
        <v>39</v>
      </c>
      <c r="R44">
        <v>26.7</v>
      </c>
      <c r="S44">
        <v>30.3</v>
      </c>
      <c r="T44">
        <v>23.9</v>
      </c>
      <c r="U44">
        <v>30.7</v>
      </c>
      <c r="V44">
        <v>1.3</v>
      </c>
      <c r="W44">
        <v>0</v>
      </c>
      <c r="X44">
        <v>6</v>
      </c>
      <c r="Y44">
        <v>1.3</v>
      </c>
      <c r="Z44">
        <v>17.8</v>
      </c>
      <c r="AA44">
        <v>32</v>
      </c>
      <c r="AB44">
        <v>90</v>
      </c>
      <c r="AC44">
        <v>79</v>
      </c>
      <c r="AD44">
        <v>16.5</v>
      </c>
      <c r="AE44">
        <v>8.3000000000000007</v>
      </c>
      <c r="AF44">
        <v>81.5</v>
      </c>
      <c r="AG44">
        <v>32.646000000000001</v>
      </c>
      <c r="AH44">
        <v>18.3</v>
      </c>
      <c r="AI44">
        <v>74.718000000000004</v>
      </c>
      <c r="AJ44">
        <v>16.113</v>
      </c>
      <c r="AK44">
        <v>41.168999999999997</v>
      </c>
      <c r="AL44">
        <v>12.590999999999999</v>
      </c>
      <c r="AM44">
        <v>18.3</v>
      </c>
      <c r="AN44">
        <v>32.646000000000001</v>
      </c>
      <c r="AO44">
        <v>81.5</v>
      </c>
      <c r="AP44">
        <v>-12.590999999999999</v>
      </c>
      <c r="AQ44">
        <v>83.887</v>
      </c>
      <c r="AR44">
        <v>25.282</v>
      </c>
      <c r="AS44">
        <v>58.831000000000003</v>
      </c>
    </row>
    <row r="45" spans="1:45" x14ac:dyDescent="0.25">
      <c r="A45">
        <v>65</v>
      </c>
      <c r="B45">
        <v>11</v>
      </c>
      <c r="C45">
        <v>1</v>
      </c>
      <c r="D45">
        <v>2018</v>
      </c>
      <c r="E45">
        <v>3</v>
      </c>
      <c r="F45" t="str">
        <f>IFERROR(VLOOKUP(G45, Map!$A$1:$B$33, 2, FALSE),"WAS")</f>
        <v>KC</v>
      </c>
      <c r="G45" t="s">
        <v>158</v>
      </c>
      <c r="H45" t="str">
        <f>IFERROR(VLOOKUP(I45, Map!$A$1:$B$33, 2, FALSE),"WAS")</f>
        <v>SF</v>
      </c>
      <c r="I45" t="s">
        <v>143</v>
      </c>
      <c r="J45" t="s">
        <v>202</v>
      </c>
      <c r="K45" t="s">
        <v>197</v>
      </c>
      <c r="L45">
        <v>1</v>
      </c>
      <c r="M45">
        <v>0</v>
      </c>
      <c r="N45">
        <v>48.636363636363598</v>
      </c>
      <c r="O45">
        <v>-5.2727272727272698</v>
      </c>
      <c r="P45">
        <v>-5</v>
      </c>
      <c r="Q45">
        <v>53</v>
      </c>
      <c r="R45">
        <v>17.600000000000001</v>
      </c>
      <c r="S45">
        <v>24.4</v>
      </c>
      <c r="T45">
        <v>12.1</v>
      </c>
      <c r="U45">
        <v>17.600000000000001</v>
      </c>
      <c r="V45">
        <v>0</v>
      </c>
      <c r="W45">
        <v>0</v>
      </c>
      <c r="X45">
        <v>0</v>
      </c>
      <c r="Y45">
        <v>0</v>
      </c>
      <c r="Z45">
        <v>10.5</v>
      </c>
      <c r="AA45">
        <v>25.2</v>
      </c>
      <c r="AB45">
        <v>109</v>
      </c>
      <c r="AC45">
        <v>77</v>
      </c>
      <c r="AD45">
        <v>15.7</v>
      </c>
      <c r="AE45">
        <v>7.7</v>
      </c>
      <c r="AF45">
        <v>64.599999999999994</v>
      </c>
      <c r="AG45">
        <v>53.33</v>
      </c>
      <c r="AH45">
        <v>35.1</v>
      </c>
      <c r="AI45">
        <v>28.215</v>
      </c>
      <c r="AJ45">
        <v>97.965000000000003</v>
      </c>
      <c r="AK45">
        <v>88.938000000000002</v>
      </c>
      <c r="AL45">
        <v>5.2830000000000004</v>
      </c>
      <c r="AM45">
        <v>35.1</v>
      </c>
      <c r="AN45">
        <v>53.33</v>
      </c>
      <c r="AO45">
        <v>64.599999999999994</v>
      </c>
      <c r="AP45">
        <v>-5.2830000000000004</v>
      </c>
      <c r="AQ45">
        <v>2.0350000000000001</v>
      </c>
      <c r="AR45">
        <v>71.784999999999997</v>
      </c>
      <c r="AS45">
        <v>11.061999999999999</v>
      </c>
    </row>
    <row r="46" spans="1:45" x14ac:dyDescent="0.25">
      <c r="A46">
        <v>37</v>
      </c>
      <c r="B46">
        <v>11</v>
      </c>
      <c r="C46">
        <v>1</v>
      </c>
      <c r="D46">
        <v>2018</v>
      </c>
      <c r="E46">
        <v>3</v>
      </c>
      <c r="F46" t="str">
        <f>IFERROR(VLOOKUP(G46, Map!$A$1:$B$33, 2, FALSE),"WAS")</f>
        <v>SEA</v>
      </c>
      <c r="G46" t="s">
        <v>144</v>
      </c>
      <c r="H46" t="str">
        <f>IFERROR(VLOOKUP(I46, Map!$A$1:$B$33, 2, FALSE),"WAS")</f>
        <v>DAL</v>
      </c>
      <c r="I46" t="s">
        <v>150</v>
      </c>
      <c r="J46" t="s">
        <v>182</v>
      </c>
      <c r="K46" t="s">
        <v>184</v>
      </c>
      <c r="L46">
        <v>1</v>
      </c>
      <c r="M46">
        <v>0</v>
      </c>
      <c r="N46">
        <v>36.409090909090899</v>
      </c>
      <c r="O46">
        <v>-1</v>
      </c>
      <c r="P46">
        <v>-1</v>
      </c>
      <c r="Q46">
        <v>40</v>
      </c>
      <c r="R46">
        <v>13.7</v>
      </c>
      <c r="S46">
        <v>17.399999999999999</v>
      </c>
      <c r="T46">
        <v>11.1</v>
      </c>
      <c r="U46">
        <v>11.6</v>
      </c>
      <c r="V46">
        <v>0</v>
      </c>
      <c r="W46">
        <v>0</v>
      </c>
      <c r="X46">
        <v>0</v>
      </c>
      <c r="Y46">
        <v>0</v>
      </c>
      <c r="Z46">
        <v>27.9</v>
      </c>
      <c r="AA46">
        <v>51.8</v>
      </c>
      <c r="AB46">
        <v>189</v>
      </c>
      <c r="AC46">
        <v>75</v>
      </c>
      <c r="AD46">
        <v>27.8</v>
      </c>
      <c r="AE46">
        <v>12.9</v>
      </c>
      <c r="AF46">
        <v>53.6</v>
      </c>
      <c r="AG46">
        <v>71.27</v>
      </c>
      <c r="AH46">
        <v>46</v>
      </c>
      <c r="AI46">
        <v>93.376000000000005</v>
      </c>
      <c r="AJ46">
        <v>73.69</v>
      </c>
      <c r="AK46">
        <v>85.236000000000004</v>
      </c>
      <c r="AL46">
        <v>1.3440000000000001</v>
      </c>
      <c r="AM46">
        <v>46</v>
      </c>
      <c r="AN46">
        <v>71.27</v>
      </c>
      <c r="AO46">
        <v>53.6</v>
      </c>
      <c r="AP46">
        <v>-1.3440000000000001</v>
      </c>
      <c r="AQ46">
        <v>26.31</v>
      </c>
      <c r="AR46">
        <v>6.6239999999999997</v>
      </c>
      <c r="AS46">
        <v>14.763999999999999</v>
      </c>
    </row>
    <row r="47" spans="1:45" x14ac:dyDescent="0.25">
      <c r="A47">
        <v>36</v>
      </c>
      <c r="B47">
        <v>4</v>
      </c>
      <c r="C47">
        <v>1</v>
      </c>
      <c r="D47">
        <v>2018</v>
      </c>
      <c r="E47">
        <v>3</v>
      </c>
      <c r="F47" t="str">
        <f>IFERROR(VLOOKUP(G47, Map!$A$1:$B$33, 2, FALSE),"WAS")</f>
        <v>PHI</v>
      </c>
      <c r="G47" t="s">
        <v>147</v>
      </c>
      <c r="H47" t="str">
        <f>IFERROR(VLOOKUP(I47, Map!$A$1:$B$33, 2, FALSE),"WAS")</f>
        <v>IND</v>
      </c>
      <c r="I47" t="s">
        <v>138</v>
      </c>
      <c r="J47" t="s">
        <v>206</v>
      </c>
      <c r="K47" t="s">
        <v>177</v>
      </c>
      <c r="L47">
        <v>1</v>
      </c>
      <c r="M47">
        <v>0</v>
      </c>
      <c r="N47">
        <v>41.181818181818201</v>
      </c>
      <c r="O47">
        <v>-5.8181818181818201</v>
      </c>
      <c r="P47">
        <v>-6</v>
      </c>
      <c r="Q47">
        <v>45</v>
      </c>
      <c r="R47">
        <v>16.3</v>
      </c>
      <c r="S47">
        <v>18.3</v>
      </c>
      <c r="T47">
        <v>15.2</v>
      </c>
      <c r="U47">
        <v>16.2</v>
      </c>
      <c r="V47">
        <v>7.9</v>
      </c>
      <c r="W47">
        <v>0</v>
      </c>
      <c r="X47">
        <v>10</v>
      </c>
      <c r="Y47">
        <v>7.9</v>
      </c>
      <c r="Z47">
        <v>11.3</v>
      </c>
      <c r="AA47">
        <v>21.2</v>
      </c>
      <c r="AB47">
        <v>26</v>
      </c>
      <c r="AC47">
        <v>82</v>
      </c>
      <c r="AD47">
        <v>15.8</v>
      </c>
      <c r="AE47">
        <v>8.1</v>
      </c>
      <c r="AF47">
        <v>72.900000000000006</v>
      </c>
      <c r="AG47">
        <v>78.231999999999999</v>
      </c>
      <c r="AH47">
        <v>26.8</v>
      </c>
      <c r="AI47">
        <v>81.353999999999999</v>
      </c>
      <c r="AJ47">
        <v>43.704000000000001</v>
      </c>
      <c r="AK47">
        <v>57.692</v>
      </c>
      <c r="AL47">
        <v>8.5660000000000007</v>
      </c>
      <c r="AM47">
        <v>26.8</v>
      </c>
      <c r="AN47">
        <v>78.231999999999999</v>
      </c>
      <c r="AO47">
        <v>72.900000000000006</v>
      </c>
      <c r="AP47">
        <v>-8.5660000000000007</v>
      </c>
      <c r="AQ47">
        <v>56.295999999999999</v>
      </c>
      <c r="AR47">
        <v>18.646000000000001</v>
      </c>
      <c r="AS47">
        <v>42.308</v>
      </c>
    </row>
    <row r="48" spans="1:45" x14ac:dyDescent="0.25">
      <c r="A48">
        <v>58</v>
      </c>
      <c r="B48">
        <v>12</v>
      </c>
      <c r="C48">
        <v>1</v>
      </c>
      <c r="D48">
        <v>2018</v>
      </c>
      <c r="E48">
        <v>3</v>
      </c>
      <c r="F48" t="str">
        <f>IFERROR(VLOOKUP(G48, Map!$A$1:$B$33, 2, FALSE),"WAS")</f>
        <v>LA</v>
      </c>
      <c r="G48" t="s">
        <v>155</v>
      </c>
      <c r="H48" t="str">
        <f>IFERROR(VLOOKUP(I48, Map!$A$1:$B$33, 2, FALSE),"WAS")</f>
        <v>LAC</v>
      </c>
      <c r="I48" t="s">
        <v>160</v>
      </c>
      <c r="J48" t="s">
        <v>178</v>
      </c>
      <c r="K48" t="s">
        <v>210</v>
      </c>
      <c r="L48">
        <v>1</v>
      </c>
      <c r="M48">
        <v>0</v>
      </c>
      <c r="N48">
        <v>44.772727272727302</v>
      </c>
      <c r="O48">
        <v>-6.4090909090909101</v>
      </c>
      <c r="P48">
        <v>-7</v>
      </c>
      <c r="Q48">
        <v>49</v>
      </c>
      <c r="R48">
        <v>21.6</v>
      </c>
      <c r="S48">
        <v>27.8</v>
      </c>
      <c r="T48">
        <v>16.5</v>
      </c>
      <c r="U48">
        <v>21.6</v>
      </c>
      <c r="V48">
        <v>0</v>
      </c>
      <c r="W48">
        <v>0</v>
      </c>
      <c r="X48">
        <v>0</v>
      </c>
      <c r="Y48">
        <v>0</v>
      </c>
      <c r="Z48">
        <v>16.899999999999999</v>
      </c>
      <c r="AA48">
        <v>36</v>
      </c>
      <c r="AB48">
        <v>169</v>
      </c>
      <c r="AC48">
        <v>62</v>
      </c>
      <c r="AD48">
        <v>19.399999999999999</v>
      </c>
      <c r="AE48">
        <v>8.6999999999999993</v>
      </c>
      <c r="AF48">
        <v>72.8</v>
      </c>
      <c r="AG48">
        <v>91.379000000000005</v>
      </c>
      <c r="AH48">
        <v>27</v>
      </c>
      <c r="AI48">
        <v>42.746000000000002</v>
      </c>
      <c r="AJ48">
        <v>93.728999999999999</v>
      </c>
      <c r="AK48">
        <v>90.192999999999998</v>
      </c>
      <c r="AL48">
        <v>8.5280000000000005</v>
      </c>
      <c r="AM48">
        <v>27</v>
      </c>
      <c r="AN48">
        <v>91.379000000000005</v>
      </c>
      <c r="AO48">
        <v>72.8</v>
      </c>
      <c r="AP48">
        <v>-8.5280000000000005</v>
      </c>
      <c r="AQ48">
        <v>6.2709999999999999</v>
      </c>
      <c r="AR48">
        <v>57.253999999999998</v>
      </c>
      <c r="AS48">
        <v>9.8070000000000004</v>
      </c>
    </row>
    <row r="49" spans="1:45" x14ac:dyDescent="0.25">
      <c r="A49">
        <v>48</v>
      </c>
      <c r="B49">
        <v>8</v>
      </c>
      <c r="C49">
        <v>1</v>
      </c>
      <c r="D49">
        <v>2018</v>
      </c>
      <c r="E49">
        <v>3</v>
      </c>
      <c r="F49" t="str">
        <f>IFERROR(VLOOKUP(G49, Map!$A$1:$B$33, 2, FALSE),"WAS")</f>
        <v>MIA</v>
      </c>
      <c r="G49" t="s">
        <v>152</v>
      </c>
      <c r="H49" t="str">
        <f>IFERROR(VLOOKUP(I49, Map!$A$1:$B$33, 2, FALSE),"WAS")</f>
        <v>LV</v>
      </c>
      <c r="I49" t="s">
        <v>157</v>
      </c>
      <c r="J49" t="s">
        <v>175</v>
      </c>
      <c r="K49" t="s">
        <v>179</v>
      </c>
      <c r="L49">
        <v>1</v>
      </c>
      <c r="M49">
        <v>0</v>
      </c>
      <c r="N49">
        <v>41.409090909090899</v>
      </c>
      <c r="O49">
        <v>-2.6363636363636398</v>
      </c>
      <c r="P49">
        <v>-2.5</v>
      </c>
      <c r="Q49">
        <v>44.5</v>
      </c>
      <c r="R49">
        <v>27</v>
      </c>
      <c r="S49">
        <v>30.3</v>
      </c>
      <c r="T49">
        <v>24</v>
      </c>
      <c r="U49">
        <v>32</v>
      </c>
      <c r="V49">
        <v>3.2</v>
      </c>
      <c r="W49">
        <v>0</v>
      </c>
      <c r="X49">
        <v>9</v>
      </c>
      <c r="Y49">
        <v>3.2</v>
      </c>
      <c r="Z49">
        <v>14.8</v>
      </c>
      <c r="AA49">
        <v>31</v>
      </c>
      <c r="AB49">
        <v>76</v>
      </c>
      <c r="AC49">
        <v>82</v>
      </c>
      <c r="AD49">
        <v>13.8</v>
      </c>
      <c r="AE49">
        <v>6.5</v>
      </c>
      <c r="AF49">
        <v>65.900000000000006</v>
      </c>
      <c r="AG49">
        <v>8.5760000000000005</v>
      </c>
      <c r="AH49">
        <v>33.799999999999997</v>
      </c>
      <c r="AI49">
        <v>43.441000000000003</v>
      </c>
      <c r="AJ49">
        <v>87.665000000000006</v>
      </c>
      <c r="AK49">
        <v>68.188999999999993</v>
      </c>
      <c r="AL49">
        <v>5.7850000000000001</v>
      </c>
      <c r="AM49">
        <v>33.799999999999997</v>
      </c>
      <c r="AN49">
        <v>8.5760000000000005</v>
      </c>
      <c r="AO49">
        <v>65.900000000000006</v>
      </c>
      <c r="AP49">
        <v>-5.7850000000000001</v>
      </c>
      <c r="AQ49">
        <v>12.335000000000001</v>
      </c>
      <c r="AR49">
        <v>56.558999999999997</v>
      </c>
      <c r="AS49">
        <v>31.811</v>
      </c>
    </row>
    <row r="50" spans="1:45" x14ac:dyDescent="0.25">
      <c r="A50">
        <v>40</v>
      </c>
      <c r="B50">
        <v>-12</v>
      </c>
      <c r="C50">
        <v>0</v>
      </c>
      <c r="D50">
        <v>2018</v>
      </c>
      <c r="E50">
        <v>4</v>
      </c>
      <c r="F50" t="str">
        <f>IFERROR(VLOOKUP(G50, Map!$A$1:$B$33, 2, FALSE),"WAS")</f>
        <v>PIT</v>
      </c>
      <c r="G50" t="s">
        <v>145</v>
      </c>
      <c r="H50" t="str">
        <f>IFERROR(VLOOKUP(I50, Map!$A$1:$B$33, 2, FALSE),"WAS")</f>
        <v>BAL</v>
      </c>
      <c r="I50" t="s">
        <v>146</v>
      </c>
      <c r="J50" t="s">
        <v>170</v>
      </c>
      <c r="K50" t="s">
        <v>181</v>
      </c>
      <c r="L50">
        <v>0</v>
      </c>
      <c r="M50">
        <v>0</v>
      </c>
      <c r="N50">
        <v>46.727272727272698</v>
      </c>
      <c r="O50">
        <v>-2.7727272727272698</v>
      </c>
      <c r="P50">
        <v>-3</v>
      </c>
      <c r="Q50">
        <v>51</v>
      </c>
      <c r="R50">
        <v>20.100000000000001</v>
      </c>
      <c r="S50">
        <v>25.9</v>
      </c>
      <c r="T50">
        <v>15.7</v>
      </c>
      <c r="U50">
        <v>21</v>
      </c>
      <c r="V50">
        <v>0</v>
      </c>
      <c r="W50">
        <v>0</v>
      </c>
      <c r="X50">
        <v>0</v>
      </c>
      <c r="Y50">
        <v>0</v>
      </c>
      <c r="Z50">
        <v>11.8</v>
      </c>
      <c r="AA50">
        <v>27</v>
      </c>
      <c r="AB50">
        <v>215</v>
      </c>
      <c r="AC50">
        <v>81</v>
      </c>
      <c r="AD50">
        <v>17.600000000000001</v>
      </c>
      <c r="AE50">
        <v>8.3000000000000007</v>
      </c>
      <c r="AF50">
        <v>55.6</v>
      </c>
      <c r="AG50">
        <v>82.518000000000001</v>
      </c>
      <c r="AH50">
        <v>44.1</v>
      </c>
      <c r="AI50">
        <v>26.768999999999998</v>
      </c>
      <c r="AJ50">
        <v>32.296999999999997</v>
      </c>
      <c r="AK50">
        <v>21.879000000000001</v>
      </c>
      <c r="AL50">
        <v>1.986</v>
      </c>
      <c r="AM50">
        <v>44.1</v>
      </c>
      <c r="AN50">
        <v>82.518000000000001</v>
      </c>
      <c r="AO50">
        <v>55.6</v>
      </c>
      <c r="AP50">
        <v>-1.986</v>
      </c>
      <c r="AQ50">
        <v>67.703000000000003</v>
      </c>
      <c r="AR50">
        <v>73.230999999999995</v>
      </c>
      <c r="AS50">
        <v>78.120999999999995</v>
      </c>
    </row>
    <row r="51" spans="1:45" x14ac:dyDescent="0.25">
      <c r="A51">
        <v>73</v>
      </c>
      <c r="B51">
        <v>-1</v>
      </c>
      <c r="C51">
        <v>0</v>
      </c>
      <c r="D51">
        <v>2018</v>
      </c>
      <c r="E51">
        <v>4</v>
      </c>
      <c r="F51" t="str">
        <f>IFERROR(VLOOKUP(G51, Map!$A$1:$B$33, 2, FALSE),"WAS")</f>
        <v>ATL</v>
      </c>
      <c r="G51" t="s">
        <v>167</v>
      </c>
      <c r="H51" t="str">
        <f>IFERROR(VLOOKUP(I51, Map!$A$1:$B$33, 2, FALSE),"WAS")</f>
        <v>CIN</v>
      </c>
      <c r="I51" t="s">
        <v>161</v>
      </c>
      <c r="J51" t="s">
        <v>188</v>
      </c>
      <c r="K51" t="s">
        <v>176</v>
      </c>
      <c r="L51">
        <v>0</v>
      </c>
      <c r="M51">
        <v>0</v>
      </c>
      <c r="N51">
        <v>47.863636363636402</v>
      </c>
      <c r="O51">
        <v>-3.1818181818181799</v>
      </c>
      <c r="P51">
        <v>-3.5</v>
      </c>
      <c r="Q51">
        <v>52</v>
      </c>
      <c r="R51">
        <v>22.3</v>
      </c>
      <c r="S51">
        <v>25.1</v>
      </c>
      <c r="T51">
        <v>19.8</v>
      </c>
      <c r="U51">
        <v>25.3</v>
      </c>
      <c r="V51">
        <v>1.9</v>
      </c>
      <c r="W51">
        <v>0</v>
      </c>
      <c r="X51">
        <v>8</v>
      </c>
      <c r="Y51">
        <v>1.9</v>
      </c>
      <c r="Z51">
        <v>13.7</v>
      </c>
      <c r="AA51">
        <v>28.4</v>
      </c>
      <c r="AB51">
        <v>98</v>
      </c>
      <c r="AC51">
        <v>91</v>
      </c>
      <c r="AD51">
        <v>17.899999999999999</v>
      </c>
      <c r="AE51">
        <v>8.6999999999999993</v>
      </c>
      <c r="AF51">
        <v>66.3</v>
      </c>
      <c r="AG51">
        <v>48.576000000000001</v>
      </c>
      <c r="AH51">
        <v>33.5</v>
      </c>
      <c r="AI51">
        <v>11.468999999999999</v>
      </c>
      <c r="AJ51">
        <v>81.847999999999999</v>
      </c>
      <c r="AK51">
        <v>46.619</v>
      </c>
      <c r="AL51">
        <v>5.8449999999999998</v>
      </c>
      <c r="AM51">
        <v>33.5</v>
      </c>
      <c r="AN51">
        <v>48.576000000000001</v>
      </c>
      <c r="AO51">
        <v>66.3</v>
      </c>
      <c r="AP51">
        <v>-5.8449999999999998</v>
      </c>
      <c r="AQ51">
        <v>18.152000000000001</v>
      </c>
      <c r="AR51">
        <v>88.531000000000006</v>
      </c>
      <c r="AS51">
        <v>53.381</v>
      </c>
    </row>
    <row r="52" spans="1:45" x14ac:dyDescent="0.25">
      <c r="A52">
        <v>43</v>
      </c>
      <c r="B52">
        <v>19</v>
      </c>
      <c r="C52">
        <v>1</v>
      </c>
      <c r="D52">
        <v>2018</v>
      </c>
      <c r="E52">
        <v>4</v>
      </c>
      <c r="F52" t="str">
        <f>IFERROR(VLOOKUP(G52, Map!$A$1:$B$33, 2, FALSE),"WAS")</f>
        <v>JAX</v>
      </c>
      <c r="G52" t="s">
        <v>139</v>
      </c>
      <c r="H52" t="str">
        <f>IFERROR(VLOOKUP(I52, Map!$A$1:$B$33, 2, FALSE),"WAS")</f>
        <v>NYJ</v>
      </c>
      <c r="I52" t="s">
        <v>166</v>
      </c>
      <c r="J52" t="s">
        <v>220</v>
      </c>
      <c r="K52" t="s">
        <v>172</v>
      </c>
      <c r="L52">
        <v>1</v>
      </c>
      <c r="M52">
        <v>0</v>
      </c>
      <c r="N52">
        <v>36.272727272727302</v>
      </c>
      <c r="O52">
        <v>-6.7272727272727302</v>
      </c>
      <c r="P52">
        <v>-7</v>
      </c>
      <c r="Q52">
        <v>38</v>
      </c>
      <c r="R52">
        <v>26.2</v>
      </c>
      <c r="S52">
        <v>28.6</v>
      </c>
      <c r="T52">
        <v>24.1</v>
      </c>
      <c r="U52">
        <v>30.9</v>
      </c>
      <c r="V52">
        <v>8</v>
      </c>
      <c r="W52">
        <v>0</v>
      </c>
      <c r="X52">
        <v>12</v>
      </c>
      <c r="Y52">
        <v>8</v>
      </c>
      <c r="Z52">
        <v>18.2</v>
      </c>
      <c r="AA52">
        <v>34.200000000000003</v>
      </c>
      <c r="AB52">
        <v>65</v>
      </c>
      <c r="AC52">
        <v>88</v>
      </c>
      <c r="AD52">
        <v>19.399999999999999</v>
      </c>
      <c r="AE52">
        <v>10.3</v>
      </c>
      <c r="AF52">
        <v>72.7</v>
      </c>
      <c r="AG52">
        <v>25.626999999999999</v>
      </c>
      <c r="AH52">
        <v>27.1</v>
      </c>
      <c r="AI52">
        <v>92.82</v>
      </c>
      <c r="AJ52">
        <v>76.417000000000002</v>
      </c>
      <c r="AK52">
        <v>92.332999999999998</v>
      </c>
      <c r="AL52">
        <v>8.3979999999999997</v>
      </c>
      <c r="AM52">
        <v>27.1</v>
      </c>
      <c r="AN52">
        <v>25.626999999999999</v>
      </c>
      <c r="AO52">
        <v>72.7</v>
      </c>
      <c r="AP52">
        <v>-8.3979999999999997</v>
      </c>
      <c r="AQ52">
        <v>23.582999999999998</v>
      </c>
      <c r="AR52">
        <v>7.18</v>
      </c>
      <c r="AS52">
        <v>7.6669999999999998</v>
      </c>
    </row>
    <row r="53" spans="1:45" x14ac:dyDescent="0.25">
      <c r="A53">
        <v>69</v>
      </c>
      <c r="B53">
        <v>7</v>
      </c>
      <c r="C53">
        <v>1</v>
      </c>
      <c r="D53">
        <v>2018</v>
      </c>
      <c r="E53">
        <v>4</v>
      </c>
      <c r="F53" t="str">
        <f>IFERROR(VLOOKUP(G53, Map!$A$1:$B$33, 2, FALSE),"WAS")</f>
        <v>LA</v>
      </c>
      <c r="G53" t="s">
        <v>155</v>
      </c>
      <c r="H53" t="str">
        <f>IFERROR(VLOOKUP(I53, Map!$A$1:$B$33, 2, FALSE),"WAS")</f>
        <v>MIN</v>
      </c>
      <c r="I53" t="s">
        <v>153</v>
      </c>
      <c r="J53" t="s">
        <v>178</v>
      </c>
      <c r="K53" t="s">
        <v>214</v>
      </c>
      <c r="L53">
        <v>1</v>
      </c>
      <c r="M53">
        <v>0</v>
      </c>
      <c r="N53">
        <v>44.363636363636402</v>
      </c>
      <c r="O53">
        <v>-6.4090909090909101</v>
      </c>
      <c r="P53">
        <v>-7</v>
      </c>
      <c r="Q53">
        <v>48.5</v>
      </c>
      <c r="R53">
        <v>21.5</v>
      </c>
      <c r="S53">
        <v>28.6</v>
      </c>
      <c r="T53">
        <v>17.100000000000001</v>
      </c>
      <c r="U53">
        <v>22.8</v>
      </c>
      <c r="V53">
        <v>0</v>
      </c>
      <c r="W53">
        <v>0</v>
      </c>
      <c r="X53">
        <v>0</v>
      </c>
      <c r="Y53">
        <v>0</v>
      </c>
      <c r="Z53">
        <v>14.1</v>
      </c>
      <c r="AA53">
        <v>29.9</v>
      </c>
      <c r="AB53">
        <v>193</v>
      </c>
      <c r="AC53">
        <v>75</v>
      </c>
      <c r="AD53">
        <v>16.5</v>
      </c>
      <c r="AE53">
        <v>7.1</v>
      </c>
      <c r="AF53">
        <v>79.7</v>
      </c>
      <c r="AG53">
        <v>72.555999999999997</v>
      </c>
      <c r="AH53">
        <v>20.2</v>
      </c>
      <c r="AI53">
        <v>23.587</v>
      </c>
      <c r="AJ53">
        <v>99.924000000000007</v>
      </c>
      <c r="AK53">
        <v>78.033000000000001</v>
      </c>
      <c r="AL53">
        <v>11.523</v>
      </c>
      <c r="AM53">
        <v>20.2</v>
      </c>
      <c r="AN53">
        <v>72.555999999999997</v>
      </c>
      <c r="AO53">
        <v>79.7</v>
      </c>
      <c r="AP53">
        <v>-11.523</v>
      </c>
      <c r="AQ53">
        <v>7.5999999999999998E-2</v>
      </c>
      <c r="AR53">
        <v>76.412999999999997</v>
      </c>
      <c r="AS53">
        <v>21.966999999999999</v>
      </c>
    </row>
    <row r="54" spans="1:45" x14ac:dyDescent="0.25">
      <c r="A54">
        <v>50</v>
      </c>
      <c r="B54">
        <v>-4</v>
      </c>
      <c r="C54">
        <v>0</v>
      </c>
      <c r="D54">
        <v>2018</v>
      </c>
      <c r="E54">
        <v>4</v>
      </c>
      <c r="F54" t="str">
        <f>IFERROR(VLOOKUP(G54, Map!$A$1:$B$33, 2, FALSE),"WAS")</f>
        <v>DEN</v>
      </c>
      <c r="G54" t="s">
        <v>159</v>
      </c>
      <c r="H54" t="str">
        <f>IFERROR(VLOOKUP(I54, Map!$A$1:$B$33, 2, FALSE),"WAS")</f>
        <v>KC</v>
      </c>
      <c r="I54" t="s">
        <v>158</v>
      </c>
      <c r="J54" t="s">
        <v>183</v>
      </c>
      <c r="K54" t="s">
        <v>202</v>
      </c>
      <c r="L54">
        <v>0</v>
      </c>
      <c r="M54">
        <v>0</v>
      </c>
      <c r="N54">
        <v>48.5</v>
      </c>
      <c r="O54">
        <v>3.1818181818181799</v>
      </c>
      <c r="P54">
        <v>3.5</v>
      </c>
      <c r="Q54">
        <v>53</v>
      </c>
      <c r="R54">
        <v>15.8</v>
      </c>
      <c r="S54">
        <v>26.1</v>
      </c>
      <c r="T54">
        <v>9.1</v>
      </c>
      <c r="U54">
        <v>14.5</v>
      </c>
      <c r="V54">
        <v>0</v>
      </c>
      <c r="W54">
        <v>0</v>
      </c>
      <c r="X54">
        <v>0</v>
      </c>
      <c r="Y54">
        <v>0</v>
      </c>
      <c r="Z54">
        <v>13.4</v>
      </c>
      <c r="AA54">
        <v>23.4</v>
      </c>
      <c r="AB54">
        <v>204</v>
      </c>
      <c r="AC54">
        <v>65</v>
      </c>
      <c r="AD54">
        <v>12.1</v>
      </c>
      <c r="AE54">
        <v>6</v>
      </c>
      <c r="AF54">
        <v>42.8</v>
      </c>
      <c r="AG54">
        <v>78.846000000000004</v>
      </c>
      <c r="AH54">
        <v>56.8</v>
      </c>
      <c r="AI54">
        <v>26.544</v>
      </c>
      <c r="AJ54">
        <v>66.168000000000006</v>
      </c>
      <c r="AK54">
        <v>43.673999999999999</v>
      </c>
      <c r="AL54">
        <v>-2.431</v>
      </c>
      <c r="AM54">
        <v>56.8</v>
      </c>
      <c r="AN54">
        <v>78.846000000000004</v>
      </c>
      <c r="AO54">
        <v>42.8</v>
      </c>
      <c r="AP54">
        <v>2.431</v>
      </c>
      <c r="AQ54">
        <v>33.832000000000001</v>
      </c>
      <c r="AR54">
        <v>73.456000000000003</v>
      </c>
      <c r="AS54">
        <v>56.326000000000001</v>
      </c>
    </row>
    <row r="55" spans="1:45" x14ac:dyDescent="0.25">
      <c r="A55">
        <v>50</v>
      </c>
      <c r="B55">
        <v>2</v>
      </c>
      <c r="C55">
        <v>1</v>
      </c>
      <c r="D55">
        <v>2018</v>
      </c>
      <c r="E55">
        <v>4</v>
      </c>
      <c r="F55" t="str">
        <f>IFERROR(VLOOKUP(G55, Map!$A$1:$B$33, 2, FALSE),"WAS")</f>
        <v>DAL</v>
      </c>
      <c r="G55" t="s">
        <v>150</v>
      </c>
      <c r="H55" t="str">
        <f>IFERROR(VLOOKUP(I55, Map!$A$1:$B$33, 2, FALSE),"WAS")</f>
        <v>DET</v>
      </c>
      <c r="I55" t="s">
        <v>164</v>
      </c>
      <c r="J55" t="s">
        <v>184</v>
      </c>
      <c r="K55" t="s">
        <v>173</v>
      </c>
      <c r="L55">
        <v>1</v>
      </c>
      <c r="M55">
        <v>0</v>
      </c>
      <c r="N55">
        <v>39.863636363636402</v>
      </c>
      <c r="O55">
        <v>-2.4545454545454501</v>
      </c>
      <c r="P55">
        <v>-2.5</v>
      </c>
      <c r="Q55">
        <v>43.5</v>
      </c>
      <c r="R55">
        <v>23.3</v>
      </c>
      <c r="S55">
        <v>26.6</v>
      </c>
      <c r="T55">
        <v>21.3</v>
      </c>
      <c r="U55">
        <v>25.8</v>
      </c>
      <c r="V55">
        <v>2.9</v>
      </c>
      <c r="W55">
        <v>0</v>
      </c>
      <c r="X55">
        <v>9</v>
      </c>
      <c r="Y55">
        <v>2.9</v>
      </c>
      <c r="Z55">
        <v>16.600000000000001</v>
      </c>
      <c r="AA55">
        <v>28.1</v>
      </c>
      <c r="AB55">
        <v>150</v>
      </c>
      <c r="AC55">
        <v>87</v>
      </c>
      <c r="AD55">
        <v>22.3</v>
      </c>
      <c r="AE55">
        <v>12</v>
      </c>
      <c r="AF55">
        <v>68.7</v>
      </c>
      <c r="AG55">
        <v>49.421999999999997</v>
      </c>
      <c r="AH55">
        <v>31.1</v>
      </c>
      <c r="AI55">
        <v>11.952</v>
      </c>
      <c r="AJ55">
        <v>86.484999999999999</v>
      </c>
      <c r="AK55">
        <v>57.110999999999997</v>
      </c>
      <c r="AL55">
        <v>6.7939999999999996</v>
      </c>
      <c r="AM55">
        <v>31.1</v>
      </c>
      <c r="AN55">
        <v>49.421999999999997</v>
      </c>
      <c r="AO55">
        <v>68.7</v>
      </c>
      <c r="AP55">
        <v>-6.7939999999999996</v>
      </c>
      <c r="AQ55">
        <v>13.515000000000001</v>
      </c>
      <c r="AR55">
        <v>88.048000000000002</v>
      </c>
      <c r="AS55">
        <v>42.889000000000003</v>
      </c>
    </row>
    <row r="56" spans="1:45" x14ac:dyDescent="0.25">
      <c r="A56">
        <v>71</v>
      </c>
      <c r="B56">
        <v>-3</v>
      </c>
      <c r="C56">
        <v>0</v>
      </c>
      <c r="D56">
        <v>2018</v>
      </c>
      <c r="E56">
        <v>4</v>
      </c>
      <c r="F56" t="str">
        <f>IFERROR(VLOOKUP(G56, Map!$A$1:$B$33, 2, FALSE),"WAS")</f>
        <v>IND</v>
      </c>
      <c r="G56" t="s">
        <v>138</v>
      </c>
      <c r="H56" t="str">
        <f>IFERROR(VLOOKUP(I56, Map!$A$1:$B$33, 2, FALSE),"WAS")</f>
        <v>HOU</v>
      </c>
      <c r="I56" t="s">
        <v>137</v>
      </c>
      <c r="J56" t="s">
        <v>177</v>
      </c>
      <c r="K56" t="s">
        <v>209</v>
      </c>
      <c r="L56">
        <v>0</v>
      </c>
      <c r="M56">
        <v>0</v>
      </c>
      <c r="N56">
        <v>43.954545454545503</v>
      </c>
      <c r="O56">
        <v>0.81818181818181801</v>
      </c>
      <c r="P56">
        <v>1</v>
      </c>
      <c r="Q56">
        <v>48</v>
      </c>
      <c r="R56">
        <v>17.8</v>
      </c>
      <c r="S56">
        <v>25.3</v>
      </c>
      <c r="T56">
        <v>12.4</v>
      </c>
      <c r="U56">
        <v>17.8</v>
      </c>
      <c r="V56">
        <v>0</v>
      </c>
      <c r="W56">
        <v>0</v>
      </c>
      <c r="X56">
        <v>0</v>
      </c>
      <c r="Y56">
        <v>0</v>
      </c>
      <c r="Z56">
        <v>11.4</v>
      </c>
      <c r="AA56">
        <v>25.2</v>
      </c>
      <c r="AB56">
        <v>165</v>
      </c>
      <c r="AC56">
        <v>76</v>
      </c>
      <c r="AD56">
        <v>16.600000000000001</v>
      </c>
      <c r="AE56">
        <v>8.1999999999999993</v>
      </c>
      <c r="AF56">
        <v>60.5</v>
      </c>
      <c r="AG56">
        <v>72.539000000000001</v>
      </c>
      <c r="AH56">
        <v>39.200000000000003</v>
      </c>
      <c r="AI56">
        <v>29.094000000000001</v>
      </c>
      <c r="AJ56">
        <v>37.594000000000001</v>
      </c>
      <c r="AK56">
        <v>32.488</v>
      </c>
      <c r="AL56">
        <v>3.7240000000000002</v>
      </c>
      <c r="AM56">
        <v>39.200000000000003</v>
      </c>
      <c r="AN56">
        <v>72.539000000000001</v>
      </c>
      <c r="AO56">
        <v>60.5</v>
      </c>
      <c r="AP56">
        <v>-3.7240000000000002</v>
      </c>
      <c r="AQ56">
        <v>62.405999999999999</v>
      </c>
      <c r="AR56">
        <v>70.906000000000006</v>
      </c>
      <c r="AS56">
        <v>67.512</v>
      </c>
    </row>
    <row r="57" spans="1:45" x14ac:dyDescent="0.25">
      <c r="A57">
        <v>58</v>
      </c>
      <c r="B57">
        <v>38</v>
      </c>
      <c r="C57">
        <v>1</v>
      </c>
      <c r="D57">
        <v>2018</v>
      </c>
      <c r="E57">
        <v>4</v>
      </c>
      <c r="F57" t="str">
        <f>IFERROR(VLOOKUP(G57, Map!$A$1:$B$33, 2, FALSE),"WAS")</f>
        <v>CHI</v>
      </c>
      <c r="G57" t="s">
        <v>163</v>
      </c>
      <c r="H57" t="str">
        <f>IFERROR(VLOOKUP(I57, Map!$A$1:$B$33, 2, FALSE),"WAS")</f>
        <v>TB</v>
      </c>
      <c r="I57" t="s">
        <v>141</v>
      </c>
      <c r="J57" t="s">
        <v>216</v>
      </c>
      <c r="K57" t="s">
        <v>186</v>
      </c>
      <c r="L57">
        <v>1</v>
      </c>
      <c r="M57">
        <v>0</v>
      </c>
      <c r="N57">
        <v>41.909090909090899</v>
      </c>
      <c r="O57">
        <v>-2.6818181818181799</v>
      </c>
      <c r="P57">
        <v>-2.5</v>
      </c>
      <c r="Q57">
        <v>45.5</v>
      </c>
      <c r="R57">
        <v>14.7</v>
      </c>
      <c r="S57">
        <v>19</v>
      </c>
      <c r="T57">
        <v>12.5</v>
      </c>
      <c r="U57">
        <v>13.3</v>
      </c>
      <c r="V57">
        <v>8</v>
      </c>
      <c r="W57">
        <v>0</v>
      </c>
      <c r="X57">
        <v>20</v>
      </c>
      <c r="Y57">
        <v>8</v>
      </c>
      <c r="Z57">
        <v>20.5</v>
      </c>
      <c r="AA57">
        <v>47.2</v>
      </c>
      <c r="AB57">
        <v>85</v>
      </c>
      <c r="AC57">
        <v>81</v>
      </c>
      <c r="AD57">
        <v>24.3</v>
      </c>
      <c r="AE57">
        <v>13.1</v>
      </c>
      <c r="AF57">
        <v>61.5</v>
      </c>
      <c r="AG57">
        <v>50.744999999999997</v>
      </c>
      <c r="AH57">
        <v>38.200000000000003</v>
      </c>
      <c r="AI57">
        <v>82.72</v>
      </c>
      <c r="AJ57">
        <v>99.549000000000007</v>
      </c>
      <c r="AK57">
        <v>99.337000000000003</v>
      </c>
      <c r="AL57">
        <v>4.1189999999999998</v>
      </c>
      <c r="AM57">
        <v>38.200000000000003</v>
      </c>
      <c r="AN57">
        <v>50.744999999999997</v>
      </c>
      <c r="AO57">
        <v>61.5</v>
      </c>
      <c r="AP57">
        <v>-4.1189999999999998</v>
      </c>
      <c r="AQ57">
        <v>0.45100000000000001</v>
      </c>
      <c r="AR57">
        <v>17.28</v>
      </c>
      <c r="AS57">
        <v>0.66300000000000003</v>
      </c>
    </row>
    <row r="58" spans="1:45" x14ac:dyDescent="0.25">
      <c r="A58">
        <v>51</v>
      </c>
      <c r="B58">
        <v>-15</v>
      </c>
      <c r="C58">
        <v>0</v>
      </c>
      <c r="D58">
        <v>2018</v>
      </c>
      <c r="E58">
        <v>4</v>
      </c>
      <c r="F58" t="str">
        <f>IFERROR(VLOOKUP(G58, Map!$A$1:$B$33, 2, FALSE),"WAS")</f>
        <v>NYG</v>
      </c>
      <c r="G58" t="s">
        <v>149</v>
      </c>
      <c r="H58" t="str">
        <f>IFERROR(VLOOKUP(I58, Map!$A$1:$B$33, 2, FALSE),"WAS")</f>
        <v>NO</v>
      </c>
      <c r="I58" t="s">
        <v>168</v>
      </c>
      <c r="J58" t="s">
        <v>219</v>
      </c>
      <c r="K58" t="s">
        <v>192</v>
      </c>
      <c r="L58">
        <v>0</v>
      </c>
      <c r="M58">
        <v>0</v>
      </c>
      <c r="N58">
        <v>47.272727272727302</v>
      </c>
      <c r="O58">
        <v>2.9545454545454501</v>
      </c>
      <c r="P58">
        <v>3</v>
      </c>
      <c r="Q58">
        <v>51.5</v>
      </c>
      <c r="R58">
        <v>15.6</v>
      </c>
      <c r="S58">
        <v>20.8</v>
      </c>
      <c r="T58">
        <v>11.3</v>
      </c>
      <c r="U58">
        <v>14.9</v>
      </c>
      <c r="V58">
        <v>0</v>
      </c>
      <c r="W58">
        <v>0</v>
      </c>
      <c r="X58">
        <v>0</v>
      </c>
      <c r="Y58">
        <v>0</v>
      </c>
      <c r="Z58">
        <v>11</v>
      </c>
      <c r="AA58">
        <v>24.1</v>
      </c>
      <c r="AB58">
        <v>357</v>
      </c>
      <c r="AC58">
        <v>74</v>
      </c>
      <c r="AD58">
        <v>17.8</v>
      </c>
      <c r="AE58">
        <v>7.7</v>
      </c>
      <c r="AF58">
        <v>49.3</v>
      </c>
      <c r="AG58">
        <v>75.018000000000001</v>
      </c>
      <c r="AH58">
        <v>50.3</v>
      </c>
      <c r="AI58">
        <v>34.113999999999997</v>
      </c>
      <c r="AJ58">
        <v>21.625</v>
      </c>
      <c r="AK58">
        <v>16.559999999999999</v>
      </c>
      <c r="AL58">
        <v>-0.17699999999999999</v>
      </c>
      <c r="AM58">
        <v>50.3</v>
      </c>
      <c r="AN58">
        <v>75.018000000000001</v>
      </c>
      <c r="AO58">
        <v>49.3</v>
      </c>
      <c r="AP58">
        <v>0.17699999999999999</v>
      </c>
      <c r="AQ58">
        <v>78.375</v>
      </c>
      <c r="AR58">
        <v>65.885999999999996</v>
      </c>
      <c r="AS58">
        <v>83.44</v>
      </c>
    </row>
    <row r="59" spans="1:45" x14ac:dyDescent="0.25">
      <c r="A59">
        <v>87</v>
      </c>
      <c r="B59">
        <v>3</v>
      </c>
      <c r="C59">
        <v>1</v>
      </c>
      <c r="D59">
        <v>2018</v>
      </c>
      <c r="E59">
        <v>4</v>
      </c>
      <c r="F59" t="str">
        <f>IFERROR(VLOOKUP(G59, Map!$A$1:$B$33, 2, FALSE),"WAS")</f>
        <v>LV</v>
      </c>
      <c r="G59" t="s">
        <v>157</v>
      </c>
      <c r="H59" t="str">
        <f>IFERROR(VLOOKUP(I59, Map!$A$1:$B$33, 2, FALSE),"WAS")</f>
        <v>CLE</v>
      </c>
      <c r="I59" t="s">
        <v>162</v>
      </c>
      <c r="J59" t="s">
        <v>179</v>
      </c>
      <c r="K59" t="s">
        <v>171</v>
      </c>
      <c r="L59">
        <v>1</v>
      </c>
      <c r="M59">
        <v>0</v>
      </c>
      <c r="N59">
        <v>40.454545454545503</v>
      </c>
      <c r="O59">
        <v>-2.2727272727272698</v>
      </c>
      <c r="P59">
        <v>-2.5</v>
      </c>
      <c r="Q59">
        <v>44</v>
      </c>
      <c r="R59">
        <v>17</v>
      </c>
      <c r="S59">
        <v>19.3</v>
      </c>
      <c r="T59">
        <v>15.1</v>
      </c>
      <c r="U59">
        <v>16.600000000000001</v>
      </c>
      <c r="V59">
        <v>0</v>
      </c>
      <c r="W59">
        <v>0</v>
      </c>
      <c r="X59">
        <v>0</v>
      </c>
      <c r="Y59">
        <v>0</v>
      </c>
      <c r="Z59">
        <v>24.4</v>
      </c>
      <c r="AA59">
        <v>47.2</v>
      </c>
      <c r="AB59">
        <v>220</v>
      </c>
      <c r="AC59">
        <v>85</v>
      </c>
      <c r="AD59">
        <v>25.2</v>
      </c>
      <c r="AE59">
        <v>13.6</v>
      </c>
      <c r="AF59">
        <v>65.400000000000006</v>
      </c>
      <c r="AG59">
        <v>10.65</v>
      </c>
      <c r="AH59">
        <v>34.299999999999997</v>
      </c>
      <c r="AI59">
        <v>51.994999999999997</v>
      </c>
      <c r="AJ59">
        <v>52.307000000000002</v>
      </c>
      <c r="AK59">
        <v>47.671999999999997</v>
      </c>
      <c r="AL59">
        <v>5.5250000000000004</v>
      </c>
      <c r="AM59">
        <v>34.299999999999997</v>
      </c>
      <c r="AN59">
        <v>10.65</v>
      </c>
      <c r="AO59">
        <v>65.400000000000006</v>
      </c>
      <c r="AP59">
        <v>-5.5250000000000004</v>
      </c>
      <c r="AQ59">
        <v>47.692999999999998</v>
      </c>
      <c r="AR59">
        <v>48.005000000000003</v>
      </c>
      <c r="AS59">
        <v>52.328000000000003</v>
      </c>
    </row>
    <row r="60" spans="1:45" x14ac:dyDescent="0.25">
      <c r="A60">
        <v>56</v>
      </c>
      <c r="B60">
        <v>2</v>
      </c>
      <c r="C60">
        <v>1</v>
      </c>
      <c r="D60">
        <v>2018</v>
      </c>
      <c r="E60">
        <v>4</v>
      </c>
      <c r="F60" t="str">
        <f>IFERROR(VLOOKUP(G60, Map!$A$1:$B$33, 2, FALSE),"WAS")</f>
        <v>LAC</v>
      </c>
      <c r="G60" t="s">
        <v>160</v>
      </c>
      <c r="H60" t="str">
        <f>IFERROR(VLOOKUP(I60, Map!$A$1:$B$33, 2, FALSE),"WAS")</f>
        <v>SF</v>
      </c>
      <c r="I60" t="s">
        <v>143</v>
      </c>
      <c r="J60" t="s">
        <v>210</v>
      </c>
      <c r="K60" t="s">
        <v>197</v>
      </c>
      <c r="L60">
        <v>1</v>
      </c>
      <c r="M60">
        <v>0</v>
      </c>
      <c r="N60">
        <v>42.181818181818201</v>
      </c>
      <c r="O60">
        <v>-9.1363636363636402</v>
      </c>
      <c r="P60">
        <v>-10</v>
      </c>
      <c r="Q60">
        <v>46</v>
      </c>
      <c r="R60">
        <v>20.100000000000001</v>
      </c>
      <c r="S60">
        <v>28.5</v>
      </c>
      <c r="T60">
        <v>15.2</v>
      </c>
      <c r="U60">
        <v>20.8</v>
      </c>
      <c r="V60">
        <v>0</v>
      </c>
      <c r="W60">
        <v>0</v>
      </c>
      <c r="X60">
        <v>0</v>
      </c>
      <c r="Y60">
        <v>0</v>
      </c>
      <c r="Z60">
        <v>18.7</v>
      </c>
      <c r="AA60">
        <v>35.6</v>
      </c>
      <c r="AB60">
        <v>260</v>
      </c>
      <c r="AC60">
        <v>76</v>
      </c>
      <c r="AD60">
        <v>17.3</v>
      </c>
      <c r="AE60">
        <v>8.3000000000000007</v>
      </c>
      <c r="AF60">
        <v>75.7</v>
      </c>
      <c r="AG60">
        <v>50.618000000000002</v>
      </c>
      <c r="AH60">
        <v>24.1</v>
      </c>
      <c r="AI60">
        <v>74.201999999999998</v>
      </c>
      <c r="AJ60">
        <v>50.097999999999999</v>
      </c>
      <c r="AK60">
        <v>66.427999999999997</v>
      </c>
      <c r="AL60">
        <v>9.6839999999999993</v>
      </c>
      <c r="AM60">
        <v>24.1</v>
      </c>
      <c r="AN60">
        <v>50.618000000000002</v>
      </c>
      <c r="AO60">
        <v>75.7</v>
      </c>
      <c r="AP60">
        <v>-9.6839999999999993</v>
      </c>
      <c r="AQ60">
        <v>49.902000000000001</v>
      </c>
      <c r="AR60">
        <v>25.797999999999998</v>
      </c>
      <c r="AS60">
        <v>33.572000000000003</v>
      </c>
    </row>
    <row r="61" spans="1:45" x14ac:dyDescent="0.25">
      <c r="A61">
        <v>49</v>
      </c>
      <c r="B61">
        <v>3</v>
      </c>
      <c r="C61">
        <v>1</v>
      </c>
      <c r="D61">
        <v>2018</v>
      </c>
      <c r="E61">
        <v>4</v>
      </c>
      <c r="F61" t="str">
        <f>IFERROR(VLOOKUP(G61, Map!$A$1:$B$33, 2, FALSE),"WAS")</f>
        <v>TEN</v>
      </c>
      <c r="G61" t="s">
        <v>140</v>
      </c>
      <c r="H61" t="str">
        <f>IFERROR(VLOOKUP(I61, Map!$A$1:$B$33, 2, FALSE),"WAS")</f>
        <v>PHI</v>
      </c>
      <c r="I61" t="s">
        <v>147</v>
      </c>
      <c r="J61" t="s">
        <v>174</v>
      </c>
      <c r="K61" t="s">
        <v>206</v>
      </c>
      <c r="L61">
        <v>1</v>
      </c>
      <c r="M61">
        <v>0</v>
      </c>
      <c r="N61">
        <v>37.545454545454497</v>
      </c>
      <c r="O61">
        <v>2.7272727272727302</v>
      </c>
      <c r="P61">
        <v>3</v>
      </c>
      <c r="Q61">
        <v>41</v>
      </c>
      <c r="R61">
        <v>20.6</v>
      </c>
      <c r="S61">
        <v>27.5</v>
      </c>
      <c r="T61">
        <v>15.4</v>
      </c>
      <c r="U61">
        <v>22.7</v>
      </c>
      <c r="V61">
        <v>0</v>
      </c>
      <c r="W61">
        <v>0</v>
      </c>
      <c r="X61">
        <v>0</v>
      </c>
      <c r="Y61">
        <v>0</v>
      </c>
      <c r="Z61">
        <v>8.6999999999999993</v>
      </c>
      <c r="AA61">
        <v>16.2</v>
      </c>
      <c r="AB61">
        <v>59</v>
      </c>
      <c r="AC61">
        <v>83</v>
      </c>
      <c r="AD61">
        <v>11.6</v>
      </c>
      <c r="AE61">
        <v>5.5</v>
      </c>
      <c r="AF61">
        <v>43.8</v>
      </c>
      <c r="AG61">
        <v>70.100999999999999</v>
      </c>
      <c r="AH61">
        <v>55.9</v>
      </c>
      <c r="AI61">
        <v>47.113999999999997</v>
      </c>
      <c r="AJ61">
        <v>59.671999999999997</v>
      </c>
      <c r="AK61">
        <v>49.701000000000001</v>
      </c>
      <c r="AL61">
        <v>-2.1</v>
      </c>
      <c r="AM61">
        <v>55.9</v>
      </c>
      <c r="AN61">
        <v>70.100999999999999</v>
      </c>
      <c r="AO61">
        <v>43.8</v>
      </c>
      <c r="AP61">
        <v>2.1</v>
      </c>
      <c r="AQ61">
        <v>40.328000000000003</v>
      </c>
      <c r="AR61">
        <v>52.886000000000003</v>
      </c>
      <c r="AS61">
        <v>50.298999999999999</v>
      </c>
    </row>
    <row r="62" spans="1:45" x14ac:dyDescent="0.25">
      <c r="A62">
        <v>22</v>
      </c>
      <c r="B62">
        <v>22</v>
      </c>
      <c r="C62">
        <v>1</v>
      </c>
      <c r="D62">
        <v>2018</v>
      </c>
      <c r="E62">
        <v>4</v>
      </c>
      <c r="F62" t="str">
        <f>IFERROR(VLOOKUP(G62, Map!$A$1:$B$33, 2, FALSE),"WAS")</f>
        <v>GB</v>
      </c>
      <c r="G62" t="s">
        <v>154</v>
      </c>
      <c r="H62" t="str">
        <f>IFERROR(VLOOKUP(I62, Map!$A$1:$B$33, 2, FALSE),"WAS")</f>
        <v>BUF</v>
      </c>
      <c r="I62" t="s">
        <v>165</v>
      </c>
      <c r="J62" t="s">
        <v>200</v>
      </c>
      <c r="K62" t="s">
        <v>180</v>
      </c>
      <c r="L62">
        <v>1</v>
      </c>
      <c r="M62">
        <v>0</v>
      </c>
      <c r="N62">
        <v>39.909090909090899</v>
      </c>
      <c r="O62">
        <v>-8.0454545454545396</v>
      </c>
      <c r="P62">
        <v>-8.5</v>
      </c>
      <c r="Q62">
        <v>43.5</v>
      </c>
      <c r="R62">
        <v>8.6</v>
      </c>
      <c r="S62">
        <v>11</v>
      </c>
      <c r="T62">
        <v>7.3</v>
      </c>
      <c r="U62">
        <v>6.2</v>
      </c>
      <c r="V62">
        <v>0.3</v>
      </c>
      <c r="W62">
        <v>0</v>
      </c>
      <c r="X62">
        <v>2</v>
      </c>
      <c r="Y62">
        <v>0.3</v>
      </c>
      <c r="Z62">
        <v>8.1999999999999993</v>
      </c>
      <c r="AA62">
        <v>19.8</v>
      </c>
      <c r="AB62">
        <v>56</v>
      </c>
      <c r="AC62">
        <v>66</v>
      </c>
      <c r="AD62">
        <v>11.1</v>
      </c>
      <c r="AE62">
        <v>4.7</v>
      </c>
      <c r="AF62">
        <v>75.400000000000006</v>
      </c>
      <c r="AG62">
        <v>45.773000000000003</v>
      </c>
      <c r="AH62">
        <v>24.4</v>
      </c>
      <c r="AI62">
        <v>97.557000000000002</v>
      </c>
      <c r="AJ62">
        <v>65.77</v>
      </c>
      <c r="AK62">
        <v>94.588999999999999</v>
      </c>
      <c r="AL62">
        <v>9.5489999999999995</v>
      </c>
      <c r="AM62">
        <v>24.4</v>
      </c>
      <c r="AN62">
        <v>45.773000000000003</v>
      </c>
      <c r="AO62">
        <v>75.400000000000006</v>
      </c>
      <c r="AP62">
        <v>-9.5489999999999995</v>
      </c>
      <c r="AQ62">
        <v>34.229999999999997</v>
      </c>
      <c r="AR62">
        <v>2.4430000000000001</v>
      </c>
      <c r="AS62">
        <v>5.4109999999999996</v>
      </c>
    </row>
    <row r="63" spans="1:45" x14ac:dyDescent="0.25">
      <c r="A63">
        <v>45</v>
      </c>
      <c r="B63">
        <v>31</v>
      </c>
      <c r="C63">
        <v>1</v>
      </c>
      <c r="D63">
        <v>2018</v>
      </c>
      <c r="E63">
        <v>4</v>
      </c>
      <c r="F63" t="str">
        <f>IFERROR(VLOOKUP(G63, Map!$A$1:$B$33, 2, FALSE),"WAS")</f>
        <v>NE</v>
      </c>
      <c r="G63" t="s">
        <v>151</v>
      </c>
      <c r="H63" t="str">
        <f>IFERROR(VLOOKUP(I63, Map!$A$1:$B$33, 2, FALSE),"WAS")</f>
        <v>MIA</v>
      </c>
      <c r="I63" t="s">
        <v>152</v>
      </c>
      <c r="J63" t="s">
        <v>187</v>
      </c>
      <c r="K63" t="s">
        <v>175</v>
      </c>
      <c r="L63">
        <v>1</v>
      </c>
      <c r="M63">
        <v>0</v>
      </c>
      <c r="N63">
        <v>46</v>
      </c>
      <c r="O63">
        <v>-6.1818181818181799</v>
      </c>
      <c r="P63">
        <v>-6.5</v>
      </c>
      <c r="Q63">
        <v>50.5</v>
      </c>
      <c r="R63">
        <v>14</v>
      </c>
      <c r="S63">
        <v>18.899999999999999</v>
      </c>
      <c r="T63">
        <v>9.5</v>
      </c>
      <c r="U63">
        <v>12.1</v>
      </c>
      <c r="V63">
        <v>0</v>
      </c>
      <c r="W63">
        <v>0</v>
      </c>
      <c r="X63">
        <v>0</v>
      </c>
      <c r="Y63">
        <v>0</v>
      </c>
      <c r="Z63">
        <v>11.5</v>
      </c>
      <c r="AA63">
        <v>27</v>
      </c>
      <c r="AB63">
        <v>301</v>
      </c>
      <c r="AC63">
        <v>67</v>
      </c>
      <c r="AD63">
        <v>20.9</v>
      </c>
      <c r="AE63">
        <v>9.4</v>
      </c>
      <c r="AF63">
        <v>72.2</v>
      </c>
      <c r="AG63">
        <v>49.786999999999999</v>
      </c>
      <c r="AH63">
        <v>27.6</v>
      </c>
      <c r="AI63">
        <v>98.981999999999999</v>
      </c>
      <c r="AJ63">
        <v>83.323999999999998</v>
      </c>
      <c r="AK63">
        <v>97.566999999999993</v>
      </c>
      <c r="AL63">
        <v>8.2159999999999993</v>
      </c>
      <c r="AM63">
        <v>27.6</v>
      </c>
      <c r="AN63">
        <v>49.786999999999999</v>
      </c>
      <c r="AO63">
        <v>72.2</v>
      </c>
      <c r="AP63">
        <v>-8.2159999999999993</v>
      </c>
      <c r="AQ63">
        <v>16.675999999999998</v>
      </c>
      <c r="AR63">
        <v>1.018</v>
      </c>
      <c r="AS63">
        <v>2.4329999999999998</v>
      </c>
    </row>
    <row r="64" spans="1:45" x14ac:dyDescent="0.25">
      <c r="A64">
        <v>37</v>
      </c>
      <c r="B64">
        <v>-3</v>
      </c>
      <c r="C64">
        <v>0</v>
      </c>
      <c r="D64">
        <v>2018</v>
      </c>
      <c r="E64">
        <v>4</v>
      </c>
      <c r="F64" t="str">
        <f>IFERROR(VLOOKUP(G64, Map!$A$1:$B$33, 2, FALSE),"WAS")</f>
        <v>ARI</v>
      </c>
      <c r="G64" t="s">
        <v>156</v>
      </c>
      <c r="H64" t="str">
        <f>IFERROR(VLOOKUP(I64, Map!$A$1:$B$33, 2, FALSE),"WAS")</f>
        <v>SEA</v>
      </c>
      <c r="I64" t="s">
        <v>144</v>
      </c>
      <c r="J64" t="s">
        <v>190</v>
      </c>
      <c r="K64" t="s">
        <v>182</v>
      </c>
      <c r="L64">
        <v>0</v>
      </c>
      <c r="M64">
        <v>0</v>
      </c>
      <c r="N64">
        <v>36.090909090909101</v>
      </c>
      <c r="O64">
        <v>3.3181818181818201</v>
      </c>
      <c r="P64">
        <v>3.5</v>
      </c>
      <c r="Q64">
        <v>38</v>
      </c>
      <c r="R64">
        <v>20.9</v>
      </c>
      <c r="S64">
        <v>30.2</v>
      </c>
      <c r="T64">
        <v>15.2</v>
      </c>
      <c r="U64">
        <v>21.3</v>
      </c>
      <c r="V64">
        <v>0</v>
      </c>
      <c r="W64">
        <v>0</v>
      </c>
      <c r="X64">
        <v>0</v>
      </c>
      <c r="Y64">
        <v>0</v>
      </c>
      <c r="Z64">
        <v>12.3</v>
      </c>
      <c r="AA64">
        <v>31</v>
      </c>
      <c r="AB64">
        <v>199</v>
      </c>
      <c r="AC64">
        <v>67</v>
      </c>
      <c r="AD64">
        <v>15.3</v>
      </c>
      <c r="AE64">
        <v>5.5</v>
      </c>
      <c r="AF64">
        <v>32.6</v>
      </c>
      <c r="AG64">
        <v>30.28</v>
      </c>
      <c r="AH64">
        <v>67.2</v>
      </c>
      <c r="AI64">
        <v>45.640999999999998</v>
      </c>
      <c r="AJ64">
        <v>47.863999999999997</v>
      </c>
      <c r="AK64">
        <v>41.750999999999998</v>
      </c>
      <c r="AL64">
        <v>-6.2130000000000001</v>
      </c>
      <c r="AM64">
        <v>67.2</v>
      </c>
      <c r="AN64">
        <v>30.28</v>
      </c>
      <c r="AO64">
        <v>32.6</v>
      </c>
      <c r="AP64">
        <v>6.2130000000000001</v>
      </c>
      <c r="AQ64">
        <v>52.136000000000003</v>
      </c>
      <c r="AR64">
        <v>54.359000000000002</v>
      </c>
      <c r="AS64">
        <v>58.249000000000002</v>
      </c>
    </row>
    <row r="65" spans="1:45" x14ac:dyDescent="0.25">
      <c r="A65">
        <v>62</v>
      </c>
      <c r="B65">
        <v>24</v>
      </c>
      <c r="C65">
        <v>1</v>
      </c>
      <c r="D65">
        <v>2018</v>
      </c>
      <c r="E65">
        <v>5</v>
      </c>
      <c r="F65" t="str">
        <f>IFERROR(VLOOKUP(G65, Map!$A$1:$B$33, 2, FALSE),"WAS")</f>
        <v>NO</v>
      </c>
      <c r="G65" t="s">
        <v>168</v>
      </c>
      <c r="H65" t="str">
        <f>IFERROR(VLOOKUP(I65, Map!$A$1:$B$33, 2, FALSE),"WAS")</f>
        <v>WAS</v>
      </c>
      <c r="I65" t="s">
        <v>204</v>
      </c>
      <c r="J65" t="s">
        <v>192</v>
      </c>
      <c r="K65" t="s">
        <v>205</v>
      </c>
      <c r="L65">
        <v>1</v>
      </c>
      <c r="M65">
        <v>0</v>
      </c>
      <c r="N65">
        <v>47.318181818181799</v>
      </c>
      <c r="O65">
        <v>-5.2727272727272698</v>
      </c>
      <c r="P65">
        <v>-5.5</v>
      </c>
      <c r="Q65">
        <v>51.5</v>
      </c>
      <c r="R65">
        <v>25.4</v>
      </c>
      <c r="S65">
        <v>27</v>
      </c>
      <c r="T65">
        <v>24.3</v>
      </c>
      <c r="U65">
        <v>27.9</v>
      </c>
      <c r="V65">
        <v>10.8</v>
      </c>
      <c r="W65">
        <v>0</v>
      </c>
      <c r="X65">
        <v>19</v>
      </c>
      <c r="Y65">
        <v>10.8</v>
      </c>
      <c r="Z65">
        <v>27.4</v>
      </c>
      <c r="AA65">
        <v>50</v>
      </c>
      <c r="AB65">
        <v>98</v>
      </c>
      <c r="AC65">
        <v>89</v>
      </c>
      <c r="AD65">
        <v>42.8</v>
      </c>
      <c r="AE65">
        <v>22.4</v>
      </c>
      <c r="AF65">
        <v>61.1</v>
      </c>
      <c r="AG65">
        <v>54.408999999999999</v>
      </c>
      <c r="AH65">
        <v>38.6</v>
      </c>
      <c r="AI65">
        <v>75.521000000000001</v>
      </c>
      <c r="AJ65">
        <v>99.037999999999997</v>
      </c>
      <c r="AK65">
        <v>96.597999999999999</v>
      </c>
      <c r="AL65">
        <v>3.9329999999999998</v>
      </c>
      <c r="AM65">
        <v>38.6</v>
      </c>
      <c r="AN65">
        <v>54.408999999999999</v>
      </c>
      <c r="AO65">
        <v>61.1</v>
      </c>
      <c r="AP65">
        <v>-3.9329999999999998</v>
      </c>
      <c r="AQ65">
        <v>0.96199999999999997</v>
      </c>
      <c r="AR65">
        <v>24.478999999999999</v>
      </c>
      <c r="AS65">
        <v>3.4020000000000001</v>
      </c>
    </row>
    <row r="66" spans="1:45" x14ac:dyDescent="0.25">
      <c r="A66">
        <v>64</v>
      </c>
      <c r="B66">
        <v>2</v>
      </c>
      <c r="C66">
        <v>1</v>
      </c>
      <c r="D66">
        <v>2018</v>
      </c>
      <c r="E66">
        <v>5</v>
      </c>
      <c r="F66" t="str">
        <f>IFERROR(VLOOKUP(G66, Map!$A$1:$B$33, 2, FALSE),"WAS")</f>
        <v>CAR</v>
      </c>
      <c r="G66" t="s">
        <v>142</v>
      </c>
      <c r="H66" t="str">
        <f>IFERROR(VLOOKUP(I66, Map!$A$1:$B$33, 2, FALSE),"WAS")</f>
        <v>NYG</v>
      </c>
      <c r="I66" t="s">
        <v>149</v>
      </c>
      <c r="J66" t="s">
        <v>185</v>
      </c>
      <c r="K66" t="s">
        <v>219</v>
      </c>
      <c r="L66">
        <v>1</v>
      </c>
      <c r="M66">
        <v>0</v>
      </c>
      <c r="N66">
        <v>39.590909090909101</v>
      </c>
      <c r="O66">
        <v>-6</v>
      </c>
      <c r="P66">
        <v>-6.5</v>
      </c>
      <c r="Q66">
        <v>43.5</v>
      </c>
      <c r="R66">
        <v>23.4</v>
      </c>
      <c r="S66">
        <v>26.8</v>
      </c>
      <c r="T66">
        <v>20.6</v>
      </c>
      <c r="U66">
        <v>27.3</v>
      </c>
      <c r="V66">
        <v>0.4</v>
      </c>
      <c r="W66">
        <v>0</v>
      </c>
      <c r="X66">
        <v>4</v>
      </c>
      <c r="Y66">
        <v>0.4</v>
      </c>
      <c r="Z66">
        <v>7.9</v>
      </c>
      <c r="AA66">
        <v>18.399999999999999</v>
      </c>
      <c r="AB66">
        <v>80</v>
      </c>
      <c r="AC66">
        <v>90</v>
      </c>
      <c r="AD66">
        <v>13</v>
      </c>
      <c r="AE66">
        <v>5.7</v>
      </c>
      <c r="AF66">
        <v>73.400000000000006</v>
      </c>
      <c r="AG66">
        <v>50.734000000000002</v>
      </c>
      <c r="AH66">
        <v>26.4</v>
      </c>
      <c r="AI66">
        <v>36.280999999999999</v>
      </c>
      <c r="AJ66">
        <v>55.103000000000002</v>
      </c>
      <c r="AK66">
        <v>66.075000000000003</v>
      </c>
      <c r="AL66">
        <v>8.6720000000000006</v>
      </c>
      <c r="AM66">
        <v>26.4</v>
      </c>
      <c r="AN66">
        <v>50.734000000000002</v>
      </c>
      <c r="AO66">
        <v>73.400000000000006</v>
      </c>
      <c r="AP66">
        <v>-8.6720000000000006</v>
      </c>
      <c r="AQ66">
        <v>44.896999999999998</v>
      </c>
      <c r="AR66">
        <v>63.719000000000001</v>
      </c>
      <c r="AS66">
        <v>33.924999999999997</v>
      </c>
    </row>
    <row r="67" spans="1:45" x14ac:dyDescent="0.25">
      <c r="A67">
        <v>64</v>
      </c>
      <c r="B67">
        <v>-2</v>
      </c>
      <c r="C67">
        <v>0</v>
      </c>
      <c r="D67">
        <v>2018</v>
      </c>
      <c r="E67">
        <v>5</v>
      </c>
      <c r="F67" t="str">
        <f>IFERROR(VLOOKUP(G67, Map!$A$1:$B$33, 2, FALSE),"WAS")</f>
        <v>SEA</v>
      </c>
      <c r="G67" t="s">
        <v>144</v>
      </c>
      <c r="H67" t="str">
        <f>IFERROR(VLOOKUP(I67, Map!$A$1:$B$33, 2, FALSE),"WAS")</f>
        <v>LA</v>
      </c>
      <c r="I67" t="s">
        <v>155</v>
      </c>
      <c r="J67" t="s">
        <v>182</v>
      </c>
      <c r="K67" t="s">
        <v>178</v>
      </c>
      <c r="L67">
        <v>0</v>
      </c>
      <c r="M67">
        <v>0</v>
      </c>
      <c r="N67">
        <v>45.909090909090899</v>
      </c>
      <c r="O67">
        <v>6.8181818181818201</v>
      </c>
      <c r="P67">
        <v>7.5</v>
      </c>
      <c r="Q67">
        <v>50.5</v>
      </c>
      <c r="R67">
        <v>10.7</v>
      </c>
      <c r="S67">
        <v>13.2</v>
      </c>
      <c r="T67">
        <v>9</v>
      </c>
      <c r="U67">
        <v>8.8000000000000007</v>
      </c>
      <c r="V67">
        <v>2.2999999999999998</v>
      </c>
      <c r="W67">
        <v>0</v>
      </c>
      <c r="X67">
        <v>8</v>
      </c>
      <c r="Y67">
        <v>2.2999999999999998</v>
      </c>
      <c r="Z67">
        <v>11.3</v>
      </c>
      <c r="AA67">
        <v>23.4</v>
      </c>
      <c r="AB67">
        <v>175</v>
      </c>
      <c r="AC67">
        <v>79</v>
      </c>
      <c r="AD67">
        <v>15.7</v>
      </c>
      <c r="AE67">
        <v>7.9</v>
      </c>
      <c r="AF67">
        <v>34.4</v>
      </c>
      <c r="AG67">
        <v>90.222999999999999</v>
      </c>
      <c r="AH67">
        <v>65.3</v>
      </c>
      <c r="AI67">
        <v>10.337</v>
      </c>
      <c r="AJ67">
        <v>86.977000000000004</v>
      </c>
      <c r="AK67">
        <v>43.658999999999999</v>
      </c>
      <c r="AL67">
        <v>-5.4669999999999996</v>
      </c>
      <c r="AM67">
        <v>65.3</v>
      </c>
      <c r="AN67">
        <v>90.222999999999999</v>
      </c>
      <c r="AO67">
        <v>34.4</v>
      </c>
      <c r="AP67">
        <v>5.4669999999999996</v>
      </c>
      <c r="AQ67">
        <v>13.023</v>
      </c>
      <c r="AR67">
        <v>89.662999999999997</v>
      </c>
      <c r="AS67">
        <v>56.341000000000001</v>
      </c>
    </row>
    <row r="68" spans="1:45" x14ac:dyDescent="0.25">
      <c r="A68">
        <v>54</v>
      </c>
      <c r="B68">
        <v>8</v>
      </c>
      <c r="C68">
        <v>1</v>
      </c>
      <c r="D68">
        <v>2018</v>
      </c>
      <c r="E68">
        <v>5</v>
      </c>
      <c r="F68" t="str">
        <f>IFERROR(VLOOKUP(G68, Map!$A$1:$B$33, 2, FALSE),"WAS")</f>
        <v>DET</v>
      </c>
      <c r="G68" t="s">
        <v>164</v>
      </c>
      <c r="H68" t="str">
        <f>IFERROR(VLOOKUP(I68, Map!$A$1:$B$33, 2, FALSE),"WAS")</f>
        <v>GB</v>
      </c>
      <c r="I68" t="s">
        <v>154</v>
      </c>
      <c r="J68" t="s">
        <v>173</v>
      </c>
      <c r="K68" t="s">
        <v>200</v>
      </c>
      <c r="L68">
        <v>1</v>
      </c>
      <c r="M68">
        <v>0</v>
      </c>
      <c r="N68">
        <v>45.772727272727302</v>
      </c>
      <c r="O68">
        <v>-1.0454545454545501</v>
      </c>
      <c r="P68">
        <v>-1</v>
      </c>
      <c r="Q68">
        <v>50</v>
      </c>
      <c r="R68">
        <v>16.2</v>
      </c>
      <c r="S68">
        <v>20.8</v>
      </c>
      <c r="T68">
        <v>12.9</v>
      </c>
      <c r="U68">
        <v>15.4</v>
      </c>
      <c r="V68">
        <v>8.6999999999999993</v>
      </c>
      <c r="W68">
        <v>0</v>
      </c>
      <c r="X68">
        <v>13</v>
      </c>
      <c r="Y68">
        <v>8.6999999999999993</v>
      </c>
      <c r="Z68">
        <v>21.3</v>
      </c>
      <c r="AA68">
        <v>47.5</v>
      </c>
      <c r="AB68">
        <v>28</v>
      </c>
      <c r="AC68">
        <v>88</v>
      </c>
      <c r="AD68">
        <v>31.1</v>
      </c>
      <c r="AE68">
        <v>15.3</v>
      </c>
      <c r="AF68">
        <v>49.5</v>
      </c>
      <c r="AG68">
        <v>46.712000000000003</v>
      </c>
      <c r="AH68">
        <v>50.1</v>
      </c>
      <c r="AI68">
        <v>36.036999999999999</v>
      </c>
      <c r="AJ68">
        <v>65.268000000000001</v>
      </c>
      <c r="AK68">
        <v>88.784999999999997</v>
      </c>
      <c r="AL68">
        <v>-0.111</v>
      </c>
      <c r="AM68">
        <v>50.1</v>
      </c>
      <c r="AN68">
        <v>46.712000000000003</v>
      </c>
      <c r="AO68">
        <v>49.5</v>
      </c>
      <c r="AP68">
        <v>0.111</v>
      </c>
      <c r="AQ68">
        <v>34.731999999999999</v>
      </c>
      <c r="AR68">
        <v>63.963000000000001</v>
      </c>
      <c r="AS68">
        <v>11.215</v>
      </c>
    </row>
    <row r="69" spans="1:45" x14ac:dyDescent="0.25">
      <c r="A69">
        <v>21</v>
      </c>
      <c r="B69">
        <v>3</v>
      </c>
      <c r="C69">
        <v>1</v>
      </c>
      <c r="D69">
        <v>2018</v>
      </c>
      <c r="E69">
        <v>5</v>
      </c>
      <c r="F69" t="str">
        <f>IFERROR(VLOOKUP(G69, Map!$A$1:$B$33, 2, FALSE),"WAS")</f>
        <v>CLE</v>
      </c>
      <c r="G69" t="s">
        <v>162</v>
      </c>
      <c r="H69" t="str">
        <f>IFERROR(VLOOKUP(I69, Map!$A$1:$B$33, 2, FALSE),"WAS")</f>
        <v>BAL</v>
      </c>
      <c r="I69" t="s">
        <v>146</v>
      </c>
      <c r="J69" t="s">
        <v>171</v>
      </c>
      <c r="K69" t="s">
        <v>181</v>
      </c>
      <c r="L69">
        <v>1</v>
      </c>
      <c r="M69">
        <v>0</v>
      </c>
      <c r="N69">
        <v>40.772727272727302</v>
      </c>
      <c r="O69">
        <v>2.9545454545454501</v>
      </c>
      <c r="P69">
        <v>3</v>
      </c>
      <c r="Q69">
        <v>44.5</v>
      </c>
      <c r="R69">
        <v>19.899999999999999</v>
      </c>
      <c r="S69">
        <v>23</v>
      </c>
      <c r="T69">
        <v>17.399999999999999</v>
      </c>
      <c r="U69">
        <v>21.1</v>
      </c>
      <c r="V69">
        <v>9.4</v>
      </c>
      <c r="W69">
        <v>0</v>
      </c>
      <c r="X69">
        <v>9</v>
      </c>
      <c r="Y69">
        <v>9.4</v>
      </c>
      <c r="Z69">
        <v>19.2</v>
      </c>
      <c r="AA69">
        <v>38.9</v>
      </c>
      <c r="AB69">
        <v>11</v>
      </c>
      <c r="AC69">
        <v>92</v>
      </c>
      <c r="AD69">
        <v>26.7</v>
      </c>
      <c r="AE69">
        <v>13.7</v>
      </c>
      <c r="AF69">
        <v>27.8</v>
      </c>
      <c r="AG69">
        <v>51.677</v>
      </c>
      <c r="AH69">
        <v>72</v>
      </c>
      <c r="AI69">
        <v>81.328999999999994</v>
      </c>
      <c r="AJ69">
        <v>26.936</v>
      </c>
      <c r="AK69">
        <v>53.26</v>
      </c>
      <c r="AL69">
        <v>-7.9950000000000001</v>
      </c>
      <c r="AM69">
        <v>72</v>
      </c>
      <c r="AN69">
        <v>51.677</v>
      </c>
      <c r="AO69">
        <v>27.8</v>
      </c>
      <c r="AP69">
        <v>7.9950000000000001</v>
      </c>
      <c r="AQ69">
        <v>73.063999999999993</v>
      </c>
      <c r="AR69">
        <v>18.670999999999999</v>
      </c>
      <c r="AS69">
        <v>46.74</v>
      </c>
    </row>
    <row r="70" spans="1:45" x14ac:dyDescent="0.25">
      <c r="A70">
        <v>44</v>
      </c>
      <c r="B70">
        <v>16</v>
      </c>
      <c r="C70">
        <v>1</v>
      </c>
      <c r="D70">
        <v>2018</v>
      </c>
      <c r="E70">
        <v>5</v>
      </c>
      <c r="F70" t="str">
        <f>IFERROR(VLOOKUP(G70, Map!$A$1:$B$33, 2, FALSE),"WAS")</f>
        <v>KC</v>
      </c>
      <c r="G70" t="s">
        <v>158</v>
      </c>
      <c r="H70" t="str">
        <f>IFERROR(VLOOKUP(I70, Map!$A$1:$B$33, 2, FALSE),"WAS")</f>
        <v>JAX</v>
      </c>
      <c r="I70" t="s">
        <v>139</v>
      </c>
      <c r="J70" t="s">
        <v>202</v>
      </c>
      <c r="K70" t="s">
        <v>220</v>
      </c>
      <c r="L70">
        <v>1</v>
      </c>
      <c r="M70">
        <v>0</v>
      </c>
      <c r="N70">
        <v>43.727272727272698</v>
      </c>
      <c r="O70">
        <v>-2.7272727272727302</v>
      </c>
      <c r="P70">
        <v>-3</v>
      </c>
      <c r="Q70">
        <v>48</v>
      </c>
      <c r="R70">
        <v>14.8</v>
      </c>
      <c r="S70">
        <v>21.7</v>
      </c>
      <c r="T70">
        <v>11.5</v>
      </c>
      <c r="U70">
        <v>14.8</v>
      </c>
      <c r="V70">
        <v>26.3</v>
      </c>
      <c r="W70">
        <v>0</v>
      </c>
      <c r="X70">
        <v>23</v>
      </c>
      <c r="Y70">
        <v>26.3</v>
      </c>
      <c r="Z70">
        <v>14.3</v>
      </c>
      <c r="AA70">
        <v>33.799999999999997</v>
      </c>
      <c r="AB70">
        <v>64</v>
      </c>
      <c r="AC70">
        <v>94</v>
      </c>
      <c r="AD70">
        <v>23.1</v>
      </c>
      <c r="AE70">
        <v>10</v>
      </c>
      <c r="AF70">
        <v>58.9</v>
      </c>
      <c r="AG70">
        <v>57.301000000000002</v>
      </c>
      <c r="AH70">
        <v>40.700000000000003</v>
      </c>
      <c r="AI70">
        <v>93.930999999999997</v>
      </c>
      <c r="AJ70">
        <v>71.313000000000002</v>
      </c>
      <c r="AK70">
        <v>93.57</v>
      </c>
      <c r="AL70">
        <v>3.1619999999999999</v>
      </c>
      <c r="AM70">
        <v>40.700000000000003</v>
      </c>
      <c r="AN70">
        <v>57.301000000000002</v>
      </c>
      <c r="AO70">
        <v>58.9</v>
      </c>
      <c r="AP70">
        <v>-3.1619999999999999</v>
      </c>
      <c r="AQ70">
        <v>28.687000000000001</v>
      </c>
      <c r="AR70">
        <v>6.069</v>
      </c>
      <c r="AS70">
        <v>6.43</v>
      </c>
    </row>
    <row r="71" spans="1:45" x14ac:dyDescent="0.25">
      <c r="A71">
        <v>58</v>
      </c>
      <c r="B71">
        <v>24</v>
      </c>
      <c r="C71">
        <v>1</v>
      </c>
      <c r="D71">
        <v>2018</v>
      </c>
      <c r="E71">
        <v>5</v>
      </c>
      <c r="F71" t="str">
        <f>IFERROR(VLOOKUP(G71, Map!$A$1:$B$33, 2, FALSE),"WAS")</f>
        <v>PIT</v>
      </c>
      <c r="G71" t="s">
        <v>145</v>
      </c>
      <c r="H71" t="str">
        <f>IFERROR(VLOOKUP(I71, Map!$A$1:$B$33, 2, FALSE),"WAS")</f>
        <v>ATL</v>
      </c>
      <c r="I71" t="s">
        <v>167</v>
      </c>
      <c r="J71" t="s">
        <v>170</v>
      </c>
      <c r="K71" t="s">
        <v>188</v>
      </c>
      <c r="L71">
        <v>1</v>
      </c>
      <c r="M71">
        <v>0</v>
      </c>
      <c r="N71">
        <v>52.136363636363598</v>
      </c>
      <c r="O71">
        <v>-3.1363636363636398</v>
      </c>
      <c r="P71">
        <v>-3</v>
      </c>
      <c r="Q71">
        <v>57</v>
      </c>
      <c r="R71">
        <v>23.2</v>
      </c>
      <c r="S71">
        <v>28.4</v>
      </c>
      <c r="T71">
        <v>19</v>
      </c>
      <c r="U71">
        <v>26.4</v>
      </c>
      <c r="V71">
        <v>0.4</v>
      </c>
      <c r="W71">
        <v>0</v>
      </c>
      <c r="X71">
        <v>3</v>
      </c>
      <c r="Y71">
        <v>0.4</v>
      </c>
      <c r="Z71">
        <v>9.9</v>
      </c>
      <c r="AA71">
        <v>29.5</v>
      </c>
      <c r="AB71">
        <v>203</v>
      </c>
      <c r="AC71">
        <v>86</v>
      </c>
      <c r="AD71">
        <v>18.600000000000001</v>
      </c>
      <c r="AE71">
        <v>6.9</v>
      </c>
      <c r="AF71">
        <v>58.4</v>
      </c>
      <c r="AG71">
        <v>74.305999999999997</v>
      </c>
      <c r="AH71">
        <v>41.3</v>
      </c>
      <c r="AI71">
        <v>58.997</v>
      </c>
      <c r="AJ71">
        <v>91.938000000000002</v>
      </c>
      <c r="AK71">
        <v>86.99</v>
      </c>
      <c r="AL71">
        <v>2.9620000000000002</v>
      </c>
      <c r="AM71">
        <v>41.3</v>
      </c>
      <c r="AN71">
        <v>74.305999999999997</v>
      </c>
      <c r="AO71">
        <v>58.4</v>
      </c>
      <c r="AP71">
        <v>-2.9620000000000002</v>
      </c>
      <c r="AQ71">
        <v>8.0619999999999994</v>
      </c>
      <c r="AR71">
        <v>41.003</v>
      </c>
      <c r="AS71">
        <v>13.01</v>
      </c>
    </row>
    <row r="72" spans="1:45" x14ac:dyDescent="0.25">
      <c r="A72">
        <v>44</v>
      </c>
      <c r="B72">
        <v>10</v>
      </c>
      <c r="C72">
        <v>1</v>
      </c>
      <c r="D72">
        <v>2018</v>
      </c>
      <c r="E72">
        <v>5</v>
      </c>
      <c r="F72" t="str">
        <f>IFERROR(VLOOKUP(G72, Map!$A$1:$B$33, 2, FALSE),"WAS")</f>
        <v>CIN</v>
      </c>
      <c r="G72" t="s">
        <v>161</v>
      </c>
      <c r="H72" t="str">
        <f>IFERROR(VLOOKUP(I72, Map!$A$1:$B$33, 2, FALSE),"WAS")</f>
        <v>MIA</v>
      </c>
      <c r="I72" t="s">
        <v>152</v>
      </c>
      <c r="J72" t="s">
        <v>176</v>
      </c>
      <c r="K72" t="s">
        <v>175</v>
      </c>
      <c r="L72">
        <v>1</v>
      </c>
      <c r="M72">
        <v>0</v>
      </c>
      <c r="N72">
        <v>43.454545454545503</v>
      </c>
      <c r="O72">
        <v>-5.5454545454545503</v>
      </c>
      <c r="P72">
        <v>-6</v>
      </c>
      <c r="Q72">
        <v>47.5</v>
      </c>
      <c r="R72">
        <v>24.7</v>
      </c>
      <c r="S72">
        <v>29.3</v>
      </c>
      <c r="T72">
        <v>20.2</v>
      </c>
      <c r="U72">
        <v>27.9</v>
      </c>
      <c r="V72">
        <v>0.2</v>
      </c>
      <c r="W72">
        <v>0</v>
      </c>
      <c r="X72">
        <v>2</v>
      </c>
      <c r="Y72">
        <v>0.2</v>
      </c>
      <c r="Z72">
        <v>12.2</v>
      </c>
      <c r="AA72">
        <v>28.1</v>
      </c>
      <c r="AB72">
        <v>201</v>
      </c>
      <c r="AC72">
        <v>80</v>
      </c>
      <c r="AD72">
        <v>17.2</v>
      </c>
      <c r="AE72">
        <v>7.1</v>
      </c>
      <c r="AF72">
        <v>75.900000000000006</v>
      </c>
      <c r="AG72">
        <v>23.19</v>
      </c>
      <c r="AH72">
        <v>23.9</v>
      </c>
      <c r="AI72">
        <v>90.823999999999998</v>
      </c>
      <c r="AJ72">
        <v>44.529000000000003</v>
      </c>
      <c r="AK72">
        <v>64.093000000000004</v>
      </c>
      <c r="AL72">
        <v>9.7040000000000006</v>
      </c>
      <c r="AM72">
        <v>23.9</v>
      </c>
      <c r="AN72">
        <v>23.19</v>
      </c>
      <c r="AO72">
        <v>75.900000000000006</v>
      </c>
      <c r="AP72">
        <v>-9.7040000000000006</v>
      </c>
      <c r="AQ72">
        <v>55.470999999999997</v>
      </c>
      <c r="AR72">
        <v>9.1760000000000002</v>
      </c>
      <c r="AS72">
        <v>35.906999999999996</v>
      </c>
    </row>
    <row r="73" spans="1:45" x14ac:dyDescent="0.25">
      <c r="A73">
        <v>44</v>
      </c>
      <c r="B73">
        <v>-2</v>
      </c>
      <c r="C73">
        <v>0</v>
      </c>
      <c r="D73">
        <v>2018</v>
      </c>
      <c r="E73">
        <v>5</v>
      </c>
      <c r="F73" t="str">
        <f>IFERROR(VLOOKUP(G73, Map!$A$1:$B$33, 2, FALSE),"WAS")</f>
        <v>PHI</v>
      </c>
      <c r="G73" t="s">
        <v>147</v>
      </c>
      <c r="H73" t="str">
        <f>IFERROR(VLOOKUP(I73, Map!$A$1:$B$33, 2, FALSE),"WAS")</f>
        <v>MIN</v>
      </c>
      <c r="I73" t="s">
        <v>153</v>
      </c>
      <c r="J73" t="s">
        <v>206</v>
      </c>
      <c r="K73" t="s">
        <v>214</v>
      </c>
      <c r="L73">
        <v>0</v>
      </c>
      <c r="M73">
        <v>0</v>
      </c>
      <c r="N73">
        <v>43.818181818181799</v>
      </c>
      <c r="O73">
        <v>-3.1363636363636398</v>
      </c>
      <c r="P73">
        <v>-3</v>
      </c>
      <c r="Q73">
        <v>46</v>
      </c>
      <c r="R73">
        <v>22.9</v>
      </c>
      <c r="S73">
        <v>27.3</v>
      </c>
      <c r="T73">
        <v>20.399999999999999</v>
      </c>
      <c r="U73">
        <v>25.4</v>
      </c>
      <c r="V73">
        <v>0</v>
      </c>
      <c r="W73">
        <v>0</v>
      </c>
      <c r="X73">
        <v>0</v>
      </c>
      <c r="Y73">
        <v>0</v>
      </c>
      <c r="Z73">
        <v>13.7</v>
      </c>
      <c r="AA73">
        <v>27.4</v>
      </c>
      <c r="AB73">
        <v>212</v>
      </c>
      <c r="AC73">
        <v>85</v>
      </c>
      <c r="AD73">
        <v>19.399999999999999</v>
      </c>
      <c r="AE73">
        <v>9.9</v>
      </c>
      <c r="AF73">
        <v>60</v>
      </c>
      <c r="AG73">
        <v>72.718000000000004</v>
      </c>
      <c r="AH73">
        <v>39.700000000000003</v>
      </c>
      <c r="AI73">
        <v>45.823999999999998</v>
      </c>
      <c r="AJ73">
        <v>7.8620000000000001</v>
      </c>
      <c r="AK73">
        <v>25.010999999999999</v>
      </c>
      <c r="AL73">
        <v>3.524</v>
      </c>
      <c r="AM73">
        <v>39.700000000000003</v>
      </c>
      <c r="AN73">
        <v>72.718000000000004</v>
      </c>
      <c r="AO73">
        <v>60</v>
      </c>
      <c r="AP73">
        <v>-3.524</v>
      </c>
      <c r="AQ73">
        <v>92.138000000000005</v>
      </c>
      <c r="AR73">
        <v>54.176000000000002</v>
      </c>
      <c r="AS73">
        <v>74.989000000000004</v>
      </c>
    </row>
    <row r="74" spans="1:45" x14ac:dyDescent="0.25">
      <c r="A74">
        <v>50</v>
      </c>
      <c r="B74">
        <v>18</v>
      </c>
      <c r="C74">
        <v>1</v>
      </c>
      <c r="D74">
        <v>2018</v>
      </c>
      <c r="E74">
        <v>5</v>
      </c>
      <c r="F74" t="str">
        <f>IFERROR(VLOOKUP(G74, Map!$A$1:$B$33, 2, FALSE),"WAS")</f>
        <v>NYJ</v>
      </c>
      <c r="G74" t="s">
        <v>166</v>
      </c>
      <c r="H74" t="str">
        <f>IFERROR(VLOOKUP(I74, Map!$A$1:$B$33, 2, FALSE),"WAS")</f>
        <v>DEN</v>
      </c>
      <c r="I74" t="s">
        <v>159</v>
      </c>
      <c r="J74" t="s">
        <v>172</v>
      </c>
      <c r="K74" t="s">
        <v>183</v>
      </c>
      <c r="L74">
        <v>1</v>
      </c>
      <c r="M74">
        <v>0</v>
      </c>
      <c r="N74">
        <v>38.636363636363598</v>
      </c>
      <c r="O74">
        <v>0.36363636363636398</v>
      </c>
      <c r="P74">
        <v>-1</v>
      </c>
      <c r="Q74">
        <v>42</v>
      </c>
      <c r="R74">
        <v>21.8</v>
      </c>
      <c r="S74">
        <v>26.6</v>
      </c>
      <c r="T74">
        <v>19</v>
      </c>
      <c r="U74">
        <v>23.7</v>
      </c>
      <c r="V74">
        <v>0.1</v>
      </c>
      <c r="W74">
        <v>0</v>
      </c>
      <c r="X74">
        <v>1</v>
      </c>
      <c r="Y74">
        <v>0.1</v>
      </c>
      <c r="Z74">
        <v>15</v>
      </c>
      <c r="AA74">
        <v>30.6</v>
      </c>
      <c r="AB74">
        <v>225</v>
      </c>
      <c r="AC74">
        <v>86</v>
      </c>
      <c r="AD74">
        <v>22.1</v>
      </c>
      <c r="AE74">
        <v>10.6</v>
      </c>
      <c r="AF74">
        <v>58.8</v>
      </c>
      <c r="AG74">
        <v>16.218</v>
      </c>
      <c r="AH74">
        <v>40.799999999999997</v>
      </c>
      <c r="AI74">
        <v>66.738</v>
      </c>
      <c r="AJ74">
        <v>89.494</v>
      </c>
      <c r="AK74">
        <v>86.052999999999997</v>
      </c>
      <c r="AL74">
        <v>3.1240000000000001</v>
      </c>
      <c r="AM74">
        <v>40.799999999999997</v>
      </c>
      <c r="AN74">
        <v>16.218</v>
      </c>
      <c r="AO74">
        <v>58.8</v>
      </c>
      <c r="AP74">
        <v>-3.1240000000000001</v>
      </c>
      <c r="AQ74">
        <v>10.506</v>
      </c>
      <c r="AR74">
        <v>33.262</v>
      </c>
      <c r="AS74">
        <v>13.946999999999999</v>
      </c>
    </row>
    <row r="75" spans="1:45" x14ac:dyDescent="0.25">
      <c r="A75">
        <v>46</v>
      </c>
      <c r="B75">
        <v>-10</v>
      </c>
      <c r="C75">
        <v>0</v>
      </c>
      <c r="D75">
        <v>2018</v>
      </c>
      <c r="E75">
        <v>5</v>
      </c>
      <c r="F75" t="str">
        <f>IFERROR(VLOOKUP(G75, Map!$A$1:$B$33, 2, FALSE),"WAS")</f>
        <v>SF</v>
      </c>
      <c r="G75" t="s">
        <v>143</v>
      </c>
      <c r="H75" t="str">
        <f>IFERROR(VLOOKUP(I75, Map!$A$1:$B$33, 2, FALSE),"WAS")</f>
        <v>ARI</v>
      </c>
      <c r="I75" t="s">
        <v>156</v>
      </c>
      <c r="J75" t="s">
        <v>197</v>
      </c>
      <c r="K75" t="s">
        <v>190</v>
      </c>
      <c r="L75">
        <v>0</v>
      </c>
      <c r="M75">
        <v>0</v>
      </c>
      <c r="N75">
        <v>36.727272727272698</v>
      </c>
      <c r="O75">
        <v>-2.7727272727272698</v>
      </c>
      <c r="P75">
        <v>-3</v>
      </c>
      <c r="Q75">
        <v>40</v>
      </c>
      <c r="R75">
        <v>18.5</v>
      </c>
      <c r="S75">
        <v>27.3</v>
      </c>
      <c r="T75">
        <v>12.8</v>
      </c>
      <c r="U75">
        <v>16.600000000000001</v>
      </c>
      <c r="V75">
        <v>0</v>
      </c>
      <c r="W75">
        <v>0</v>
      </c>
      <c r="X75">
        <v>0</v>
      </c>
      <c r="Y75">
        <v>0</v>
      </c>
      <c r="Z75">
        <v>22.5</v>
      </c>
      <c r="AA75">
        <v>38.5</v>
      </c>
      <c r="AB75">
        <v>316</v>
      </c>
      <c r="AC75">
        <v>60</v>
      </c>
      <c r="AD75">
        <v>22.8</v>
      </c>
      <c r="AE75">
        <v>12.9</v>
      </c>
      <c r="AF75">
        <v>75.599999999999994</v>
      </c>
      <c r="AG75">
        <v>12.778</v>
      </c>
      <c r="AH75">
        <v>24.2</v>
      </c>
      <c r="AI75">
        <v>75.468999999999994</v>
      </c>
      <c r="AJ75">
        <v>14.164999999999999</v>
      </c>
      <c r="AK75">
        <v>25.727</v>
      </c>
      <c r="AL75">
        <v>9.61</v>
      </c>
      <c r="AM75">
        <v>24.2</v>
      </c>
      <c r="AN75">
        <v>12.778</v>
      </c>
      <c r="AO75">
        <v>75.599999999999994</v>
      </c>
      <c r="AP75">
        <v>-9.61</v>
      </c>
      <c r="AQ75">
        <v>85.834999999999994</v>
      </c>
      <c r="AR75">
        <v>24.530999999999999</v>
      </c>
      <c r="AS75">
        <v>74.272999999999996</v>
      </c>
    </row>
    <row r="76" spans="1:45" x14ac:dyDescent="0.25">
      <c r="A76">
        <v>62</v>
      </c>
      <c r="B76">
        <v>14</v>
      </c>
      <c r="C76">
        <v>1</v>
      </c>
      <c r="D76">
        <v>2018</v>
      </c>
      <c r="E76">
        <v>5</v>
      </c>
      <c r="F76" t="str">
        <f>IFERROR(VLOOKUP(G76, Map!$A$1:$B$33, 2, FALSE),"WAS")</f>
        <v>NE</v>
      </c>
      <c r="G76" t="s">
        <v>151</v>
      </c>
      <c r="H76" t="str">
        <f>IFERROR(VLOOKUP(I76, Map!$A$1:$B$33, 2, FALSE),"WAS")</f>
        <v>IND</v>
      </c>
      <c r="I76" t="s">
        <v>138</v>
      </c>
      <c r="J76" t="s">
        <v>187</v>
      </c>
      <c r="K76" t="s">
        <v>177</v>
      </c>
      <c r="L76">
        <v>1</v>
      </c>
      <c r="M76">
        <v>0</v>
      </c>
      <c r="N76">
        <v>45.318181818181799</v>
      </c>
      <c r="O76">
        <v>-9.7727272727272698</v>
      </c>
      <c r="P76">
        <v>-10.5</v>
      </c>
      <c r="Q76">
        <v>49.5</v>
      </c>
      <c r="R76">
        <v>15.1</v>
      </c>
      <c r="S76">
        <v>18.899999999999999</v>
      </c>
      <c r="T76">
        <v>10.199999999999999</v>
      </c>
      <c r="U76">
        <v>14</v>
      </c>
      <c r="V76">
        <v>0</v>
      </c>
      <c r="W76">
        <v>0</v>
      </c>
      <c r="X76">
        <v>0</v>
      </c>
      <c r="Y76">
        <v>0</v>
      </c>
      <c r="Z76">
        <v>17.7</v>
      </c>
      <c r="AA76">
        <v>38.9</v>
      </c>
      <c r="AB76">
        <v>4</v>
      </c>
      <c r="AC76">
        <v>80</v>
      </c>
      <c r="AD76">
        <v>31.1</v>
      </c>
      <c r="AE76">
        <v>13.2</v>
      </c>
      <c r="AF76">
        <v>76.7</v>
      </c>
      <c r="AG76">
        <v>80.454999999999998</v>
      </c>
      <c r="AH76">
        <v>23.1</v>
      </c>
      <c r="AI76">
        <v>63.658000000000001</v>
      </c>
      <c r="AJ76">
        <v>88.991</v>
      </c>
      <c r="AK76">
        <v>89.451999999999998</v>
      </c>
      <c r="AL76">
        <v>10.019</v>
      </c>
      <c r="AM76">
        <v>23.1</v>
      </c>
      <c r="AN76">
        <v>80.454999999999998</v>
      </c>
      <c r="AO76">
        <v>76.7</v>
      </c>
      <c r="AP76">
        <v>-10.019</v>
      </c>
      <c r="AQ76">
        <v>11.009</v>
      </c>
      <c r="AR76">
        <v>36.341999999999999</v>
      </c>
      <c r="AS76">
        <v>10.548</v>
      </c>
    </row>
    <row r="77" spans="1:45" x14ac:dyDescent="0.25">
      <c r="A77">
        <v>35</v>
      </c>
      <c r="B77">
        <v>3</v>
      </c>
      <c r="C77">
        <v>1</v>
      </c>
      <c r="D77">
        <v>2018</v>
      </c>
      <c r="E77">
        <v>5</v>
      </c>
      <c r="F77" t="str">
        <f>IFERROR(VLOOKUP(G77, Map!$A$1:$B$33, 2, FALSE),"WAS")</f>
        <v>HOU</v>
      </c>
      <c r="G77" t="s">
        <v>137</v>
      </c>
      <c r="H77" t="str">
        <f>IFERROR(VLOOKUP(I77, Map!$A$1:$B$33, 2, FALSE),"WAS")</f>
        <v>DAL</v>
      </c>
      <c r="I77" t="s">
        <v>150</v>
      </c>
      <c r="J77" t="s">
        <v>209</v>
      </c>
      <c r="K77" t="s">
        <v>184</v>
      </c>
      <c r="L77">
        <v>1</v>
      </c>
      <c r="M77">
        <v>0</v>
      </c>
      <c r="N77">
        <v>41.409090909090899</v>
      </c>
      <c r="O77">
        <v>-3.1818181818181799</v>
      </c>
      <c r="P77">
        <v>-3.5</v>
      </c>
      <c r="Q77">
        <v>45.5</v>
      </c>
      <c r="R77">
        <v>25.9</v>
      </c>
      <c r="S77">
        <v>29</v>
      </c>
      <c r="T77">
        <v>24.1</v>
      </c>
      <c r="U77">
        <v>29.2</v>
      </c>
      <c r="V77">
        <v>3.5</v>
      </c>
      <c r="W77">
        <v>0</v>
      </c>
      <c r="X77">
        <v>11</v>
      </c>
      <c r="Y77">
        <v>3.5</v>
      </c>
      <c r="Z77">
        <v>23.4</v>
      </c>
      <c r="AA77">
        <v>42.5</v>
      </c>
      <c r="AB77">
        <v>114</v>
      </c>
      <c r="AC77">
        <v>84</v>
      </c>
      <c r="AD77">
        <v>28.3</v>
      </c>
      <c r="AE77">
        <v>14.8</v>
      </c>
      <c r="AF77">
        <v>58.2</v>
      </c>
      <c r="AG77">
        <v>70.260000000000005</v>
      </c>
      <c r="AH77">
        <v>41.5</v>
      </c>
      <c r="AI77">
        <v>78.206000000000003</v>
      </c>
      <c r="AJ77">
        <v>49.134</v>
      </c>
      <c r="AK77">
        <v>57.628999999999998</v>
      </c>
      <c r="AL77">
        <v>2.8919999999999999</v>
      </c>
      <c r="AM77">
        <v>41.5</v>
      </c>
      <c r="AN77">
        <v>70.260000000000005</v>
      </c>
      <c r="AO77">
        <v>58.2</v>
      </c>
      <c r="AP77">
        <v>-2.8919999999999999</v>
      </c>
      <c r="AQ77">
        <v>50.866</v>
      </c>
      <c r="AR77">
        <v>21.794</v>
      </c>
      <c r="AS77">
        <v>42.371000000000002</v>
      </c>
    </row>
    <row r="78" spans="1:45" x14ac:dyDescent="0.25">
      <c r="A78">
        <v>25</v>
      </c>
      <c r="B78">
        <v>1</v>
      </c>
      <c r="C78">
        <v>1</v>
      </c>
      <c r="D78">
        <v>2018</v>
      </c>
      <c r="E78">
        <v>5</v>
      </c>
      <c r="F78" t="str">
        <f>IFERROR(VLOOKUP(G78, Map!$A$1:$B$33, 2, FALSE),"WAS")</f>
        <v>BUF</v>
      </c>
      <c r="G78" t="s">
        <v>165</v>
      </c>
      <c r="H78" t="str">
        <f>IFERROR(VLOOKUP(I78, Map!$A$1:$B$33, 2, FALSE),"WAS")</f>
        <v>TEN</v>
      </c>
      <c r="I78" t="s">
        <v>140</v>
      </c>
      <c r="J78" t="s">
        <v>180</v>
      </c>
      <c r="K78" t="s">
        <v>174</v>
      </c>
      <c r="L78">
        <v>1</v>
      </c>
      <c r="M78">
        <v>0</v>
      </c>
      <c r="N78">
        <v>34.818181818181799</v>
      </c>
      <c r="O78">
        <v>5.4090909090909101</v>
      </c>
      <c r="P78">
        <v>5.5</v>
      </c>
      <c r="Q78">
        <v>38</v>
      </c>
      <c r="R78">
        <v>23.5</v>
      </c>
      <c r="S78">
        <v>26.7</v>
      </c>
      <c r="T78">
        <v>20.8</v>
      </c>
      <c r="U78">
        <v>27.6</v>
      </c>
      <c r="V78">
        <v>1</v>
      </c>
      <c r="W78">
        <v>0</v>
      </c>
      <c r="X78">
        <v>5</v>
      </c>
      <c r="Y78">
        <v>1</v>
      </c>
      <c r="Z78">
        <v>7.9</v>
      </c>
      <c r="AA78">
        <v>22.3</v>
      </c>
      <c r="AB78">
        <v>77</v>
      </c>
      <c r="AC78">
        <v>90</v>
      </c>
      <c r="AD78">
        <v>13</v>
      </c>
      <c r="AE78">
        <v>5.3</v>
      </c>
      <c r="AF78">
        <v>42.8</v>
      </c>
      <c r="AG78">
        <v>37.31</v>
      </c>
      <c r="AH78">
        <v>56.9</v>
      </c>
      <c r="AI78">
        <v>91.224000000000004</v>
      </c>
      <c r="AJ78">
        <v>30.268999999999998</v>
      </c>
      <c r="AK78">
        <v>52.976999999999997</v>
      </c>
      <c r="AL78">
        <v>-2.4500000000000002</v>
      </c>
      <c r="AM78">
        <v>56.9</v>
      </c>
      <c r="AN78">
        <v>37.31</v>
      </c>
      <c r="AO78">
        <v>42.8</v>
      </c>
      <c r="AP78">
        <v>2.4500000000000002</v>
      </c>
      <c r="AQ78">
        <v>69.730999999999995</v>
      </c>
      <c r="AR78">
        <v>8.7759999999999998</v>
      </c>
      <c r="AS78">
        <v>47.023000000000003</v>
      </c>
    </row>
    <row r="79" spans="1:45" x14ac:dyDescent="0.25">
      <c r="A79">
        <v>36</v>
      </c>
      <c r="B79">
        <v>16</v>
      </c>
      <c r="C79">
        <v>1</v>
      </c>
      <c r="D79">
        <v>2018</v>
      </c>
      <c r="E79">
        <v>5</v>
      </c>
      <c r="F79" t="str">
        <f>IFERROR(VLOOKUP(G79, Map!$A$1:$B$33, 2, FALSE),"WAS")</f>
        <v>LAC</v>
      </c>
      <c r="G79" t="s">
        <v>160</v>
      </c>
      <c r="H79" t="str">
        <f>IFERROR(VLOOKUP(I79, Map!$A$1:$B$33, 2, FALSE),"WAS")</f>
        <v>LV</v>
      </c>
      <c r="I79" t="s">
        <v>157</v>
      </c>
      <c r="J79" t="s">
        <v>210</v>
      </c>
      <c r="K79" t="s">
        <v>179</v>
      </c>
      <c r="L79">
        <v>1</v>
      </c>
      <c r="M79">
        <v>0</v>
      </c>
      <c r="N79">
        <v>43.0416666666667</v>
      </c>
      <c r="O79">
        <v>-4.4583333333333304</v>
      </c>
      <c r="P79">
        <v>-5</v>
      </c>
      <c r="Q79">
        <v>51.5</v>
      </c>
      <c r="R79">
        <v>19.100000000000001</v>
      </c>
      <c r="S79">
        <v>23</v>
      </c>
      <c r="T79">
        <v>16.399999999999999</v>
      </c>
      <c r="U79">
        <v>20.399999999999999</v>
      </c>
      <c r="V79">
        <v>0</v>
      </c>
      <c r="W79">
        <v>0</v>
      </c>
      <c r="X79">
        <v>0</v>
      </c>
      <c r="Y79">
        <v>0</v>
      </c>
      <c r="Z79">
        <v>16.600000000000001</v>
      </c>
      <c r="AA79">
        <v>31</v>
      </c>
      <c r="AB79">
        <v>167</v>
      </c>
      <c r="AC79">
        <v>86</v>
      </c>
      <c r="AD79">
        <v>15.2</v>
      </c>
      <c r="AE79">
        <v>7.5</v>
      </c>
      <c r="AF79">
        <v>73.400000000000006</v>
      </c>
      <c r="AG79">
        <v>49.734000000000002</v>
      </c>
      <c r="AH79">
        <v>26.4</v>
      </c>
      <c r="AI79">
        <v>85.852000000000004</v>
      </c>
      <c r="AJ79">
        <v>77.972999999999999</v>
      </c>
      <c r="AK79">
        <v>90.744</v>
      </c>
      <c r="AL79">
        <v>8.6170000000000009</v>
      </c>
      <c r="AM79">
        <v>26.4</v>
      </c>
      <c r="AN79">
        <v>49.734000000000002</v>
      </c>
      <c r="AO79">
        <v>73.400000000000006</v>
      </c>
      <c r="AP79">
        <v>-8.6170000000000009</v>
      </c>
      <c r="AQ79">
        <v>22.027000000000001</v>
      </c>
      <c r="AR79">
        <v>14.148</v>
      </c>
      <c r="AS79">
        <v>9.2560000000000002</v>
      </c>
    </row>
    <row r="80" spans="1:45" x14ac:dyDescent="0.25">
      <c r="A80">
        <v>43</v>
      </c>
      <c r="B80">
        <v>-3</v>
      </c>
      <c r="C80">
        <v>0</v>
      </c>
      <c r="D80">
        <v>2018</v>
      </c>
      <c r="E80">
        <v>6</v>
      </c>
      <c r="F80" t="str">
        <f>IFERROR(VLOOKUP(G80, Map!$A$1:$B$33, 2, FALSE),"WAS")</f>
        <v>DEN</v>
      </c>
      <c r="G80" t="s">
        <v>159</v>
      </c>
      <c r="H80" t="str">
        <f>IFERROR(VLOOKUP(I80, Map!$A$1:$B$33, 2, FALSE),"WAS")</f>
        <v>LA</v>
      </c>
      <c r="I80" t="s">
        <v>155</v>
      </c>
      <c r="J80" t="s">
        <v>183</v>
      </c>
      <c r="K80" t="s">
        <v>178</v>
      </c>
      <c r="L80">
        <v>0</v>
      </c>
      <c r="M80">
        <v>0</v>
      </c>
      <c r="N80">
        <v>45.545454545454497</v>
      </c>
      <c r="O80">
        <v>6.2727272727272698</v>
      </c>
      <c r="P80">
        <v>6.5</v>
      </c>
      <c r="Q80">
        <v>50</v>
      </c>
      <c r="R80">
        <v>-0.9</v>
      </c>
      <c r="S80">
        <v>13.4</v>
      </c>
      <c r="T80">
        <v>-5.4</v>
      </c>
      <c r="U80">
        <v>-6.1</v>
      </c>
      <c r="V80">
        <v>7.7</v>
      </c>
      <c r="W80">
        <v>4.62</v>
      </c>
      <c r="X80">
        <v>19</v>
      </c>
      <c r="Y80">
        <v>1.1000000000000001</v>
      </c>
      <c r="Z80">
        <v>38</v>
      </c>
      <c r="AA80">
        <v>72.400000000000006</v>
      </c>
      <c r="AB80">
        <v>356</v>
      </c>
      <c r="AC80">
        <v>72</v>
      </c>
      <c r="AD80">
        <v>33.9</v>
      </c>
      <c r="AE80">
        <v>16.399999999999999</v>
      </c>
      <c r="AF80">
        <v>22.9</v>
      </c>
      <c r="AG80">
        <v>76.486999999999995</v>
      </c>
      <c r="AH80">
        <v>76.900000000000006</v>
      </c>
      <c r="AI80">
        <v>14.515000000000001</v>
      </c>
      <c r="AJ80">
        <v>44.16</v>
      </c>
      <c r="AK80">
        <v>19.928000000000001</v>
      </c>
      <c r="AL80">
        <v>-10.061999999999999</v>
      </c>
      <c r="AM80">
        <v>76.900000000000006</v>
      </c>
      <c r="AN80">
        <v>76.486999999999995</v>
      </c>
      <c r="AO80">
        <v>22.9</v>
      </c>
      <c r="AP80">
        <v>10.061999999999999</v>
      </c>
      <c r="AQ80">
        <v>55.84</v>
      </c>
      <c r="AR80">
        <v>85.484999999999999</v>
      </c>
      <c r="AS80">
        <v>80.072000000000003</v>
      </c>
    </row>
    <row r="81" spans="1:45" x14ac:dyDescent="0.25">
      <c r="A81">
        <v>83</v>
      </c>
      <c r="B81">
        <v>3</v>
      </c>
      <c r="C81">
        <v>1</v>
      </c>
      <c r="D81">
        <v>2018</v>
      </c>
      <c r="E81">
        <v>6</v>
      </c>
      <c r="F81" t="str">
        <f>IFERROR(VLOOKUP(G81, Map!$A$1:$B$33, 2, FALSE),"WAS")</f>
        <v>NE</v>
      </c>
      <c r="G81" t="s">
        <v>151</v>
      </c>
      <c r="H81" t="str">
        <f>IFERROR(VLOOKUP(I81, Map!$A$1:$B$33, 2, FALSE),"WAS")</f>
        <v>KC</v>
      </c>
      <c r="I81" t="s">
        <v>158</v>
      </c>
      <c r="J81" t="s">
        <v>187</v>
      </c>
      <c r="K81" t="s">
        <v>202</v>
      </c>
      <c r="L81">
        <v>1</v>
      </c>
      <c r="M81">
        <v>0</v>
      </c>
      <c r="N81">
        <v>53.818181818181799</v>
      </c>
      <c r="O81">
        <v>-3.5909090909090899</v>
      </c>
      <c r="P81">
        <v>-3.5</v>
      </c>
      <c r="Q81">
        <v>57.5</v>
      </c>
      <c r="R81">
        <v>10.5</v>
      </c>
      <c r="S81">
        <v>17.3</v>
      </c>
      <c r="T81">
        <v>5.9</v>
      </c>
      <c r="U81">
        <v>8.4</v>
      </c>
      <c r="V81">
        <v>0.7</v>
      </c>
      <c r="W81">
        <v>0</v>
      </c>
      <c r="X81">
        <v>5</v>
      </c>
      <c r="Y81">
        <v>0.7</v>
      </c>
      <c r="Z81">
        <v>24</v>
      </c>
      <c r="AA81">
        <v>58.7</v>
      </c>
      <c r="AB81">
        <v>202</v>
      </c>
      <c r="AC81">
        <v>87</v>
      </c>
      <c r="AD81">
        <v>25.9</v>
      </c>
      <c r="AE81">
        <v>12.4</v>
      </c>
      <c r="AF81">
        <v>66.599999999999994</v>
      </c>
      <c r="AG81">
        <v>92.546000000000006</v>
      </c>
      <c r="AH81">
        <v>33.1</v>
      </c>
      <c r="AI81">
        <v>44.649000000000001</v>
      </c>
      <c r="AJ81">
        <v>83.864000000000004</v>
      </c>
      <c r="AK81">
        <v>70.454999999999998</v>
      </c>
      <c r="AL81">
        <v>5.8959999999999999</v>
      </c>
      <c r="AM81">
        <v>33.1</v>
      </c>
      <c r="AN81">
        <v>92.546000000000006</v>
      </c>
      <c r="AO81">
        <v>66.599999999999994</v>
      </c>
      <c r="AP81">
        <v>-5.8959999999999999</v>
      </c>
      <c r="AQ81">
        <v>16.135999999999999</v>
      </c>
      <c r="AR81">
        <v>55.350999999999999</v>
      </c>
      <c r="AS81">
        <v>29.545000000000002</v>
      </c>
    </row>
    <row r="82" spans="1:45" x14ac:dyDescent="0.25">
      <c r="A82">
        <v>52</v>
      </c>
      <c r="B82">
        <v>-24</v>
      </c>
      <c r="C82">
        <v>0</v>
      </c>
      <c r="D82">
        <v>2018</v>
      </c>
      <c r="E82">
        <v>6</v>
      </c>
      <c r="F82" t="str">
        <f>IFERROR(VLOOKUP(G82, Map!$A$1:$B$33, 2, FALSE),"WAS")</f>
        <v>CLE</v>
      </c>
      <c r="G82" t="s">
        <v>162</v>
      </c>
      <c r="H82" t="str">
        <f>IFERROR(VLOOKUP(I82, Map!$A$1:$B$33, 2, FALSE),"WAS")</f>
        <v>LAC</v>
      </c>
      <c r="I82" t="s">
        <v>160</v>
      </c>
      <c r="J82" t="s">
        <v>171</v>
      </c>
      <c r="K82" t="s">
        <v>210</v>
      </c>
      <c r="L82">
        <v>0</v>
      </c>
      <c r="M82">
        <v>0</v>
      </c>
      <c r="N82">
        <v>42.454545454545503</v>
      </c>
      <c r="O82">
        <v>-0.95454545454545503</v>
      </c>
      <c r="P82">
        <v>-1</v>
      </c>
      <c r="Q82">
        <v>45</v>
      </c>
      <c r="R82">
        <v>9.3000000000000007</v>
      </c>
      <c r="S82">
        <v>15</v>
      </c>
      <c r="T82">
        <v>6.3</v>
      </c>
      <c r="U82">
        <v>5.9</v>
      </c>
      <c r="V82">
        <v>0</v>
      </c>
      <c r="W82">
        <v>0</v>
      </c>
      <c r="X82">
        <v>0</v>
      </c>
      <c r="Y82">
        <v>0</v>
      </c>
      <c r="Z82">
        <v>18</v>
      </c>
      <c r="AA82">
        <v>29.5</v>
      </c>
      <c r="AB82">
        <v>173</v>
      </c>
      <c r="AC82">
        <v>69</v>
      </c>
      <c r="AD82">
        <v>24.1</v>
      </c>
      <c r="AE82">
        <v>13.4</v>
      </c>
      <c r="AF82">
        <v>39.9</v>
      </c>
      <c r="AG82">
        <v>60.691000000000003</v>
      </c>
      <c r="AH82">
        <v>59.7</v>
      </c>
      <c r="AI82">
        <v>7.8689999999999998</v>
      </c>
      <c r="AJ82">
        <v>6.7690000000000001</v>
      </c>
      <c r="AK82">
        <v>5.5010000000000003</v>
      </c>
      <c r="AL82">
        <v>-3.415</v>
      </c>
      <c r="AM82">
        <v>59.7</v>
      </c>
      <c r="AN82">
        <v>60.691000000000003</v>
      </c>
      <c r="AO82">
        <v>39.9</v>
      </c>
      <c r="AP82">
        <v>3.415</v>
      </c>
      <c r="AQ82">
        <v>93.230999999999995</v>
      </c>
      <c r="AR82">
        <v>92.131</v>
      </c>
      <c r="AS82">
        <v>94.498999999999995</v>
      </c>
    </row>
    <row r="83" spans="1:45" x14ac:dyDescent="0.25">
      <c r="A83">
        <v>44</v>
      </c>
      <c r="B83">
        <v>10</v>
      </c>
      <c r="C83">
        <v>1</v>
      </c>
      <c r="D83">
        <v>2018</v>
      </c>
      <c r="E83">
        <v>6</v>
      </c>
      <c r="F83" t="str">
        <f>IFERROR(VLOOKUP(G83, Map!$A$1:$B$33, 2, FALSE),"WAS")</f>
        <v>MIN</v>
      </c>
      <c r="G83" t="s">
        <v>153</v>
      </c>
      <c r="H83" t="str">
        <f>IFERROR(VLOOKUP(I83, Map!$A$1:$B$33, 2, FALSE),"WAS")</f>
        <v>ARI</v>
      </c>
      <c r="I83" t="s">
        <v>156</v>
      </c>
      <c r="J83" t="s">
        <v>214</v>
      </c>
      <c r="K83" t="s">
        <v>190</v>
      </c>
      <c r="L83">
        <v>1</v>
      </c>
      <c r="M83">
        <v>0</v>
      </c>
      <c r="N83">
        <v>39.272727272727302</v>
      </c>
      <c r="O83">
        <v>-8.8181818181818201</v>
      </c>
      <c r="P83">
        <v>-9.5</v>
      </c>
      <c r="Q83">
        <v>42.5</v>
      </c>
      <c r="R83">
        <v>3.2</v>
      </c>
      <c r="S83">
        <v>7.8</v>
      </c>
      <c r="T83">
        <v>0.9</v>
      </c>
      <c r="U83">
        <v>-1</v>
      </c>
      <c r="V83">
        <v>3.7</v>
      </c>
      <c r="W83">
        <v>2.52</v>
      </c>
      <c r="X83">
        <v>11</v>
      </c>
      <c r="Y83">
        <v>0.1</v>
      </c>
      <c r="Z83">
        <v>14.2</v>
      </c>
      <c r="AA83">
        <v>28.8</v>
      </c>
      <c r="AB83">
        <v>323</v>
      </c>
      <c r="AC83">
        <v>68</v>
      </c>
      <c r="AD83">
        <v>23.9</v>
      </c>
      <c r="AE83">
        <v>11.8</v>
      </c>
      <c r="AF83">
        <v>84.6</v>
      </c>
      <c r="AG83">
        <v>45.21</v>
      </c>
      <c r="AH83">
        <v>15.3</v>
      </c>
      <c r="AI83">
        <v>98.346999999999994</v>
      </c>
      <c r="AJ83">
        <v>34.920999999999999</v>
      </c>
      <c r="AK83">
        <v>83.388000000000005</v>
      </c>
      <c r="AL83">
        <v>13.943</v>
      </c>
      <c r="AM83">
        <v>15.3</v>
      </c>
      <c r="AN83">
        <v>45.21</v>
      </c>
      <c r="AO83">
        <v>84.6</v>
      </c>
      <c r="AP83">
        <v>-13.943</v>
      </c>
      <c r="AQ83">
        <v>65.078999999999994</v>
      </c>
      <c r="AR83">
        <v>1.653</v>
      </c>
      <c r="AS83">
        <v>16.611999999999998</v>
      </c>
    </row>
    <row r="84" spans="1:45" x14ac:dyDescent="0.25">
      <c r="A84">
        <v>21</v>
      </c>
      <c r="B84">
        <v>-21</v>
      </c>
      <c r="C84">
        <v>0</v>
      </c>
      <c r="D84">
        <v>2018</v>
      </c>
      <c r="E84">
        <v>6</v>
      </c>
      <c r="F84" t="str">
        <f>IFERROR(VLOOKUP(G84, Map!$A$1:$B$33, 2, FALSE),"WAS")</f>
        <v>TEN</v>
      </c>
      <c r="G84" t="s">
        <v>140</v>
      </c>
      <c r="H84" t="str">
        <f>IFERROR(VLOOKUP(I84, Map!$A$1:$B$33, 2, FALSE),"WAS")</f>
        <v>BAL</v>
      </c>
      <c r="I84" t="s">
        <v>146</v>
      </c>
      <c r="J84" t="s">
        <v>174</v>
      </c>
      <c r="K84" t="s">
        <v>181</v>
      </c>
      <c r="L84">
        <v>0</v>
      </c>
      <c r="M84">
        <v>0</v>
      </c>
      <c r="N84">
        <v>39.090909090909101</v>
      </c>
      <c r="O84">
        <v>2.2727272727272698</v>
      </c>
      <c r="P84">
        <v>2.5</v>
      </c>
      <c r="Q84">
        <v>41.5</v>
      </c>
      <c r="R84">
        <v>15.6</v>
      </c>
      <c r="S84">
        <v>21.5</v>
      </c>
      <c r="T84">
        <v>11.8</v>
      </c>
      <c r="U84">
        <v>15.2</v>
      </c>
      <c r="V84">
        <v>16.7</v>
      </c>
      <c r="W84">
        <v>0</v>
      </c>
      <c r="X84">
        <v>18</v>
      </c>
      <c r="Y84">
        <v>16.7</v>
      </c>
      <c r="Z84">
        <v>14.8</v>
      </c>
      <c r="AA84">
        <v>40.299999999999997</v>
      </c>
      <c r="AB84">
        <v>146</v>
      </c>
      <c r="AC84">
        <v>84</v>
      </c>
      <c r="AD84">
        <v>22.4</v>
      </c>
      <c r="AE84">
        <v>9.6999999999999993</v>
      </c>
      <c r="AF84">
        <v>43</v>
      </c>
      <c r="AG84">
        <v>71.924999999999997</v>
      </c>
      <c r="AH84">
        <v>56.6</v>
      </c>
      <c r="AI84">
        <v>15.826000000000001</v>
      </c>
      <c r="AJ84">
        <v>5.4249999999999998</v>
      </c>
      <c r="AK84">
        <v>4.9160000000000004</v>
      </c>
      <c r="AL84">
        <v>-2.3340000000000001</v>
      </c>
      <c r="AM84">
        <v>56.6</v>
      </c>
      <c r="AN84">
        <v>71.924999999999997</v>
      </c>
      <c r="AO84">
        <v>43</v>
      </c>
      <c r="AP84">
        <v>2.3340000000000001</v>
      </c>
      <c r="AQ84">
        <v>94.575000000000003</v>
      </c>
      <c r="AR84">
        <v>84.174000000000007</v>
      </c>
      <c r="AS84">
        <v>95.084000000000003</v>
      </c>
    </row>
    <row r="85" spans="1:45" x14ac:dyDescent="0.25">
      <c r="A85">
        <v>63</v>
      </c>
      <c r="B85">
        <v>5</v>
      </c>
      <c r="C85">
        <v>1</v>
      </c>
      <c r="D85">
        <v>2018</v>
      </c>
      <c r="E85">
        <v>6</v>
      </c>
      <c r="F85" t="str">
        <f>IFERROR(VLOOKUP(G85, Map!$A$1:$B$33, 2, FALSE),"WAS")</f>
        <v>ATL</v>
      </c>
      <c r="G85" t="s">
        <v>167</v>
      </c>
      <c r="H85" t="str">
        <f>IFERROR(VLOOKUP(I85, Map!$A$1:$B$33, 2, FALSE),"WAS")</f>
        <v>TB</v>
      </c>
      <c r="I85" t="s">
        <v>141</v>
      </c>
      <c r="J85" t="s">
        <v>188</v>
      </c>
      <c r="K85" t="s">
        <v>186</v>
      </c>
      <c r="L85">
        <v>1</v>
      </c>
      <c r="M85">
        <v>0</v>
      </c>
      <c r="N85">
        <v>52.181818181818201</v>
      </c>
      <c r="O85">
        <v>-2.7272727272727302</v>
      </c>
      <c r="P85">
        <v>-3</v>
      </c>
      <c r="Q85">
        <v>57</v>
      </c>
      <c r="R85">
        <v>17.5</v>
      </c>
      <c r="S85">
        <v>23.9</v>
      </c>
      <c r="T85">
        <v>13.4</v>
      </c>
      <c r="U85">
        <v>17.2</v>
      </c>
      <c r="V85">
        <v>0</v>
      </c>
      <c r="W85">
        <v>0</v>
      </c>
      <c r="X85">
        <v>0</v>
      </c>
      <c r="Y85">
        <v>0</v>
      </c>
      <c r="Z85">
        <v>13.3</v>
      </c>
      <c r="AA85">
        <v>27.4</v>
      </c>
      <c r="AB85">
        <v>103</v>
      </c>
      <c r="AC85">
        <v>76</v>
      </c>
      <c r="AD85">
        <v>19.600000000000001</v>
      </c>
      <c r="AE85">
        <v>10.199999999999999</v>
      </c>
      <c r="AF85">
        <v>64.900000000000006</v>
      </c>
      <c r="AG85">
        <v>55.215000000000003</v>
      </c>
      <c r="AH85">
        <v>34.799999999999997</v>
      </c>
      <c r="AI85">
        <v>18.768999999999998</v>
      </c>
      <c r="AJ85">
        <v>92.072999999999993</v>
      </c>
      <c r="AK85">
        <v>73.605999999999995</v>
      </c>
      <c r="AL85">
        <v>5.2919999999999998</v>
      </c>
      <c r="AM85">
        <v>34.799999999999997</v>
      </c>
      <c r="AN85">
        <v>55.215000000000003</v>
      </c>
      <c r="AO85">
        <v>64.900000000000006</v>
      </c>
      <c r="AP85">
        <v>-5.2919999999999998</v>
      </c>
      <c r="AQ85">
        <v>7.9269999999999996</v>
      </c>
      <c r="AR85">
        <v>81.230999999999995</v>
      </c>
      <c r="AS85">
        <v>26.393999999999998</v>
      </c>
    </row>
    <row r="86" spans="1:45" x14ac:dyDescent="0.25">
      <c r="A86">
        <v>59</v>
      </c>
      <c r="B86">
        <v>3</v>
      </c>
      <c r="C86">
        <v>1</v>
      </c>
      <c r="D86">
        <v>2018</v>
      </c>
      <c r="E86">
        <v>6</v>
      </c>
      <c r="F86" t="str">
        <f>IFERROR(VLOOKUP(G86, Map!$A$1:$B$33, 2, FALSE),"WAS")</f>
        <v>MIA</v>
      </c>
      <c r="G86" t="s">
        <v>152</v>
      </c>
      <c r="H86" t="str">
        <f>IFERROR(VLOOKUP(I86, Map!$A$1:$B$33, 2, FALSE),"WAS")</f>
        <v>CHI</v>
      </c>
      <c r="I86" t="s">
        <v>163</v>
      </c>
      <c r="J86" t="s">
        <v>175</v>
      </c>
      <c r="K86" t="s">
        <v>216</v>
      </c>
      <c r="L86">
        <v>1</v>
      </c>
      <c r="M86">
        <v>0</v>
      </c>
      <c r="N86">
        <v>36.954545454545503</v>
      </c>
      <c r="O86">
        <v>6.4545454545454604</v>
      </c>
      <c r="P86">
        <v>7</v>
      </c>
      <c r="Q86">
        <v>40.5</v>
      </c>
      <c r="R86">
        <v>26.7</v>
      </c>
      <c r="S86">
        <v>30.1</v>
      </c>
      <c r="T86">
        <v>23.9</v>
      </c>
      <c r="U86">
        <v>31.7</v>
      </c>
      <c r="V86">
        <v>2.5</v>
      </c>
      <c r="W86">
        <v>0</v>
      </c>
      <c r="X86">
        <v>11</v>
      </c>
      <c r="Y86">
        <v>2.5</v>
      </c>
      <c r="Z86">
        <v>12.6</v>
      </c>
      <c r="AA86">
        <v>25.9</v>
      </c>
      <c r="AB86">
        <v>100</v>
      </c>
      <c r="AC86">
        <v>85</v>
      </c>
      <c r="AD86">
        <v>14.7</v>
      </c>
      <c r="AE86">
        <v>7.1</v>
      </c>
      <c r="AF86">
        <v>35.799999999999997</v>
      </c>
      <c r="AG86">
        <v>41.255000000000003</v>
      </c>
      <c r="AH86">
        <v>63.9</v>
      </c>
      <c r="AI86">
        <v>23.702000000000002</v>
      </c>
      <c r="AJ86">
        <v>68.137</v>
      </c>
      <c r="AK86">
        <v>53.478999999999999</v>
      </c>
      <c r="AL86">
        <v>-4.9409999999999998</v>
      </c>
      <c r="AM86">
        <v>63.9</v>
      </c>
      <c r="AN86">
        <v>41.255000000000003</v>
      </c>
      <c r="AO86">
        <v>35.799999999999997</v>
      </c>
      <c r="AP86">
        <v>4.9409999999999998</v>
      </c>
      <c r="AQ86">
        <v>31.863</v>
      </c>
      <c r="AR86">
        <v>76.298000000000002</v>
      </c>
      <c r="AS86">
        <v>46.521000000000001</v>
      </c>
    </row>
    <row r="87" spans="1:45" x14ac:dyDescent="0.25">
      <c r="A87">
        <v>76</v>
      </c>
      <c r="B87">
        <v>8</v>
      </c>
      <c r="C87">
        <v>1</v>
      </c>
      <c r="D87">
        <v>2018</v>
      </c>
      <c r="E87">
        <v>6</v>
      </c>
      <c r="F87" t="str">
        <f>IFERROR(VLOOKUP(G87, Map!$A$1:$B$33, 2, FALSE),"WAS")</f>
        <v>NYJ</v>
      </c>
      <c r="G87" t="s">
        <v>166</v>
      </c>
      <c r="H87" t="str">
        <f>IFERROR(VLOOKUP(I87, Map!$A$1:$B$33, 2, FALSE),"WAS")</f>
        <v>IND</v>
      </c>
      <c r="I87" t="s">
        <v>138</v>
      </c>
      <c r="J87" t="s">
        <v>172</v>
      </c>
      <c r="K87" t="s">
        <v>177</v>
      </c>
      <c r="L87">
        <v>1</v>
      </c>
      <c r="M87">
        <v>0</v>
      </c>
      <c r="N87">
        <v>43.227272727272698</v>
      </c>
      <c r="O87">
        <v>-2.1818181818181799</v>
      </c>
      <c r="P87">
        <v>-2</v>
      </c>
      <c r="Q87">
        <v>47.5</v>
      </c>
      <c r="R87">
        <v>10.3</v>
      </c>
      <c r="S87">
        <v>14.6</v>
      </c>
      <c r="T87">
        <v>6.1</v>
      </c>
      <c r="U87">
        <v>7.9</v>
      </c>
      <c r="V87">
        <v>0</v>
      </c>
      <c r="W87">
        <v>0</v>
      </c>
      <c r="X87">
        <v>0</v>
      </c>
      <c r="Y87">
        <v>0</v>
      </c>
      <c r="Z87">
        <v>12.6</v>
      </c>
      <c r="AA87">
        <v>27.7</v>
      </c>
      <c r="AB87">
        <v>255</v>
      </c>
      <c r="AC87">
        <v>70</v>
      </c>
      <c r="AD87">
        <v>16.8</v>
      </c>
      <c r="AE87">
        <v>7.7</v>
      </c>
      <c r="AF87">
        <v>48.7</v>
      </c>
      <c r="AG87">
        <v>37.167999999999999</v>
      </c>
      <c r="AH87">
        <v>50.9</v>
      </c>
      <c r="AI87">
        <v>90.846000000000004</v>
      </c>
      <c r="AJ87">
        <v>46.154000000000003</v>
      </c>
      <c r="AK87">
        <v>80.959999999999994</v>
      </c>
      <c r="AL87">
        <v>-0.39100000000000001</v>
      </c>
      <c r="AM87">
        <v>50.9</v>
      </c>
      <c r="AN87">
        <v>37.167999999999999</v>
      </c>
      <c r="AO87">
        <v>48.7</v>
      </c>
      <c r="AP87">
        <v>0.39100000000000001</v>
      </c>
      <c r="AQ87">
        <v>53.845999999999997</v>
      </c>
      <c r="AR87">
        <v>9.1539999999999999</v>
      </c>
      <c r="AS87">
        <v>19.04</v>
      </c>
    </row>
    <row r="88" spans="1:45" x14ac:dyDescent="0.25">
      <c r="A88">
        <v>47</v>
      </c>
      <c r="B88">
        <v>33</v>
      </c>
      <c r="C88">
        <v>1</v>
      </c>
      <c r="D88">
        <v>2018</v>
      </c>
      <c r="E88">
        <v>6</v>
      </c>
      <c r="F88" t="str">
        <f>IFERROR(VLOOKUP(G88, Map!$A$1:$B$33, 2, FALSE),"WAS")</f>
        <v>DAL</v>
      </c>
      <c r="G88" t="s">
        <v>150</v>
      </c>
      <c r="H88" t="str">
        <f>IFERROR(VLOOKUP(I88, Map!$A$1:$B$33, 2, FALSE),"WAS")</f>
        <v>JAX</v>
      </c>
      <c r="I88" t="s">
        <v>139</v>
      </c>
      <c r="J88" t="s">
        <v>184</v>
      </c>
      <c r="K88" t="s">
        <v>220</v>
      </c>
      <c r="L88">
        <v>1</v>
      </c>
      <c r="M88">
        <v>0</v>
      </c>
      <c r="N88">
        <v>35.909090909090899</v>
      </c>
      <c r="O88">
        <v>2.8181818181818201</v>
      </c>
      <c r="P88">
        <v>3</v>
      </c>
      <c r="Q88">
        <v>39</v>
      </c>
      <c r="R88">
        <v>18.8</v>
      </c>
      <c r="S88">
        <v>28.3</v>
      </c>
      <c r="T88">
        <v>13.3</v>
      </c>
      <c r="U88">
        <v>19.899999999999999</v>
      </c>
      <c r="V88">
        <v>2.2000000000000002</v>
      </c>
      <c r="W88">
        <v>0</v>
      </c>
      <c r="X88">
        <v>6</v>
      </c>
      <c r="Y88">
        <v>2.2000000000000002</v>
      </c>
      <c r="Z88">
        <v>23.5</v>
      </c>
      <c r="AA88">
        <v>41.8</v>
      </c>
      <c r="AB88">
        <v>221</v>
      </c>
      <c r="AC88">
        <v>87</v>
      </c>
      <c r="AD88">
        <v>18.399999999999999</v>
      </c>
      <c r="AE88">
        <v>8.8000000000000007</v>
      </c>
      <c r="AF88">
        <v>56.1</v>
      </c>
      <c r="AG88">
        <v>51.515000000000001</v>
      </c>
      <c r="AH88">
        <v>43.6</v>
      </c>
      <c r="AI88">
        <v>97.784999999999997</v>
      </c>
      <c r="AJ88">
        <v>85.81</v>
      </c>
      <c r="AK88">
        <v>98.787999999999997</v>
      </c>
      <c r="AL88">
        <v>2.14</v>
      </c>
      <c r="AM88">
        <v>43.6</v>
      </c>
      <c r="AN88">
        <v>51.515000000000001</v>
      </c>
      <c r="AO88">
        <v>56.1</v>
      </c>
      <c r="AP88">
        <v>-2.14</v>
      </c>
      <c r="AQ88">
        <v>14.19</v>
      </c>
      <c r="AR88">
        <v>2.2149999999999999</v>
      </c>
      <c r="AS88">
        <v>1.212</v>
      </c>
    </row>
    <row r="89" spans="1:45" x14ac:dyDescent="0.25">
      <c r="A89">
        <v>47</v>
      </c>
      <c r="B89">
        <v>-21</v>
      </c>
      <c r="C89">
        <v>0</v>
      </c>
      <c r="D89">
        <v>2018</v>
      </c>
      <c r="E89">
        <v>6</v>
      </c>
      <c r="F89" t="str">
        <f>IFERROR(VLOOKUP(G89, Map!$A$1:$B$33, 2, FALSE),"WAS")</f>
        <v>NYG</v>
      </c>
      <c r="G89" t="s">
        <v>149</v>
      </c>
      <c r="H89" t="str">
        <f>IFERROR(VLOOKUP(I89, Map!$A$1:$B$33, 2, FALSE),"WAS")</f>
        <v>PHI</v>
      </c>
      <c r="I89" t="s">
        <v>147</v>
      </c>
      <c r="J89" t="s">
        <v>219</v>
      </c>
      <c r="K89" t="s">
        <v>206</v>
      </c>
      <c r="L89">
        <v>0</v>
      </c>
      <c r="M89">
        <v>0</v>
      </c>
      <c r="N89">
        <v>40.863636363636402</v>
      </c>
      <c r="O89">
        <v>1.4545454545454499</v>
      </c>
      <c r="P89">
        <v>1</v>
      </c>
      <c r="Q89">
        <v>43.5</v>
      </c>
      <c r="R89">
        <v>17</v>
      </c>
      <c r="S89">
        <v>21.8</v>
      </c>
      <c r="T89">
        <v>12.6</v>
      </c>
      <c r="U89">
        <v>15.1</v>
      </c>
      <c r="V89">
        <v>13</v>
      </c>
      <c r="W89">
        <v>0</v>
      </c>
      <c r="X89">
        <v>10</v>
      </c>
      <c r="Y89">
        <v>13</v>
      </c>
      <c r="Z89">
        <v>31.3</v>
      </c>
      <c r="AA89">
        <v>60.1</v>
      </c>
      <c r="AB89">
        <v>323</v>
      </c>
      <c r="AC89">
        <v>73</v>
      </c>
      <c r="AD89">
        <v>41</v>
      </c>
      <c r="AE89">
        <v>19.399999999999999</v>
      </c>
      <c r="AF89">
        <v>50.1</v>
      </c>
      <c r="AG89">
        <v>61.167999999999999</v>
      </c>
      <c r="AH89">
        <v>49.5</v>
      </c>
      <c r="AI89">
        <v>11.125999999999999</v>
      </c>
      <c r="AJ89">
        <v>12.212</v>
      </c>
      <c r="AK89">
        <v>5.7329999999999997</v>
      </c>
      <c r="AL89">
        <v>0.108</v>
      </c>
      <c r="AM89">
        <v>49.5</v>
      </c>
      <c r="AN89">
        <v>61.167999999999999</v>
      </c>
      <c r="AO89">
        <v>50.1</v>
      </c>
      <c r="AP89">
        <v>-0.108</v>
      </c>
      <c r="AQ89">
        <v>87.787999999999997</v>
      </c>
      <c r="AR89">
        <v>88.873999999999995</v>
      </c>
      <c r="AS89">
        <v>94.266999999999996</v>
      </c>
    </row>
    <row r="90" spans="1:45" x14ac:dyDescent="0.25">
      <c r="A90">
        <v>63</v>
      </c>
      <c r="B90">
        <v>3</v>
      </c>
      <c r="C90">
        <v>1</v>
      </c>
      <c r="D90">
        <v>2018</v>
      </c>
      <c r="E90">
        <v>6</v>
      </c>
      <c r="F90" t="str">
        <f>IFERROR(VLOOKUP(G90, Map!$A$1:$B$33, 2, FALSE),"WAS")</f>
        <v>GB</v>
      </c>
      <c r="G90" t="s">
        <v>154</v>
      </c>
      <c r="H90" t="str">
        <f>IFERROR(VLOOKUP(I90, Map!$A$1:$B$33, 2, FALSE),"WAS")</f>
        <v>SF</v>
      </c>
      <c r="I90" t="s">
        <v>143</v>
      </c>
      <c r="J90" t="s">
        <v>200</v>
      </c>
      <c r="K90" t="s">
        <v>197</v>
      </c>
      <c r="L90">
        <v>1</v>
      </c>
      <c r="M90">
        <v>0</v>
      </c>
      <c r="N90">
        <v>42.045454545454497</v>
      </c>
      <c r="O90">
        <v>-8.3636363636363598</v>
      </c>
      <c r="P90">
        <v>-8.5</v>
      </c>
      <c r="Q90">
        <v>46</v>
      </c>
      <c r="R90">
        <v>5.7</v>
      </c>
      <c r="S90">
        <v>12.8</v>
      </c>
      <c r="T90">
        <v>1.5</v>
      </c>
      <c r="U90">
        <v>0.4</v>
      </c>
      <c r="V90">
        <v>0</v>
      </c>
      <c r="W90">
        <v>0</v>
      </c>
      <c r="X90">
        <v>0</v>
      </c>
      <c r="Y90">
        <v>0</v>
      </c>
      <c r="Z90">
        <v>26.9</v>
      </c>
      <c r="AA90">
        <v>52.9</v>
      </c>
      <c r="AB90">
        <v>238</v>
      </c>
      <c r="AC90">
        <v>58</v>
      </c>
      <c r="AD90">
        <v>40.200000000000003</v>
      </c>
      <c r="AE90">
        <v>20.2</v>
      </c>
      <c r="AF90">
        <v>77.900000000000006</v>
      </c>
      <c r="AG90">
        <v>45.494</v>
      </c>
      <c r="AH90">
        <v>21.9</v>
      </c>
      <c r="AI90">
        <v>28.638000000000002</v>
      </c>
      <c r="AJ90">
        <v>69.165999999999997</v>
      </c>
      <c r="AK90">
        <v>57.396000000000001</v>
      </c>
      <c r="AL90">
        <v>10.516</v>
      </c>
      <c r="AM90">
        <v>21.9</v>
      </c>
      <c r="AN90">
        <v>45.494</v>
      </c>
      <c r="AO90">
        <v>77.900000000000006</v>
      </c>
      <c r="AP90">
        <v>-10.516</v>
      </c>
      <c r="AQ90">
        <v>30.834</v>
      </c>
      <c r="AR90">
        <v>71.361999999999995</v>
      </c>
      <c r="AS90">
        <v>42.603999999999999</v>
      </c>
    </row>
    <row r="91" spans="1:45" x14ac:dyDescent="0.25">
      <c r="A91">
        <v>49</v>
      </c>
      <c r="B91">
        <v>-7</v>
      </c>
      <c r="C91">
        <v>0</v>
      </c>
      <c r="D91">
        <v>2018</v>
      </c>
      <c r="E91">
        <v>6</v>
      </c>
      <c r="F91" t="str">
        <f>IFERROR(VLOOKUP(G91, Map!$A$1:$B$33, 2, FALSE),"WAS")</f>
        <v>CIN</v>
      </c>
      <c r="G91" t="s">
        <v>161</v>
      </c>
      <c r="H91" t="str">
        <f>IFERROR(VLOOKUP(I91, Map!$A$1:$B$33, 2, FALSE),"WAS")</f>
        <v>PIT</v>
      </c>
      <c r="I91" t="s">
        <v>145</v>
      </c>
      <c r="J91" t="s">
        <v>176</v>
      </c>
      <c r="K91" t="s">
        <v>170</v>
      </c>
      <c r="L91">
        <v>0</v>
      </c>
      <c r="M91">
        <v>0</v>
      </c>
      <c r="N91">
        <v>45.136363636363598</v>
      </c>
      <c r="O91">
        <v>-1.13636363636364</v>
      </c>
      <c r="P91">
        <v>-1</v>
      </c>
      <c r="Q91">
        <v>49.5</v>
      </c>
      <c r="R91">
        <v>9.8000000000000007</v>
      </c>
      <c r="S91">
        <v>13.6</v>
      </c>
      <c r="T91">
        <v>7.9</v>
      </c>
      <c r="U91">
        <v>7.6</v>
      </c>
      <c r="V91">
        <v>2.7</v>
      </c>
      <c r="W91">
        <v>0</v>
      </c>
      <c r="X91">
        <v>10</v>
      </c>
      <c r="Y91">
        <v>2.7</v>
      </c>
      <c r="Z91">
        <v>13.3</v>
      </c>
      <c r="AA91">
        <v>33.5</v>
      </c>
      <c r="AB91">
        <v>130</v>
      </c>
      <c r="AC91">
        <v>80</v>
      </c>
      <c r="AD91">
        <v>20.399999999999999</v>
      </c>
      <c r="AE91">
        <v>8.6999999999999993</v>
      </c>
      <c r="AF91">
        <v>52.8</v>
      </c>
      <c r="AG91">
        <v>58.231999999999999</v>
      </c>
      <c r="AH91">
        <v>46.8</v>
      </c>
      <c r="AI91">
        <v>10.972</v>
      </c>
      <c r="AJ91">
        <v>71.570999999999998</v>
      </c>
      <c r="AK91">
        <v>36.86</v>
      </c>
      <c r="AL91">
        <v>1.036</v>
      </c>
      <c r="AM91">
        <v>46.8</v>
      </c>
      <c r="AN91">
        <v>58.231999999999999</v>
      </c>
      <c r="AO91">
        <v>52.8</v>
      </c>
      <c r="AP91">
        <v>-1.036</v>
      </c>
      <c r="AQ91">
        <v>28.428999999999998</v>
      </c>
      <c r="AR91">
        <v>89.028000000000006</v>
      </c>
      <c r="AS91">
        <v>63.14</v>
      </c>
    </row>
    <row r="92" spans="1:45" x14ac:dyDescent="0.25">
      <c r="A92">
        <v>33</v>
      </c>
      <c r="B92">
        <v>7</v>
      </c>
      <c r="C92">
        <v>1</v>
      </c>
      <c r="D92">
        <v>2018</v>
      </c>
      <c r="E92">
        <v>6</v>
      </c>
      <c r="F92" t="str">
        <f>IFERROR(VLOOKUP(G92, Map!$A$1:$B$33, 2, FALSE),"WAS")</f>
        <v>HOU</v>
      </c>
      <c r="G92" t="s">
        <v>137</v>
      </c>
      <c r="H92" t="str">
        <f>IFERROR(VLOOKUP(I92, Map!$A$1:$B$33, 2, FALSE),"WAS")</f>
        <v>BUF</v>
      </c>
      <c r="I92" t="s">
        <v>165</v>
      </c>
      <c r="J92" t="s">
        <v>209</v>
      </c>
      <c r="K92" t="s">
        <v>180</v>
      </c>
      <c r="L92">
        <v>1</v>
      </c>
      <c r="M92">
        <v>0</v>
      </c>
      <c r="N92">
        <v>36.545454545454497</v>
      </c>
      <c r="O92">
        <v>-9.1818181818181799</v>
      </c>
      <c r="P92">
        <v>-10</v>
      </c>
      <c r="Q92">
        <v>40</v>
      </c>
      <c r="R92">
        <v>27</v>
      </c>
      <c r="S92">
        <v>30.5</v>
      </c>
      <c r="T92">
        <v>25.3</v>
      </c>
      <c r="U92">
        <v>29.9</v>
      </c>
      <c r="V92">
        <v>0</v>
      </c>
      <c r="W92">
        <v>0</v>
      </c>
      <c r="X92">
        <v>0</v>
      </c>
      <c r="Y92">
        <v>0</v>
      </c>
      <c r="Z92">
        <v>19.8</v>
      </c>
      <c r="AA92">
        <v>34.6</v>
      </c>
      <c r="AB92">
        <v>170</v>
      </c>
      <c r="AC92">
        <v>78</v>
      </c>
      <c r="AD92">
        <v>29.6</v>
      </c>
      <c r="AE92">
        <v>17.100000000000001</v>
      </c>
      <c r="AF92">
        <v>77.900000000000006</v>
      </c>
      <c r="AG92">
        <v>47.737000000000002</v>
      </c>
      <c r="AH92">
        <v>21.9</v>
      </c>
      <c r="AI92">
        <v>89.441999999999993</v>
      </c>
      <c r="AJ92">
        <v>13.253</v>
      </c>
      <c r="AK92">
        <v>71.146000000000001</v>
      </c>
      <c r="AL92">
        <v>10.518000000000001</v>
      </c>
      <c r="AM92">
        <v>21.9</v>
      </c>
      <c r="AN92">
        <v>47.737000000000002</v>
      </c>
      <c r="AO92">
        <v>77.900000000000006</v>
      </c>
      <c r="AP92">
        <v>-10.518000000000001</v>
      </c>
      <c r="AQ92">
        <v>86.747</v>
      </c>
      <c r="AR92">
        <v>10.558</v>
      </c>
      <c r="AS92">
        <v>28.853999999999999</v>
      </c>
    </row>
    <row r="93" spans="1:45" x14ac:dyDescent="0.25">
      <c r="A93">
        <v>40</v>
      </c>
      <c r="B93">
        <v>6</v>
      </c>
      <c r="C93">
        <v>1</v>
      </c>
      <c r="D93">
        <v>2018</v>
      </c>
      <c r="E93">
        <v>6</v>
      </c>
      <c r="F93" t="str">
        <f>IFERROR(VLOOKUP(G93, Map!$A$1:$B$33, 2, FALSE),"WAS")</f>
        <v>WAS</v>
      </c>
      <c r="G93" t="s">
        <v>204</v>
      </c>
      <c r="H93" t="str">
        <f>IFERROR(VLOOKUP(I93, Map!$A$1:$B$33, 2, FALSE),"WAS")</f>
        <v>CAR</v>
      </c>
      <c r="I93" t="s">
        <v>142</v>
      </c>
      <c r="J93" t="s">
        <v>205</v>
      </c>
      <c r="K93" t="s">
        <v>185</v>
      </c>
      <c r="L93">
        <v>1</v>
      </c>
      <c r="M93">
        <v>0</v>
      </c>
      <c r="N93">
        <v>40.545454545454497</v>
      </c>
      <c r="O93">
        <v>1.1818181818181801</v>
      </c>
      <c r="P93">
        <v>1</v>
      </c>
      <c r="Q93">
        <v>44.5</v>
      </c>
      <c r="R93">
        <v>11.1</v>
      </c>
      <c r="S93">
        <v>16.399999999999999</v>
      </c>
      <c r="T93">
        <v>7.1</v>
      </c>
      <c r="U93">
        <v>9.3000000000000007</v>
      </c>
      <c r="V93">
        <v>0.8</v>
      </c>
      <c r="W93">
        <v>0</v>
      </c>
      <c r="X93">
        <v>2</v>
      </c>
      <c r="Y93">
        <v>0.8</v>
      </c>
      <c r="Z93">
        <v>13</v>
      </c>
      <c r="AA93">
        <v>26.6</v>
      </c>
      <c r="AB93">
        <v>286</v>
      </c>
      <c r="AC93">
        <v>72</v>
      </c>
      <c r="AD93">
        <v>13.4</v>
      </c>
      <c r="AE93">
        <v>5.7</v>
      </c>
      <c r="AF93">
        <v>55.5</v>
      </c>
      <c r="AG93">
        <v>38.753999999999998</v>
      </c>
      <c r="AH93">
        <v>44.1</v>
      </c>
      <c r="AI93">
        <v>41.945999999999998</v>
      </c>
      <c r="AJ93">
        <v>50.908000000000001</v>
      </c>
      <c r="AK93">
        <v>69.549000000000007</v>
      </c>
      <c r="AL93">
        <v>1.9650000000000001</v>
      </c>
      <c r="AM93">
        <v>44.1</v>
      </c>
      <c r="AN93">
        <v>38.753999999999998</v>
      </c>
      <c r="AO93">
        <v>55.5</v>
      </c>
      <c r="AP93">
        <v>-1.9650000000000001</v>
      </c>
      <c r="AQ93">
        <v>49.091999999999999</v>
      </c>
      <c r="AR93">
        <v>58.054000000000002</v>
      </c>
      <c r="AS93">
        <v>30.451000000000001</v>
      </c>
    </row>
    <row r="94" spans="1:45" x14ac:dyDescent="0.25">
      <c r="A94">
        <v>30</v>
      </c>
      <c r="B94">
        <v>-24</v>
      </c>
      <c r="C94">
        <v>0</v>
      </c>
      <c r="D94">
        <v>2018</v>
      </c>
      <c r="E94">
        <v>6</v>
      </c>
      <c r="F94" t="str">
        <f>IFERROR(VLOOKUP(G94, Map!$A$1:$B$33, 2, FALSE),"WAS")</f>
        <v>LV</v>
      </c>
      <c r="G94" t="s">
        <v>157</v>
      </c>
      <c r="H94" t="str">
        <f>IFERROR(VLOOKUP(I94, Map!$A$1:$B$33, 2, FALSE),"WAS")</f>
        <v>SEA</v>
      </c>
      <c r="I94" t="s">
        <v>144</v>
      </c>
      <c r="J94" t="s">
        <v>179</v>
      </c>
      <c r="K94" t="s">
        <v>182</v>
      </c>
      <c r="L94">
        <v>0</v>
      </c>
      <c r="M94">
        <v>0</v>
      </c>
      <c r="N94">
        <v>43.681818181818201</v>
      </c>
      <c r="O94">
        <v>2.6818181818181799</v>
      </c>
      <c r="P94">
        <v>2.5</v>
      </c>
      <c r="Q94">
        <v>47.5</v>
      </c>
      <c r="R94">
        <v>13.6</v>
      </c>
      <c r="S94">
        <v>18.100000000000001</v>
      </c>
      <c r="T94">
        <v>10.8</v>
      </c>
      <c r="U94">
        <v>11.9</v>
      </c>
      <c r="V94">
        <v>16.3</v>
      </c>
      <c r="W94">
        <v>0</v>
      </c>
      <c r="X94">
        <v>17</v>
      </c>
      <c r="Y94">
        <v>16.3</v>
      </c>
      <c r="Z94">
        <v>23.1</v>
      </c>
      <c r="AA94">
        <v>38.5</v>
      </c>
      <c r="AB94">
        <v>8</v>
      </c>
      <c r="AC94">
        <v>90</v>
      </c>
      <c r="AD94">
        <v>30.5</v>
      </c>
      <c r="AE94">
        <v>16.100000000000001</v>
      </c>
      <c r="AF94">
        <v>34</v>
      </c>
      <c r="AG94">
        <v>43.540999999999997</v>
      </c>
      <c r="AH94">
        <v>65.7</v>
      </c>
      <c r="AI94">
        <v>22.143000000000001</v>
      </c>
      <c r="AJ94">
        <v>6.5209999999999999</v>
      </c>
      <c r="AK94">
        <v>3.411</v>
      </c>
      <c r="AL94">
        <v>-5.5750000000000002</v>
      </c>
      <c r="AM94">
        <v>65.7</v>
      </c>
      <c r="AN94">
        <v>43.540999999999997</v>
      </c>
      <c r="AO94">
        <v>34</v>
      </c>
      <c r="AP94">
        <v>5.5750000000000002</v>
      </c>
      <c r="AQ94">
        <v>93.478999999999999</v>
      </c>
      <c r="AR94">
        <v>77.856999999999999</v>
      </c>
      <c r="AS94">
        <v>96.588999999999999</v>
      </c>
    </row>
    <row r="95" spans="1:45" x14ac:dyDescent="0.25">
      <c r="A95">
        <v>49</v>
      </c>
      <c r="B95">
        <v>-29</v>
      </c>
      <c r="C95">
        <v>0</v>
      </c>
      <c r="D95">
        <v>2018</v>
      </c>
      <c r="E95">
        <v>7</v>
      </c>
      <c r="F95" t="str">
        <f>IFERROR(VLOOKUP(G95, Map!$A$1:$B$33, 2, FALSE),"WAS")</f>
        <v>SF</v>
      </c>
      <c r="G95" t="s">
        <v>143</v>
      </c>
      <c r="H95" t="str">
        <f>IFERROR(VLOOKUP(I95, Map!$A$1:$B$33, 2, FALSE),"WAS")</f>
        <v>LA</v>
      </c>
      <c r="I95" t="s">
        <v>155</v>
      </c>
      <c r="J95" t="s">
        <v>197</v>
      </c>
      <c r="K95" t="s">
        <v>178</v>
      </c>
      <c r="L95">
        <v>0</v>
      </c>
      <c r="M95">
        <v>0</v>
      </c>
      <c r="N95">
        <v>47.045454545454497</v>
      </c>
      <c r="O95">
        <v>7.7727272727272698</v>
      </c>
      <c r="P95">
        <v>8</v>
      </c>
      <c r="Q95">
        <v>51.5</v>
      </c>
      <c r="R95">
        <v>14.8</v>
      </c>
      <c r="S95">
        <v>23.2</v>
      </c>
      <c r="T95">
        <v>10.3</v>
      </c>
      <c r="U95">
        <v>14.5</v>
      </c>
      <c r="V95">
        <v>0</v>
      </c>
      <c r="W95">
        <v>0</v>
      </c>
      <c r="X95">
        <v>0</v>
      </c>
      <c r="Y95">
        <v>0</v>
      </c>
      <c r="Z95">
        <v>12</v>
      </c>
      <c r="AA95">
        <v>25.6</v>
      </c>
      <c r="AB95">
        <v>312</v>
      </c>
      <c r="AC95">
        <v>83</v>
      </c>
      <c r="AD95">
        <v>13.7</v>
      </c>
      <c r="AE95">
        <v>6.3</v>
      </c>
      <c r="AF95">
        <v>25.7</v>
      </c>
      <c r="AG95">
        <v>54.945999999999998</v>
      </c>
      <c r="AH95">
        <v>74.099999999999994</v>
      </c>
      <c r="AI95">
        <v>32.520000000000003</v>
      </c>
      <c r="AJ95">
        <v>0.5</v>
      </c>
      <c r="AK95">
        <v>2.6890000000000001</v>
      </c>
      <c r="AL95">
        <v>-8.8119999999999994</v>
      </c>
      <c r="AM95">
        <v>74.099999999999994</v>
      </c>
      <c r="AN95">
        <v>54.945999999999998</v>
      </c>
      <c r="AO95">
        <v>25.7</v>
      </c>
      <c r="AP95">
        <v>8.8119999999999994</v>
      </c>
      <c r="AQ95">
        <v>99.5</v>
      </c>
      <c r="AR95">
        <v>67.48</v>
      </c>
      <c r="AS95">
        <v>97.311000000000007</v>
      </c>
    </row>
    <row r="96" spans="1:45" x14ac:dyDescent="0.25">
      <c r="A96">
        <v>49</v>
      </c>
      <c r="B96">
        <v>3</v>
      </c>
      <c r="C96">
        <v>1</v>
      </c>
      <c r="D96">
        <v>2018</v>
      </c>
      <c r="E96">
        <v>7</v>
      </c>
      <c r="F96" t="str">
        <f>IFERROR(VLOOKUP(G96, Map!$A$1:$B$33, 2, FALSE),"WAS")</f>
        <v>TB</v>
      </c>
      <c r="G96" t="s">
        <v>141</v>
      </c>
      <c r="H96" t="str">
        <f>IFERROR(VLOOKUP(I96, Map!$A$1:$B$33, 2, FALSE),"WAS")</f>
        <v>CLE</v>
      </c>
      <c r="I96" t="s">
        <v>162</v>
      </c>
      <c r="J96" t="s">
        <v>186</v>
      </c>
      <c r="K96" t="s">
        <v>171</v>
      </c>
      <c r="L96">
        <v>1</v>
      </c>
      <c r="M96">
        <v>0</v>
      </c>
      <c r="N96">
        <v>47.545454545454497</v>
      </c>
      <c r="O96">
        <v>-3.1818181818181799</v>
      </c>
      <c r="P96">
        <v>-3.5</v>
      </c>
      <c r="Q96">
        <v>49.5</v>
      </c>
      <c r="R96">
        <v>25.4</v>
      </c>
      <c r="S96">
        <v>27.7</v>
      </c>
      <c r="T96">
        <v>23.3</v>
      </c>
      <c r="U96">
        <v>28.2</v>
      </c>
      <c r="V96">
        <v>0</v>
      </c>
      <c r="W96">
        <v>0</v>
      </c>
      <c r="X96">
        <v>0</v>
      </c>
      <c r="Y96">
        <v>0</v>
      </c>
      <c r="Z96">
        <v>18.899999999999999</v>
      </c>
      <c r="AA96">
        <v>33.5</v>
      </c>
      <c r="AB96">
        <v>12</v>
      </c>
      <c r="AC96">
        <v>78</v>
      </c>
      <c r="AD96">
        <v>22.2</v>
      </c>
      <c r="AE96">
        <v>11.8</v>
      </c>
      <c r="AF96">
        <v>73.8</v>
      </c>
      <c r="AG96">
        <v>34.421999999999997</v>
      </c>
      <c r="AH96">
        <v>26</v>
      </c>
      <c r="AI96">
        <v>81.66</v>
      </c>
      <c r="AJ96">
        <v>41.96</v>
      </c>
      <c r="AK96">
        <v>67.373999999999995</v>
      </c>
      <c r="AL96">
        <v>8.6969999999999992</v>
      </c>
      <c r="AM96">
        <v>26</v>
      </c>
      <c r="AN96">
        <v>34.421999999999997</v>
      </c>
      <c r="AO96">
        <v>73.8</v>
      </c>
      <c r="AP96">
        <v>-8.6969999999999992</v>
      </c>
      <c r="AQ96">
        <v>58.04</v>
      </c>
      <c r="AR96">
        <v>18.34</v>
      </c>
      <c r="AS96">
        <v>32.625999999999998</v>
      </c>
    </row>
    <row r="97" spans="1:45" x14ac:dyDescent="0.25">
      <c r="A97">
        <v>27</v>
      </c>
      <c r="B97">
        <v>-13</v>
      </c>
      <c r="C97">
        <v>0</v>
      </c>
      <c r="D97">
        <v>2018</v>
      </c>
      <c r="E97">
        <v>7</v>
      </c>
      <c r="F97" t="str">
        <f>IFERROR(VLOOKUP(G97, Map!$A$1:$B$33, 2, FALSE),"WAS")</f>
        <v>JAX</v>
      </c>
      <c r="G97" t="s">
        <v>139</v>
      </c>
      <c r="H97" t="str">
        <f>IFERROR(VLOOKUP(I97, Map!$A$1:$B$33, 2, FALSE),"WAS")</f>
        <v>HOU</v>
      </c>
      <c r="I97" t="s">
        <v>137</v>
      </c>
      <c r="J97" t="s">
        <v>220</v>
      </c>
      <c r="K97" t="s">
        <v>209</v>
      </c>
      <c r="L97">
        <v>0</v>
      </c>
      <c r="M97">
        <v>0</v>
      </c>
      <c r="N97">
        <v>38.590909090909101</v>
      </c>
      <c r="O97">
        <v>-3.2727272727272698</v>
      </c>
      <c r="P97">
        <v>-3.5</v>
      </c>
      <c r="Q97">
        <v>41</v>
      </c>
      <c r="R97">
        <v>20.9</v>
      </c>
      <c r="S97">
        <v>27.1</v>
      </c>
      <c r="T97">
        <v>16.399999999999999</v>
      </c>
      <c r="U97">
        <v>20.100000000000001</v>
      </c>
      <c r="V97">
        <v>0.5</v>
      </c>
      <c r="W97">
        <v>0</v>
      </c>
      <c r="X97">
        <v>3</v>
      </c>
      <c r="Y97">
        <v>0.5</v>
      </c>
      <c r="Z97">
        <v>24.2</v>
      </c>
      <c r="AA97">
        <v>43.2</v>
      </c>
      <c r="AB97">
        <v>353</v>
      </c>
      <c r="AC97">
        <v>69</v>
      </c>
      <c r="AD97">
        <v>35.4</v>
      </c>
      <c r="AE97">
        <v>19.5</v>
      </c>
      <c r="AF97">
        <v>60.8</v>
      </c>
      <c r="AG97">
        <v>53.057000000000002</v>
      </c>
      <c r="AH97">
        <v>38.9</v>
      </c>
      <c r="AI97">
        <v>51.575000000000003</v>
      </c>
      <c r="AJ97">
        <v>6.4569999999999999</v>
      </c>
      <c r="AK97">
        <v>11.752000000000001</v>
      </c>
      <c r="AL97">
        <v>3.7639999999999998</v>
      </c>
      <c r="AM97">
        <v>38.9</v>
      </c>
      <c r="AN97">
        <v>53.057000000000002</v>
      </c>
      <c r="AO97">
        <v>60.8</v>
      </c>
      <c r="AP97">
        <v>-3.7639999999999998</v>
      </c>
      <c r="AQ97">
        <v>93.543000000000006</v>
      </c>
      <c r="AR97">
        <v>48.424999999999997</v>
      </c>
      <c r="AS97">
        <v>88.248000000000005</v>
      </c>
    </row>
    <row r="98" spans="1:45" x14ac:dyDescent="0.25">
      <c r="A98">
        <v>69</v>
      </c>
      <c r="B98">
        <v>-7</v>
      </c>
      <c r="C98">
        <v>0</v>
      </c>
      <c r="D98">
        <v>2018</v>
      </c>
      <c r="E98">
        <v>7</v>
      </c>
      <c r="F98" t="str">
        <f>IFERROR(VLOOKUP(G98, Map!$A$1:$B$33, 2, FALSE),"WAS")</f>
        <v>CHI</v>
      </c>
      <c r="G98" t="s">
        <v>163</v>
      </c>
      <c r="H98" t="str">
        <f>IFERROR(VLOOKUP(I98, Map!$A$1:$B$33, 2, FALSE),"WAS")</f>
        <v>NE</v>
      </c>
      <c r="I98" t="s">
        <v>151</v>
      </c>
      <c r="J98" t="s">
        <v>216</v>
      </c>
      <c r="K98" t="s">
        <v>187</v>
      </c>
      <c r="L98">
        <v>0</v>
      </c>
      <c r="M98">
        <v>0</v>
      </c>
      <c r="N98">
        <v>44.727272727272698</v>
      </c>
      <c r="O98">
        <v>1.4545454545454499</v>
      </c>
      <c r="P98">
        <v>1</v>
      </c>
      <c r="Q98">
        <v>48.5</v>
      </c>
      <c r="R98">
        <v>3</v>
      </c>
      <c r="S98">
        <v>8.6</v>
      </c>
      <c r="T98">
        <v>-1.2</v>
      </c>
      <c r="U98">
        <v>-2.5</v>
      </c>
      <c r="V98">
        <v>0</v>
      </c>
      <c r="W98">
        <v>0</v>
      </c>
      <c r="X98">
        <v>0</v>
      </c>
      <c r="Y98">
        <v>0</v>
      </c>
      <c r="Z98">
        <v>30</v>
      </c>
      <c r="AA98">
        <v>56.5</v>
      </c>
      <c r="AB98">
        <v>280</v>
      </c>
      <c r="AC98">
        <v>60</v>
      </c>
      <c r="AD98">
        <v>31.2</v>
      </c>
      <c r="AE98">
        <v>19</v>
      </c>
      <c r="AF98">
        <v>50.1</v>
      </c>
      <c r="AG98">
        <v>88.757999999999996</v>
      </c>
      <c r="AH98">
        <v>49.5</v>
      </c>
      <c r="AI98">
        <v>20.901</v>
      </c>
      <c r="AJ98">
        <v>55.427</v>
      </c>
      <c r="AK98">
        <v>31.442</v>
      </c>
      <c r="AL98">
        <v>0.114</v>
      </c>
      <c r="AM98">
        <v>49.5</v>
      </c>
      <c r="AN98">
        <v>88.757999999999996</v>
      </c>
      <c r="AO98">
        <v>50.1</v>
      </c>
      <c r="AP98">
        <v>-0.114</v>
      </c>
      <c r="AQ98">
        <v>44.573</v>
      </c>
      <c r="AR98">
        <v>79.099000000000004</v>
      </c>
      <c r="AS98">
        <v>68.558000000000007</v>
      </c>
    </row>
    <row r="99" spans="1:45" x14ac:dyDescent="0.25">
      <c r="A99">
        <v>55</v>
      </c>
      <c r="B99">
        <v>35</v>
      </c>
      <c r="C99">
        <v>1</v>
      </c>
      <c r="D99">
        <v>2018</v>
      </c>
      <c r="E99">
        <v>7</v>
      </c>
      <c r="F99" t="str">
        <f>IFERROR(VLOOKUP(G99, Map!$A$1:$B$33, 2, FALSE),"WAS")</f>
        <v>KC</v>
      </c>
      <c r="G99" t="s">
        <v>158</v>
      </c>
      <c r="H99" t="str">
        <f>IFERROR(VLOOKUP(I99, Map!$A$1:$B$33, 2, FALSE),"WAS")</f>
        <v>CIN</v>
      </c>
      <c r="I99" t="s">
        <v>161</v>
      </c>
      <c r="J99" t="s">
        <v>202</v>
      </c>
      <c r="K99" t="s">
        <v>176</v>
      </c>
      <c r="L99">
        <v>1</v>
      </c>
      <c r="M99">
        <v>0</v>
      </c>
      <c r="N99">
        <v>51.227272727272698</v>
      </c>
      <c r="O99">
        <v>-5.7727272727272698</v>
      </c>
      <c r="P99">
        <v>-5.5</v>
      </c>
      <c r="Q99">
        <v>56</v>
      </c>
      <c r="R99">
        <v>13.6</v>
      </c>
      <c r="S99">
        <v>19.8</v>
      </c>
      <c r="T99">
        <v>9.1999999999999993</v>
      </c>
      <c r="U99">
        <v>11.1</v>
      </c>
      <c r="V99">
        <v>0</v>
      </c>
      <c r="W99">
        <v>0</v>
      </c>
      <c r="X99">
        <v>0</v>
      </c>
      <c r="Y99">
        <v>0</v>
      </c>
      <c r="Z99">
        <v>17.2</v>
      </c>
      <c r="AA99">
        <v>30.6</v>
      </c>
      <c r="AB99">
        <v>218</v>
      </c>
      <c r="AC99">
        <v>62</v>
      </c>
      <c r="AD99">
        <v>23.4</v>
      </c>
      <c r="AE99">
        <v>11.6</v>
      </c>
      <c r="AF99">
        <v>70.3</v>
      </c>
      <c r="AG99">
        <v>54.408999999999999</v>
      </c>
      <c r="AH99">
        <v>29.4</v>
      </c>
      <c r="AI99">
        <v>77.97</v>
      </c>
      <c r="AJ99">
        <v>98.364999999999995</v>
      </c>
      <c r="AK99">
        <v>97.78</v>
      </c>
      <c r="AL99">
        <v>7.2889999999999997</v>
      </c>
      <c r="AM99">
        <v>29.4</v>
      </c>
      <c r="AN99">
        <v>54.408999999999999</v>
      </c>
      <c r="AO99">
        <v>70.3</v>
      </c>
      <c r="AP99">
        <v>-7.2889999999999997</v>
      </c>
      <c r="AQ99">
        <v>1.635</v>
      </c>
      <c r="AR99">
        <v>22.03</v>
      </c>
      <c r="AS99">
        <v>2.2200000000000002</v>
      </c>
    </row>
    <row r="100" spans="1:45" x14ac:dyDescent="0.25">
      <c r="A100">
        <v>39</v>
      </c>
      <c r="B100">
        <v>1</v>
      </c>
      <c r="C100">
        <v>1</v>
      </c>
      <c r="D100">
        <v>2018</v>
      </c>
      <c r="E100">
        <v>7</v>
      </c>
      <c r="F100" t="str">
        <f>IFERROR(VLOOKUP(G100, Map!$A$1:$B$33, 2, FALSE),"WAS")</f>
        <v>LAC</v>
      </c>
      <c r="G100" t="s">
        <v>160</v>
      </c>
      <c r="H100" t="str">
        <f>IFERROR(VLOOKUP(I100, Map!$A$1:$B$33, 2, FALSE),"WAS")</f>
        <v>TEN</v>
      </c>
      <c r="I100" t="s">
        <v>140</v>
      </c>
      <c r="J100" t="s">
        <v>210</v>
      </c>
      <c r="K100" t="s">
        <v>174</v>
      </c>
      <c r="L100">
        <v>1</v>
      </c>
      <c r="M100">
        <v>0</v>
      </c>
      <c r="N100">
        <v>41.681818181818201</v>
      </c>
      <c r="O100">
        <v>-5.9090909090909101</v>
      </c>
      <c r="P100">
        <v>-6.5</v>
      </c>
      <c r="Q100">
        <v>45</v>
      </c>
      <c r="R100">
        <v>11.8</v>
      </c>
      <c r="S100">
        <v>16.7</v>
      </c>
      <c r="T100">
        <v>7.2</v>
      </c>
      <c r="U100">
        <v>10.1</v>
      </c>
      <c r="V100">
        <v>0.4</v>
      </c>
      <c r="W100">
        <v>0</v>
      </c>
      <c r="X100">
        <v>2</v>
      </c>
      <c r="Y100">
        <v>0.4</v>
      </c>
      <c r="Z100">
        <v>21.5</v>
      </c>
      <c r="AA100">
        <v>34.9</v>
      </c>
      <c r="AB100">
        <v>272</v>
      </c>
      <c r="AC100">
        <v>85</v>
      </c>
      <c r="AD100">
        <v>17.3</v>
      </c>
      <c r="AE100">
        <v>9.8000000000000007</v>
      </c>
      <c r="AF100">
        <v>71.8</v>
      </c>
      <c r="AG100">
        <v>78.221000000000004</v>
      </c>
      <c r="AH100">
        <v>27.9</v>
      </c>
      <c r="AI100">
        <v>37.630000000000003</v>
      </c>
      <c r="AJ100">
        <v>91.602999999999994</v>
      </c>
      <c r="AK100">
        <v>61.302999999999997</v>
      </c>
      <c r="AL100">
        <v>7.9169999999999998</v>
      </c>
      <c r="AM100">
        <v>27.9</v>
      </c>
      <c r="AN100">
        <v>78.221000000000004</v>
      </c>
      <c r="AO100">
        <v>71.8</v>
      </c>
      <c r="AP100">
        <v>-7.9169999999999998</v>
      </c>
      <c r="AQ100">
        <v>8.3970000000000002</v>
      </c>
      <c r="AR100">
        <v>62.37</v>
      </c>
      <c r="AS100">
        <v>38.697000000000003</v>
      </c>
    </row>
    <row r="101" spans="1:45" x14ac:dyDescent="0.25">
      <c r="A101">
        <v>37</v>
      </c>
      <c r="B101">
        <v>3</v>
      </c>
      <c r="C101">
        <v>1</v>
      </c>
      <c r="D101">
        <v>2018</v>
      </c>
      <c r="E101">
        <v>7</v>
      </c>
      <c r="F101" t="str">
        <f>IFERROR(VLOOKUP(G101, Map!$A$1:$B$33, 2, FALSE),"WAS")</f>
        <v>WAS</v>
      </c>
      <c r="G101" t="s">
        <v>204</v>
      </c>
      <c r="H101" t="str">
        <f>IFERROR(VLOOKUP(I101, Map!$A$1:$B$33, 2, FALSE),"WAS")</f>
        <v>DAL</v>
      </c>
      <c r="I101" t="s">
        <v>150</v>
      </c>
      <c r="J101" t="s">
        <v>205</v>
      </c>
      <c r="K101" t="s">
        <v>184</v>
      </c>
      <c r="L101">
        <v>1</v>
      </c>
      <c r="M101">
        <v>0</v>
      </c>
      <c r="N101">
        <v>36.863636363636402</v>
      </c>
      <c r="O101">
        <v>1.5</v>
      </c>
      <c r="P101">
        <v>1</v>
      </c>
      <c r="Q101">
        <v>40.5</v>
      </c>
      <c r="R101">
        <v>10.199999999999999</v>
      </c>
      <c r="S101">
        <v>13.8</v>
      </c>
      <c r="T101">
        <v>7.2</v>
      </c>
      <c r="U101">
        <v>5</v>
      </c>
      <c r="V101">
        <v>0.7</v>
      </c>
      <c r="W101">
        <v>0</v>
      </c>
      <c r="X101">
        <v>4</v>
      </c>
      <c r="Y101">
        <v>0.7</v>
      </c>
      <c r="Z101">
        <v>31.1</v>
      </c>
      <c r="AA101">
        <v>62.3</v>
      </c>
      <c r="AB101">
        <v>305</v>
      </c>
      <c r="AC101">
        <v>57</v>
      </c>
      <c r="AD101">
        <v>46.6</v>
      </c>
      <c r="AE101">
        <v>23.4</v>
      </c>
      <c r="AF101">
        <v>47.1</v>
      </c>
      <c r="AG101">
        <v>43.223999999999997</v>
      </c>
      <c r="AH101">
        <v>52.5</v>
      </c>
      <c r="AI101">
        <v>74.894999999999996</v>
      </c>
      <c r="AJ101">
        <v>42.372999999999998</v>
      </c>
      <c r="AK101">
        <v>63.082999999999998</v>
      </c>
      <c r="AL101">
        <v>-0.91700000000000004</v>
      </c>
      <c r="AM101">
        <v>52.5</v>
      </c>
      <c r="AN101">
        <v>43.223999999999997</v>
      </c>
      <c r="AO101">
        <v>47.1</v>
      </c>
      <c r="AP101">
        <v>0.91700000000000004</v>
      </c>
      <c r="AQ101">
        <v>57.627000000000002</v>
      </c>
      <c r="AR101">
        <v>25.105</v>
      </c>
      <c r="AS101">
        <v>36.917000000000002</v>
      </c>
    </row>
    <row r="102" spans="1:45" x14ac:dyDescent="0.25">
      <c r="A102">
        <v>38</v>
      </c>
      <c r="B102">
        <v>-4</v>
      </c>
      <c r="C102">
        <v>0</v>
      </c>
      <c r="D102">
        <v>2018</v>
      </c>
      <c r="E102">
        <v>7</v>
      </c>
      <c r="F102" t="str">
        <f>IFERROR(VLOOKUP(G102, Map!$A$1:$B$33, 2, FALSE),"WAS")</f>
        <v>PHI</v>
      </c>
      <c r="G102" t="s">
        <v>147</v>
      </c>
      <c r="H102" t="str">
        <f>IFERROR(VLOOKUP(I102, Map!$A$1:$B$33, 2, FALSE),"WAS")</f>
        <v>CAR</v>
      </c>
      <c r="I102" t="s">
        <v>142</v>
      </c>
      <c r="J102" t="s">
        <v>206</v>
      </c>
      <c r="K102" t="s">
        <v>185</v>
      </c>
      <c r="L102">
        <v>0</v>
      </c>
      <c r="M102">
        <v>0</v>
      </c>
      <c r="N102">
        <v>37.5</v>
      </c>
      <c r="O102">
        <v>-4.25</v>
      </c>
      <c r="P102">
        <v>-5</v>
      </c>
      <c r="Q102">
        <v>45</v>
      </c>
      <c r="R102">
        <v>8.9</v>
      </c>
      <c r="S102">
        <v>12.3</v>
      </c>
      <c r="T102">
        <v>7.2</v>
      </c>
      <c r="U102">
        <v>4.4000000000000004</v>
      </c>
      <c r="V102">
        <v>0.3</v>
      </c>
      <c r="W102">
        <v>0</v>
      </c>
      <c r="X102">
        <v>2</v>
      </c>
      <c r="Y102">
        <v>0.3</v>
      </c>
      <c r="Z102">
        <v>30</v>
      </c>
      <c r="AA102">
        <v>57.2</v>
      </c>
      <c r="AB102">
        <v>310</v>
      </c>
      <c r="AC102">
        <v>65</v>
      </c>
      <c r="AD102">
        <v>39.6</v>
      </c>
      <c r="AE102">
        <v>19.7</v>
      </c>
      <c r="AF102">
        <v>69.7</v>
      </c>
      <c r="AG102">
        <v>66.272999999999996</v>
      </c>
      <c r="AH102">
        <v>30.1</v>
      </c>
      <c r="AI102">
        <v>26.81</v>
      </c>
      <c r="AJ102">
        <v>70.834999999999994</v>
      </c>
      <c r="AK102">
        <v>50.908999999999999</v>
      </c>
      <c r="AL102">
        <v>7.0609999999999999</v>
      </c>
      <c r="AM102">
        <v>30.1</v>
      </c>
      <c r="AN102">
        <v>66.272999999999996</v>
      </c>
      <c r="AO102">
        <v>69.7</v>
      </c>
      <c r="AP102">
        <v>-7.0609999999999999</v>
      </c>
      <c r="AQ102">
        <v>29.164999999999999</v>
      </c>
      <c r="AR102">
        <v>73.19</v>
      </c>
      <c r="AS102">
        <v>49.091000000000001</v>
      </c>
    </row>
    <row r="103" spans="1:45" x14ac:dyDescent="0.25">
      <c r="A103">
        <v>42</v>
      </c>
      <c r="B103">
        <v>32</v>
      </c>
      <c r="C103">
        <v>1</v>
      </c>
      <c r="D103">
        <v>2018</v>
      </c>
      <c r="E103">
        <v>7</v>
      </c>
      <c r="F103" t="str">
        <f>IFERROR(VLOOKUP(G103, Map!$A$1:$B$33, 2, FALSE),"WAS")</f>
        <v>IND</v>
      </c>
      <c r="G103" t="s">
        <v>138</v>
      </c>
      <c r="H103" t="str">
        <f>IFERROR(VLOOKUP(I103, Map!$A$1:$B$33, 2, FALSE),"WAS")</f>
        <v>BUF</v>
      </c>
      <c r="I103" t="s">
        <v>165</v>
      </c>
      <c r="J103" t="s">
        <v>177</v>
      </c>
      <c r="K103" t="s">
        <v>180</v>
      </c>
      <c r="L103">
        <v>1</v>
      </c>
      <c r="M103">
        <v>0</v>
      </c>
      <c r="N103">
        <v>39.227272727272698</v>
      </c>
      <c r="O103">
        <v>-6.3181818181818201</v>
      </c>
      <c r="P103">
        <v>-6.5</v>
      </c>
      <c r="Q103">
        <v>43</v>
      </c>
      <c r="R103">
        <v>4.0999999999999996</v>
      </c>
      <c r="S103">
        <v>9.5</v>
      </c>
      <c r="T103">
        <v>-0.4</v>
      </c>
      <c r="U103">
        <v>-0.1</v>
      </c>
      <c r="V103">
        <v>0</v>
      </c>
      <c r="W103">
        <v>0</v>
      </c>
      <c r="X103">
        <v>0</v>
      </c>
      <c r="Y103">
        <v>0</v>
      </c>
      <c r="Z103">
        <v>26.7</v>
      </c>
      <c r="AA103">
        <v>57.2</v>
      </c>
      <c r="AB103">
        <v>304</v>
      </c>
      <c r="AC103">
        <v>57</v>
      </c>
      <c r="AD103">
        <v>26.5</v>
      </c>
      <c r="AE103">
        <v>11.6</v>
      </c>
      <c r="AF103">
        <v>79.400000000000006</v>
      </c>
      <c r="AG103">
        <v>51.04</v>
      </c>
      <c r="AH103">
        <v>20.5</v>
      </c>
      <c r="AI103">
        <v>97.792000000000002</v>
      </c>
      <c r="AJ103">
        <v>90.929000000000002</v>
      </c>
      <c r="AK103">
        <v>97.707999999999998</v>
      </c>
      <c r="AL103">
        <v>11.137</v>
      </c>
      <c r="AM103">
        <v>20.5</v>
      </c>
      <c r="AN103">
        <v>51.04</v>
      </c>
      <c r="AO103">
        <v>79.400000000000006</v>
      </c>
      <c r="AP103">
        <v>-11.137</v>
      </c>
      <c r="AQ103">
        <v>9.0709999999999997</v>
      </c>
      <c r="AR103">
        <v>2.2080000000000002</v>
      </c>
      <c r="AS103">
        <v>2.2919999999999998</v>
      </c>
    </row>
    <row r="104" spans="1:45" x14ac:dyDescent="0.25">
      <c r="A104">
        <v>54</v>
      </c>
      <c r="B104">
        <v>-20</v>
      </c>
      <c r="C104">
        <v>0</v>
      </c>
      <c r="D104">
        <v>2018</v>
      </c>
      <c r="E104">
        <v>7</v>
      </c>
      <c r="F104" t="str">
        <f>IFERROR(VLOOKUP(G104, Map!$A$1:$B$33, 2, FALSE),"WAS")</f>
        <v>NYJ</v>
      </c>
      <c r="G104" t="s">
        <v>166</v>
      </c>
      <c r="H104" t="str">
        <f>IFERROR(VLOOKUP(I104, Map!$A$1:$B$33, 2, FALSE),"WAS")</f>
        <v>MIN</v>
      </c>
      <c r="I104" t="s">
        <v>153</v>
      </c>
      <c r="J104" t="s">
        <v>172</v>
      </c>
      <c r="K104" t="s">
        <v>214</v>
      </c>
      <c r="L104">
        <v>0</v>
      </c>
      <c r="M104">
        <v>0</v>
      </c>
      <c r="N104">
        <v>41</v>
      </c>
      <c r="O104">
        <v>3.1818181818181799</v>
      </c>
      <c r="P104">
        <v>3.5</v>
      </c>
      <c r="Q104">
        <v>44.5</v>
      </c>
      <c r="R104">
        <v>7.9</v>
      </c>
      <c r="S104">
        <v>11.9</v>
      </c>
      <c r="T104">
        <v>5.2</v>
      </c>
      <c r="U104">
        <v>3.2</v>
      </c>
      <c r="V104">
        <v>0.5</v>
      </c>
      <c r="W104">
        <v>0</v>
      </c>
      <c r="X104">
        <v>2</v>
      </c>
      <c r="Y104">
        <v>0.5</v>
      </c>
      <c r="Z104">
        <v>30.7</v>
      </c>
      <c r="AA104">
        <v>62.3</v>
      </c>
      <c r="AB104">
        <v>317</v>
      </c>
      <c r="AC104">
        <v>66</v>
      </c>
      <c r="AD104">
        <v>40.200000000000003</v>
      </c>
      <c r="AE104">
        <v>19.600000000000001</v>
      </c>
      <c r="AF104">
        <v>45.3</v>
      </c>
      <c r="AG104">
        <v>29.271999999999998</v>
      </c>
      <c r="AH104">
        <v>54.3</v>
      </c>
      <c r="AI104">
        <v>64.945999999999998</v>
      </c>
      <c r="AJ104">
        <v>1.0609999999999999</v>
      </c>
      <c r="AK104">
        <v>15.997</v>
      </c>
      <c r="AL104">
        <v>-1.5389999999999999</v>
      </c>
      <c r="AM104">
        <v>54.3</v>
      </c>
      <c r="AN104">
        <v>29.271999999999998</v>
      </c>
      <c r="AO104">
        <v>45.3</v>
      </c>
      <c r="AP104">
        <v>1.5389999999999999</v>
      </c>
      <c r="AQ104">
        <v>98.938999999999993</v>
      </c>
      <c r="AR104">
        <v>35.054000000000002</v>
      </c>
      <c r="AS104">
        <v>84.003</v>
      </c>
    </row>
    <row r="105" spans="1:45" x14ac:dyDescent="0.25">
      <c r="A105">
        <v>53</v>
      </c>
      <c r="B105">
        <v>-11</v>
      </c>
      <c r="C105">
        <v>0</v>
      </c>
      <c r="D105">
        <v>2018</v>
      </c>
      <c r="E105">
        <v>7</v>
      </c>
      <c r="F105" t="str">
        <f>IFERROR(VLOOKUP(G105, Map!$A$1:$B$33, 2, FALSE),"WAS")</f>
        <v>MIA</v>
      </c>
      <c r="G105" t="s">
        <v>152</v>
      </c>
      <c r="H105" t="str">
        <f>IFERROR(VLOOKUP(I105, Map!$A$1:$B$33, 2, FALSE),"WAS")</f>
        <v>DET</v>
      </c>
      <c r="I105" t="s">
        <v>164</v>
      </c>
      <c r="J105" t="s">
        <v>175</v>
      </c>
      <c r="K105" t="s">
        <v>173</v>
      </c>
      <c r="L105">
        <v>0</v>
      </c>
      <c r="M105">
        <v>0</v>
      </c>
      <c r="N105">
        <v>42.636363636363598</v>
      </c>
      <c r="O105">
        <v>2.7272727272727302</v>
      </c>
      <c r="P105">
        <v>3</v>
      </c>
      <c r="Q105">
        <v>46.5</v>
      </c>
      <c r="R105">
        <v>26</v>
      </c>
      <c r="S105">
        <v>30.9</v>
      </c>
      <c r="T105">
        <v>22.2</v>
      </c>
      <c r="U105">
        <v>29.6</v>
      </c>
      <c r="V105">
        <v>0.3</v>
      </c>
      <c r="W105">
        <v>0</v>
      </c>
      <c r="X105">
        <v>2</v>
      </c>
      <c r="Y105">
        <v>0.3</v>
      </c>
      <c r="Z105">
        <v>18.3</v>
      </c>
      <c r="AA105">
        <v>36</v>
      </c>
      <c r="AB105">
        <v>358</v>
      </c>
      <c r="AC105">
        <v>79</v>
      </c>
      <c r="AD105">
        <v>19.100000000000001</v>
      </c>
      <c r="AE105">
        <v>9.5</v>
      </c>
      <c r="AF105">
        <v>50.9</v>
      </c>
      <c r="AG105">
        <v>10.907</v>
      </c>
      <c r="AH105">
        <v>48.7</v>
      </c>
      <c r="AI105">
        <v>1.994</v>
      </c>
      <c r="AJ105">
        <v>74.338999999999999</v>
      </c>
      <c r="AK105">
        <v>11.298</v>
      </c>
      <c r="AL105">
        <v>0.372</v>
      </c>
      <c r="AM105">
        <v>48.7</v>
      </c>
      <c r="AN105">
        <v>10.907</v>
      </c>
      <c r="AO105">
        <v>50.9</v>
      </c>
      <c r="AP105">
        <v>-0.372</v>
      </c>
      <c r="AQ105">
        <v>25.661000000000001</v>
      </c>
      <c r="AR105">
        <v>98.006</v>
      </c>
      <c r="AS105">
        <v>88.701999999999998</v>
      </c>
    </row>
    <row r="106" spans="1:45" x14ac:dyDescent="0.25">
      <c r="A106">
        <v>47</v>
      </c>
      <c r="B106">
        <v>-1</v>
      </c>
      <c r="C106">
        <v>0</v>
      </c>
      <c r="D106">
        <v>2018</v>
      </c>
      <c r="E106">
        <v>7</v>
      </c>
      <c r="F106" t="str">
        <f>IFERROR(VLOOKUP(G106, Map!$A$1:$B$33, 2, FALSE),"WAS")</f>
        <v>BAL</v>
      </c>
      <c r="G106" t="s">
        <v>146</v>
      </c>
      <c r="H106" t="str">
        <f>IFERROR(VLOOKUP(I106, Map!$A$1:$B$33, 2, FALSE),"WAS")</f>
        <v>NO</v>
      </c>
      <c r="I106" t="s">
        <v>168</v>
      </c>
      <c r="J106" t="s">
        <v>181</v>
      </c>
      <c r="K106" t="s">
        <v>192</v>
      </c>
      <c r="L106">
        <v>0</v>
      </c>
      <c r="M106">
        <v>0</v>
      </c>
      <c r="N106">
        <v>44.863636363636402</v>
      </c>
      <c r="O106">
        <v>-2.4545454545454501</v>
      </c>
      <c r="P106">
        <v>-2.5</v>
      </c>
      <c r="Q106">
        <v>49</v>
      </c>
      <c r="R106">
        <v>10.1</v>
      </c>
      <c r="S106">
        <v>14.7</v>
      </c>
      <c r="T106">
        <v>7</v>
      </c>
      <c r="U106">
        <v>4.8</v>
      </c>
      <c r="V106">
        <v>0.3</v>
      </c>
      <c r="W106">
        <v>0</v>
      </c>
      <c r="X106">
        <v>3</v>
      </c>
      <c r="Y106">
        <v>0.3</v>
      </c>
      <c r="Z106">
        <v>36</v>
      </c>
      <c r="AA106">
        <v>63</v>
      </c>
      <c r="AB106">
        <v>308</v>
      </c>
      <c r="AC106">
        <v>59</v>
      </c>
      <c r="AD106">
        <v>45.9</v>
      </c>
      <c r="AE106">
        <v>24.5</v>
      </c>
      <c r="AF106">
        <v>60.9</v>
      </c>
      <c r="AG106">
        <v>91.965000000000003</v>
      </c>
      <c r="AH106">
        <v>38.799999999999997</v>
      </c>
      <c r="AI106">
        <v>23.036000000000001</v>
      </c>
      <c r="AJ106">
        <v>82.765000000000001</v>
      </c>
      <c r="AK106">
        <v>48.933999999999997</v>
      </c>
      <c r="AL106">
        <v>3.8290000000000002</v>
      </c>
      <c r="AM106">
        <v>38.799999999999997</v>
      </c>
      <c r="AN106">
        <v>91.965000000000003</v>
      </c>
      <c r="AO106">
        <v>60.9</v>
      </c>
      <c r="AP106">
        <v>-3.8290000000000002</v>
      </c>
      <c r="AQ106">
        <v>17.234999999999999</v>
      </c>
      <c r="AR106">
        <v>76.963999999999999</v>
      </c>
      <c r="AS106">
        <v>51.066000000000003</v>
      </c>
    </row>
    <row r="107" spans="1:45" x14ac:dyDescent="0.25">
      <c r="A107">
        <v>43</v>
      </c>
      <c r="B107">
        <v>3</v>
      </c>
      <c r="C107">
        <v>1</v>
      </c>
      <c r="D107">
        <v>2018</v>
      </c>
      <c r="E107">
        <v>7</v>
      </c>
      <c r="F107" t="str">
        <f>IFERROR(VLOOKUP(G107, Map!$A$1:$B$33, 2, FALSE),"WAS")</f>
        <v>ATL</v>
      </c>
      <c r="G107" t="s">
        <v>167</v>
      </c>
      <c r="H107" t="str">
        <f>IFERROR(VLOOKUP(I107, Map!$A$1:$B$33, 2, FALSE),"WAS")</f>
        <v>NYG</v>
      </c>
      <c r="I107" t="s">
        <v>149</v>
      </c>
      <c r="J107" t="s">
        <v>188</v>
      </c>
      <c r="K107" t="s">
        <v>219</v>
      </c>
      <c r="L107">
        <v>1</v>
      </c>
      <c r="M107">
        <v>0</v>
      </c>
      <c r="N107">
        <v>47.636363636363598</v>
      </c>
      <c r="O107">
        <v>-3.6818181818181799</v>
      </c>
      <c r="P107">
        <v>-4</v>
      </c>
      <c r="Q107">
        <v>52</v>
      </c>
      <c r="R107">
        <v>12.6</v>
      </c>
      <c r="S107">
        <v>18.899999999999999</v>
      </c>
      <c r="T107">
        <v>7.1</v>
      </c>
      <c r="U107">
        <v>11.1</v>
      </c>
      <c r="V107">
        <v>0</v>
      </c>
      <c r="W107">
        <v>0</v>
      </c>
      <c r="X107">
        <v>0</v>
      </c>
      <c r="Y107">
        <v>0</v>
      </c>
      <c r="Z107">
        <v>9</v>
      </c>
      <c r="AA107">
        <v>19.100000000000001</v>
      </c>
      <c r="AB107">
        <v>34</v>
      </c>
      <c r="AC107">
        <v>71</v>
      </c>
      <c r="AD107">
        <v>12.7</v>
      </c>
      <c r="AE107">
        <v>6.2</v>
      </c>
      <c r="AF107">
        <v>68.7</v>
      </c>
      <c r="AG107">
        <v>54.345999999999997</v>
      </c>
      <c r="AH107">
        <v>31</v>
      </c>
      <c r="AI107">
        <v>52.860999999999997</v>
      </c>
      <c r="AJ107">
        <v>76.727999999999994</v>
      </c>
      <c r="AK107">
        <v>74.174999999999997</v>
      </c>
      <c r="AL107">
        <v>6.6749999999999998</v>
      </c>
      <c r="AM107">
        <v>31</v>
      </c>
      <c r="AN107">
        <v>54.345999999999997</v>
      </c>
      <c r="AO107">
        <v>68.7</v>
      </c>
      <c r="AP107">
        <v>-6.6749999999999998</v>
      </c>
      <c r="AQ107">
        <v>23.271999999999998</v>
      </c>
      <c r="AR107">
        <v>47.139000000000003</v>
      </c>
      <c r="AS107">
        <v>25.824999999999999</v>
      </c>
    </row>
    <row r="108" spans="1:45" x14ac:dyDescent="0.25">
      <c r="A108">
        <v>55</v>
      </c>
      <c r="B108">
        <v>-35</v>
      </c>
      <c r="C108">
        <v>0</v>
      </c>
      <c r="D108">
        <v>2018</v>
      </c>
      <c r="E108">
        <v>7</v>
      </c>
      <c r="F108" t="str">
        <f>IFERROR(VLOOKUP(G108, Map!$A$1:$B$33, 2, FALSE),"WAS")</f>
        <v>ARI</v>
      </c>
      <c r="G108" t="s">
        <v>156</v>
      </c>
      <c r="H108" t="str">
        <f>IFERROR(VLOOKUP(I108, Map!$A$1:$B$33, 2, FALSE),"WAS")</f>
        <v>DEN</v>
      </c>
      <c r="I108" t="s">
        <v>159</v>
      </c>
      <c r="J108" t="s">
        <v>190</v>
      </c>
      <c r="K108" t="s">
        <v>183</v>
      </c>
      <c r="L108">
        <v>0</v>
      </c>
      <c r="M108">
        <v>0</v>
      </c>
      <c r="N108">
        <v>38.363636363636402</v>
      </c>
      <c r="O108">
        <v>0.95454545454545503</v>
      </c>
      <c r="P108">
        <v>1</v>
      </c>
      <c r="Q108">
        <v>42</v>
      </c>
      <c r="R108">
        <v>21.1</v>
      </c>
      <c r="S108">
        <v>31.5</v>
      </c>
      <c r="T108">
        <v>13.9</v>
      </c>
      <c r="U108">
        <v>18.5</v>
      </c>
      <c r="V108">
        <v>0</v>
      </c>
      <c r="W108">
        <v>0</v>
      </c>
      <c r="X108">
        <v>0</v>
      </c>
      <c r="Y108">
        <v>0</v>
      </c>
      <c r="Z108">
        <v>13.8</v>
      </c>
      <c r="AA108">
        <v>40</v>
      </c>
      <c r="AB108">
        <v>14</v>
      </c>
      <c r="AC108">
        <v>32</v>
      </c>
      <c r="AD108">
        <v>18.7</v>
      </c>
      <c r="AE108">
        <v>6.6</v>
      </c>
      <c r="AF108">
        <v>47.6</v>
      </c>
      <c r="AG108">
        <v>12.269</v>
      </c>
      <c r="AH108">
        <v>52</v>
      </c>
      <c r="AI108">
        <v>27.181000000000001</v>
      </c>
      <c r="AJ108">
        <v>8.0000000000000002E-3</v>
      </c>
      <c r="AK108">
        <v>0.23799999999999999</v>
      </c>
      <c r="AL108">
        <v>-0.73799999999999999</v>
      </c>
      <c r="AM108">
        <v>52</v>
      </c>
      <c r="AN108">
        <v>12.269</v>
      </c>
      <c r="AO108">
        <v>47.6</v>
      </c>
      <c r="AP108">
        <v>0.73799999999999999</v>
      </c>
      <c r="AQ108">
        <v>99.992000000000004</v>
      </c>
      <c r="AR108">
        <v>72.819000000000003</v>
      </c>
      <c r="AS108">
        <v>99.762</v>
      </c>
    </row>
    <row r="109" spans="1:45" x14ac:dyDescent="0.25">
      <c r="A109">
        <v>31</v>
      </c>
      <c r="B109">
        <v>-19</v>
      </c>
      <c r="C109">
        <v>0</v>
      </c>
      <c r="D109">
        <v>2018</v>
      </c>
      <c r="E109">
        <v>8</v>
      </c>
      <c r="F109" t="str">
        <f>IFERROR(VLOOKUP(G109, Map!$A$1:$B$33, 2, FALSE),"WAS")</f>
        <v>BUF</v>
      </c>
      <c r="G109" t="s">
        <v>165</v>
      </c>
      <c r="H109" t="str">
        <f>IFERROR(VLOOKUP(I109, Map!$A$1:$B$33, 2, FALSE),"WAS")</f>
        <v>NE</v>
      </c>
      <c r="I109" t="s">
        <v>151</v>
      </c>
      <c r="J109" t="s">
        <v>180</v>
      </c>
      <c r="K109" t="s">
        <v>187</v>
      </c>
      <c r="L109">
        <v>0</v>
      </c>
      <c r="M109">
        <v>0</v>
      </c>
      <c r="N109">
        <v>40.136363636363598</v>
      </c>
      <c r="O109">
        <v>12.363636363636401</v>
      </c>
      <c r="P109">
        <v>13.5</v>
      </c>
      <c r="Q109">
        <v>43.5</v>
      </c>
      <c r="R109">
        <v>11</v>
      </c>
      <c r="S109">
        <v>17</v>
      </c>
      <c r="T109">
        <v>4.5</v>
      </c>
      <c r="U109">
        <v>9.1</v>
      </c>
      <c r="V109">
        <v>0</v>
      </c>
      <c r="W109">
        <v>0</v>
      </c>
      <c r="X109">
        <v>0</v>
      </c>
      <c r="Y109">
        <v>0</v>
      </c>
      <c r="Z109">
        <v>12.9</v>
      </c>
      <c r="AA109">
        <v>23.4</v>
      </c>
      <c r="AB109">
        <v>20</v>
      </c>
      <c r="AC109">
        <v>73</v>
      </c>
      <c r="AD109">
        <v>13.5</v>
      </c>
      <c r="AE109">
        <v>6.2</v>
      </c>
      <c r="AF109">
        <v>16.5</v>
      </c>
      <c r="AG109">
        <v>61.954000000000001</v>
      </c>
      <c r="AH109">
        <v>83.4</v>
      </c>
      <c r="AI109">
        <v>43.42</v>
      </c>
      <c r="AJ109">
        <v>3.5640000000000001</v>
      </c>
      <c r="AK109">
        <v>20.277999999999999</v>
      </c>
      <c r="AL109">
        <v>-13.144</v>
      </c>
      <c r="AM109">
        <v>83.4</v>
      </c>
      <c r="AN109">
        <v>61.954000000000001</v>
      </c>
      <c r="AO109">
        <v>16.5</v>
      </c>
      <c r="AP109">
        <v>13.144</v>
      </c>
      <c r="AQ109">
        <v>96.436000000000007</v>
      </c>
      <c r="AR109">
        <v>56.58</v>
      </c>
      <c r="AS109">
        <v>79.721999999999994</v>
      </c>
    </row>
    <row r="110" spans="1:45" x14ac:dyDescent="0.25">
      <c r="A110">
        <v>70</v>
      </c>
      <c r="B110">
        <v>-14</v>
      </c>
      <c r="C110">
        <v>0</v>
      </c>
      <c r="D110">
        <v>2018</v>
      </c>
      <c r="E110">
        <v>8</v>
      </c>
      <c r="F110" t="str">
        <f>IFERROR(VLOOKUP(G110, Map!$A$1:$B$33, 2, FALSE),"WAS")</f>
        <v>LV</v>
      </c>
      <c r="G110" t="s">
        <v>157</v>
      </c>
      <c r="H110" t="str">
        <f>IFERROR(VLOOKUP(I110, Map!$A$1:$B$33, 2, FALSE),"WAS")</f>
        <v>IND</v>
      </c>
      <c r="I110" t="s">
        <v>138</v>
      </c>
      <c r="J110" t="s">
        <v>179</v>
      </c>
      <c r="K110" t="s">
        <v>177</v>
      </c>
      <c r="L110">
        <v>0</v>
      </c>
      <c r="M110">
        <v>0</v>
      </c>
      <c r="N110">
        <v>46.454545454545503</v>
      </c>
      <c r="O110">
        <v>3.1363636363636398</v>
      </c>
      <c r="P110">
        <v>3</v>
      </c>
      <c r="Q110">
        <v>50.5</v>
      </c>
      <c r="R110">
        <v>16.100000000000001</v>
      </c>
      <c r="S110">
        <v>17.7</v>
      </c>
      <c r="T110">
        <v>15</v>
      </c>
      <c r="U110">
        <v>15</v>
      </c>
      <c r="V110">
        <v>0</v>
      </c>
      <c r="W110">
        <v>0</v>
      </c>
      <c r="X110">
        <v>0</v>
      </c>
      <c r="Y110">
        <v>0</v>
      </c>
      <c r="Z110">
        <v>26.2</v>
      </c>
      <c r="AA110">
        <v>45.7</v>
      </c>
      <c r="AB110">
        <v>262</v>
      </c>
      <c r="AC110">
        <v>90</v>
      </c>
      <c r="AD110">
        <v>29.3</v>
      </c>
      <c r="AE110">
        <v>17.100000000000001</v>
      </c>
      <c r="AF110">
        <v>50.1</v>
      </c>
      <c r="AG110">
        <v>36.438000000000002</v>
      </c>
      <c r="AH110">
        <v>49.5</v>
      </c>
      <c r="AI110">
        <v>5.3339999999999996</v>
      </c>
      <c r="AJ110">
        <v>92.905000000000001</v>
      </c>
      <c r="AK110">
        <v>26.916</v>
      </c>
      <c r="AL110">
        <v>0.109</v>
      </c>
      <c r="AM110">
        <v>49.5</v>
      </c>
      <c r="AN110">
        <v>36.438000000000002</v>
      </c>
      <c r="AO110">
        <v>50.1</v>
      </c>
      <c r="AP110">
        <v>-0.109</v>
      </c>
      <c r="AQ110">
        <v>7.0949999999999998</v>
      </c>
      <c r="AR110">
        <v>94.665999999999997</v>
      </c>
      <c r="AS110">
        <v>73.084000000000003</v>
      </c>
    </row>
    <row r="111" spans="1:45" x14ac:dyDescent="0.25">
      <c r="A111">
        <v>56</v>
      </c>
      <c r="B111">
        <v>2</v>
      </c>
      <c r="C111">
        <v>1</v>
      </c>
      <c r="D111">
        <v>2018</v>
      </c>
      <c r="E111">
        <v>8</v>
      </c>
      <c r="F111" t="str">
        <f>IFERROR(VLOOKUP(G111, Map!$A$1:$B$33, 2, FALSE),"WAS")</f>
        <v>LA</v>
      </c>
      <c r="G111" t="s">
        <v>155</v>
      </c>
      <c r="H111" t="str">
        <f>IFERROR(VLOOKUP(I111, Map!$A$1:$B$33, 2, FALSE),"WAS")</f>
        <v>GB</v>
      </c>
      <c r="I111" t="s">
        <v>154</v>
      </c>
      <c r="J111" t="s">
        <v>178</v>
      </c>
      <c r="K111" t="s">
        <v>200</v>
      </c>
      <c r="L111">
        <v>1</v>
      </c>
      <c r="M111">
        <v>0</v>
      </c>
      <c r="N111">
        <v>52</v>
      </c>
      <c r="O111">
        <v>-6.7272727272727302</v>
      </c>
      <c r="P111">
        <v>-7</v>
      </c>
      <c r="Q111">
        <v>57</v>
      </c>
      <c r="R111">
        <v>19.100000000000001</v>
      </c>
      <c r="S111">
        <v>27.7</v>
      </c>
      <c r="T111">
        <v>13.8</v>
      </c>
      <c r="U111">
        <v>19.7</v>
      </c>
      <c r="V111">
        <v>0</v>
      </c>
      <c r="W111">
        <v>0</v>
      </c>
      <c r="X111">
        <v>0</v>
      </c>
      <c r="Y111">
        <v>0</v>
      </c>
      <c r="Z111">
        <v>12.8</v>
      </c>
      <c r="AA111">
        <v>28.1</v>
      </c>
      <c r="AB111">
        <v>194</v>
      </c>
      <c r="AC111">
        <v>77</v>
      </c>
      <c r="AD111">
        <v>11.8</v>
      </c>
      <c r="AE111">
        <v>5.2</v>
      </c>
      <c r="AF111">
        <v>79.7</v>
      </c>
      <c r="AG111">
        <v>74.972999999999999</v>
      </c>
      <c r="AH111">
        <v>20.100000000000001</v>
      </c>
      <c r="AI111">
        <v>26.584</v>
      </c>
      <c r="AJ111">
        <v>59.872999999999998</v>
      </c>
      <c r="AK111">
        <v>61.198999999999998</v>
      </c>
      <c r="AL111">
        <v>11.335000000000001</v>
      </c>
      <c r="AM111">
        <v>20.100000000000001</v>
      </c>
      <c r="AN111">
        <v>74.972999999999999</v>
      </c>
      <c r="AO111">
        <v>79.7</v>
      </c>
      <c r="AP111">
        <v>-11.335000000000001</v>
      </c>
      <c r="AQ111">
        <v>40.127000000000002</v>
      </c>
      <c r="AR111">
        <v>73.415999999999997</v>
      </c>
      <c r="AS111">
        <v>38.801000000000002</v>
      </c>
    </row>
    <row r="112" spans="1:45" x14ac:dyDescent="0.25">
      <c r="A112">
        <v>50</v>
      </c>
      <c r="B112">
        <v>-10</v>
      </c>
      <c r="C112">
        <v>0</v>
      </c>
      <c r="D112">
        <v>2018</v>
      </c>
      <c r="E112">
        <v>8</v>
      </c>
      <c r="F112" t="str">
        <f>IFERROR(VLOOKUP(G112, Map!$A$1:$B$33, 2, FALSE),"WAS")</f>
        <v>MIN</v>
      </c>
      <c r="G112" t="s">
        <v>153</v>
      </c>
      <c r="H112" t="str">
        <f>IFERROR(VLOOKUP(I112, Map!$A$1:$B$33, 2, FALSE),"WAS")</f>
        <v>NO</v>
      </c>
      <c r="I112" t="s">
        <v>168</v>
      </c>
      <c r="J112" t="s">
        <v>214</v>
      </c>
      <c r="K112" t="s">
        <v>192</v>
      </c>
      <c r="L112">
        <v>0</v>
      </c>
      <c r="M112">
        <v>0</v>
      </c>
      <c r="N112">
        <v>45.0833333333333</v>
      </c>
      <c r="O112">
        <v>2.1666666666666701</v>
      </c>
      <c r="P112">
        <v>2.5</v>
      </c>
      <c r="Q112">
        <v>53.5</v>
      </c>
      <c r="R112">
        <v>6</v>
      </c>
      <c r="S112">
        <v>8.6999999999999993</v>
      </c>
      <c r="T112">
        <v>2.2000000000000002</v>
      </c>
      <c r="U112">
        <v>3.1</v>
      </c>
      <c r="V112">
        <v>2.8</v>
      </c>
      <c r="W112">
        <v>0</v>
      </c>
      <c r="X112">
        <v>4</v>
      </c>
      <c r="Y112">
        <v>2.8</v>
      </c>
      <c r="Z112">
        <v>13.2</v>
      </c>
      <c r="AA112">
        <v>24.5</v>
      </c>
      <c r="AB112">
        <v>283</v>
      </c>
      <c r="AC112">
        <v>78</v>
      </c>
      <c r="AD112">
        <v>16.600000000000001</v>
      </c>
      <c r="AE112">
        <v>8.1</v>
      </c>
      <c r="AF112">
        <v>56</v>
      </c>
      <c r="AG112">
        <v>87.933000000000007</v>
      </c>
      <c r="AH112">
        <v>43.6</v>
      </c>
      <c r="AI112">
        <v>36.564999999999998</v>
      </c>
      <c r="AJ112">
        <v>29.094999999999999</v>
      </c>
      <c r="AK112">
        <v>16.884</v>
      </c>
      <c r="AL112">
        <v>2.1080000000000001</v>
      </c>
      <c r="AM112">
        <v>43.6</v>
      </c>
      <c r="AN112">
        <v>87.933000000000007</v>
      </c>
      <c r="AO112">
        <v>56</v>
      </c>
      <c r="AP112">
        <v>-2.1080000000000001</v>
      </c>
      <c r="AQ112">
        <v>70.905000000000001</v>
      </c>
      <c r="AR112">
        <v>63.435000000000002</v>
      </c>
      <c r="AS112">
        <v>83.116</v>
      </c>
    </row>
    <row r="113" spans="1:45" x14ac:dyDescent="0.25">
      <c r="A113">
        <v>65</v>
      </c>
      <c r="B113">
        <v>19</v>
      </c>
      <c r="C113">
        <v>1</v>
      </c>
      <c r="D113">
        <v>2018</v>
      </c>
      <c r="E113">
        <v>8</v>
      </c>
      <c r="F113" t="str">
        <f>IFERROR(VLOOKUP(G113, Map!$A$1:$B$33, 2, FALSE),"WAS")</f>
        <v>HOU</v>
      </c>
      <c r="G113" t="s">
        <v>137</v>
      </c>
      <c r="H113" t="str">
        <f>IFERROR(VLOOKUP(I113, Map!$A$1:$B$33, 2, FALSE),"WAS")</f>
        <v>MIA</v>
      </c>
      <c r="I113" t="s">
        <v>152</v>
      </c>
      <c r="J113" t="s">
        <v>209</v>
      </c>
      <c r="K113" t="s">
        <v>175</v>
      </c>
      <c r="L113">
        <v>1</v>
      </c>
      <c r="M113">
        <v>0</v>
      </c>
      <c r="N113">
        <v>40.772727272727302</v>
      </c>
      <c r="O113">
        <v>-6.8181818181818201</v>
      </c>
      <c r="P113">
        <v>-7.5</v>
      </c>
      <c r="Q113">
        <v>44</v>
      </c>
      <c r="R113">
        <v>16.7</v>
      </c>
      <c r="S113">
        <v>23</v>
      </c>
      <c r="T113">
        <v>11.9</v>
      </c>
      <c r="U113">
        <v>16.399999999999999</v>
      </c>
      <c r="V113">
        <v>0</v>
      </c>
      <c r="W113">
        <v>0</v>
      </c>
      <c r="X113">
        <v>0</v>
      </c>
      <c r="Y113">
        <v>0</v>
      </c>
      <c r="Z113">
        <v>16.8</v>
      </c>
      <c r="AA113">
        <v>28.8</v>
      </c>
      <c r="AB113">
        <v>319</v>
      </c>
      <c r="AC113">
        <v>81</v>
      </c>
      <c r="AD113">
        <v>17.100000000000001</v>
      </c>
      <c r="AE113">
        <v>9.1999999999999993</v>
      </c>
      <c r="AF113">
        <v>75.099999999999994</v>
      </c>
      <c r="AG113">
        <v>45.234999999999999</v>
      </c>
      <c r="AH113">
        <v>24.7</v>
      </c>
      <c r="AI113">
        <v>63.058</v>
      </c>
      <c r="AJ113">
        <v>98.522999999999996</v>
      </c>
      <c r="AK113">
        <v>86.894999999999996</v>
      </c>
      <c r="AL113">
        <v>9.2070000000000007</v>
      </c>
      <c r="AM113">
        <v>24.7</v>
      </c>
      <c r="AN113">
        <v>45.234999999999999</v>
      </c>
      <c r="AO113">
        <v>75.099999999999994</v>
      </c>
      <c r="AP113">
        <v>-9.2070000000000007</v>
      </c>
      <c r="AQ113">
        <v>1.4770000000000001</v>
      </c>
      <c r="AR113">
        <v>36.942</v>
      </c>
      <c r="AS113">
        <v>13.105</v>
      </c>
    </row>
    <row r="114" spans="1:45" x14ac:dyDescent="0.25">
      <c r="A114">
        <v>51</v>
      </c>
      <c r="B114">
        <v>15</v>
      </c>
      <c r="C114">
        <v>1</v>
      </c>
      <c r="D114">
        <v>2018</v>
      </c>
      <c r="E114">
        <v>8</v>
      </c>
      <c r="F114" t="str">
        <f>IFERROR(VLOOKUP(G114, Map!$A$1:$B$33, 2, FALSE),"WAS")</f>
        <v>PIT</v>
      </c>
      <c r="G114" t="s">
        <v>145</v>
      </c>
      <c r="H114" t="str">
        <f>IFERROR(VLOOKUP(I114, Map!$A$1:$B$33, 2, FALSE),"WAS")</f>
        <v>CLE</v>
      </c>
      <c r="I114" t="s">
        <v>162</v>
      </c>
      <c r="J114" t="s">
        <v>170</v>
      </c>
      <c r="K114" t="s">
        <v>171</v>
      </c>
      <c r="L114">
        <v>1</v>
      </c>
      <c r="M114">
        <v>0</v>
      </c>
      <c r="N114">
        <v>43.5</v>
      </c>
      <c r="O114">
        <v>-7.7272727272727302</v>
      </c>
      <c r="P114">
        <v>-8</v>
      </c>
      <c r="Q114">
        <v>47.5</v>
      </c>
      <c r="R114">
        <v>7.8</v>
      </c>
      <c r="S114">
        <v>11.3</v>
      </c>
      <c r="T114">
        <v>5.7</v>
      </c>
      <c r="U114">
        <v>4.8</v>
      </c>
      <c r="V114">
        <v>5.3</v>
      </c>
      <c r="W114">
        <v>0</v>
      </c>
      <c r="X114">
        <v>17</v>
      </c>
      <c r="Y114">
        <v>5.3</v>
      </c>
      <c r="Z114">
        <v>21.1</v>
      </c>
      <c r="AA114">
        <v>51.1</v>
      </c>
      <c r="AB114">
        <v>249</v>
      </c>
      <c r="AC114">
        <v>86</v>
      </c>
      <c r="AD114">
        <v>29.2</v>
      </c>
      <c r="AE114">
        <v>12.7</v>
      </c>
      <c r="AF114">
        <v>88</v>
      </c>
      <c r="AG114">
        <v>50.972000000000001</v>
      </c>
      <c r="AH114">
        <v>11.9</v>
      </c>
      <c r="AI114">
        <v>78.049000000000007</v>
      </c>
      <c r="AJ114">
        <v>74.08</v>
      </c>
      <c r="AK114">
        <v>82.576999999999998</v>
      </c>
      <c r="AL114">
        <v>15.760999999999999</v>
      </c>
      <c r="AM114">
        <v>11.9</v>
      </c>
      <c r="AN114">
        <v>50.972000000000001</v>
      </c>
      <c r="AO114">
        <v>88</v>
      </c>
      <c r="AP114">
        <v>-15.760999999999999</v>
      </c>
      <c r="AQ114">
        <v>25.92</v>
      </c>
      <c r="AR114">
        <v>21.951000000000001</v>
      </c>
      <c r="AS114">
        <v>17.422999999999998</v>
      </c>
    </row>
    <row r="115" spans="1:45" x14ac:dyDescent="0.25">
      <c r="A115">
        <v>33</v>
      </c>
      <c r="B115">
        <v>3</v>
      </c>
      <c r="C115">
        <v>1</v>
      </c>
      <c r="D115">
        <v>2018</v>
      </c>
      <c r="E115">
        <v>8</v>
      </c>
      <c r="F115" t="str">
        <f>IFERROR(VLOOKUP(G115, Map!$A$1:$B$33, 2, FALSE),"WAS")</f>
        <v>ARI</v>
      </c>
      <c r="G115" t="s">
        <v>156</v>
      </c>
      <c r="H115" t="str">
        <f>IFERROR(VLOOKUP(I115, Map!$A$1:$B$33, 2, FALSE),"WAS")</f>
        <v>SF</v>
      </c>
      <c r="I115" t="s">
        <v>143</v>
      </c>
      <c r="J115" t="s">
        <v>190</v>
      </c>
      <c r="K115" t="s">
        <v>197</v>
      </c>
      <c r="L115">
        <v>1</v>
      </c>
      <c r="M115">
        <v>0</v>
      </c>
      <c r="N115">
        <v>36.772727272727302</v>
      </c>
      <c r="O115">
        <v>2.3636363636363602</v>
      </c>
      <c r="P115">
        <v>2.5</v>
      </c>
      <c r="Q115">
        <v>40</v>
      </c>
      <c r="R115">
        <v>20.6</v>
      </c>
      <c r="S115">
        <v>28.5</v>
      </c>
      <c r="T115">
        <v>15.4</v>
      </c>
      <c r="U115">
        <v>20.6</v>
      </c>
      <c r="V115">
        <v>0</v>
      </c>
      <c r="W115">
        <v>0</v>
      </c>
      <c r="X115">
        <v>0</v>
      </c>
      <c r="Y115">
        <v>0</v>
      </c>
      <c r="Z115">
        <v>8.1999999999999993</v>
      </c>
      <c r="AA115">
        <v>23.8</v>
      </c>
      <c r="AB115">
        <v>166</v>
      </c>
      <c r="AC115">
        <v>62</v>
      </c>
      <c r="AD115">
        <v>11.1</v>
      </c>
      <c r="AE115">
        <v>4.4000000000000004</v>
      </c>
      <c r="AF115">
        <v>44.5</v>
      </c>
      <c r="AG115">
        <v>0.92800000000000005</v>
      </c>
      <c r="AH115">
        <v>55.2</v>
      </c>
      <c r="AI115">
        <v>71.792000000000002</v>
      </c>
      <c r="AJ115">
        <v>31.654</v>
      </c>
      <c r="AK115">
        <v>50.116999999999997</v>
      </c>
      <c r="AL115">
        <v>-1.8160000000000001</v>
      </c>
      <c r="AM115">
        <v>55.2</v>
      </c>
      <c r="AN115">
        <v>0.92800000000000005</v>
      </c>
      <c r="AO115">
        <v>44.5</v>
      </c>
      <c r="AP115">
        <v>1.8160000000000001</v>
      </c>
      <c r="AQ115">
        <v>68.346000000000004</v>
      </c>
      <c r="AR115">
        <v>28.207999999999998</v>
      </c>
      <c r="AS115">
        <v>49.883000000000003</v>
      </c>
    </row>
    <row r="116" spans="1:45" x14ac:dyDescent="0.25">
      <c r="A116">
        <v>42</v>
      </c>
      <c r="B116">
        <v>-6</v>
      </c>
      <c r="C116">
        <v>0</v>
      </c>
      <c r="D116">
        <v>2018</v>
      </c>
      <c r="E116">
        <v>8</v>
      </c>
      <c r="F116" t="str">
        <f>IFERROR(VLOOKUP(G116, Map!$A$1:$B$33, 2, FALSE),"WAS")</f>
        <v>JAX</v>
      </c>
      <c r="G116" t="s">
        <v>139</v>
      </c>
      <c r="H116" t="str">
        <f>IFERROR(VLOOKUP(I116, Map!$A$1:$B$33, 2, FALSE),"WAS")</f>
        <v>PHI</v>
      </c>
      <c r="I116" t="s">
        <v>147</v>
      </c>
      <c r="J116" t="s">
        <v>220</v>
      </c>
      <c r="K116" t="s">
        <v>206</v>
      </c>
      <c r="L116">
        <v>0</v>
      </c>
      <c r="M116">
        <v>0</v>
      </c>
      <c r="N116">
        <v>40.181818181818201</v>
      </c>
      <c r="O116">
        <v>3.5454545454545499</v>
      </c>
      <c r="P116">
        <v>3.5</v>
      </c>
      <c r="Q116">
        <v>42</v>
      </c>
      <c r="R116">
        <v>6</v>
      </c>
      <c r="S116">
        <v>9.3000000000000007</v>
      </c>
      <c r="T116">
        <v>3.3</v>
      </c>
      <c r="U116">
        <v>1.3</v>
      </c>
      <c r="V116">
        <v>0.8</v>
      </c>
      <c r="W116">
        <v>0</v>
      </c>
      <c r="X116">
        <v>6</v>
      </c>
      <c r="Y116">
        <v>0.8</v>
      </c>
      <c r="Z116">
        <v>27.5</v>
      </c>
      <c r="AA116">
        <v>46.8</v>
      </c>
      <c r="AB116">
        <v>27</v>
      </c>
      <c r="AC116">
        <v>78</v>
      </c>
      <c r="AD116">
        <v>35.4</v>
      </c>
      <c r="AE116">
        <v>20.3</v>
      </c>
      <c r="AF116">
        <v>37.200000000000003</v>
      </c>
      <c r="AG116">
        <v>56.320999999999998</v>
      </c>
      <c r="AH116">
        <v>62.5</v>
      </c>
      <c r="AI116">
        <v>21.876000000000001</v>
      </c>
      <c r="AJ116">
        <v>28.556999999999999</v>
      </c>
      <c r="AK116">
        <v>27.088000000000001</v>
      </c>
      <c r="AL116">
        <v>-4.3540000000000001</v>
      </c>
      <c r="AM116">
        <v>62.5</v>
      </c>
      <c r="AN116">
        <v>56.320999999999998</v>
      </c>
      <c r="AO116">
        <v>37.200000000000003</v>
      </c>
      <c r="AP116">
        <v>4.3540000000000001</v>
      </c>
      <c r="AQ116">
        <v>71.442999999999998</v>
      </c>
      <c r="AR116">
        <v>78.123999999999995</v>
      </c>
      <c r="AS116">
        <v>72.912000000000006</v>
      </c>
    </row>
    <row r="117" spans="1:45" x14ac:dyDescent="0.25">
      <c r="A117">
        <v>33</v>
      </c>
      <c r="B117">
        <v>-7</v>
      </c>
      <c r="C117">
        <v>0</v>
      </c>
      <c r="D117">
        <v>2018</v>
      </c>
      <c r="E117">
        <v>8</v>
      </c>
      <c r="F117" t="str">
        <f>IFERROR(VLOOKUP(G117, Map!$A$1:$B$33, 2, FALSE),"WAS")</f>
        <v>NYG</v>
      </c>
      <c r="G117" t="s">
        <v>149</v>
      </c>
      <c r="H117" t="str">
        <f>IFERROR(VLOOKUP(I117, Map!$A$1:$B$33, 2, FALSE),"WAS")</f>
        <v>WAS</v>
      </c>
      <c r="I117" t="s">
        <v>204</v>
      </c>
      <c r="J117" t="s">
        <v>219</v>
      </c>
      <c r="K117" t="s">
        <v>205</v>
      </c>
      <c r="L117">
        <v>0</v>
      </c>
      <c r="M117">
        <v>0</v>
      </c>
      <c r="N117">
        <v>39.772727272727302</v>
      </c>
      <c r="O117">
        <v>0.95454545454545503</v>
      </c>
      <c r="P117">
        <v>1</v>
      </c>
      <c r="Q117">
        <v>43</v>
      </c>
      <c r="R117">
        <v>8.8000000000000007</v>
      </c>
      <c r="S117">
        <v>11.5</v>
      </c>
      <c r="T117">
        <v>6.2</v>
      </c>
      <c r="U117">
        <v>6.1</v>
      </c>
      <c r="V117">
        <v>2.7</v>
      </c>
      <c r="W117">
        <v>0</v>
      </c>
      <c r="X117">
        <v>10</v>
      </c>
      <c r="Y117">
        <v>2.7</v>
      </c>
      <c r="Z117">
        <v>17</v>
      </c>
      <c r="AA117">
        <v>41.8</v>
      </c>
      <c r="AB117">
        <v>269</v>
      </c>
      <c r="AC117">
        <v>85</v>
      </c>
      <c r="AD117">
        <v>26.5</v>
      </c>
      <c r="AE117">
        <v>12.1</v>
      </c>
      <c r="AF117">
        <v>58.2</v>
      </c>
      <c r="AG117">
        <v>31.983000000000001</v>
      </c>
      <c r="AH117">
        <v>41.5</v>
      </c>
      <c r="AI117">
        <v>45.61</v>
      </c>
      <c r="AJ117">
        <v>8.5640000000000001</v>
      </c>
      <c r="AK117">
        <v>17.413</v>
      </c>
      <c r="AL117">
        <v>2.859</v>
      </c>
      <c r="AM117">
        <v>41.5</v>
      </c>
      <c r="AN117">
        <v>31.983000000000001</v>
      </c>
      <c r="AO117">
        <v>58.2</v>
      </c>
      <c r="AP117">
        <v>-2.859</v>
      </c>
      <c r="AQ117">
        <v>91.436000000000007</v>
      </c>
      <c r="AR117">
        <v>54.39</v>
      </c>
      <c r="AS117">
        <v>82.587000000000003</v>
      </c>
    </row>
    <row r="118" spans="1:45" x14ac:dyDescent="0.25">
      <c r="A118">
        <v>42</v>
      </c>
      <c r="B118">
        <v>-14</v>
      </c>
      <c r="C118">
        <v>0</v>
      </c>
      <c r="D118">
        <v>2018</v>
      </c>
      <c r="E118">
        <v>8</v>
      </c>
      <c r="F118" t="str">
        <f>IFERROR(VLOOKUP(G118, Map!$A$1:$B$33, 2, FALSE),"WAS")</f>
        <v>DET</v>
      </c>
      <c r="G118" t="s">
        <v>164</v>
      </c>
      <c r="H118" t="str">
        <f>IFERROR(VLOOKUP(I118, Map!$A$1:$B$33, 2, FALSE),"WAS")</f>
        <v>SEA</v>
      </c>
      <c r="I118" t="s">
        <v>144</v>
      </c>
      <c r="J118" t="s">
        <v>173</v>
      </c>
      <c r="K118" t="s">
        <v>182</v>
      </c>
      <c r="L118">
        <v>0</v>
      </c>
      <c r="M118">
        <v>0</v>
      </c>
      <c r="N118">
        <v>43.727272727272698</v>
      </c>
      <c r="O118">
        <v>-2.7272727272727302</v>
      </c>
      <c r="P118">
        <v>-3</v>
      </c>
      <c r="Q118">
        <v>47.5</v>
      </c>
      <c r="R118">
        <v>5.6</v>
      </c>
      <c r="S118">
        <v>8</v>
      </c>
      <c r="T118">
        <v>2.7</v>
      </c>
      <c r="U118">
        <v>2.4</v>
      </c>
      <c r="V118">
        <v>10.7</v>
      </c>
      <c r="W118">
        <v>0</v>
      </c>
      <c r="X118">
        <v>12</v>
      </c>
      <c r="Y118">
        <v>10.7</v>
      </c>
      <c r="Z118">
        <v>16.600000000000001</v>
      </c>
      <c r="AA118">
        <v>29.2</v>
      </c>
      <c r="AB118">
        <v>281</v>
      </c>
      <c r="AC118">
        <v>91</v>
      </c>
      <c r="AD118">
        <v>22.2</v>
      </c>
      <c r="AE118">
        <v>12.6</v>
      </c>
      <c r="AF118">
        <v>42</v>
      </c>
      <c r="AG118">
        <v>54.832000000000001</v>
      </c>
      <c r="AH118">
        <v>57.7</v>
      </c>
      <c r="AI118">
        <v>5.4589999999999996</v>
      </c>
      <c r="AJ118">
        <v>68.983000000000004</v>
      </c>
      <c r="AK118">
        <v>8.5749999999999993</v>
      </c>
      <c r="AL118">
        <v>-2.7029999999999998</v>
      </c>
      <c r="AM118">
        <v>57.7</v>
      </c>
      <c r="AN118">
        <v>54.832000000000001</v>
      </c>
      <c r="AO118">
        <v>42</v>
      </c>
      <c r="AP118">
        <v>2.7029999999999998</v>
      </c>
      <c r="AQ118">
        <v>31.016999999999999</v>
      </c>
      <c r="AR118">
        <v>94.540999999999997</v>
      </c>
      <c r="AS118">
        <v>91.424999999999997</v>
      </c>
    </row>
    <row r="119" spans="1:45" x14ac:dyDescent="0.25">
      <c r="A119">
        <v>71</v>
      </c>
      <c r="B119">
        <v>3</v>
      </c>
      <c r="C119">
        <v>1</v>
      </c>
      <c r="D119">
        <v>2018</v>
      </c>
      <c r="E119">
        <v>8</v>
      </c>
      <c r="F119" t="str">
        <f>IFERROR(VLOOKUP(G119, Map!$A$1:$B$33, 2, FALSE),"WAS")</f>
        <v>CIN</v>
      </c>
      <c r="G119" t="s">
        <v>161</v>
      </c>
      <c r="H119" t="str">
        <f>IFERROR(VLOOKUP(I119, Map!$A$1:$B$33, 2, FALSE),"WAS")</f>
        <v>TB</v>
      </c>
      <c r="I119" t="s">
        <v>141</v>
      </c>
      <c r="J119" t="s">
        <v>176</v>
      </c>
      <c r="K119" t="s">
        <v>186</v>
      </c>
      <c r="L119">
        <v>1</v>
      </c>
      <c r="M119">
        <v>0</v>
      </c>
      <c r="N119">
        <v>49.863636363636402</v>
      </c>
      <c r="O119">
        <v>-3.1818181818181799</v>
      </c>
      <c r="P119">
        <v>-3.5</v>
      </c>
      <c r="Q119">
        <v>54.5</v>
      </c>
      <c r="R119">
        <v>10.8</v>
      </c>
      <c r="S119">
        <v>17.600000000000001</v>
      </c>
      <c r="T119">
        <v>6.2</v>
      </c>
      <c r="U119">
        <v>7.3</v>
      </c>
      <c r="V119">
        <v>1.5</v>
      </c>
      <c r="W119">
        <v>0</v>
      </c>
      <c r="X119">
        <v>7</v>
      </c>
      <c r="Y119">
        <v>1.5</v>
      </c>
      <c r="Z119">
        <v>33.6</v>
      </c>
      <c r="AA119">
        <v>75.2</v>
      </c>
      <c r="AB119">
        <v>246</v>
      </c>
      <c r="AC119">
        <v>72</v>
      </c>
      <c r="AD119">
        <v>35.4</v>
      </c>
      <c r="AE119">
        <v>16.899999999999999</v>
      </c>
      <c r="AF119">
        <v>64.900000000000006</v>
      </c>
      <c r="AG119">
        <v>32.036000000000001</v>
      </c>
      <c r="AH119">
        <v>34.9</v>
      </c>
      <c r="AI119">
        <v>67.519000000000005</v>
      </c>
      <c r="AJ119">
        <v>74.521000000000001</v>
      </c>
      <c r="AK119">
        <v>78.906999999999996</v>
      </c>
      <c r="AL119">
        <v>5.2130000000000001</v>
      </c>
      <c r="AM119">
        <v>34.9</v>
      </c>
      <c r="AN119">
        <v>32.036000000000001</v>
      </c>
      <c r="AO119">
        <v>64.900000000000006</v>
      </c>
      <c r="AP119">
        <v>-5.2130000000000001</v>
      </c>
      <c r="AQ119">
        <v>25.478999999999999</v>
      </c>
      <c r="AR119">
        <v>32.481000000000002</v>
      </c>
      <c r="AS119">
        <v>21.093</v>
      </c>
    </row>
    <row r="120" spans="1:45" x14ac:dyDescent="0.25">
      <c r="A120">
        <v>53</v>
      </c>
      <c r="B120">
        <v>7</v>
      </c>
      <c r="C120">
        <v>1</v>
      </c>
      <c r="D120">
        <v>2018</v>
      </c>
      <c r="E120">
        <v>8</v>
      </c>
      <c r="F120" t="str">
        <f>IFERROR(VLOOKUP(G120, Map!$A$1:$B$33, 2, FALSE),"WAS")</f>
        <v>KC</v>
      </c>
      <c r="G120" t="s">
        <v>158</v>
      </c>
      <c r="H120" t="str">
        <f>IFERROR(VLOOKUP(I120, Map!$A$1:$B$33, 2, FALSE),"WAS")</f>
        <v>DEN</v>
      </c>
      <c r="I120" t="s">
        <v>159</v>
      </c>
      <c r="J120" t="s">
        <v>202</v>
      </c>
      <c r="K120" t="s">
        <v>183</v>
      </c>
      <c r="L120">
        <v>1</v>
      </c>
      <c r="M120">
        <v>0</v>
      </c>
      <c r="N120">
        <v>48.227272727272698</v>
      </c>
      <c r="O120">
        <v>-8.1818181818181799</v>
      </c>
      <c r="P120">
        <v>-8</v>
      </c>
      <c r="Q120">
        <v>52.5</v>
      </c>
      <c r="R120">
        <v>13.8</v>
      </c>
      <c r="S120">
        <v>16.5</v>
      </c>
      <c r="T120">
        <v>9.8000000000000007</v>
      </c>
      <c r="U120">
        <v>10.6</v>
      </c>
      <c r="V120">
        <v>0</v>
      </c>
      <c r="W120">
        <v>0</v>
      </c>
      <c r="X120">
        <v>0</v>
      </c>
      <c r="Y120">
        <v>0</v>
      </c>
      <c r="Z120">
        <v>19.8</v>
      </c>
      <c r="AA120">
        <v>36.4</v>
      </c>
      <c r="AB120">
        <v>292</v>
      </c>
      <c r="AC120">
        <v>60</v>
      </c>
      <c r="AD120">
        <v>28.6</v>
      </c>
      <c r="AE120">
        <v>14.8</v>
      </c>
      <c r="AF120">
        <v>78.400000000000006</v>
      </c>
      <c r="AG120">
        <v>64.462000000000003</v>
      </c>
      <c r="AH120">
        <v>21.4</v>
      </c>
      <c r="AI120">
        <v>42.844999999999999</v>
      </c>
      <c r="AJ120">
        <v>91.201999999999998</v>
      </c>
      <c r="AK120">
        <v>80.421000000000006</v>
      </c>
      <c r="AL120">
        <v>10.603999999999999</v>
      </c>
      <c r="AM120">
        <v>21.4</v>
      </c>
      <c r="AN120">
        <v>64.462000000000003</v>
      </c>
      <c r="AO120">
        <v>78.400000000000006</v>
      </c>
      <c r="AP120">
        <v>-10.603999999999999</v>
      </c>
      <c r="AQ120">
        <v>8.798</v>
      </c>
      <c r="AR120">
        <v>57.155000000000001</v>
      </c>
      <c r="AS120">
        <v>19.579000000000001</v>
      </c>
    </row>
    <row r="121" spans="1:45" x14ac:dyDescent="0.25">
      <c r="A121">
        <v>34</v>
      </c>
      <c r="B121">
        <v>14</v>
      </c>
      <c r="C121">
        <v>1</v>
      </c>
      <c r="D121">
        <v>2018</v>
      </c>
      <c r="E121">
        <v>8</v>
      </c>
      <c r="F121" t="str">
        <f>IFERROR(VLOOKUP(G121, Map!$A$1:$B$33, 2, FALSE),"WAS")</f>
        <v>CHI</v>
      </c>
      <c r="G121" t="s">
        <v>163</v>
      </c>
      <c r="H121" t="str">
        <f>IFERROR(VLOOKUP(I121, Map!$A$1:$B$33, 2, FALSE),"WAS")</f>
        <v>NYJ</v>
      </c>
      <c r="I121" t="s">
        <v>166</v>
      </c>
      <c r="J121" t="s">
        <v>216</v>
      </c>
      <c r="K121" t="s">
        <v>172</v>
      </c>
      <c r="L121">
        <v>1</v>
      </c>
      <c r="M121">
        <v>0</v>
      </c>
      <c r="N121">
        <v>38.363636363636402</v>
      </c>
      <c r="O121">
        <v>-7.7727272727272698</v>
      </c>
      <c r="P121">
        <v>-8</v>
      </c>
      <c r="Q121">
        <v>41.5</v>
      </c>
      <c r="R121">
        <v>8.1999999999999993</v>
      </c>
      <c r="S121">
        <v>11.1</v>
      </c>
      <c r="T121">
        <v>6.1</v>
      </c>
      <c r="U121">
        <v>4</v>
      </c>
      <c r="V121">
        <v>7</v>
      </c>
      <c r="W121">
        <v>0</v>
      </c>
      <c r="X121">
        <v>12</v>
      </c>
      <c r="Y121">
        <v>7</v>
      </c>
      <c r="Z121">
        <v>42.1</v>
      </c>
      <c r="AA121">
        <v>63.7</v>
      </c>
      <c r="AB121">
        <v>254</v>
      </c>
      <c r="AC121">
        <v>85</v>
      </c>
      <c r="AD121">
        <v>34.6</v>
      </c>
      <c r="AE121">
        <v>22.2</v>
      </c>
      <c r="AF121">
        <v>76.2</v>
      </c>
      <c r="AG121">
        <v>48.366999999999997</v>
      </c>
      <c r="AH121">
        <v>23.6</v>
      </c>
      <c r="AI121">
        <v>83.498999999999995</v>
      </c>
      <c r="AJ121">
        <v>82.131</v>
      </c>
      <c r="AK121">
        <v>83.938999999999993</v>
      </c>
      <c r="AL121">
        <v>9.7050000000000001</v>
      </c>
      <c r="AM121">
        <v>23.6</v>
      </c>
      <c r="AN121">
        <v>48.366999999999997</v>
      </c>
      <c r="AO121">
        <v>76.2</v>
      </c>
      <c r="AP121">
        <v>-9.7050000000000001</v>
      </c>
      <c r="AQ121">
        <v>17.869</v>
      </c>
      <c r="AR121">
        <v>16.501000000000001</v>
      </c>
      <c r="AS121">
        <v>16.061</v>
      </c>
    </row>
    <row r="122" spans="1:45" x14ac:dyDescent="0.25">
      <c r="A122">
        <v>57</v>
      </c>
      <c r="B122">
        <v>15</v>
      </c>
      <c r="C122">
        <v>1</v>
      </c>
      <c r="D122">
        <v>2018</v>
      </c>
      <c r="E122">
        <v>8</v>
      </c>
      <c r="F122" t="str">
        <f>IFERROR(VLOOKUP(G122, Map!$A$1:$B$33, 2, FALSE),"WAS")</f>
        <v>CAR</v>
      </c>
      <c r="G122" t="s">
        <v>142</v>
      </c>
      <c r="H122" t="str">
        <f>IFERROR(VLOOKUP(I122, Map!$A$1:$B$33, 2, FALSE),"WAS")</f>
        <v>BAL</v>
      </c>
      <c r="I122" t="s">
        <v>146</v>
      </c>
      <c r="J122" t="s">
        <v>185</v>
      </c>
      <c r="K122" t="s">
        <v>181</v>
      </c>
      <c r="L122">
        <v>1</v>
      </c>
      <c r="M122">
        <v>0</v>
      </c>
      <c r="N122">
        <v>40.272727272727302</v>
      </c>
      <c r="O122">
        <v>2.2727272727272698</v>
      </c>
      <c r="P122">
        <v>2</v>
      </c>
      <c r="Q122">
        <v>44</v>
      </c>
      <c r="R122">
        <v>11.3</v>
      </c>
      <c r="S122">
        <v>17.2</v>
      </c>
      <c r="T122">
        <v>6.4</v>
      </c>
      <c r="U122">
        <v>8.3000000000000007</v>
      </c>
      <c r="V122">
        <v>0</v>
      </c>
      <c r="W122">
        <v>0</v>
      </c>
      <c r="X122">
        <v>0</v>
      </c>
      <c r="Y122">
        <v>0</v>
      </c>
      <c r="Z122">
        <v>22.6</v>
      </c>
      <c r="AA122">
        <v>39.6</v>
      </c>
      <c r="AB122">
        <v>253</v>
      </c>
      <c r="AC122">
        <v>72</v>
      </c>
      <c r="AD122">
        <v>26.9</v>
      </c>
      <c r="AE122">
        <v>14.3</v>
      </c>
      <c r="AF122">
        <v>47.7</v>
      </c>
      <c r="AG122">
        <v>73.707999999999998</v>
      </c>
      <c r="AH122">
        <v>51.9</v>
      </c>
      <c r="AI122">
        <v>71.384</v>
      </c>
      <c r="AJ122">
        <v>94.195999999999998</v>
      </c>
      <c r="AK122">
        <v>89.897000000000006</v>
      </c>
      <c r="AL122">
        <v>-0.72399999999999998</v>
      </c>
      <c r="AM122">
        <v>51.9</v>
      </c>
      <c r="AN122">
        <v>73.707999999999998</v>
      </c>
      <c r="AO122">
        <v>47.7</v>
      </c>
      <c r="AP122">
        <v>0.72399999999999998</v>
      </c>
      <c r="AQ122">
        <v>5.8040000000000003</v>
      </c>
      <c r="AR122">
        <v>28.616</v>
      </c>
      <c r="AS122">
        <v>10.103</v>
      </c>
    </row>
    <row r="123" spans="1:45" x14ac:dyDescent="0.25">
      <c r="A123">
        <v>52</v>
      </c>
      <c r="B123">
        <v>-24</v>
      </c>
      <c r="C123">
        <v>0</v>
      </c>
      <c r="D123">
        <v>2018</v>
      </c>
      <c r="E123">
        <v>9</v>
      </c>
      <c r="F123" t="str">
        <f>IFERROR(VLOOKUP(G123, Map!$A$1:$B$33, 2, FALSE),"WAS")</f>
        <v>WAS</v>
      </c>
      <c r="G123" t="s">
        <v>204</v>
      </c>
      <c r="H123" t="str">
        <f>IFERROR(VLOOKUP(I123, Map!$A$1:$B$33, 2, FALSE),"WAS")</f>
        <v>ATL</v>
      </c>
      <c r="I123" t="s">
        <v>167</v>
      </c>
      <c r="J123" t="s">
        <v>205</v>
      </c>
      <c r="K123" t="s">
        <v>188</v>
      </c>
      <c r="L123">
        <v>0</v>
      </c>
      <c r="M123">
        <v>0</v>
      </c>
      <c r="N123">
        <v>42.636363636363598</v>
      </c>
      <c r="O123">
        <v>-1.4090909090909101</v>
      </c>
      <c r="P123">
        <v>-1.5</v>
      </c>
      <c r="Q123">
        <v>46.5</v>
      </c>
      <c r="R123">
        <v>7.9</v>
      </c>
      <c r="S123">
        <v>13</v>
      </c>
      <c r="T123">
        <v>3.1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11.5</v>
      </c>
      <c r="AA123">
        <v>24.1</v>
      </c>
      <c r="AB123">
        <v>51</v>
      </c>
      <c r="AC123">
        <v>69</v>
      </c>
      <c r="AD123">
        <v>16.2</v>
      </c>
      <c r="AE123">
        <v>8.1</v>
      </c>
      <c r="AF123">
        <v>49.9</v>
      </c>
      <c r="AG123">
        <v>43.652000000000001</v>
      </c>
      <c r="AH123">
        <v>49.7</v>
      </c>
      <c r="AI123">
        <v>2.0369999999999999</v>
      </c>
      <c r="AJ123">
        <v>40.052</v>
      </c>
      <c r="AK123">
        <v>5.4509999999999996</v>
      </c>
      <c r="AL123">
        <v>2.8000000000000001E-2</v>
      </c>
      <c r="AM123">
        <v>49.7</v>
      </c>
      <c r="AN123">
        <v>43.652000000000001</v>
      </c>
      <c r="AO123">
        <v>49.9</v>
      </c>
      <c r="AP123">
        <v>-2.8000000000000001E-2</v>
      </c>
      <c r="AQ123">
        <v>59.948</v>
      </c>
      <c r="AR123">
        <v>97.962999999999994</v>
      </c>
      <c r="AS123">
        <v>94.549000000000007</v>
      </c>
    </row>
    <row r="124" spans="1:45" x14ac:dyDescent="0.25">
      <c r="A124">
        <v>58</v>
      </c>
      <c r="B124">
        <v>-16</v>
      </c>
      <c r="C124">
        <v>0</v>
      </c>
      <c r="D124">
        <v>2018</v>
      </c>
      <c r="E124">
        <v>9</v>
      </c>
      <c r="F124" t="str">
        <f>IFERROR(VLOOKUP(G124, Map!$A$1:$B$33, 2, FALSE),"WAS")</f>
        <v>CLE</v>
      </c>
      <c r="G124" t="s">
        <v>162</v>
      </c>
      <c r="H124" t="str">
        <f>IFERROR(VLOOKUP(I124, Map!$A$1:$B$33, 2, FALSE),"WAS")</f>
        <v>KC</v>
      </c>
      <c r="I124" t="s">
        <v>158</v>
      </c>
      <c r="J124" t="s">
        <v>171</v>
      </c>
      <c r="K124" t="s">
        <v>202</v>
      </c>
      <c r="L124">
        <v>0</v>
      </c>
      <c r="M124">
        <v>0</v>
      </c>
      <c r="N124">
        <v>46.772727272727302</v>
      </c>
      <c r="O124">
        <v>7.3636363636363598</v>
      </c>
      <c r="P124">
        <v>7.5</v>
      </c>
      <c r="Q124">
        <v>51</v>
      </c>
      <c r="R124">
        <v>8.1</v>
      </c>
      <c r="S124">
        <v>13.3</v>
      </c>
      <c r="T124">
        <v>4.4000000000000004</v>
      </c>
      <c r="U124">
        <v>4.4000000000000004</v>
      </c>
      <c r="V124">
        <v>0</v>
      </c>
      <c r="W124">
        <v>0</v>
      </c>
      <c r="X124">
        <v>0</v>
      </c>
      <c r="Y124">
        <v>0</v>
      </c>
      <c r="Z124">
        <v>23.2</v>
      </c>
      <c r="AA124">
        <v>38.9</v>
      </c>
      <c r="AB124">
        <v>139</v>
      </c>
      <c r="AC124">
        <v>72</v>
      </c>
      <c r="AD124">
        <v>24.1</v>
      </c>
      <c r="AE124">
        <v>14.3</v>
      </c>
      <c r="AF124">
        <v>21.3</v>
      </c>
      <c r="AG124">
        <v>64.691999999999993</v>
      </c>
      <c r="AH124">
        <v>78.5</v>
      </c>
      <c r="AI124">
        <v>0.90300000000000002</v>
      </c>
      <c r="AJ124">
        <v>68.936999999999998</v>
      </c>
      <c r="AK124">
        <v>10.477</v>
      </c>
      <c r="AL124">
        <v>-10.612</v>
      </c>
      <c r="AM124">
        <v>78.5</v>
      </c>
      <c r="AN124">
        <v>64.691999999999993</v>
      </c>
      <c r="AO124">
        <v>21.3</v>
      </c>
      <c r="AP124">
        <v>10.612</v>
      </c>
      <c r="AQ124">
        <v>31.062999999999999</v>
      </c>
      <c r="AR124">
        <v>99.096999999999994</v>
      </c>
      <c r="AS124">
        <v>89.522999999999996</v>
      </c>
    </row>
    <row r="125" spans="1:45" x14ac:dyDescent="0.25">
      <c r="A125">
        <v>70</v>
      </c>
      <c r="B125">
        <v>14</v>
      </c>
      <c r="C125">
        <v>1</v>
      </c>
      <c r="D125">
        <v>2018</v>
      </c>
      <c r="E125">
        <v>9</v>
      </c>
      <c r="F125" t="str">
        <f>IFERROR(VLOOKUP(G125, Map!$A$1:$B$33, 2, FALSE),"WAS")</f>
        <v>CAR</v>
      </c>
      <c r="G125" t="s">
        <v>142</v>
      </c>
      <c r="H125" t="str">
        <f>IFERROR(VLOOKUP(I125, Map!$A$1:$B$33, 2, FALSE),"WAS")</f>
        <v>TB</v>
      </c>
      <c r="I125" t="s">
        <v>141</v>
      </c>
      <c r="J125" t="s">
        <v>185</v>
      </c>
      <c r="K125" t="s">
        <v>186</v>
      </c>
      <c r="L125">
        <v>1</v>
      </c>
      <c r="M125">
        <v>0</v>
      </c>
      <c r="N125">
        <v>50.409090909090899</v>
      </c>
      <c r="O125">
        <v>-5.5909090909090899</v>
      </c>
      <c r="P125">
        <v>-6</v>
      </c>
      <c r="Q125">
        <v>54.5</v>
      </c>
      <c r="R125">
        <v>9.8000000000000007</v>
      </c>
      <c r="S125">
        <v>16.7</v>
      </c>
      <c r="T125">
        <v>4.7</v>
      </c>
      <c r="U125">
        <v>7.1</v>
      </c>
      <c r="V125">
        <v>0</v>
      </c>
      <c r="W125">
        <v>0</v>
      </c>
      <c r="X125">
        <v>0</v>
      </c>
      <c r="Y125">
        <v>0</v>
      </c>
      <c r="Z125">
        <v>13.5</v>
      </c>
      <c r="AA125">
        <v>27.4</v>
      </c>
      <c r="AB125">
        <v>72</v>
      </c>
      <c r="AC125">
        <v>73</v>
      </c>
      <c r="AD125">
        <v>19</v>
      </c>
      <c r="AE125">
        <v>10.3</v>
      </c>
      <c r="AF125">
        <v>80.400000000000006</v>
      </c>
      <c r="AG125">
        <v>43.994999999999997</v>
      </c>
      <c r="AH125">
        <v>19.399999999999999</v>
      </c>
      <c r="AI125">
        <v>66.308000000000007</v>
      </c>
      <c r="AJ125">
        <v>95.965000000000003</v>
      </c>
      <c r="AK125">
        <v>92.93</v>
      </c>
      <c r="AL125">
        <v>11.587</v>
      </c>
      <c r="AM125">
        <v>19.399999999999999</v>
      </c>
      <c r="AN125">
        <v>43.994999999999997</v>
      </c>
      <c r="AO125">
        <v>80.400000000000006</v>
      </c>
      <c r="AP125">
        <v>-11.587</v>
      </c>
      <c r="AQ125">
        <v>4.0350000000000001</v>
      </c>
      <c r="AR125">
        <v>33.692</v>
      </c>
      <c r="AS125">
        <v>7.07</v>
      </c>
    </row>
    <row r="126" spans="1:45" x14ac:dyDescent="0.25">
      <c r="A126">
        <v>48</v>
      </c>
      <c r="B126">
        <v>14</v>
      </c>
      <c r="C126">
        <v>1</v>
      </c>
      <c r="D126">
        <v>2018</v>
      </c>
      <c r="E126">
        <v>9</v>
      </c>
      <c r="F126" t="str">
        <f>IFERROR(VLOOKUP(G126, Map!$A$1:$B$33, 2, FALSE),"WAS")</f>
        <v>NE</v>
      </c>
      <c r="G126" t="s">
        <v>151</v>
      </c>
      <c r="H126" t="str">
        <f>IFERROR(VLOOKUP(I126, Map!$A$1:$B$33, 2, FALSE),"WAS")</f>
        <v>GB</v>
      </c>
      <c r="I126" t="s">
        <v>154</v>
      </c>
      <c r="J126" t="s">
        <v>187</v>
      </c>
      <c r="K126" t="s">
        <v>200</v>
      </c>
      <c r="L126">
        <v>1</v>
      </c>
      <c r="M126">
        <v>0</v>
      </c>
      <c r="N126">
        <v>51.5</v>
      </c>
      <c r="O126">
        <v>-4.6363636363636402</v>
      </c>
      <c r="P126">
        <v>-4.5</v>
      </c>
      <c r="Q126">
        <v>56</v>
      </c>
      <c r="R126">
        <v>6.8</v>
      </c>
      <c r="S126">
        <v>10</v>
      </c>
      <c r="T126">
        <v>4.2</v>
      </c>
      <c r="U126">
        <v>3.7</v>
      </c>
      <c r="V126">
        <v>0</v>
      </c>
      <c r="W126">
        <v>0</v>
      </c>
      <c r="X126">
        <v>0</v>
      </c>
      <c r="Y126">
        <v>0</v>
      </c>
      <c r="Z126">
        <v>16.8</v>
      </c>
      <c r="AA126">
        <v>39.6</v>
      </c>
      <c r="AB126">
        <v>84</v>
      </c>
      <c r="AC126">
        <v>78</v>
      </c>
      <c r="AD126">
        <v>22.1</v>
      </c>
      <c r="AE126">
        <v>10.4</v>
      </c>
      <c r="AF126">
        <v>68</v>
      </c>
      <c r="AG126">
        <v>73.009</v>
      </c>
      <c r="AH126">
        <v>31.7</v>
      </c>
      <c r="AI126">
        <v>44.115000000000002</v>
      </c>
      <c r="AJ126">
        <v>81.721999999999994</v>
      </c>
      <c r="AK126">
        <v>74.876999999999995</v>
      </c>
      <c r="AL126">
        <v>6.3490000000000002</v>
      </c>
      <c r="AM126">
        <v>31.7</v>
      </c>
      <c r="AN126">
        <v>73.009</v>
      </c>
      <c r="AO126">
        <v>68</v>
      </c>
      <c r="AP126">
        <v>-6.3490000000000002</v>
      </c>
      <c r="AQ126">
        <v>18.277999999999999</v>
      </c>
      <c r="AR126">
        <v>55.884999999999998</v>
      </c>
      <c r="AS126">
        <v>25.123000000000001</v>
      </c>
    </row>
    <row r="127" spans="1:45" x14ac:dyDescent="0.25">
      <c r="A127">
        <v>36</v>
      </c>
      <c r="B127">
        <v>-2</v>
      </c>
      <c r="C127">
        <v>0</v>
      </c>
      <c r="D127">
        <v>2018</v>
      </c>
      <c r="E127">
        <v>9</v>
      </c>
      <c r="F127" t="str">
        <f>IFERROR(VLOOKUP(G127, Map!$A$1:$B$33, 2, FALSE),"WAS")</f>
        <v>DEN</v>
      </c>
      <c r="G127" t="s">
        <v>159</v>
      </c>
      <c r="H127" t="str">
        <f>IFERROR(VLOOKUP(I127, Map!$A$1:$B$33, 2, FALSE),"WAS")</f>
        <v>HOU</v>
      </c>
      <c r="I127" t="s">
        <v>137</v>
      </c>
      <c r="J127" t="s">
        <v>183</v>
      </c>
      <c r="K127" t="s">
        <v>209</v>
      </c>
      <c r="L127">
        <v>0</v>
      </c>
      <c r="M127">
        <v>0</v>
      </c>
      <c r="N127">
        <v>42.272727272727302</v>
      </c>
      <c r="O127">
        <v>-1</v>
      </c>
      <c r="P127">
        <v>-1</v>
      </c>
      <c r="Q127">
        <v>46.5</v>
      </c>
      <c r="R127">
        <v>3.2</v>
      </c>
      <c r="S127">
        <v>11.3</v>
      </c>
      <c r="T127">
        <v>-3</v>
      </c>
      <c r="U127">
        <v>-0.4</v>
      </c>
      <c r="V127">
        <v>1.2</v>
      </c>
      <c r="W127">
        <v>0</v>
      </c>
      <c r="X127">
        <v>5</v>
      </c>
      <c r="Y127">
        <v>1.2</v>
      </c>
      <c r="Z127">
        <v>12.4</v>
      </c>
      <c r="AA127">
        <v>25.6</v>
      </c>
      <c r="AB127">
        <v>187</v>
      </c>
      <c r="AC127">
        <v>72</v>
      </c>
      <c r="AD127">
        <v>17.5</v>
      </c>
      <c r="AE127">
        <v>8.1</v>
      </c>
      <c r="AF127">
        <v>50.5</v>
      </c>
      <c r="AG127">
        <v>59.588000000000001</v>
      </c>
      <c r="AH127">
        <v>49.1</v>
      </c>
      <c r="AI127">
        <v>55.478999999999999</v>
      </c>
      <c r="AJ127">
        <v>45.527999999999999</v>
      </c>
      <c r="AK127">
        <v>44.604999999999997</v>
      </c>
      <c r="AL127">
        <v>0.248</v>
      </c>
      <c r="AM127">
        <v>49.1</v>
      </c>
      <c r="AN127">
        <v>59.588000000000001</v>
      </c>
      <c r="AO127">
        <v>50.5</v>
      </c>
      <c r="AP127">
        <v>-0.248</v>
      </c>
      <c r="AQ127">
        <v>54.472000000000001</v>
      </c>
      <c r="AR127">
        <v>44.521000000000001</v>
      </c>
      <c r="AS127">
        <v>55.395000000000003</v>
      </c>
    </row>
    <row r="128" spans="1:45" x14ac:dyDescent="0.25">
      <c r="A128">
        <v>33</v>
      </c>
      <c r="B128">
        <v>15</v>
      </c>
      <c r="C128">
        <v>1</v>
      </c>
      <c r="D128">
        <v>2018</v>
      </c>
      <c r="E128">
        <v>9</v>
      </c>
      <c r="F128" t="str">
        <f>IFERROR(VLOOKUP(G128, Map!$A$1:$B$33, 2, FALSE),"WAS")</f>
        <v>MIN</v>
      </c>
      <c r="G128" t="s">
        <v>153</v>
      </c>
      <c r="H128" t="str">
        <f>IFERROR(VLOOKUP(I128, Map!$A$1:$B$33, 2, FALSE),"WAS")</f>
        <v>DET</v>
      </c>
      <c r="I128" t="s">
        <v>164</v>
      </c>
      <c r="J128" t="s">
        <v>214</v>
      </c>
      <c r="K128" t="s">
        <v>173</v>
      </c>
      <c r="L128">
        <v>1</v>
      </c>
      <c r="M128">
        <v>0</v>
      </c>
      <c r="N128">
        <v>43.136363636363598</v>
      </c>
      <c r="O128">
        <v>-4.3636363636363598</v>
      </c>
      <c r="P128">
        <v>-4.5</v>
      </c>
      <c r="Q128">
        <v>47</v>
      </c>
      <c r="R128">
        <v>2.9</v>
      </c>
      <c r="S128">
        <v>5.4</v>
      </c>
      <c r="T128">
        <v>1.6</v>
      </c>
      <c r="U128">
        <v>-0.7</v>
      </c>
      <c r="V128">
        <v>10.1</v>
      </c>
      <c r="W128">
        <v>0.21</v>
      </c>
      <c r="X128">
        <v>24</v>
      </c>
      <c r="Y128">
        <v>9.8000000000000007</v>
      </c>
      <c r="Z128">
        <v>15.2</v>
      </c>
      <c r="AA128">
        <v>29.2</v>
      </c>
      <c r="AB128">
        <v>63</v>
      </c>
      <c r="AC128">
        <v>96</v>
      </c>
      <c r="AD128">
        <v>24.6</v>
      </c>
      <c r="AE128">
        <v>13.1</v>
      </c>
      <c r="AF128">
        <v>73.3</v>
      </c>
      <c r="AG128">
        <v>49.207000000000001</v>
      </c>
      <c r="AH128">
        <v>26.5</v>
      </c>
      <c r="AI128">
        <v>86.843000000000004</v>
      </c>
      <c r="AJ128">
        <v>74.129000000000005</v>
      </c>
      <c r="AK128">
        <v>86.448999999999998</v>
      </c>
      <c r="AL128">
        <v>8.4320000000000004</v>
      </c>
      <c r="AM128">
        <v>26.5</v>
      </c>
      <c r="AN128">
        <v>49.207000000000001</v>
      </c>
      <c r="AO128">
        <v>73.3</v>
      </c>
      <c r="AP128">
        <v>-8.4320000000000004</v>
      </c>
      <c r="AQ128">
        <v>25.870999999999999</v>
      </c>
      <c r="AR128">
        <v>13.157</v>
      </c>
      <c r="AS128">
        <v>13.551</v>
      </c>
    </row>
    <row r="129" spans="1:45" x14ac:dyDescent="0.25">
      <c r="A129">
        <v>39</v>
      </c>
      <c r="B129">
        <v>-7</v>
      </c>
      <c r="C129">
        <v>0</v>
      </c>
      <c r="D129">
        <v>2018</v>
      </c>
      <c r="E129">
        <v>9</v>
      </c>
      <c r="F129" t="str">
        <f>IFERROR(VLOOKUP(G129, Map!$A$1:$B$33, 2, FALSE),"WAS")</f>
        <v>BAL</v>
      </c>
      <c r="G129" t="s">
        <v>146</v>
      </c>
      <c r="H129" t="str">
        <f>IFERROR(VLOOKUP(I129, Map!$A$1:$B$33, 2, FALSE),"WAS")</f>
        <v>PIT</v>
      </c>
      <c r="I129" t="s">
        <v>145</v>
      </c>
      <c r="J129" t="s">
        <v>181</v>
      </c>
      <c r="K129" t="s">
        <v>170</v>
      </c>
      <c r="L129">
        <v>0</v>
      </c>
      <c r="M129">
        <v>0</v>
      </c>
      <c r="N129">
        <v>42.454545454545503</v>
      </c>
      <c r="O129">
        <v>-1.3181818181818199</v>
      </c>
      <c r="P129">
        <v>-1</v>
      </c>
      <c r="Q129">
        <v>46</v>
      </c>
      <c r="R129">
        <v>7.6</v>
      </c>
      <c r="S129">
        <v>11.6</v>
      </c>
      <c r="T129">
        <v>3.8</v>
      </c>
      <c r="U129">
        <v>4.8</v>
      </c>
      <c r="V129">
        <v>0</v>
      </c>
      <c r="W129">
        <v>0</v>
      </c>
      <c r="X129">
        <v>0</v>
      </c>
      <c r="Y129">
        <v>0</v>
      </c>
      <c r="Z129">
        <v>10.5</v>
      </c>
      <c r="AA129">
        <v>23.4</v>
      </c>
      <c r="AB129">
        <v>21</v>
      </c>
      <c r="AC129">
        <v>73</v>
      </c>
      <c r="AD129">
        <v>15.7</v>
      </c>
      <c r="AE129">
        <v>7.7</v>
      </c>
      <c r="AF129">
        <v>58.3</v>
      </c>
      <c r="AG129">
        <v>84.236999999999995</v>
      </c>
      <c r="AH129">
        <v>41.3</v>
      </c>
      <c r="AI129">
        <v>17.471</v>
      </c>
      <c r="AJ129">
        <v>47.834000000000003</v>
      </c>
      <c r="AK129">
        <v>23.064</v>
      </c>
      <c r="AL129">
        <v>2.8730000000000002</v>
      </c>
      <c r="AM129">
        <v>41.3</v>
      </c>
      <c r="AN129">
        <v>84.236999999999995</v>
      </c>
      <c r="AO129">
        <v>58.3</v>
      </c>
      <c r="AP129">
        <v>-2.8730000000000002</v>
      </c>
      <c r="AQ129">
        <v>52.165999999999997</v>
      </c>
      <c r="AR129">
        <v>82.528999999999996</v>
      </c>
      <c r="AS129">
        <v>76.936000000000007</v>
      </c>
    </row>
    <row r="130" spans="1:45" x14ac:dyDescent="0.25">
      <c r="A130">
        <v>80</v>
      </c>
      <c r="B130">
        <v>10</v>
      </c>
      <c r="C130">
        <v>1</v>
      </c>
      <c r="D130">
        <v>2018</v>
      </c>
      <c r="E130">
        <v>9</v>
      </c>
      <c r="F130" t="str">
        <f>IFERROR(VLOOKUP(G130, Map!$A$1:$B$33, 2, FALSE),"WAS")</f>
        <v>NO</v>
      </c>
      <c r="G130" t="s">
        <v>168</v>
      </c>
      <c r="H130" t="str">
        <f>IFERROR(VLOOKUP(I130, Map!$A$1:$B$33, 2, FALSE),"WAS")</f>
        <v>LA</v>
      </c>
      <c r="I130" t="s">
        <v>155</v>
      </c>
      <c r="J130" t="s">
        <v>192</v>
      </c>
      <c r="K130" t="s">
        <v>178</v>
      </c>
      <c r="L130">
        <v>1</v>
      </c>
      <c r="M130">
        <v>0</v>
      </c>
      <c r="N130">
        <v>52.090909090909101</v>
      </c>
      <c r="O130">
        <v>1.77272727272727</v>
      </c>
      <c r="P130">
        <v>1.5</v>
      </c>
      <c r="Q130">
        <v>57</v>
      </c>
      <c r="R130">
        <v>20.100000000000001</v>
      </c>
      <c r="S130">
        <v>24.2</v>
      </c>
      <c r="T130">
        <v>17.399999999999999</v>
      </c>
      <c r="U130">
        <v>19</v>
      </c>
      <c r="V130">
        <v>0.3</v>
      </c>
      <c r="W130">
        <v>0</v>
      </c>
      <c r="X130">
        <v>2</v>
      </c>
      <c r="Y130">
        <v>0.3</v>
      </c>
      <c r="Z130">
        <v>24.3</v>
      </c>
      <c r="AA130">
        <v>41.8</v>
      </c>
      <c r="AB130">
        <v>134</v>
      </c>
      <c r="AC130">
        <v>71</v>
      </c>
      <c r="AD130">
        <v>33.200000000000003</v>
      </c>
      <c r="AE130">
        <v>18.100000000000001</v>
      </c>
      <c r="AF130">
        <v>49.8</v>
      </c>
      <c r="AG130">
        <v>90.631</v>
      </c>
      <c r="AH130">
        <v>49.8</v>
      </c>
      <c r="AI130">
        <v>6.2</v>
      </c>
      <c r="AJ130">
        <v>96.367999999999995</v>
      </c>
      <c r="AK130">
        <v>78.801000000000002</v>
      </c>
      <c r="AL130">
        <v>7.0000000000000001E-3</v>
      </c>
      <c r="AM130">
        <v>49.8</v>
      </c>
      <c r="AN130">
        <v>90.631</v>
      </c>
      <c r="AO130">
        <v>49.8</v>
      </c>
      <c r="AP130">
        <v>-7.0000000000000001E-3</v>
      </c>
      <c r="AQ130">
        <v>3.6320000000000001</v>
      </c>
      <c r="AR130">
        <v>93.8</v>
      </c>
      <c r="AS130">
        <v>21.199000000000002</v>
      </c>
    </row>
    <row r="131" spans="1:45" x14ac:dyDescent="0.25">
      <c r="A131">
        <v>19</v>
      </c>
      <c r="B131">
        <v>7</v>
      </c>
      <c r="C131">
        <v>1</v>
      </c>
      <c r="D131">
        <v>2018</v>
      </c>
      <c r="E131">
        <v>9</v>
      </c>
      <c r="F131" t="str">
        <f>IFERROR(VLOOKUP(G131, Map!$A$1:$B$33, 2, FALSE),"WAS")</f>
        <v>MIA</v>
      </c>
      <c r="G131" t="s">
        <v>152</v>
      </c>
      <c r="H131" t="str">
        <f>IFERROR(VLOOKUP(I131, Map!$A$1:$B$33, 2, FALSE),"WAS")</f>
        <v>NYJ</v>
      </c>
      <c r="I131" t="s">
        <v>166</v>
      </c>
      <c r="J131" t="s">
        <v>175</v>
      </c>
      <c r="K131" t="s">
        <v>172</v>
      </c>
      <c r="L131">
        <v>1</v>
      </c>
      <c r="M131">
        <v>0</v>
      </c>
      <c r="N131">
        <v>38.863636363636402</v>
      </c>
      <c r="O131">
        <v>-2.7272727272727302</v>
      </c>
      <c r="P131">
        <v>-3</v>
      </c>
      <c r="Q131">
        <v>41</v>
      </c>
      <c r="R131">
        <v>25.1</v>
      </c>
      <c r="S131">
        <v>28.2</v>
      </c>
      <c r="T131">
        <v>23.1</v>
      </c>
      <c r="U131">
        <v>28.8</v>
      </c>
      <c r="V131">
        <v>1.7</v>
      </c>
      <c r="W131">
        <v>0</v>
      </c>
      <c r="X131">
        <v>14</v>
      </c>
      <c r="Y131">
        <v>1.7</v>
      </c>
      <c r="Z131">
        <v>18.899999999999999</v>
      </c>
      <c r="AA131">
        <v>38.9</v>
      </c>
      <c r="AB131">
        <v>104</v>
      </c>
      <c r="AC131">
        <v>88</v>
      </c>
      <c r="AD131">
        <v>25.2</v>
      </c>
      <c r="AE131">
        <v>12</v>
      </c>
      <c r="AF131">
        <v>61</v>
      </c>
      <c r="AG131">
        <v>7.4240000000000004</v>
      </c>
      <c r="AH131">
        <v>38.6</v>
      </c>
      <c r="AI131">
        <v>96.293000000000006</v>
      </c>
      <c r="AJ131">
        <v>8.8650000000000002</v>
      </c>
      <c r="AK131">
        <v>70.147000000000006</v>
      </c>
      <c r="AL131">
        <v>3.8180000000000001</v>
      </c>
      <c r="AM131">
        <v>38.6</v>
      </c>
      <c r="AN131">
        <v>7.4240000000000004</v>
      </c>
      <c r="AO131">
        <v>61</v>
      </c>
      <c r="AP131">
        <v>-3.8180000000000001</v>
      </c>
      <c r="AQ131">
        <v>91.135000000000005</v>
      </c>
      <c r="AR131">
        <v>3.7069999999999999</v>
      </c>
      <c r="AS131">
        <v>29.853000000000002</v>
      </c>
    </row>
    <row r="132" spans="1:45" x14ac:dyDescent="0.25">
      <c r="A132">
        <v>42</v>
      </c>
      <c r="B132">
        <v>-8</v>
      </c>
      <c r="C132">
        <v>0</v>
      </c>
      <c r="D132">
        <v>2018</v>
      </c>
      <c r="E132">
        <v>9</v>
      </c>
      <c r="F132" t="str">
        <f>IFERROR(VLOOKUP(G132, Map!$A$1:$B$33, 2, FALSE),"WAS")</f>
        <v>SEA</v>
      </c>
      <c r="G132" t="s">
        <v>144</v>
      </c>
      <c r="H132" t="str">
        <f>IFERROR(VLOOKUP(I132, Map!$A$1:$B$33, 2, FALSE),"WAS")</f>
        <v>LAC</v>
      </c>
      <c r="I132" t="s">
        <v>160</v>
      </c>
      <c r="J132" t="s">
        <v>182</v>
      </c>
      <c r="K132" t="s">
        <v>210</v>
      </c>
      <c r="L132">
        <v>0</v>
      </c>
      <c r="M132">
        <v>0</v>
      </c>
      <c r="N132">
        <v>44.136363636363598</v>
      </c>
      <c r="O132">
        <v>-1.0454545454545501</v>
      </c>
      <c r="P132">
        <v>-1</v>
      </c>
      <c r="Q132">
        <v>48</v>
      </c>
      <c r="R132">
        <v>11.8</v>
      </c>
      <c r="S132">
        <v>13.1</v>
      </c>
      <c r="T132">
        <v>10.9</v>
      </c>
      <c r="U132">
        <v>8.9</v>
      </c>
      <c r="V132">
        <v>21.5</v>
      </c>
      <c r="W132">
        <v>0</v>
      </c>
      <c r="X132">
        <v>21</v>
      </c>
      <c r="Y132">
        <v>21.5</v>
      </c>
      <c r="Z132">
        <v>41.5</v>
      </c>
      <c r="AA132">
        <v>73.8</v>
      </c>
      <c r="AB132">
        <v>182</v>
      </c>
      <c r="AC132">
        <v>92</v>
      </c>
      <c r="AD132">
        <v>41.8</v>
      </c>
      <c r="AE132">
        <v>21.1</v>
      </c>
      <c r="AF132">
        <v>51.7</v>
      </c>
      <c r="AG132">
        <v>88.953999999999994</v>
      </c>
      <c r="AH132">
        <v>47.9</v>
      </c>
      <c r="AI132">
        <v>10.765000000000001</v>
      </c>
      <c r="AJ132">
        <v>20.608000000000001</v>
      </c>
      <c r="AK132">
        <v>16.609000000000002</v>
      </c>
      <c r="AL132">
        <v>0.65700000000000003</v>
      </c>
      <c r="AM132">
        <v>47.9</v>
      </c>
      <c r="AN132">
        <v>88.953999999999994</v>
      </c>
      <c r="AO132">
        <v>51.7</v>
      </c>
      <c r="AP132">
        <v>-0.65700000000000003</v>
      </c>
      <c r="AQ132">
        <v>79.391999999999996</v>
      </c>
      <c r="AR132">
        <v>89.234999999999999</v>
      </c>
      <c r="AS132">
        <v>83.391000000000005</v>
      </c>
    </row>
    <row r="133" spans="1:45" x14ac:dyDescent="0.25">
      <c r="A133">
        <v>50</v>
      </c>
      <c r="B133">
        <v>-32</v>
      </c>
      <c r="C133">
        <v>0</v>
      </c>
      <c r="D133">
        <v>2018</v>
      </c>
      <c r="E133">
        <v>9</v>
      </c>
      <c r="F133" t="str">
        <f>IFERROR(VLOOKUP(G133, Map!$A$1:$B$33, 2, FALSE),"WAS")</f>
        <v>BUF</v>
      </c>
      <c r="G133" t="s">
        <v>165</v>
      </c>
      <c r="H133" t="str">
        <f>IFERROR(VLOOKUP(I133, Map!$A$1:$B$33, 2, FALSE),"WAS")</f>
        <v>CHI</v>
      </c>
      <c r="I133" t="s">
        <v>163</v>
      </c>
      <c r="J133" t="s">
        <v>180</v>
      </c>
      <c r="K133" t="s">
        <v>216</v>
      </c>
      <c r="L133">
        <v>0</v>
      </c>
      <c r="M133">
        <v>0</v>
      </c>
      <c r="N133">
        <v>34.545454545454497</v>
      </c>
      <c r="O133">
        <v>9.1818181818181799</v>
      </c>
      <c r="P133">
        <v>10</v>
      </c>
      <c r="Q133">
        <v>37.5</v>
      </c>
      <c r="R133">
        <v>10.199999999999999</v>
      </c>
      <c r="S133">
        <v>17</v>
      </c>
      <c r="T133">
        <v>4.9000000000000004</v>
      </c>
      <c r="U133">
        <v>7.6</v>
      </c>
      <c r="V133">
        <v>0</v>
      </c>
      <c r="W133">
        <v>0</v>
      </c>
      <c r="X133">
        <v>0</v>
      </c>
      <c r="Y133">
        <v>0</v>
      </c>
      <c r="Z133">
        <v>13.1</v>
      </c>
      <c r="AA133">
        <v>26.3</v>
      </c>
      <c r="AB133">
        <v>69</v>
      </c>
      <c r="AC133">
        <v>72</v>
      </c>
      <c r="AD133">
        <v>18.100000000000001</v>
      </c>
      <c r="AE133">
        <v>9.9</v>
      </c>
      <c r="AF133">
        <v>20.2</v>
      </c>
      <c r="AG133">
        <v>55.125</v>
      </c>
      <c r="AH133">
        <v>79.599999999999994</v>
      </c>
      <c r="AI133">
        <v>56.527999999999999</v>
      </c>
      <c r="AJ133">
        <v>0.16800000000000001</v>
      </c>
      <c r="AK133">
        <v>2.629</v>
      </c>
      <c r="AL133">
        <v>-11.21</v>
      </c>
      <c r="AM133">
        <v>79.599999999999994</v>
      </c>
      <c r="AN133">
        <v>55.125</v>
      </c>
      <c r="AO133">
        <v>20.2</v>
      </c>
      <c r="AP133">
        <v>11.21</v>
      </c>
      <c r="AQ133">
        <v>99.831999999999994</v>
      </c>
      <c r="AR133">
        <v>43.472000000000001</v>
      </c>
      <c r="AS133">
        <v>97.370999999999995</v>
      </c>
    </row>
    <row r="134" spans="1:45" x14ac:dyDescent="0.25">
      <c r="A134">
        <v>42</v>
      </c>
      <c r="B134">
        <v>-14</v>
      </c>
      <c r="C134">
        <v>0</v>
      </c>
      <c r="D134">
        <v>2018</v>
      </c>
      <c r="E134">
        <v>9</v>
      </c>
      <c r="F134" t="str">
        <f>IFERROR(VLOOKUP(G134, Map!$A$1:$B$33, 2, FALSE),"WAS")</f>
        <v>DAL</v>
      </c>
      <c r="G134" t="s">
        <v>150</v>
      </c>
      <c r="H134" t="str">
        <f>IFERROR(VLOOKUP(I134, Map!$A$1:$B$33, 2, FALSE),"WAS")</f>
        <v>TEN</v>
      </c>
      <c r="I134" t="s">
        <v>140</v>
      </c>
      <c r="J134" t="s">
        <v>184</v>
      </c>
      <c r="K134" t="s">
        <v>174</v>
      </c>
      <c r="L134">
        <v>0</v>
      </c>
      <c r="M134">
        <v>0</v>
      </c>
      <c r="N134">
        <v>36.5</v>
      </c>
      <c r="O134">
        <v>-4.2272727272727302</v>
      </c>
      <c r="P134">
        <v>-4.5</v>
      </c>
      <c r="Q134">
        <v>40</v>
      </c>
      <c r="R134">
        <v>17.600000000000001</v>
      </c>
      <c r="S134">
        <v>23.1</v>
      </c>
      <c r="T134">
        <v>12.7</v>
      </c>
      <c r="U134">
        <v>17.100000000000001</v>
      </c>
      <c r="V134">
        <v>0.5</v>
      </c>
      <c r="W134">
        <v>0</v>
      </c>
      <c r="X134">
        <v>4</v>
      </c>
      <c r="Y134">
        <v>0.5</v>
      </c>
      <c r="Z134">
        <v>16.2</v>
      </c>
      <c r="AA134">
        <v>29.5</v>
      </c>
      <c r="AB134">
        <v>94</v>
      </c>
      <c r="AC134">
        <v>77</v>
      </c>
      <c r="AD134">
        <v>19.899999999999999</v>
      </c>
      <c r="AE134">
        <v>11.4</v>
      </c>
      <c r="AF134">
        <v>74.599999999999994</v>
      </c>
      <c r="AG134">
        <v>62.87</v>
      </c>
      <c r="AH134">
        <v>25.2</v>
      </c>
      <c r="AI134">
        <v>23.466000000000001</v>
      </c>
      <c r="AJ134">
        <v>35.113999999999997</v>
      </c>
      <c r="AK134">
        <v>20.745000000000001</v>
      </c>
      <c r="AL134">
        <v>8.99</v>
      </c>
      <c r="AM134">
        <v>25.2</v>
      </c>
      <c r="AN134">
        <v>62.87</v>
      </c>
      <c r="AO134">
        <v>74.599999999999994</v>
      </c>
      <c r="AP134">
        <v>-8.99</v>
      </c>
      <c r="AQ134">
        <v>64.885999999999996</v>
      </c>
      <c r="AR134">
        <v>76.534000000000006</v>
      </c>
      <c r="AS134">
        <v>79.254999999999995</v>
      </c>
    </row>
    <row r="135" spans="1:45" x14ac:dyDescent="0.25">
      <c r="A135">
        <v>37</v>
      </c>
      <c r="B135">
        <v>31</v>
      </c>
      <c r="C135">
        <v>1</v>
      </c>
      <c r="D135">
        <v>2018</v>
      </c>
      <c r="E135">
        <v>9</v>
      </c>
      <c r="F135" t="str">
        <f>IFERROR(VLOOKUP(G135, Map!$A$1:$B$33, 2, FALSE),"WAS")</f>
        <v>SF</v>
      </c>
      <c r="G135" t="s">
        <v>143</v>
      </c>
      <c r="H135" t="str">
        <f>IFERROR(VLOOKUP(I135, Map!$A$1:$B$33, 2, FALSE),"WAS")</f>
        <v>LV</v>
      </c>
      <c r="I135" t="s">
        <v>157</v>
      </c>
      <c r="J135" t="s">
        <v>197</v>
      </c>
      <c r="K135" t="s">
        <v>179</v>
      </c>
      <c r="L135">
        <v>1</v>
      </c>
      <c r="M135">
        <v>0</v>
      </c>
      <c r="N135">
        <v>40.045454545454497</v>
      </c>
      <c r="O135">
        <v>1.22727272727273</v>
      </c>
      <c r="P135">
        <v>1</v>
      </c>
      <c r="Q135">
        <v>43.5</v>
      </c>
      <c r="R135">
        <v>19</v>
      </c>
      <c r="S135">
        <v>27.7</v>
      </c>
      <c r="T135">
        <v>12.4</v>
      </c>
      <c r="U135">
        <v>17.899999999999999</v>
      </c>
      <c r="V135">
        <v>0</v>
      </c>
      <c r="W135">
        <v>0</v>
      </c>
      <c r="X135">
        <v>0</v>
      </c>
      <c r="Y135">
        <v>0</v>
      </c>
      <c r="Z135">
        <v>16.899999999999999</v>
      </c>
      <c r="AA135">
        <v>33.1</v>
      </c>
      <c r="AB135">
        <v>283</v>
      </c>
      <c r="AC135">
        <v>56</v>
      </c>
      <c r="AD135">
        <v>14.3</v>
      </c>
      <c r="AE135">
        <v>7.1</v>
      </c>
      <c r="AF135">
        <v>62</v>
      </c>
      <c r="AG135">
        <v>11.789</v>
      </c>
      <c r="AH135">
        <v>37.700000000000003</v>
      </c>
      <c r="AI135">
        <v>78.629000000000005</v>
      </c>
      <c r="AJ135">
        <v>97.787999999999997</v>
      </c>
      <c r="AK135">
        <v>97.831999999999994</v>
      </c>
      <c r="AL135">
        <v>4.1660000000000004</v>
      </c>
      <c r="AM135">
        <v>37.700000000000003</v>
      </c>
      <c r="AN135">
        <v>11.789</v>
      </c>
      <c r="AO135">
        <v>62</v>
      </c>
      <c r="AP135">
        <v>-4.1660000000000004</v>
      </c>
      <c r="AQ135">
        <v>2.2120000000000002</v>
      </c>
      <c r="AR135">
        <v>21.370999999999999</v>
      </c>
      <c r="AS135">
        <v>2.1680000000000001</v>
      </c>
    </row>
    <row r="136" spans="1:45" x14ac:dyDescent="0.25">
      <c r="A136">
        <v>40</v>
      </c>
      <c r="B136">
        <v>12</v>
      </c>
      <c r="C136">
        <v>1</v>
      </c>
      <c r="D136">
        <v>2018</v>
      </c>
      <c r="E136">
        <v>10</v>
      </c>
      <c r="F136" t="str">
        <f>IFERROR(VLOOKUP(G136, Map!$A$1:$B$33, 2, FALSE),"WAS")</f>
        <v>KC</v>
      </c>
      <c r="G136" t="s">
        <v>158</v>
      </c>
      <c r="H136" t="str">
        <f>IFERROR(VLOOKUP(I136, Map!$A$1:$B$33, 2, FALSE),"WAS")</f>
        <v>ARI</v>
      </c>
      <c r="I136" t="s">
        <v>156</v>
      </c>
      <c r="J136" t="s">
        <v>202</v>
      </c>
      <c r="K136" t="s">
        <v>190</v>
      </c>
      <c r="L136">
        <v>1</v>
      </c>
      <c r="M136">
        <v>0</v>
      </c>
      <c r="N136">
        <v>45.090909090909101</v>
      </c>
      <c r="O136">
        <v>-14.636363636363599</v>
      </c>
      <c r="P136">
        <v>-15.5</v>
      </c>
      <c r="Q136">
        <v>49.5</v>
      </c>
      <c r="R136">
        <v>1.4</v>
      </c>
      <c r="S136">
        <v>7.4</v>
      </c>
      <c r="T136">
        <v>-3.1</v>
      </c>
      <c r="U136">
        <v>-2.4</v>
      </c>
      <c r="V136">
        <v>0</v>
      </c>
      <c r="W136">
        <v>0</v>
      </c>
      <c r="X136">
        <v>0</v>
      </c>
      <c r="Y136">
        <v>0</v>
      </c>
      <c r="Z136">
        <v>11.5</v>
      </c>
      <c r="AA136">
        <v>20.9</v>
      </c>
      <c r="AB136">
        <v>195</v>
      </c>
      <c r="AC136">
        <v>63</v>
      </c>
      <c r="AD136">
        <v>14.9</v>
      </c>
      <c r="AE136">
        <v>7</v>
      </c>
      <c r="AF136">
        <v>93.9</v>
      </c>
      <c r="AG136">
        <v>49.752000000000002</v>
      </c>
      <c r="AH136">
        <v>6.1</v>
      </c>
      <c r="AI136">
        <v>72.727000000000004</v>
      </c>
      <c r="AJ136">
        <v>72.826999999999998</v>
      </c>
      <c r="AK136">
        <v>82.563999999999993</v>
      </c>
      <c r="AL136">
        <v>20.808</v>
      </c>
      <c r="AM136">
        <v>6.1</v>
      </c>
      <c r="AN136">
        <v>49.752000000000002</v>
      </c>
      <c r="AO136">
        <v>93.9</v>
      </c>
      <c r="AP136">
        <v>-20.808</v>
      </c>
      <c r="AQ136">
        <v>27.172999999999998</v>
      </c>
      <c r="AR136">
        <v>27.273</v>
      </c>
      <c r="AS136">
        <v>17.436</v>
      </c>
    </row>
    <row r="137" spans="1:45" x14ac:dyDescent="0.25">
      <c r="A137">
        <v>73</v>
      </c>
      <c r="B137">
        <v>31</v>
      </c>
      <c r="C137">
        <v>1</v>
      </c>
      <c r="D137">
        <v>2018</v>
      </c>
      <c r="E137">
        <v>10</v>
      </c>
      <c r="F137" t="str">
        <f>IFERROR(VLOOKUP(G137, Map!$A$1:$B$33, 2, FALSE),"WAS")</f>
        <v>PIT</v>
      </c>
      <c r="G137" t="s">
        <v>145</v>
      </c>
      <c r="H137" t="str">
        <f>IFERROR(VLOOKUP(I137, Map!$A$1:$B$33, 2, FALSE),"WAS")</f>
        <v>CAR</v>
      </c>
      <c r="I137" t="s">
        <v>142</v>
      </c>
      <c r="J137" t="s">
        <v>170</v>
      </c>
      <c r="K137" t="s">
        <v>185</v>
      </c>
      <c r="L137">
        <v>1</v>
      </c>
      <c r="M137">
        <v>0</v>
      </c>
      <c r="N137">
        <v>46.318181818181799</v>
      </c>
      <c r="O137">
        <v>-3.1818181818181799</v>
      </c>
      <c r="P137">
        <v>-3.5</v>
      </c>
      <c r="Q137">
        <v>50.5</v>
      </c>
      <c r="R137">
        <v>4.7</v>
      </c>
      <c r="S137">
        <v>8.3000000000000007</v>
      </c>
      <c r="T137">
        <v>2.2000000000000002</v>
      </c>
      <c r="U137">
        <v>1</v>
      </c>
      <c r="V137">
        <v>18.3</v>
      </c>
      <c r="W137">
        <v>0.28000000000000003</v>
      </c>
      <c r="X137">
        <v>12</v>
      </c>
      <c r="Y137">
        <v>17.899999999999999</v>
      </c>
      <c r="Z137">
        <v>17.3</v>
      </c>
      <c r="AA137">
        <v>37.4</v>
      </c>
      <c r="AB137">
        <v>103</v>
      </c>
      <c r="AC137">
        <v>85</v>
      </c>
      <c r="AD137">
        <v>27.9</v>
      </c>
      <c r="AE137">
        <v>13.7</v>
      </c>
      <c r="AF137">
        <v>66</v>
      </c>
      <c r="AG137">
        <v>69.816000000000003</v>
      </c>
      <c r="AH137">
        <v>33.700000000000003</v>
      </c>
      <c r="AI137">
        <v>64.438999999999993</v>
      </c>
      <c r="AJ137">
        <v>99.885999999999996</v>
      </c>
      <c r="AK137">
        <v>98.209000000000003</v>
      </c>
      <c r="AL137">
        <v>5.6</v>
      </c>
      <c r="AM137">
        <v>33.700000000000003</v>
      </c>
      <c r="AN137">
        <v>69.816000000000003</v>
      </c>
      <c r="AO137">
        <v>66</v>
      </c>
      <c r="AP137">
        <v>-5.6</v>
      </c>
      <c r="AQ137">
        <v>0.114</v>
      </c>
      <c r="AR137">
        <v>35.561</v>
      </c>
      <c r="AS137">
        <v>1.7909999999999999</v>
      </c>
    </row>
    <row r="138" spans="1:45" x14ac:dyDescent="0.25">
      <c r="A138">
        <v>55</v>
      </c>
      <c r="B138">
        <v>3</v>
      </c>
      <c r="C138">
        <v>1</v>
      </c>
      <c r="D138">
        <v>2018</v>
      </c>
      <c r="E138">
        <v>10</v>
      </c>
      <c r="F138" t="str">
        <f>IFERROR(VLOOKUP(G138, Map!$A$1:$B$33, 2, FALSE),"WAS")</f>
        <v>IND</v>
      </c>
      <c r="G138" t="s">
        <v>138</v>
      </c>
      <c r="H138" t="str">
        <f>IFERROR(VLOOKUP(I138, Map!$A$1:$B$33, 2, FALSE),"WAS")</f>
        <v>JAX</v>
      </c>
      <c r="I138" t="s">
        <v>139</v>
      </c>
      <c r="J138" t="s">
        <v>177</v>
      </c>
      <c r="K138" t="s">
        <v>220</v>
      </c>
      <c r="L138">
        <v>1</v>
      </c>
      <c r="M138">
        <v>0</v>
      </c>
      <c r="N138">
        <v>43.454545454545503</v>
      </c>
      <c r="O138">
        <v>-2.7272727272727302</v>
      </c>
      <c r="P138">
        <v>-3</v>
      </c>
      <c r="Q138">
        <v>46</v>
      </c>
      <c r="R138">
        <v>-1.2</v>
      </c>
      <c r="S138">
        <v>5.5</v>
      </c>
      <c r="T138">
        <v>-4.5999999999999996</v>
      </c>
      <c r="U138">
        <v>-5.5</v>
      </c>
      <c r="V138">
        <v>0</v>
      </c>
      <c r="W138">
        <v>0</v>
      </c>
      <c r="X138">
        <v>0</v>
      </c>
      <c r="Y138">
        <v>0</v>
      </c>
      <c r="Z138">
        <v>14.1</v>
      </c>
      <c r="AA138">
        <v>28.4</v>
      </c>
      <c r="AB138">
        <v>165</v>
      </c>
      <c r="AC138">
        <v>64</v>
      </c>
      <c r="AD138">
        <v>18.2</v>
      </c>
      <c r="AE138">
        <v>9.3000000000000007</v>
      </c>
      <c r="AF138">
        <v>67.8</v>
      </c>
      <c r="AG138">
        <v>54.447000000000003</v>
      </c>
      <c r="AH138">
        <v>31.9</v>
      </c>
      <c r="AI138">
        <v>41.094999999999999</v>
      </c>
      <c r="AJ138">
        <v>89.403000000000006</v>
      </c>
      <c r="AK138">
        <v>63.866999999999997</v>
      </c>
      <c r="AL138">
        <v>6.2640000000000002</v>
      </c>
      <c r="AM138">
        <v>31.9</v>
      </c>
      <c r="AN138">
        <v>54.447000000000003</v>
      </c>
      <c r="AO138">
        <v>67.8</v>
      </c>
      <c r="AP138">
        <v>-6.2640000000000002</v>
      </c>
      <c r="AQ138">
        <v>10.597</v>
      </c>
      <c r="AR138">
        <v>58.905000000000001</v>
      </c>
      <c r="AS138">
        <v>36.133000000000003</v>
      </c>
    </row>
    <row r="139" spans="1:45" x14ac:dyDescent="0.25">
      <c r="A139">
        <v>51</v>
      </c>
      <c r="B139">
        <v>-31</v>
      </c>
      <c r="C139">
        <v>0</v>
      </c>
      <c r="D139">
        <v>2018</v>
      </c>
      <c r="E139">
        <v>10</v>
      </c>
      <c r="F139" t="str">
        <f>IFERROR(VLOOKUP(G139, Map!$A$1:$B$33, 2, FALSE),"WAS")</f>
        <v>NYJ</v>
      </c>
      <c r="G139" t="s">
        <v>166</v>
      </c>
      <c r="H139" t="str">
        <f>IFERROR(VLOOKUP(I139, Map!$A$1:$B$33, 2, FALSE),"WAS")</f>
        <v>BUF</v>
      </c>
      <c r="I139" t="s">
        <v>165</v>
      </c>
      <c r="J139" t="s">
        <v>172</v>
      </c>
      <c r="K139" t="s">
        <v>180</v>
      </c>
      <c r="L139">
        <v>0</v>
      </c>
      <c r="M139">
        <v>0</v>
      </c>
      <c r="N139">
        <v>34.090909090909101</v>
      </c>
      <c r="O139">
        <v>-6.3181818181818201</v>
      </c>
      <c r="P139">
        <v>-6.5</v>
      </c>
      <c r="Q139">
        <v>35.5</v>
      </c>
      <c r="R139">
        <v>2.6</v>
      </c>
      <c r="S139">
        <v>7.6</v>
      </c>
      <c r="T139">
        <v>-0.8</v>
      </c>
      <c r="U139">
        <v>-2</v>
      </c>
      <c r="V139">
        <v>0</v>
      </c>
      <c r="W139">
        <v>0</v>
      </c>
      <c r="X139">
        <v>0</v>
      </c>
      <c r="Y139">
        <v>0</v>
      </c>
      <c r="Z139">
        <v>15.7</v>
      </c>
      <c r="AA139">
        <v>35.299999999999997</v>
      </c>
      <c r="AB139">
        <v>282</v>
      </c>
      <c r="AC139">
        <v>57</v>
      </c>
      <c r="AD139">
        <v>25.7</v>
      </c>
      <c r="AE139">
        <v>12.1</v>
      </c>
      <c r="AF139">
        <v>66</v>
      </c>
      <c r="AG139">
        <v>8.2260000000000009</v>
      </c>
      <c r="AH139">
        <v>33.700000000000003</v>
      </c>
      <c r="AI139">
        <v>12.13</v>
      </c>
      <c r="AJ139">
        <v>2.02</v>
      </c>
      <c r="AK139">
        <v>1.1499999999999999</v>
      </c>
      <c r="AL139">
        <v>5.5789999999999997</v>
      </c>
      <c r="AM139">
        <v>33.700000000000003</v>
      </c>
      <c r="AN139">
        <v>8.2260000000000009</v>
      </c>
      <c r="AO139">
        <v>66</v>
      </c>
      <c r="AP139">
        <v>-5.5789999999999997</v>
      </c>
      <c r="AQ139">
        <v>97.98</v>
      </c>
      <c r="AR139">
        <v>87.87</v>
      </c>
      <c r="AS139">
        <v>98.85</v>
      </c>
    </row>
    <row r="140" spans="1:45" x14ac:dyDescent="0.25">
      <c r="A140">
        <v>43</v>
      </c>
      <c r="B140">
        <v>19</v>
      </c>
      <c r="C140">
        <v>1</v>
      </c>
      <c r="D140">
        <v>2018</v>
      </c>
      <c r="E140">
        <v>10</v>
      </c>
      <c r="F140" t="str">
        <f>IFERROR(VLOOKUP(G140, Map!$A$1:$B$33, 2, FALSE),"WAS")</f>
        <v>GB</v>
      </c>
      <c r="G140" t="s">
        <v>154</v>
      </c>
      <c r="H140" t="str">
        <f>IFERROR(VLOOKUP(I140, Map!$A$1:$B$33, 2, FALSE),"WAS")</f>
        <v>MIA</v>
      </c>
      <c r="I140" t="s">
        <v>152</v>
      </c>
      <c r="J140" t="s">
        <v>200</v>
      </c>
      <c r="K140" t="s">
        <v>175</v>
      </c>
      <c r="L140">
        <v>1</v>
      </c>
      <c r="M140">
        <v>0</v>
      </c>
      <c r="N140">
        <v>43.772727272727302</v>
      </c>
      <c r="O140">
        <v>-11.545454545454501</v>
      </c>
      <c r="P140">
        <v>-7</v>
      </c>
      <c r="Q140">
        <v>44.5</v>
      </c>
      <c r="R140">
        <v>-2.2999999999999998</v>
      </c>
      <c r="S140">
        <v>1.4</v>
      </c>
      <c r="T140">
        <v>-4.5999999999999996</v>
      </c>
      <c r="U140">
        <v>-6.6</v>
      </c>
      <c r="V140">
        <v>1.4</v>
      </c>
      <c r="W140">
        <v>0.98</v>
      </c>
      <c r="X140">
        <v>7</v>
      </c>
      <c r="Y140">
        <v>0</v>
      </c>
      <c r="Z140">
        <v>13.6</v>
      </c>
      <c r="AA140">
        <v>31</v>
      </c>
      <c r="AB140">
        <v>211</v>
      </c>
      <c r="AC140">
        <v>68</v>
      </c>
      <c r="AD140">
        <v>19.3</v>
      </c>
      <c r="AE140">
        <v>8.8000000000000007</v>
      </c>
      <c r="AF140">
        <v>81.900000000000006</v>
      </c>
      <c r="AG140">
        <v>44.134999999999998</v>
      </c>
      <c r="AH140">
        <v>17.899999999999999</v>
      </c>
      <c r="AI140">
        <v>91.415000000000006</v>
      </c>
      <c r="AJ140">
        <v>85.65</v>
      </c>
      <c r="AK140">
        <v>89.132999999999996</v>
      </c>
      <c r="AL140">
        <v>12.308999999999999</v>
      </c>
      <c r="AM140">
        <v>17.899999999999999</v>
      </c>
      <c r="AN140">
        <v>44.134999999999998</v>
      </c>
      <c r="AO140">
        <v>81.900000000000006</v>
      </c>
      <c r="AP140">
        <v>-12.308999999999999</v>
      </c>
      <c r="AQ140">
        <v>14.35</v>
      </c>
      <c r="AR140">
        <v>8.5850000000000009</v>
      </c>
      <c r="AS140">
        <v>10.867000000000001</v>
      </c>
    </row>
    <row r="141" spans="1:45" x14ac:dyDescent="0.25">
      <c r="A141">
        <v>56</v>
      </c>
      <c r="B141">
        <v>12</v>
      </c>
      <c r="C141">
        <v>1</v>
      </c>
      <c r="D141">
        <v>2018</v>
      </c>
      <c r="E141">
        <v>10</v>
      </c>
      <c r="F141" t="str">
        <f>IFERROR(VLOOKUP(G141, Map!$A$1:$B$33, 2, FALSE),"WAS")</f>
        <v>CHI</v>
      </c>
      <c r="G141" t="s">
        <v>163</v>
      </c>
      <c r="H141" t="str">
        <f>IFERROR(VLOOKUP(I141, Map!$A$1:$B$33, 2, FALSE),"WAS")</f>
        <v>DET</v>
      </c>
      <c r="I141" t="s">
        <v>164</v>
      </c>
      <c r="J141" t="s">
        <v>216</v>
      </c>
      <c r="K141" t="s">
        <v>173</v>
      </c>
      <c r="L141">
        <v>1</v>
      </c>
      <c r="M141">
        <v>0</v>
      </c>
      <c r="N141">
        <v>40.545454545454497</v>
      </c>
      <c r="O141">
        <v>-6.5</v>
      </c>
      <c r="P141">
        <v>-7</v>
      </c>
      <c r="Q141">
        <v>44.5</v>
      </c>
      <c r="R141">
        <v>-0.3</v>
      </c>
      <c r="S141">
        <v>4.7</v>
      </c>
      <c r="T141">
        <v>-3</v>
      </c>
      <c r="U141">
        <v>-5.7</v>
      </c>
      <c r="V141">
        <v>0</v>
      </c>
      <c r="W141">
        <v>0</v>
      </c>
      <c r="X141">
        <v>0</v>
      </c>
      <c r="Y141">
        <v>0</v>
      </c>
      <c r="Z141">
        <v>23.5</v>
      </c>
      <c r="AA141">
        <v>37.4</v>
      </c>
      <c r="AB141">
        <v>205</v>
      </c>
      <c r="AC141">
        <v>65</v>
      </c>
      <c r="AD141">
        <v>27</v>
      </c>
      <c r="AE141">
        <v>17.3</v>
      </c>
      <c r="AF141">
        <v>75.7</v>
      </c>
      <c r="AG141">
        <v>53.475000000000001</v>
      </c>
      <c r="AH141">
        <v>24.1</v>
      </c>
      <c r="AI141">
        <v>82.927000000000007</v>
      </c>
      <c r="AJ141">
        <v>99.129000000000005</v>
      </c>
      <c r="AK141">
        <v>95.546000000000006</v>
      </c>
      <c r="AL141">
        <v>9.3989999999999991</v>
      </c>
      <c r="AM141">
        <v>24.1</v>
      </c>
      <c r="AN141">
        <v>53.475000000000001</v>
      </c>
      <c r="AO141">
        <v>75.7</v>
      </c>
      <c r="AP141">
        <v>-9.3989999999999991</v>
      </c>
      <c r="AQ141">
        <v>0.871</v>
      </c>
      <c r="AR141">
        <v>17.073</v>
      </c>
      <c r="AS141">
        <v>4.4539999999999997</v>
      </c>
    </row>
    <row r="142" spans="1:45" x14ac:dyDescent="0.25">
      <c r="A142">
        <v>44</v>
      </c>
      <c r="B142">
        <v>24</v>
      </c>
      <c r="C142">
        <v>1</v>
      </c>
      <c r="D142">
        <v>2018</v>
      </c>
      <c r="E142">
        <v>10</v>
      </c>
      <c r="F142" t="str">
        <f>IFERROR(VLOOKUP(G142, Map!$A$1:$B$33, 2, FALSE),"WAS")</f>
        <v>TEN</v>
      </c>
      <c r="G142" t="s">
        <v>140</v>
      </c>
      <c r="H142" t="str">
        <f>IFERROR(VLOOKUP(I142, Map!$A$1:$B$33, 2, FALSE),"WAS")</f>
        <v>NE</v>
      </c>
      <c r="I142" t="s">
        <v>151</v>
      </c>
      <c r="J142" t="s">
        <v>174</v>
      </c>
      <c r="K142" t="s">
        <v>187</v>
      </c>
      <c r="L142">
        <v>1</v>
      </c>
      <c r="M142">
        <v>0</v>
      </c>
      <c r="N142">
        <v>42.454545454545503</v>
      </c>
      <c r="O142">
        <v>5.8636363636363598</v>
      </c>
      <c r="P142">
        <v>6</v>
      </c>
      <c r="Q142">
        <v>46.5</v>
      </c>
      <c r="R142">
        <v>2.2000000000000002</v>
      </c>
      <c r="S142">
        <v>10.199999999999999</v>
      </c>
      <c r="T142">
        <v>-2.7</v>
      </c>
      <c r="U142">
        <v>-1.1000000000000001</v>
      </c>
      <c r="V142">
        <v>0</v>
      </c>
      <c r="W142">
        <v>0</v>
      </c>
      <c r="X142">
        <v>0</v>
      </c>
      <c r="Y142">
        <v>0</v>
      </c>
      <c r="Z142">
        <v>8</v>
      </c>
      <c r="AA142">
        <v>15.1</v>
      </c>
      <c r="AB142">
        <v>54</v>
      </c>
      <c r="AC142">
        <v>71</v>
      </c>
      <c r="AD142">
        <v>11.5</v>
      </c>
      <c r="AE142">
        <v>5.8</v>
      </c>
      <c r="AF142">
        <v>37.299999999999997</v>
      </c>
      <c r="AG142">
        <v>80.662000000000006</v>
      </c>
      <c r="AH142">
        <v>62.4</v>
      </c>
      <c r="AI142">
        <v>75.16</v>
      </c>
      <c r="AJ142">
        <v>84.491</v>
      </c>
      <c r="AK142">
        <v>92.456999999999994</v>
      </c>
      <c r="AL142">
        <v>-4.3029999999999999</v>
      </c>
      <c r="AM142">
        <v>62.4</v>
      </c>
      <c r="AN142">
        <v>80.662000000000006</v>
      </c>
      <c r="AO142">
        <v>37.299999999999997</v>
      </c>
      <c r="AP142">
        <v>4.3029999999999999</v>
      </c>
      <c r="AQ142">
        <v>15.509</v>
      </c>
      <c r="AR142">
        <v>24.84</v>
      </c>
      <c r="AS142">
        <v>7.5430000000000001</v>
      </c>
    </row>
    <row r="143" spans="1:45" x14ac:dyDescent="0.25">
      <c r="A143">
        <v>47</v>
      </c>
      <c r="B143">
        <v>-7</v>
      </c>
      <c r="C143">
        <v>0</v>
      </c>
      <c r="D143">
        <v>2018</v>
      </c>
      <c r="E143">
        <v>10</v>
      </c>
      <c r="F143" t="str">
        <f>IFERROR(VLOOKUP(G143, Map!$A$1:$B$33, 2, FALSE),"WAS")</f>
        <v>PHI</v>
      </c>
      <c r="G143" t="s">
        <v>147</v>
      </c>
      <c r="H143" t="str">
        <f>IFERROR(VLOOKUP(I143, Map!$A$1:$B$33, 2, FALSE),"WAS")</f>
        <v>DAL</v>
      </c>
      <c r="I143" t="s">
        <v>150</v>
      </c>
      <c r="J143" t="s">
        <v>206</v>
      </c>
      <c r="K143" t="s">
        <v>184</v>
      </c>
      <c r="L143">
        <v>0</v>
      </c>
      <c r="M143">
        <v>0</v>
      </c>
      <c r="N143">
        <v>41.045454545454497</v>
      </c>
      <c r="O143">
        <v>-6.7727272727272698</v>
      </c>
      <c r="P143">
        <v>-7</v>
      </c>
      <c r="Q143">
        <v>44</v>
      </c>
      <c r="R143">
        <v>3.9</v>
      </c>
      <c r="S143">
        <v>9</v>
      </c>
      <c r="T143">
        <v>0.7</v>
      </c>
      <c r="U143">
        <v>0.8</v>
      </c>
      <c r="V143">
        <v>0</v>
      </c>
      <c r="W143">
        <v>0</v>
      </c>
      <c r="X143">
        <v>0</v>
      </c>
      <c r="Y143">
        <v>0</v>
      </c>
      <c r="Z143">
        <v>9.6999999999999993</v>
      </c>
      <c r="AA143">
        <v>17.600000000000001</v>
      </c>
      <c r="AB143">
        <v>217</v>
      </c>
      <c r="AC143">
        <v>72</v>
      </c>
      <c r="AD143">
        <v>10.9</v>
      </c>
      <c r="AE143">
        <v>5.6</v>
      </c>
      <c r="AF143">
        <v>73.599999999999994</v>
      </c>
      <c r="AG143">
        <v>65.293000000000006</v>
      </c>
      <c r="AH143">
        <v>26.2</v>
      </c>
      <c r="AI143">
        <v>17.649999999999999</v>
      </c>
      <c r="AJ143">
        <v>41.508000000000003</v>
      </c>
      <c r="AK143">
        <v>30.922000000000001</v>
      </c>
      <c r="AL143">
        <v>8.5570000000000004</v>
      </c>
      <c r="AM143">
        <v>26.2</v>
      </c>
      <c r="AN143">
        <v>65.293000000000006</v>
      </c>
      <c r="AO143">
        <v>73.599999999999994</v>
      </c>
      <c r="AP143">
        <v>-8.5570000000000004</v>
      </c>
      <c r="AQ143">
        <v>58.491999999999997</v>
      </c>
      <c r="AR143">
        <v>82.35</v>
      </c>
      <c r="AS143">
        <v>69.078000000000003</v>
      </c>
    </row>
    <row r="144" spans="1:45" x14ac:dyDescent="0.25">
      <c r="A144">
        <v>50</v>
      </c>
      <c r="B144">
        <v>-4</v>
      </c>
      <c r="C144">
        <v>0</v>
      </c>
      <c r="D144">
        <v>2018</v>
      </c>
      <c r="E144">
        <v>10</v>
      </c>
      <c r="F144" t="str">
        <f>IFERROR(VLOOKUP(G144, Map!$A$1:$B$33, 2, FALSE),"WAS")</f>
        <v>SF</v>
      </c>
      <c r="G144" t="s">
        <v>143</v>
      </c>
      <c r="H144" t="str">
        <f>IFERROR(VLOOKUP(I144, Map!$A$1:$B$33, 2, FALSE),"WAS")</f>
        <v>NYG</v>
      </c>
      <c r="I144" t="s">
        <v>149</v>
      </c>
      <c r="J144" t="s">
        <v>197</v>
      </c>
      <c r="K144" t="s">
        <v>219</v>
      </c>
      <c r="L144">
        <v>0</v>
      </c>
      <c r="M144">
        <v>0</v>
      </c>
      <c r="N144">
        <v>40.818181818181799</v>
      </c>
      <c r="O144">
        <v>-2.7727272727272698</v>
      </c>
      <c r="P144">
        <v>-3</v>
      </c>
      <c r="Q144">
        <v>44.5</v>
      </c>
      <c r="R144">
        <v>12.6</v>
      </c>
      <c r="S144">
        <v>18.7</v>
      </c>
      <c r="T144">
        <v>8.1</v>
      </c>
      <c r="U144">
        <v>9.4</v>
      </c>
      <c r="V144">
        <v>0</v>
      </c>
      <c r="W144">
        <v>0</v>
      </c>
      <c r="X144">
        <v>0</v>
      </c>
      <c r="Y144">
        <v>0</v>
      </c>
      <c r="Z144">
        <v>9.4</v>
      </c>
      <c r="AA144">
        <v>17.600000000000001</v>
      </c>
      <c r="AB144">
        <v>135</v>
      </c>
      <c r="AC144">
        <v>36</v>
      </c>
      <c r="AD144">
        <v>9.8000000000000007</v>
      </c>
      <c r="AE144">
        <v>5.4</v>
      </c>
      <c r="AF144">
        <v>56.3</v>
      </c>
      <c r="AG144">
        <v>22.510999999999999</v>
      </c>
      <c r="AH144">
        <v>43.3</v>
      </c>
      <c r="AI144">
        <v>32.534999999999997</v>
      </c>
      <c r="AJ144">
        <v>45.872999999999998</v>
      </c>
      <c r="AK144">
        <v>41.933</v>
      </c>
      <c r="AL144">
        <v>2.2069999999999999</v>
      </c>
      <c r="AM144">
        <v>43.3</v>
      </c>
      <c r="AN144">
        <v>22.510999999999999</v>
      </c>
      <c r="AO144">
        <v>56.3</v>
      </c>
      <c r="AP144">
        <v>-2.2069999999999999</v>
      </c>
      <c r="AQ144">
        <v>54.127000000000002</v>
      </c>
      <c r="AR144">
        <v>67.465000000000003</v>
      </c>
      <c r="AS144">
        <v>58.067</v>
      </c>
    </row>
    <row r="145" spans="1:45" x14ac:dyDescent="0.25">
      <c r="A145">
        <v>67</v>
      </c>
      <c r="B145">
        <v>5</v>
      </c>
      <c r="C145">
        <v>1</v>
      </c>
      <c r="D145">
        <v>2018</v>
      </c>
      <c r="E145">
        <v>10</v>
      </c>
      <c r="F145" t="str">
        <f>IFERROR(VLOOKUP(G145, Map!$A$1:$B$33, 2, FALSE),"WAS")</f>
        <v>LA</v>
      </c>
      <c r="G145" t="s">
        <v>155</v>
      </c>
      <c r="H145" t="str">
        <f>IFERROR(VLOOKUP(I145, Map!$A$1:$B$33, 2, FALSE),"WAS")</f>
        <v>SEA</v>
      </c>
      <c r="I145" t="s">
        <v>144</v>
      </c>
      <c r="J145" t="s">
        <v>178</v>
      </c>
      <c r="K145" t="s">
        <v>182</v>
      </c>
      <c r="L145">
        <v>1</v>
      </c>
      <c r="M145">
        <v>0</v>
      </c>
      <c r="N145">
        <v>46.272727272727302</v>
      </c>
      <c r="O145">
        <v>-8.1363636363636402</v>
      </c>
      <c r="P145">
        <v>-5</v>
      </c>
      <c r="Q145">
        <v>50.5</v>
      </c>
      <c r="R145">
        <v>16.100000000000001</v>
      </c>
      <c r="S145">
        <v>25.2</v>
      </c>
      <c r="T145">
        <v>9.9</v>
      </c>
      <c r="U145">
        <v>12.3</v>
      </c>
      <c r="V145">
        <v>0</v>
      </c>
      <c r="W145">
        <v>0</v>
      </c>
      <c r="X145">
        <v>0</v>
      </c>
      <c r="Y145">
        <v>0</v>
      </c>
      <c r="Z145">
        <v>14.7</v>
      </c>
      <c r="AA145">
        <v>31.3</v>
      </c>
      <c r="AB145">
        <v>127</v>
      </c>
      <c r="AC145">
        <v>27</v>
      </c>
      <c r="AD145">
        <v>15.2</v>
      </c>
      <c r="AE145">
        <v>8.5</v>
      </c>
      <c r="AF145">
        <v>77</v>
      </c>
      <c r="AG145">
        <v>80.233000000000004</v>
      </c>
      <c r="AH145">
        <v>22.9</v>
      </c>
      <c r="AI145">
        <v>26.997</v>
      </c>
      <c r="AJ145">
        <v>89.894999999999996</v>
      </c>
      <c r="AK145">
        <v>66.444000000000003</v>
      </c>
      <c r="AL145">
        <v>9.9190000000000005</v>
      </c>
      <c r="AM145">
        <v>22.9</v>
      </c>
      <c r="AN145">
        <v>80.233000000000004</v>
      </c>
      <c r="AO145">
        <v>77</v>
      </c>
      <c r="AP145">
        <v>-9.9190000000000005</v>
      </c>
      <c r="AQ145">
        <v>10.105</v>
      </c>
      <c r="AR145">
        <v>73.003</v>
      </c>
      <c r="AS145">
        <v>33.555999999999997</v>
      </c>
    </row>
    <row r="146" spans="1:45" x14ac:dyDescent="0.25">
      <c r="A146">
        <v>65</v>
      </c>
      <c r="B146">
        <v>-37</v>
      </c>
      <c r="C146">
        <v>0</v>
      </c>
      <c r="D146">
        <v>2018</v>
      </c>
      <c r="E146">
        <v>10</v>
      </c>
      <c r="F146" t="str">
        <f>IFERROR(VLOOKUP(G146, Map!$A$1:$B$33, 2, FALSE),"WAS")</f>
        <v>CIN</v>
      </c>
      <c r="G146" t="s">
        <v>161</v>
      </c>
      <c r="H146" t="str">
        <f>IFERROR(VLOOKUP(I146, Map!$A$1:$B$33, 2, FALSE),"WAS")</f>
        <v>NO</v>
      </c>
      <c r="I146" t="s">
        <v>168</v>
      </c>
      <c r="J146" t="s">
        <v>176</v>
      </c>
      <c r="K146" t="s">
        <v>192</v>
      </c>
      <c r="L146">
        <v>0</v>
      </c>
      <c r="M146">
        <v>0</v>
      </c>
      <c r="N146">
        <v>48.681818181818201</v>
      </c>
      <c r="O146">
        <v>5.4090909090909101</v>
      </c>
      <c r="P146">
        <v>5.5</v>
      </c>
      <c r="Q146">
        <v>53.5</v>
      </c>
      <c r="R146">
        <v>-0.3</v>
      </c>
      <c r="S146">
        <v>5.9</v>
      </c>
      <c r="T146">
        <v>-3.9</v>
      </c>
      <c r="U146">
        <v>-4.2</v>
      </c>
      <c r="V146">
        <v>0</v>
      </c>
      <c r="W146">
        <v>0</v>
      </c>
      <c r="X146">
        <v>0</v>
      </c>
      <c r="Y146">
        <v>0</v>
      </c>
      <c r="Z146">
        <v>9.6</v>
      </c>
      <c r="AA146">
        <v>24.5</v>
      </c>
      <c r="AB146">
        <v>140</v>
      </c>
      <c r="AC146">
        <v>67</v>
      </c>
      <c r="AD146">
        <v>14.4</v>
      </c>
      <c r="AE146">
        <v>6.5</v>
      </c>
      <c r="AF146">
        <v>46.9</v>
      </c>
      <c r="AG146">
        <v>67.992000000000004</v>
      </c>
      <c r="AH146">
        <v>52.7</v>
      </c>
      <c r="AI146">
        <v>0.91100000000000003</v>
      </c>
      <c r="AJ146">
        <v>47.274000000000001</v>
      </c>
      <c r="AK146">
        <v>1.772</v>
      </c>
      <c r="AL146">
        <v>-0.98099999999999998</v>
      </c>
      <c r="AM146">
        <v>52.7</v>
      </c>
      <c r="AN146">
        <v>67.992000000000004</v>
      </c>
      <c r="AO146">
        <v>46.9</v>
      </c>
      <c r="AP146">
        <v>0.98099999999999998</v>
      </c>
      <c r="AQ146">
        <v>52.725999999999999</v>
      </c>
      <c r="AR146">
        <v>99.088999999999999</v>
      </c>
      <c r="AS146">
        <v>98.227999999999994</v>
      </c>
    </row>
    <row r="147" spans="1:45" x14ac:dyDescent="0.25">
      <c r="A147">
        <v>19</v>
      </c>
      <c r="B147">
        <v>-13</v>
      </c>
      <c r="C147">
        <v>0</v>
      </c>
      <c r="D147">
        <v>2018</v>
      </c>
      <c r="E147">
        <v>10</v>
      </c>
      <c r="F147" t="str">
        <f>IFERROR(VLOOKUP(G147, Map!$A$1:$B$33, 2, FALSE),"WAS")</f>
        <v>TB</v>
      </c>
      <c r="G147" t="s">
        <v>141</v>
      </c>
      <c r="H147" t="str">
        <f>IFERROR(VLOOKUP(I147, Map!$A$1:$B$33, 2, FALSE),"WAS")</f>
        <v>WAS</v>
      </c>
      <c r="I147" t="s">
        <v>204</v>
      </c>
      <c r="J147" t="s">
        <v>186</v>
      </c>
      <c r="K147" t="s">
        <v>205</v>
      </c>
      <c r="L147">
        <v>0</v>
      </c>
      <c r="M147">
        <v>0</v>
      </c>
      <c r="N147">
        <v>46.318181818181799</v>
      </c>
      <c r="O147">
        <v>-3.1363636363636398</v>
      </c>
      <c r="P147">
        <v>-3</v>
      </c>
      <c r="Q147">
        <v>50.5</v>
      </c>
      <c r="R147">
        <v>23.2</v>
      </c>
      <c r="S147">
        <v>27.6</v>
      </c>
      <c r="T147">
        <v>19.8</v>
      </c>
      <c r="U147">
        <v>24.1</v>
      </c>
      <c r="V147">
        <v>0</v>
      </c>
      <c r="W147">
        <v>0</v>
      </c>
      <c r="X147">
        <v>0</v>
      </c>
      <c r="Y147">
        <v>0</v>
      </c>
      <c r="Z147">
        <v>22</v>
      </c>
      <c r="AA147">
        <v>37.4</v>
      </c>
      <c r="AB147">
        <v>49</v>
      </c>
      <c r="AC147">
        <v>74</v>
      </c>
      <c r="AD147">
        <v>25.8</v>
      </c>
      <c r="AE147">
        <v>14.1</v>
      </c>
      <c r="AF147">
        <v>54.7</v>
      </c>
      <c r="AG147">
        <v>21.483000000000001</v>
      </c>
      <c r="AH147">
        <v>45</v>
      </c>
      <c r="AI147">
        <v>44.807000000000002</v>
      </c>
      <c r="AJ147">
        <v>28.163</v>
      </c>
      <c r="AK147">
        <v>16.667999999999999</v>
      </c>
      <c r="AL147">
        <v>1.641</v>
      </c>
      <c r="AM147">
        <v>45</v>
      </c>
      <c r="AN147">
        <v>21.483000000000001</v>
      </c>
      <c r="AO147">
        <v>54.7</v>
      </c>
      <c r="AP147">
        <v>-1.641</v>
      </c>
      <c r="AQ147">
        <v>71.837000000000003</v>
      </c>
      <c r="AR147">
        <v>55.192999999999998</v>
      </c>
      <c r="AS147">
        <v>83.331999999999994</v>
      </c>
    </row>
    <row r="148" spans="1:45" x14ac:dyDescent="0.25">
      <c r="A148">
        <v>44</v>
      </c>
      <c r="B148">
        <v>12</v>
      </c>
      <c r="C148">
        <v>1</v>
      </c>
      <c r="D148">
        <v>2018</v>
      </c>
      <c r="E148">
        <v>10</v>
      </c>
      <c r="F148" t="str">
        <f>IFERROR(VLOOKUP(G148, Map!$A$1:$B$33, 2, FALSE),"WAS")</f>
        <v>CLE</v>
      </c>
      <c r="G148" t="s">
        <v>162</v>
      </c>
      <c r="H148" t="str">
        <f>IFERROR(VLOOKUP(I148, Map!$A$1:$B$33, 2, FALSE),"WAS")</f>
        <v>ATL</v>
      </c>
      <c r="I148" t="s">
        <v>167</v>
      </c>
      <c r="J148" t="s">
        <v>171</v>
      </c>
      <c r="K148" t="s">
        <v>188</v>
      </c>
      <c r="L148">
        <v>1</v>
      </c>
      <c r="M148">
        <v>0</v>
      </c>
      <c r="N148">
        <v>45.227272727272698</v>
      </c>
      <c r="O148">
        <v>5.0909090909090899</v>
      </c>
      <c r="P148">
        <v>5.5</v>
      </c>
      <c r="Q148">
        <v>49.5</v>
      </c>
      <c r="R148">
        <v>0.4</v>
      </c>
      <c r="S148">
        <v>5.7</v>
      </c>
      <c r="T148">
        <v>-2.8</v>
      </c>
      <c r="U148">
        <v>-4.8</v>
      </c>
      <c r="V148">
        <v>0.2</v>
      </c>
      <c r="W148">
        <v>0.14000000000000001</v>
      </c>
      <c r="X148">
        <v>2</v>
      </c>
      <c r="Y148">
        <v>0</v>
      </c>
      <c r="Z148">
        <v>25.2</v>
      </c>
      <c r="AA148">
        <v>46.4</v>
      </c>
      <c r="AB148">
        <v>217</v>
      </c>
      <c r="AC148">
        <v>69</v>
      </c>
      <c r="AD148">
        <v>30</v>
      </c>
      <c r="AE148">
        <v>16.600000000000001</v>
      </c>
      <c r="AF148">
        <v>32.200000000000003</v>
      </c>
      <c r="AG148">
        <v>44.640999999999998</v>
      </c>
      <c r="AH148">
        <v>67.5</v>
      </c>
      <c r="AI148">
        <v>58.695999999999998</v>
      </c>
      <c r="AJ148">
        <v>96.975999999999999</v>
      </c>
      <c r="AK148">
        <v>88.606999999999999</v>
      </c>
      <c r="AL148">
        <v>-6.1189999999999998</v>
      </c>
      <c r="AM148">
        <v>67.5</v>
      </c>
      <c r="AN148">
        <v>44.640999999999998</v>
      </c>
      <c r="AO148">
        <v>32.200000000000003</v>
      </c>
      <c r="AP148">
        <v>6.1189999999999998</v>
      </c>
      <c r="AQ148">
        <v>3.024</v>
      </c>
      <c r="AR148">
        <v>41.304000000000002</v>
      </c>
      <c r="AS148">
        <v>11.393000000000001</v>
      </c>
    </row>
    <row r="149" spans="1:45" x14ac:dyDescent="0.25">
      <c r="A149">
        <v>26</v>
      </c>
      <c r="B149">
        <v>-14</v>
      </c>
      <c r="C149">
        <v>0</v>
      </c>
      <c r="D149">
        <v>2018</v>
      </c>
      <c r="E149">
        <v>10</v>
      </c>
      <c r="F149" t="str">
        <f>IFERROR(VLOOKUP(G149, Map!$A$1:$B$33, 2, FALSE),"WAS")</f>
        <v>LV</v>
      </c>
      <c r="G149" t="s">
        <v>157</v>
      </c>
      <c r="H149" t="str">
        <f>IFERROR(VLOOKUP(I149, Map!$A$1:$B$33, 2, FALSE),"WAS")</f>
        <v>LAC</v>
      </c>
      <c r="I149" t="s">
        <v>160</v>
      </c>
      <c r="J149" t="s">
        <v>179</v>
      </c>
      <c r="K149" t="s">
        <v>210</v>
      </c>
      <c r="L149">
        <v>0</v>
      </c>
      <c r="M149">
        <v>0</v>
      </c>
      <c r="N149">
        <v>45.727272727272698</v>
      </c>
      <c r="O149">
        <v>9.1818181818181799</v>
      </c>
      <c r="P149">
        <v>9.5</v>
      </c>
      <c r="Q149">
        <v>50</v>
      </c>
      <c r="R149">
        <v>13.7</v>
      </c>
      <c r="S149">
        <v>20.5</v>
      </c>
      <c r="T149">
        <v>9.6</v>
      </c>
      <c r="U149">
        <v>10.3</v>
      </c>
      <c r="V149">
        <v>0</v>
      </c>
      <c r="W149">
        <v>0</v>
      </c>
      <c r="X149">
        <v>0</v>
      </c>
      <c r="Y149">
        <v>0</v>
      </c>
      <c r="Z149">
        <v>27.3</v>
      </c>
      <c r="AA149">
        <v>45.4</v>
      </c>
      <c r="AB149">
        <v>44</v>
      </c>
      <c r="AC149">
        <v>53</v>
      </c>
      <c r="AD149">
        <v>21.1</v>
      </c>
      <c r="AE149">
        <v>12</v>
      </c>
      <c r="AF149">
        <v>24.5</v>
      </c>
      <c r="AG149">
        <v>47.473999999999997</v>
      </c>
      <c r="AH149">
        <v>75.3</v>
      </c>
      <c r="AI149">
        <v>18.753</v>
      </c>
      <c r="AJ149">
        <v>6.1580000000000004</v>
      </c>
      <c r="AK149">
        <v>12.11</v>
      </c>
      <c r="AL149">
        <v>-9.23</v>
      </c>
      <c r="AM149">
        <v>75.3</v>
      </c>
      <c r="AN149">
        <v>47.473999999999997</v>
      </c>
      <c r="AO149">
        <v>24.5</v>
      </c>
      <c r="AP149">
        <v>9.23</v>
      </c>
      <c r="AQ149">
        <v>93.841999999999999</v>
      </c>
      <c r="AR149">
        <v>81.247</v>
      </c>
      <c r="AS149">
        <v>87.89</v>
      </c>
    </row>
    <row r="150" spans="1:45" x14ac:dyDescent="0.25">
      <c r="A150">
        <v>45</v>
      </c>
      <c r="B150">
        <v>5</v>
      </c>
      <c r="C150">
        <v>1</v>
      </c>
      <c r="D150">
        <v>2018</v>
      </c>
      <c r="E150">
        <v>11</v>
      </c>
      <c r="F150" t="str">
        <f>IFERROR(VLOOKUP(G150, Map!$A$1:$B$33, 2, FALSE),"WAS")</f>
        <v>CHI</v>
      </c>
      <c r="G150" t="s">
        <v>163</v>
      </c>
      <c r="H150" t="str">
        <f>IFERROR(VLOOKUP(I150, Map!$A$1:$B$33, 2, FALSE),"WAS")</f>
        <v>MIN</v>
      </c>
      <c r="I150" t="s">
        <v>153</v>
      </c>
      <c r="J150" t="s">
        <v>216</v>
      </c>
      <c r="K150" t="s">
        <v>214</v>
      </c>
      <c r="L150">
        <v>1</v>
      </c>
      <c r="M150">
        <v>0</v>
      </c>
      <c r="N150">
        <v>39.636363636363598</v>
      </c>
      <c r="O150">
        <v>-2.3181818181818201</v>
      </c>
      <c r="P150">
        <v>-2.5</v>
      </c>
      <c r="Q150">
        <v>43.5</v>
      </c>
      <c r="R150">
        <v>-2.4</v>
      </c>
      <c r="S150">
        <v>2.1</v>
      </c>
      <c r="T150">
        <v>-5.7</v>
      </c>
      <c r="U150">
        <v>-7.1</v>
      </c>
      <c r="V150">
        <v>0</v>
      </c>
      <c r="W150">
        <v>0</v>
      </c>
      <c r="X150">
        <v>0</v>
      </c>
      <c r="Y150">
        <v>0</v>
      </c>
      <c r="Z150">
        <v>18.100000000000001</v>
      </c>
      <c r="AA150">
        <v>31.3</v>
      </c>
      <c r="AB150">
        <v>246</v>
      </c>
      <c r="AC150">
        <v>83</v>
      </c>
      <c r="AD150">
        <v>20.7</v>
      </c>
      <c r="AE150">
        <v>13.2</v>
      </c>
      <c r="AF150">
        <v>57.5</v>
      </c>
      <c r="AG150">
        <v>77.355999999999995</v>
      </c>
      <c r="AH150">
        <v>42.2</v>
      </c>
      <c r="AI150">
        <v>94.712999999999994</v>
      </c>
      <c r="AJ150">
        <v>55.097999999999999</v>
      </c>
      <c r="AK150">
        <v>85.972999999999999</v>
      </c>
      <c r="AL150">
        <v>2.585</v>
      </c>
      <c r="AM150">
        <v>42.2</v>
      </c>
      <c r="AN150">
        <v>77.355999999999995</v>
      </c>
      <c r="AO150">
        <v>57.5</v>
      </c>
      <c r="AP150">
        <v>-2.585</v>
      </c>
      <c r="AQ150">
        <v>44.902000000000001</v>
      </c>
      <c r="AR150">
        <v>5.2869999999999999</v>
      </c>
      <c r="AS150">
        <v>14.026999999999999</v>
      </c>
    </row>
    <row r="151" spans="1:45" x14ac:dyDescent="0.25">
      <c r="A151">
        <v>39</v>
      </c>
      <c r="B151">
        <v>1</v>
      </c>
      <c r="C151">
        <v>1</v>
      </c>
      <c r="D151">
        <v>2018</v>
      </c>
      <c r="E151">
        <v>11</v>
      </c>
      <c r="F151" t="str">
        <f>IFERROR(VLOOKUP(G151, Map!$A$1:$B$33, 2, FALSE),"WAS")</f>
        <v>DET</v>
      </c>
      <c r="G151" t="s">
        <v>164</v>
      </c>
      <c r="H151" t="str">
        <f>IFERROR(VLOOKUP(I151, Map!$A$1:$B$33, 2, FALSE),"WAS")</f>
        <v>CAR</v>
      </c>
      <c r="I151" t="s">
        <v>142</v>
      </c>
      <c r="J151" t="s">
        <v>173</v>
      </c>
      <c r="K151" t="s">
        <v>185</v>
      </c>
      <c r="L151">
        <v>1</v>
      </c>
      <c r="M151">
        <v>0</v>
      </c>
      <c r="N151">
        <v>44.181818181818201</v>
      </c>
      <c r="O151">
        <v>3.6363636363636398</v>
      </c>
      <c r="P151">
        <v>3.5</v>
      </c>
      <c r="Q151">
        <v>48</v>
      </c>
      <c r="R151">
        <v>1.2</v>
      </c>
      <c r="S151">
        <v>3.6</v>
      </c>
      <c r="T151">
        <v>-0.7</v>
      </c>
      <c r="U151">
        <v>-2</v>
      </c>
      <c r="V151">
        <v>2.8</v>
      </c>
      <c r="W151">
        <v>1.89</v>
      </c>
      <c r="X151">
        <v>10</v>
      </c>
      <c r="Y151">
        <v>0.1</v>
      </c>
      <c r="Z151">
        <v>9.3000000000000007</v>
      </c>
      <c r="AA151">
        <v>16.2</v>
      </c>
      <c r="AB151">
        <v>8</v>
      </c>
      <c r="AC151">
        <v>82</v>
      </c>
      <c r="AD151">
        <v>11</v>
      </c>
      <c r="AE151">
        <v>5.6</v>
      </c>
      <c r="AF151">
        <v>40.6</v>
      </c>
      <c r="AG151">
        <v>44.26</v>
      </c>
      <c r="AH151">
        <v>59</v>
      </c>
      <c r="AI151">
        <v>18.745999999999999</v>
      </c>
      <c r="AJ151">
        <v>58.59</v>
      </c>
      <c r="AK151">
        <v>54.862000000000002</v>
      </c>
      <c r="AL151">
        <v>-3.1259999999999999</v>
      </c>
      <c r="AM151">
        <v>59</v>
      </c>
      <c r="AN151">
        <v>44.26</v>
      </c>
      <c r="AO151">
        <v>40.6</v>
      </c>
      <c r="AP151">
        <v>3.1259999999999999</v>
      </c>
      <c r="AQ151">
        <v>41.41</v>
      </c>
      <c r="AR151">
        <v>81.254000000000005</v>
      </c>
      <c r="AS151">
        <v>45.137999999999998</v>
      </c>
    </row>
    <row r="152" spans="1:45" x14ac:dyDescent="0.25">
      <c r="A152">
        <v>48</v>
      </c>
      <c r="B152">
        <v>28</v>
      </c>
      <c r="C152">
        <v>1</v>
      </c>
      <c r="D152">
        <v>2018</v>
      </c>
      <c r="E152">
        <v>11</v>
      </c>
      <c r="F152" t="str">
        <f>IFERROR(VLOOKUP(G152, Map!$A$1:$B$33, 2, FALSE),"WAS")</f>
        <v>IND</v>
      </c>
      <c r="G152" t="s">
        <v>138</v>
      </c>
      <c r="H152" t="str">
        <f>IFERROR(VLOOKUP(I152, Map!$A$1:$B$33, 2, FALSE),"WAS")</f>
        <v>TEN</v>
      </c>
      <c r="I152" t="s">
        <v>140</v>
      </c>
      <c r="J152" t="s">
        <v>177</v>
      </c>
      <c r="K152" t="s">
        <v>174</v>
      </c>
      <c r="L152">
        <v>1</v>
      </c>
      <c r="M152">
        <v>0</v>
      </c>
      <c r="N152">
        <v>45.409090909090899</v>
      </c>
      <c r="O152">
        <v>-1.4545454545454499</v>
      </c>
      <c r="P152">
        <v>-1</v>
      </c>
      <c r="Q152">
        <v>49.5</v>
      </c>
      <c r="R152">
        <v>4.5999999999999996</v>
      </c>
      <c r="S152">
        <v>7.4</v>
      </c>
      <c r="T152">
        <v>2.8</v>
      </c>
      <c r="U152">
        <v>1.4</v>
      </c>
      <c r="V152">
        <v>0</v>
      </c>
      <c r="W152">
        <v>0</v>
      </c>
      <c r="X152">
        <v>0</v>
      </c>
      <c r="Y152">
        <v>0</v>
      </c>
      <c r="Z152">
        <v>10.8</v>
      </c>
      <c r="AA152">
        <v>23.8</v>
      </c>
      <c r="AB152">
        <v>31</v>
      </c>
      <c r="AC152">
        <v>80</v>
      </c>
      <c r="AD152">
        <v>17.8</v>
      </c>
      <c r="AE152">
        <v>8.6999999999999993</v>
      </c>
      <c r="AF152">
        <v>62.4</v>
      </c>
      <c r="AG152">
        <v>66.201999999999998</v>
      </c>
      <c r="AH152">
        <v>37.299999999999997</v>
      </c>
      <c r="AI152">
        <v>90.278999999999996</v>
      </c>
      <c r="AJ152">
        <v>95.444000000000003</v>
      </c>
      <c r="AK152">
        <v>97.44</v>
      </c>
      <c r="AL152">
        <v>4.2709999999999999</v>
      </c>
      <c r="AM152">
        <v>37.299999999999997</v>
      </c>
      <c r="AN152">
        <v>66.201999999999998</v>
      </c>
      <c r="AO152">
        <v>62.4</v>
      </c>
      <c r="AP152">
        <v>-4.2709999999999999</v>
      </c>
      <c r="AQ152">
        <v>4.556</v>
      </c>
      <c r="AR152">
        <v>9.7210000000000001</v>
      </c>
      <c r="AS152">
        <v>2.56</v>
      </c>
    </row>
    <row r="153" spans="1:45" x14ac:dyDescent="0.25">
      <c r="A153">
        <v>73</v>
      </c>
      <c r="B153">
        <v>3</v>
      </c>
      <c r="C153">
        <v>1</v>
      </c>
      <c r="D153">
        <v>2018</v>
      </c>
      <c r="E153">
        <v>11</v>
      </c>
      <c r="F153" t="str">
        <f>IFERROR(VLOOKUP(G153, Map!$A$1:$B$33, 2, FALSE),"WAS")</f>
        <v>NYG</v>
      </c>
      <c r="G153" t="s">
        <v>149</v>
      </c>
      <c r="H153" t="str">
        <f>IFERROR(VLOOKUP(I153, Map!$A$1:$B$33, 2, FALSE),"WAS")</f>
        <v>TB</v>
      </c>
      <c r="I153" t="s">
        <v>141</v>
      </c>
      <c r="J153" t="s">
        <v>219</v>
      </c>
      <c r="K153" t="s">
        <v>186</v>
      </c>
      <c r="L153">
        <v>1</v>
      </c>
      <c r="M153">
        <v>0</v>
      </c>
      <c r="N153">
        <v>48.909090909090899</v>
      </c>
      <c r="O153">
        <v>-2.7272727272727302</v>
      </c>
      <c r="P153">
        <v>-3</v>
      </c>
      <c r="Q153">
        <v>52</v>
      </c>
      <c r="R153">
        <v>3.2</v>
      </c>
      <c r="S153">
        <v>5.3</v>
      </c>
      <c r="T153">
        <v>0.7</v>
      </c>
      <c r="U153">
        <v>-0.3</v>
      </c>
      <c r="V153">
        <v>0.5</v>
      </c>
      <c r="W153">
        <v>0.35</v>
      </c>
      <c r="X153">
        <v>2</v>
      </c>
      <c r="Y153">
        <v>0</v>
      </c>
      <c r="Z153">
        <v>13.7</v>
      </c>
      <c r="AA153">
        <v>29.9</v>
      </c>
      <c r="AB153">
        <v>303</v>
      </c>
      <c r="AC153">
        <v>71</v>
      </c>
      <c r="AD153">
        <v>16.600000000000001</v>
      </c>
      <c r="AE153">
        <v>7.3</v>
      </c>
      <c r="AF153">
        <v>70.5</v>
      </c>
      <c r="AG153">
        <v>33.354999999999997</v>
      </c>
      <c r="AH153">
        <v>29.3</v>
      </c>
      <c r="AI153">
        <v>44.042000000000002</v>
      </c>
      <c r="AJ153">
        <v>95.259</v>
      </c>
      <c r="AK153">
        <v>83.775999999999996</v>
      </c>
      <c r="AL153">
        <v>7.2469999999999999</v>
      </c>
      <c r="AM153">
        <v>29.3</v>
      </c>
      <c r="AN153">
        <v>33.354999999999997</v>
      </c>
      <c r="AO153">
        <v>70.5</v>
      </c>
      <c r="AP153">
        <v>-7.2469999999999999</v>
      </c>
      <c r="AQ153">
        <v>4.7409999999999997</v>
      </c>
      <c r="AR153">
        <v>55.957999999999998</v>
      </c>
      <c r="AS153">
        <v>16.224</v>
      </c>
    </row>
    <row r="154" spans="1:45" x14ac:dyDescent="0.25">
      <c r="A154">
        <v>44</v>
      </c>
      <c r="B154">
        <v>-2</v>
      </c>
      <c r="C154">
        <v>0</v>
      </c>
      <c r="D154">
        <v>2018</v>
      </c>
      <c r="E154">
        <v>11</v>
      </c>
      <c r="F154" t="str">
        <f>IFERROR(VLOOKUP(G154, Map!$A$1:$B$33, 2, FALSE),"WAS")</f>
        <v>ARI</v>
      </c>
      <c r="G154" t="s">
        <v>156</v>
      </c>
      <c r="H154" t="str">
        <f>IFERROR(VLOOKUP(I154, Map!$A$1:$B$33, 2, FALSE),"WAS")</f>
        <v>LV</v>
      </c>
      <c r="I154" t="s">
        <v>157</v>
      </c>
      <c r="J154" t="s">
        <v>190</v>
      </c>
      <c r="K154" t="s">
        <v>179</v>
      </c>
      <c r="L154">
        <v>0</v>
      </c>
      <c r="M154">
        <v>0</v>
      </c>
      <c r="N154">
        <v>37.227272727272698</v>
      </c>
      <c r="O154">
        <v>-4.1818181818181799</v>
      </c>
      <c r="P154">
        <v>-4</v>
      </c>
      <c r="Q154">
        <v>40.5</v>
      </c>
      <c r="R154">
        <v>16.3</v>
      </c>
      <c r="S154">
        <v>23</v>
      </c>
      <c r="T154">
        <v>12.3</v>
      </c>
      <c r="U154">
        <v>14.8</v>
      </c>
      <c r="V154">
        <v>0</v>
      </c>
      <c r="W154">
        <v>0</v>
      </c>
      <c r="X154">
        <v>0</v>
      </c>
      <c r="Y154">
        <v>0</v>
      </c>
      <c r="Z154">
        <v>7.7</v>
      </c>
      <c r="AA154">
        <v>19.8</v>
      </c>
      <c r="AB154">
        <v>126</v>
      </c>
      <c r="AC154">
        <v>53</v>
      </c>
      <c r="AD154">
        <v>9.9</v>
      </c>
      <c r="AE154">
        <v>3.7</v>
      </c>
      <c r="AF154">
        <v>54.8</v>
      </c>
      <c r="AG154">
        <v>0.36199999999999999</v>
      </c>
      <c r="AH154">
        <v>44.8</v>
      </c>
      <c r="AI154">
        <v>61.709000000000003</v>
      </c>
      <c r="AJ154">
        <v>22.132000000000001</v>
      </c>
      <c r="AK154">
        <v>47.460999999999999</v>
      </c>
      <c r="AL154">
        <v>1.6930000000000001</v>
      </c>
      <c r="AM154">
        <v>44.8</v>
      </c>
      <c r="AN154">
        <v>0.36199999999999999</v>
      </c>
      <c r="AO154">
        <v>54.8</v>
      </c>
      <c r="AP154">
        <v>-1.6930000000000001</v>
      </c>
      <c r="AQ154">
        <v>77.867999999999995</v>
      </c>
      <c r="AR154">
        <v>38.290999999999997</v>
      </c>
      <c r="AS154">
        <v>52.539000000000001</v>
      </c>
    </row>
    <row r="155" spans="1:45" x14ac:dyDescent="0.25">
      <c r="A155">
        <v>44</v>
      </c>
      <c r="B155">
        <v>-2</v>
      </c>
      <c r="C155">
        <v>0</v>
      </c>
      <c r="D155">
        <v>2018</v>
      </c>
      <c r="E155">
        <v>11</v>
      </c>
      <c r="F155" t="str">
        <f>IFERROR(VLOOKUP(G155, Map!$A$1:$B$33, 2, FALSE),"WAS")</f>
        <v>WAS</v>
      </c>
      <c r="G155" t="s">
        <v>204</v>
      </c>
      <c r="H155" t="str">
        <f>IFERROR(VLOOKUP(I155, Map!$A$1:$B$33, 2, FALSE),"WAS")</f>
        <v>HOU</v>
      </c>
      <c r="I155" t="s">
        <v>137</v>
      </c>
      <c r="J155" t="s">
        <v>205</v>
      </c>
      <c r="K155" t="s">
        <v>209</v>
      </c>
      <c r="L155">
        <v>0</v>
      </c>
      <c r="M155">
        <v>0</v>
      </c>
      <c r="N155">
        <v>37.090909090909101</v>
      </c>
      <c r="O155">
        <v>2.7272727272727302</v>
      </c>
      <c r="P155">
        <v>3</v>
      </c>
      <c r="Q155">
        <v>40</v>
      </c>
      <c r="R155">
        <v>4.5</v>
      </c>
      <c r="S155">
        <v>10.7</v>
      </c>
      <c r="T155">
        <v>-0.6</v>
      </c>
      <c r="U155">
        <v>1.3</v>
      </c>
      <c r="V155">
        <v>0</v>
      </c>
      <c r="W155">
        <v>0</v>
      </c>
      <c r="X155">
        <v>0</v>
      </c>
      <c r="Y155">
        <v>0</v>
      </c>
      <c r="Z155">
        <v>12.8</v>
      </c>
      <c r="AA155">
        <v>25.6</v>
      </c>
      <c r="AB155">
        <v>100</v>
      </c>
      <c r="AC155">
        <v>77</v>
      </c>
      <c r="AD155">
        <v>15.2</v>
      </c>
      <c r="AE155">
        <v>8.4</v>
      </c>
      <c r="AF155">
        <v>44.7</v>
      </c>
      <c r="AG155">
        <v>44.12</v>
      </c>
      <c r="AH155">
        <v>55</v>
      </c>
      <c r="AI155">
        <v>67.600999999999999</v>
      </c>
      <c r="AJ155">
        <v>23.863</v>
      </c>
      <c r="AK155">
        <v>38.793999999999997</v>
      </c>
      <c r="AL155">
        <v>-1.73</v>
      </c>
      <c r="AM155">
        <v>55</v>
      </c>
      <c r="AN155">
        <v>44.12</v>
      </c>
      <c r="AO155">
        <v>44.7</v>
      </c>
      <c r="AP155">
        <v>1.73</v>
      </c>
      <c r="AQ155">
        <v>76.137</v>
      </c>
      <c r="AR155">
        <v>32.399000000000001</v>
      </c>
      <c r="AS155">
        <v>61.206000000000003</v>
      </c>
    </row>
    <row r="156" spans="1:45" x14ac:dyDescent="0.25">
      <c r="A156">
        <v>45</v>
      </c>
      <c r="B156">
        <v>-1</v>
      </c>
      <c r="C156">
        <v>0</v>
      </c>
      <c r="D156">
        <v>2018</v>
      </c>
      <c r="E156">
        <v>11</v>
      </c>
      <c r="F156" t="str">
        <f>IFERROR(VLOOKUP(G156, Map!$A$1:$B$33, 2, FALSE),"WAS")</f>
        <v>LAC</v>
      </c>
      <c r="G156" t="s">
        <v>160</v>
      </c>
      <c r="H156" t="str">
        <f>IFERROR(VLOOKUP(I156, Map!$A$1:$B$33, 2, FALSE),"WAS")</f>
        <v>DEN</v>
      </c>
      <c r="I156" t="s">
        <v>159</v>
      </c>
      <c r="J156" t="s">
        <v>210</v>
      </c>
      <c r="K156" t="s">
        <v>183</v>
      </c>
      <c r="L156">
        <v>0</v>
      </c>
      <c r="M156">
        <v>0</v>
      </c>
      <c r="N156">
        <v>42.636363636363598</v>
      </c>
      <c r="O156">
        <v>-6.4545454545454604</v>
      </c>
      <c r="P156">
        <v>-7</v>
      </c>
      <c r="Q156">
        <v>46.5</v>
      </c>
      <c r="R156">
        <v>15.9</v>
      </c>
      <c r="S156">
        <v>21.8</v>
      </c>
      <c r="T156">
        <v>11.9</v>
      </c>
      <c r="U156">
        <v>15.8</v>
      </c>
      <c r="V156">
        <v>0</v>
      </c>
      <c r="W156">
        <v>0</v>
      </c>
      <c r="X156">
        <v>0</v>
      </c>
      <c r="Y156">
        <v>0</v>
      </c>
      <c r="Z156">
        <v>13.3</v>
      </c>
      <c r="AA156">
        <v>27.4</v>
      </c>
      <c r="AB156">
        <v>261</v>
      </c>
      <c r="AC156">
        <v>79</v>
      </c>
      <c r="AD156">
        <v>12</v>
      </c>
      <c r="AE156">
        <v>5.3</v>
      </c>
      <c r="AF156">
        <v>76.3</v>
      </c>
      <c r="AG156">
        <v>65.998000000000005</v>
      </c>
      <c r="AH156">
        <v>23.5</v>
      </c>
      <c r="AI156">
        <v>42.198</v>
      </c>
      <c r="AJ156">
        <v>65.150000000000006</v>
      </c>
      <c r="AK156">
        <v>53.905999999999999</v>
      </c>
      <c r="AL156">
        <v>9.67</v>
      </c>
      <c r="AM156">
        <v>23.5</v>
      </c>
      <c r="AN156">
        <v>65.998000000000005</v>
      </c>
      <c r="AO156">
        <v>76.3</v>
      </c>
      <c r="AP156">
        <v>-9.67</v>
      </c>
      <c r="AQ156">
        <v>34.85</v>
      </c>
      <c r="AR156">
        <v>57.802</v>
      </c>
      <c r="AS156">
        <v>46.094000000000001</v>
      </c>
    </row>
    <row r="157" spans="1:45" x14ac:dyDescent="0.25">
      <c r="A157">
        <v>36</v>
      </c>
      <c r="B157">
        <v>-4</v>
      </c>
      <c r="C157">
        <v>0</v>
      </c>
      <c r="D157">
        <v>2018</v>
      </c>
      <c r="E157">
        <v>11</v>
      </c>
      <c r="F157" t="str">
        <f>IFERROR(VLOOKUP(G157, Map!$A$1:$B$33, 2, FALSE),"WAS")</f>
        <v>JAX</v>
      </c>
      <c r="G157" t="s">
        <v>139</v>
      </c>
      <c r="H157" t="str">
        <f>IFERROR(VLOOKUP(I157, Map!$A$1:$B$33, 2, FALSE),"WAS")</f>
        <v>PIT</v>
      </c>
      <c r="I157" t="s">
        <v>145</v>
      </c>
      <c r="J157" t="s">
        <v>220</v>
      </c>
      <c r="K157" t="s">
        <v>170</v>
      </c>
      <c r="L157">
        <v>0</v>
      </c>
      <c r="M157">
        <v>0</v>
      </c>
      <c r="N157">
        <v>42.772727272727302</v>
      </c>
      <c r="O157">
        <v>3.6818181818181799</v>
      </c>
      <c r="P157">
        <v>4</v>
      </c>
      <c r="Q157">
        <v>47</v>
      </c>
      <c r="R157">
        <v>16.8</v>
      </c>
      <c r="S157">
        <v>22.3</v>
      </c>
      <c r="T157">
        <v>13.6</v>
      </c>
      <c r="U157">
        <v>17</v>
      </c>
      <c r="V157">
        <v>1.1000000000000001</v>
      </c>
      <c r="W157">
        <v>0</v>
      </c>
      <c r="X157">
        <v>5</v>
      </c>
      <c r="Y157">
        <v>1.1000000000000001</v>
      </c>
      <c r="Z157">
        <v>12</v>
      </c>
      <c r="AA157">
        <v>24.5</v>
      </c>
      <c r="AB157">
        <v>18</v>
      </c>
      <c r="AC157">
        <v>88</v>
      </c>
      <c r="AD157">
        <v>18.2</v>
      </c>
      <c r="AE157">
        <v>9.6999999999999993</v>
      </c>
      <c r="AF157">
        <v>35.5</v>
      </c>
      <c r="AG157">
        <v>63.121000000000002</v>
      </c>
      <c r="AH157">
        <v>64.3</v>
      </c>
      <c r="AI157">
        <v>76.182000000000002</v>
      </c>
      <c r="AJ157">
        <v>23.562999999999999</v>
      </c>
      <c r="AK157">
        <v>52.563000000000002</v>
      </c>
      <c r="AL157">
        <v>-4.9489999999999998</v>
      </c>
      <c r="AM157">
        <v>64.3</v>
      </c>
      <c r="AN157">
        <v>63.121000000000002</v>
      </c>
      <c r="AO157">
        <v>35.5</v>
      </c>
      <c r="AP157">
        <v>4.9489999999999998</v>
      </c>
      <c r="AQ157">
        <v>76.436999999999998</v>
      </c>
      <c r="AR157">
        <v>23.818000000000001</v>
      </c>
      <c r="AS157">
        <v>47.436999999999998</v>
      </c>
    </row>
    <row r="158" spans="1:45" x14ac:dyDescent="0.25">
      <c r="A158">
        <v>55</v>
      </c>
      <c r="B158">
        <v>41</v>
      </c>
      <c r="C158">
        <v>1</v>
      </c>
      <c r="D158">
        <v>2018</v>
      </c>
      <c r="E158">
        <v>11</v>
      </c>
      <c r="F158" t="str">
        <f>IFERROR(VLOOKUP(G158, Map!$A$1:$B$33, 2, FALSE),"WAS")</f>
        <v>NO</v>
      </c>
      <c r="G158" t="s">
        <v>168</v>
      </c>
      <c r="H158" t="str">
        <f>IFERROR(VLOOKUP(I158, Map!$A$1:$B$33, 2, FALSE),"WAS")</f>
        <v>PHI</v>
      </c>
      <c r="I158" t="s">
        <v>147</v>
      </c>
      <c r="J158" t="s">
        <v>192</v>
      </c>
      <c r="K158" t="s">
        <v>206</v>
      </c>
      <c r="L158">
        <v>1</v>
      </c>
      <c r="M158">
        <v>0</v>
      </c>
      <c r="N158">
        <v>51.636363636363598</v>
      </c>
      <c r="O158">
        <v>-6.4545454545454604</v>
      </c>
      <c r="P158">
        <v>-7</v>
      </c>
      <c r="Q158">
        <v>56</v>
      </c>
      <c r="R158">
        <v>13.6</v>
      </c>
      <c r="S158">
        <v>19.7</v>
      </c>
      <c r="T158">
        <v>8.6999999999999993</v>
      </c>
      <c r="U158">
        <v>12.5</v>
      </c>
      <c r="V158">
        <v>0</v>
      </c>
      <c r="W158">
        <v>0</v>
      </c>
      <c r="X158">
        <v>0</v>
      </c>
      <c r="Y158">
        <v>0</v>
      </c>
      <c r="Z158">
        <v>11.1</v>
      </c>
      <c r="AA158">
        <v>21.2</v>
      </c>
      <c r="AB158">
        <v>102</v>
      </c>
      <c r="AC158">
        <v>80</v>
      </c>
      <c r="AD158">
        <v>14.6</v>
      </c>
      <c r="AE158">
        <v>8.4</v>
      </c>
      <c r="AF158">
        <v>74.099999999999994</v>
      </c>
      <c r="AG158">
        <v>78.855000000000004</v>
      </c>
      <c r="AH158">
        <v>25.7</v>
      </c>
      <c r="AI158">
        <v>89.95</v>
      </c>
      <c r="AJ158">
        <v>98.331999999999994</v>
      </c>
      <c r="AK158">
        <v>98.722999999999999</v>
      </c>
      <c r="AL158">
        <v>8.7200000000000006</v>
      </c>
      <c r="AM158">
        <v>25.7</v>
      </c>
      <c r="AN158">
        <v>78.855000000000004</v>
      </c>
      <c r="AO158">
        <v>74.099999999999994</v>
      </c>
      <c r="AP158">
        <v>-8.7200000000000006</v>
      </c>
      <c r="AQ158">
        <v>1.6679999999999999</v>
      </c>
      <c r="AR158">
        <v>10.050000000000001</v>
      </c>
      <c r="AS158">
        <v>1.2769999999999999</v>
      </c>
    </row>
    <row r="159" spans="1:45" x14ac:dyDescent="0.25">
      <c r="A159">
        <v>41</v>
      </c>
      <c r="B159">
        <v>-3</v>
      </c>
      <c r="C159">
        <v>0</v>
      </c>
      <c r="D159">
        <v>2018</v>
      </c>
      <c r="E159">
        <v>11</v>
      </c>
      <c r="F159" t="str">
        <f>IFERROR(VLOOKUP(G159, Map!$A$1:$B$33, 2, FALSE),"WAS")</f>
        <v>ATL</v>
      </c>
      <c r="G159" t="s">
        <v>167</v>
      </c>
      <c r="H159" t="str">
        <f>IFERROR(VLOOKUP(I159, Map!$A$1:$B$33, 2, FALSE),"WAS")</f>
        <v>DAL</v>
      </c>
      <c r="I159" t="s">
        <v>150</v>
      </c>
      <c r="J159" t="s">
        <v>188</v>
      </c>
      <c r="K159" t="s">
        <v>184</v>
      </c>
      <c r="L159">
        <v>0</v>
      </c>
      <c r="M159">
        <v>0</v>
      </c>
      <c r="N159">
        <v>45.318181818181799</v>
      </c>
      <c r="O159">
        <v>-3.1363636363636398</v>
      </c>
      <c r="P159">
        <v>-3</v>
      </c>
      <c r="Q159">
        <v>49.5</v>
      </c>
      <c r="R159">
        <v>8.8000000000000007</v>
      </c>
      <c r="S159">
        <v>15.5</v>
      </c>
      <c r="T159">
        <v>3.1</v>
      </c>
      <c r="U159">
        <v>6.9</v>
      </c>
      <c r="V159">
        <v>0</v>
      </c>
      <c r="W159">
        <v>0</v>
      </c>
      <c r="X159">
        <v>0</v>
      </c>
      <c r="Y159">
        <v>0</v>
      </c>
      <c r="Z159">
        <v>9</v>
      </c>
      <c r="AA159">
        <v>16.2</v>
      </c>
      <c r="AB159">
        <v>93</v>
      </c>
      <c r="AC159">
        <v>83</v>
      </c>
      <c r="AD159">
        <v>11.5</v>
      </c>
      <c r="AE159">
        <v>6</v>
      </c>
      <c r="AF159">
        <v>59.4</v>
      </c>
      <c r="AG159">
        <v>69.293000000000006</v>
      </c>
      <c r="AH159">
        <v>40.299999999999997</v>
      </c>
      <c r="AI159">
        <v>28.797999999999998</v>
      </c>
      <c r="AJ159">
        <v>49.902000000000001</v>
      </c>
      <c r="AK159">
        <v>40.69</v>
      </c>
      <c r="AL159">
        <v>3.2429999999999999</v>
      </c>
      <c r="AM159">
        <v>40.299999999999997</v>
      </c>
      <c r="AN159">
        <v>69.293000000000006</v>
      </c>
      <c r="AO159">
        <v>59.4</v>
      </c>
      <c r="AP159">
        <v>-3.2429999999999999</v>
      </c>
      <c r="AQ159">
        <v>50.097999999999999</v>
      </c>
      <c r="AR159">
        <v>71.201999999999998</v>
      </c>
      <c r="AS159">
        <v>59.31</v>
      </c>
    </row>
    <row r="160" spans="1:45" x14ac:dyDescent="0.25">
      <c r="A160">
        <v>105</v>
      </c>
      <c r="B160">
        <v>3</v>
      </c>
      <c r="C160">
        <v>1</v>
      </c>
      <c r="D160">
        <v>2018</v>
      </c>
      <c r="E160">
        <v>11</v>
      </c>
      <c r="F160" t="str">
        <f>IFERROR(VLOOKUP(G160, Map!$A$1:$B$33, 2, FALSE),"WAS")</f>
        <v>LA</v>
      </c>
      <c r="G160" t="s">
        <v>155</v>
      </c>
      <c r="H160" t="str">
        <f>IFERROR(VLOOKUP(I160, Map!$A$1:$B$33, 2, FALSE),"WAS")</f>
        <v>KC</v>
      </c>
      <c r="I160" t="s">
        <v>158</v>
      </c>
      <c r="J160" t="s">
        <v>178</v>
      </c>
      <c r="K160" t="s">
        <v>202</v>
      </c>
      <c r="L160">
        <v>1</v>
      </c>
      <c r="M160">
        <v>0</v>
      </c>
      <c r="N160">
        <v>57.818181818181799</v>
      </c>
      <c r="O160">
        <v>-2.7727272727272698</v>
      </c>
      <c r="P160">
        <v>-3</v>
      </c>
      <c r="Q160">
        <v>63</v>
      </c>
      <c r="R160">
        <v>16.899999999999999</v>
      </c>
      <c r="S160">
        <v>22.9</v>
      </c>
      <c r="T160">
        <v>11.7</v>
      </c>
      <c r="U160">
        <v>14.8</v>
      </c>
      <c r="V160">
        <v>0</v>
      </c>
      <c r="W160">
        <v>0</v>
      </c>
      <c r="X160">
        <v>0</v>
      </c>
      <c r="Y160">
        <v>0</v>
      </c>
      <c r="Z160">
        <v>12.6</v>
      </c>
      <c r="AA160">
        <v>23.8</v>
      </c>
      <c r="AB160">
        <v>126</v>
      </c>
      <c r="AC160">
        <v>44</v>
      </c>
      <c r="AD160">
        <v>10.8</v>
      </c>
      <c r="AE160">
        <v>5.2</v>
      </c>
      <c r="AF160">
        <v>63.8</v>
      </c>
      <c r="AG160">
        <v>93.951999999999998</v>
      </c>
      <c r="AH160">
        <v>36</v>
      </c>
      <c r="AI160">
        <v>38.750999999999998</v>
      </c>
      <c r="AJ160">
        <v>73.507999999999996</v>
      </c>
      <c r="AK160">
        <v>56.631999999999998</v>
      </c>
      <c r="AL160">
        <v>4.7549999999999999</v>
      </c>
      <c r="AM160">
        <v>36</v>
      </c>
      <c r="AN160">
        <v>93.951999999999998</v>
      </c>
      <c r="AO160">
        <v>63.8</v>
      </c>
      <c r="AP160">
        <v>-4.7549999999999999</v>
      </c>
      <c r="AQ160">
        <v>26.492000000000001</v>
      </c>
      <c r="AR160">
        <v>61.249000000000002</v>
      </c>
      <c r="AS160">
        <v>43.368000000000002</v>
      </c>
    </row>
    <row r="161" spans="1:45" x14ac:dyDescent="0.25">
      <c r="A161">
        <v>51</v>
      </c>
      <c r="B161">
        <v>3</v>
      </c>
      <c r="C161">
        <v>1</v>
      </c>
      <c r="D161">
        <v>2018</v>
      </c>
      <c r="E161">
        <v>11</v>
      </c>
      <c r="F161" t="str">
        <f>IFERROR(VLOOKUP(G161, Map!$A$1:$B$33, 2, FALSE),"WAS")</f>
        <v>SEA</v>
      </c>
      <c r="G161" t="s">
        <v>144</v>
      </c>
      <c r="H161" t="str">
        <f>IFERROR(VLOOKUP(I161, Map!$A$1:$B$33, 2, FALSE),"WAS")</f>
        <v>GB</v>
      </c>
      <c r="I161" t="s">
        <v>154</v>
      </c>
      <c r="J161" t="s">
        <v>182</v>
      </c>
      <c r="K161" t="s">
        <v>200</v>
      </c>
      <c r="L161">
        <v>1</v>
      </c>
      <c r="M161">
        <v>0</v>
      </c>
      <c r="N161">
        <v>44.818181818181799</v>
      </c>
      <c r="O161">
        <v>-2.7727272727272698</v>
      </c>
      <c r="P161">
        <v>-3</v>
      </c>
      <c r="Q161">
        <v>49</v>
      </c>
      <c r="R161">
        <v>10.6</v>
      </c>
      <c r="S161">
        <v>11.2</v>
      </c>
      <c r="T161">
        <v>10</v>
      </c>
      <c r="U161">
        <v>8.4</v>
      </c>
      <c r="V161">
        <v>0.4</v>
      </c>
      <c r="W161">
        <v>0</v>
      </c>
      <c r="X161">
        <v>4</v>
      </c>
      <c r="Y161">
        <v>0.4</v>
      </c>
      <c r="Z161">
        <v>20.2</v>
      </c>
      <c r="AA161">
        <v>36.700000000000003</v>
      </c>
      <c r="AB161">
        <v>195</v>
      </c>
      <c r="AC161">
        <v>88</v>
      </c>
      <c r="AD161">
        <v>25.8</v>
      </c>
      <c r="AE161">
        <v>13.3</v>
      </c>
      <c r="AF161">
        <v>60.5</v>
      </c>
      <c r="AG161">
        <v>68.528000000000006</v>
      </c>
      <c r="AH161">
        <v>39.200000000000003</v>
      </c>
      <c r="AI161">
        <v>28.212</v>
      </c>
      <c r="AJ161">
        <v>63.948999999999998</v>
      </c>
      <c r="AK161">
        <v>58.164999999999999</v>
      </c>
      <c r="AL161">
        <v>3.633</v>
      </c>
      <c r="AM161">
        <v>39.200000000000003</v>
      </c>
      <c r="AN161">
        <v>68.528000000000006</v>
      </c>
      <c r="AO161">
        <v>60.5</v>
      </c>
      <c r="AP161">
        <v>-3.633</v>
      </c>
      <c r="AQ161">
        <v>36.051000000000002</v>
      </c>
      <c r="AR161">
        <v>71.787999999999997</v>
      </c>
      <c r="AS161">
        <v>41.835000000000001</v>
      </c>
    </row>
    <row r="162" spans="1:45" x14ac:dyDescent="0.25">
      <c r="A162">
        <v>45</v>
      </c>
      <c r="B162">
        <v>3</v>
      </c>
      <c r="C162">
        <v>1</v>
      </c>
      <c r="D162">
        <v>2018</v>
      </c>
      <c r="E162">
        <v>11</v>
      </c>
      <c r="F162" t="str">
        <f>IFERROR(VLOOKUP(G162, Map!$A$1:$B$33, 2, FALSE),"WAS")</f>
        <v>BAL</v>
      </c>
      <c r="G162" t="s">
        <v>146</v>
      </c>
      <c r="H162" t="str">
        <f>IFERROR(VLOOKUP(I162, Map!$A$1:$B$33, 2, FALSE),"WAS")</f>
        <v>CIN</v>
      </c>
      <c r="I162" t="s">
        <v>161</v>
      </c>
      <c r="J162" t="s">
        <v>181</v>
      </c>
      <c r="K162" t="s">
        <v>176</v>
      </c>
      <c r="L162">
        <v>1</v>
      </c>
      <c r="M162">
        <v>0</v>
      </c>
      <c r="N162">
        <v>39.636363636363598</v>
      </c>
      <c r="O162">
        <v>-5.9090909090909101</v>
      </c>
      <c r="P162">
        <v>-6.5</v>
      </c>
      <c r="Q162">
        <v>42.5</v>
      </c>
      <c r="R162">
        <v>3.9</v>
      </c>
      <c r="S162">
        <v>9.3000000000000007</v>
      </c>
      <c r="T162">
        <v>-0.3</v>
      </c>
      <c r="U162">
        <v>0.8</v>
      </c>
      <c r="V162">
        <v>0</v>
      </c>
      <c r="W162">
        <v>0</v>
      </c>
      <c r="X162">
        <v>0</v>
      </c>
      <c r="Y162">
        <v>0</v>
      </c>
      <c r="Z162">
        <v>13.5</v>
      </c>
      <c r="AA162">
        <v>27.4</v>
      </c>
      <c r="AB162">
        <v>121</v>
      </c>
      <c r="AC162">
        <v>81</v>
      </c>
      <c r="AD162">
        <v>15.2</v>
      </c>
      <c r="AE162">
        <v>7.9</v>
      </c>
      <c r="AF162">
        <v>78.2</v>
      </c>
      <c r="AG162">
        <v>48.978000000000002</v>
      </c>
      <c r="AH162">
        <v>21.6</v>
      </c>
      <c r="AI162">
        <v>51.89</v>
      </c>
      <c r="AJ162">
        <v>44.756</v>
      </c>
      <c r="AK162">
        <v>58.459000000000003</v>
      </c>
      <c r="AL162">
        <v>10.430999999999999</v>
      </c>
      <c r="AM162">
        <v>21.6</v>
      </c>
      <c r="AN162">
        <v>48.978000000000002</v>
      </c>
      <c r="AO162">
        <v>78.2</v>
      </c>
      <c r="AP162">
        <v>-10.430999999999999</v>
      </c>
      <c r="AQ162">
        <v>55.244</v>
      </c>
      <c r="AR162">
        <v>48.11</v>
      </c>
      <c r="AS162">
        <v>41.540999999999997</v>
      </c>
    </row>
    <row r="163" spans="1:45" x14ac:dyDescent="0.25">
      <c r="A163">
        <v>36</v>
      </c>
      <c r="B163">
        <v>18</v>
      </c>
      <c r="C163">
        <v>1</v>
      </c>
      <c r="D163">
        <v>2018</v>
      </c>
      <c r="E163">
        <v>12</v>
      </c>
      <c r="F163" t="str">
        <f>IFERROR(VLOOKUP(G163, Map!$A$1:$B$33, 2, FALSE),"WAS")</f>
        <v>TB</v>
      </c>
      <c r="G163" t="s">
        <v>141</v>
      </c>
      <c r="H163" t="str">
        <f>IFERROR(VLOOKUP(I163, Map!$A$1:$B$33, 2, FALSE),"WAS")</f>
        <v>SF</v>
      </c>
      <c r="I163" t="s">
        <v>143</v>
      </c>
      <c r="J163" t="s">
        <v>186</v>
      </c>
      <c r="K163" t="s">
        <v>197</v>
      </c>
      <c r="L163">
        <v>1</v>
      </c>
      <c r="M163">
        <v>0</v>
      </c>
      <c r="N163">
        <v>49.636363636363598</v>
      </c>
      <c r="O163">
        <v>-1.6818181818181801</v>
      </c>
      <c r="P163">
        <v>-1.5</v>
      </c>
      <c r="Q163">
        <v>54.5</v>
      </c>
      <c r="R163">
        <v>21.2</v>
      </c>
      <c r="S163">
        <v>24.7</v>
      </c>
      <c r="T163">
        <v>18.600000000000001</v>
      </c>
      <c r="U163">
        <v>23.3</v>
      </c>
      <c r="V163">
        <v>1.5</v>
      </c>
      <c r="W163">
        <v>0</v>
      </c>
      <c r="X163">
        <v>3</v>
      </c>
      <c r="Y163">
        <v>1.5</v>
      </c>
      <c r="Z163">
        <v>11.6</v>
      </c>
      <c r="AA163">
        <v>24.1</v>
      </c>
      <c r="AB163">
        <v>277</v>
      </c>
      <c r="AC163">
        <v>85</v>
      </c>
      <c r="AD163">
        <v>15.2</v>
      </c>
      <c r="AE163">
        <v>7.5</v>
      </c>
      <c r="AF163">
        <v>65.400000000000006</v>
      </c>
      <c r="AG163">
        <v>31.373000000000001</v>
      </c>
      <c r="AH163">
        <v>34.299999999999997</v>
      </c>
      <c r="AI163">
        <v>51.874000000000002</v>
      </c>
      <c r="AJ163">
        <v>83.213999999999999</v>
      </c>
      <c r="AK163">
        <v>82.05</v>
      </c>
      <c r="AL163">
        <v>5.3550000000000004</v>
      </c>
      <c r="AM163">
        <v>34.299999999999997</v>
      </c>
      <c r="AN163">
        <v>31.373000000000001</v>
      </c>
      <c r="AO163">
        <v>65.400000000000006</v>
      </c>
      <c r="AP163">
        <v>-5.3550000000000004</v>
      </c>
      <c r="AQ163">
        <v>16.786000000000001</v>
      </c>
      <c r="AR163">
        <v>48.125999999999998</v>
      </c>
      <c r="AS163">
        <v>17.95</v>
      </c>
    </row>
    <row r="164" spans="1:45" x14ac:dyDescent="0.25">
      <c r="A164">
        <v>41</v>
      </c>
      <c r="B164">
        <v>7</v>
      </c>
      <c r="C164">
        <v>1</v>
      </c>
      <c r="D164">
        <v>2018</v>
      </c>
      <c r="E164">
        <v>12</v>
      </c>
      <c r="F164" t="str">
        <f>IFERROR(VLOOKUP(G164, Map!$A$1:$B$33, 2, FALSE),"WAS")</f>
        <v>MIN</v>
      </c>
      <c r="G164" t="s">
        <v>153</v>
      </c>
      <c r="H164" t="str">
        <f>IFERROR(VLOOKUP(I164, Map!$A$1:$B$33, 2, FALSE),"WAS")</f>
        <v>GB</v>
      </c>
      <c r="I164" t="s">
        <v>154</v>
      </c>
      <c r="J164" t="s">
        <v>214</v>
      </c>
      <c r="K164" t="s">
        <v>200</v>
      </c>
      <c r="L164">
        <v>1</v>
      </c>
      <c r="M164">
        <v>0</v>
      </c>
      <c r="N164">
        <v>43.954545454545503</v>
      </c>
      <c r="O164">
        <v>-3.1818181818181799</v>
      </c>
      <c r="P164">
        <v>-3.5</v>
      </c>
      <c r="Q164">
        <v>47</v>
      </c>
      <c r="R164">
        <v>-7.6</v>
      </c>
      <c r="S164">
        <v>-5.6</v>
      </c>
      <c r="T164">
        <v>-9.8000000000000007</v>
      </c>
      <c r="U164">
        <v>-13.2</v>
      </c>
      <c r="V164">
        <v>0</v>
      </c>
      <c r="W164">
        <v>0</v>
      </c>
      <c r="X164">
        <v>0</v>
      </c>
      <c r="Y164">
        <v>0</v>
      </c>
      <c r="Z164">
        <v>17.3</v>
      </c>
      <c r="AA164">
        <v>36.700000000000003</v>
      </c>
      <c r="AB164">
        <v>331</v>
      </c>
      <c r="AC164">
        <v>59</v>
      </c>
      <c r="AD164">
        <v>28.2</v>
      </c>
      <c r="AE164">
        <v>14</v>
      </c>
      <c r="AF164">
        <v>56.5</v>
      </c>
      <c r="AG164">
        <v>68.557000000000002</v>
      </c>
      <c r="AH164">
        <v>43.2</v>
      </c>
      <c r="AI164">
        <v>71.816999999999993</v>
      </c>
      <c r="AJ164">
        <v>73.135000000000005</v>
      </c>
      <c r="AK164">
        <v>75.527000000000001</v>
      </c>
      <c r="AL164">
        <v>2.222</v>
      </c>
      <c r="AM164">
        <v>43.2</v>
      </c>
      <c r="AN164">
        <v>68.557000000000002</v>
      </c>
      <c r="AO164">
        <v>56.5</v>
      </c>
      <c r="AP164">
        <v>-2.222</v>
      </c>
      <c r="AQ164">
        <v>26.864999999999998</v>
      </c>
      <c r="AR164">
        <v>28.183</v>
      </c>
      <c r="AS164">
        <v>24.472999999999999</v>
      </c>
    </row>
    <row r="165" spans="1:45" x14ac:dyDescent="0.25">
      <c r="A165">
        <v>54</v>
      </c>
      <c r="B165">
        <v>8</v>
      </c>
      <c r="C165">
        <v>1</v>
      </c>
      <c r="D165">
        <v>2018</v>
      </c>
      <c r="E165">
        <v>12</v>
      </c>
      <c r="F165" t="str">
        <f>IFERROR(VLOOKUP(G165, Map!$A$1:$B$33, 2, FALSE),"WAS")</f>
        <v>DAL</v>
      </c>
      <c r="G165" t="s">
        <v>150</v>
      </c>
      <c r="H165" t="str">
        <f>IFERROR(VLOOKUP(I165, Map!$A$1:$B$33, 2, FALSE),"WAS")</f>
        <v>WAS</v>
      </c>
      <c r="I165" t="s">
        <v>204</v>
      </c>
      <c r="J165" t="s">
        <v>184</v>
      </c>
      <c r="K165" t="s">
        <v>205</v>
      </c>
      <c r="L165">
        <v>1</v>
      </c>
      <c r="M165">
        <v>0</v>
      </c>
      <c r="N165">
        <v>38</v>
      </c>
      <c r="O165">
        <v>-6.6818181818181799</v>
      </c>
      <c r="P165">
        <v>-7</v>
      </c>
      <c r="Q165">
        <v>40</v>
      </c>
      <c r="R165">
        <v>9.6</v>
      </c>
      <c r="S165">
        <v>15.7</v>
      </c>
      <c r="T165">
        <v>3.9</v>
      </c>
      <c r="U165">
        <v>7.1</v>
      </c>
      <c r="V165">
        <v>0.6</v>
      </c>
      <c r="W165">
        <v>0</v>
      </c>
      <c r="X165">
        <v>2</v>
      </c>
      <c r="Y165">
        <v>0.6</v>
      </c>
      <c r="Z165">
        <v>13.7</v>
      </c>
      <c r="AA165">
        <v>27.4</v>
      </c>
      <c r="AB165">
        <v>141</v>
      </c>
      <c r="AC165">
        <v>74</v>
      </c>
      <c r="AD165">
        <v>14.8</v>
      </c>
      <c r="AE165">
        <v>8.4</v>
      </c>
      <c r="AF165">
        <v>74.2</v>
      </c>
      <c r="AG165">
        <v>45.960999999999999</v>
      </c>
      <c r="AH165">
        <v>25.6</v>
      </c>
      <c r="AI165">
        <v>66.986000000000004</v>
      </c>
      <c r="AJ165">
        <v>81.820999999999998</v>
      </c>
      <c r="AK165">
        <v>77.915999999999997</v>
      </c>
      <c r="AL165">
        <v>8.7089999999999996</v>
      </c>
      <c r="AM165">
        <v>25.6</v>
      </c>
      <c r="AN165">
        <v>45.960999999999999</v>
      </c>
      <c r="AO165">
        <v>74.2</v>
      </c>
      <c r="AP165">
        <v>-8.7089999999999996</v>
      </c>
      <c r="AQ165">
        <v>18.178999999999998</v>
      </c>
      <c r="AR165">
        <v>33.014000000000003</v>
      </c>
      <c r="AS165">
        <v>22.084</v>
      </c>
    </row>
    <row r="166" spans="1:45" x14ac:dyDescent="0.25">
      <c r="A166">
        <v>40</v>
      </c>
      <c r="B166">
        <v>-14</v>
      </c>
      <c r="C166">
        <v>0</v>
      </c>
      <c r="D166">
        <v>2018</v>
      </c>
      <c r="E166">
        <v>12</v>
      </c>
      <c r="F166" t="str">
        <f>IFERROR(VLOOKUP(G166, Map!$A$1:$B$33, 2, FALSE),"WAS")</f>
        <v>NYJ</v>
      </c>
      <c r="G166" t="s">
        <v>166</v>
      </c>
      <c r="H166" t="str">
        <f>IFERROR(VLOOKUP(I166, Map!$A$1:$B$33, 2, FALSE),"WAS")</f>
        <v>NE</v>
      </c>
      <c r="I166" t="s">
        <v>151</v>
      </c>
      <c r="J166" t="s">
        <v>172</v>
      </c>
      <c r="K166" t="s">
        <v>187</v>
      </c>
      <c r="L166">
        <v>0</v>
      </c>
      <c r="M166">
        <v>0</v>
      </c>
      <c r="N166">
        <v>42.318181818181799</v>
      </c>
      <c r="O166">
        <v>11.2727272727273</v>
      </c>
      <c r="P166">
        <v>11.5</v>
      </c>
      <c r="Q166">
        <v>46.5</v>
      </c>
      <c r="R166">
        <v>7.7</v>
      </c>
      <c r="S166">
        <v>12.4</v>
      </c>
      <c r="T166">
        <v>3.8</v>
      </c>
      <c r="U166">
        <v>4.4000000000000004</v>
      </c>
      <c r="V166">
        <v>37.6</v>
      </c>
      <c r="W166">
        <v>0</v>
      </c>
      <c r="X166">
        <v>11</v>
      </c>
      <c r="Y166">
        <v>37.6</v>
      </c>
      <c r="Z166">
        <v>29.8</v>
      </c>
      <c r="AA166">
        <v>55.8</v>
      </c>
      <c r="AB166">
        <v>350</v>
      </c>
      <c r="AC166">
        <v>88</v>
      </c>
      <c r="AD166">
        <v>32</v>
      </c>
      <c r="AE166">
        <v>15.4</v>
      </c>
      <c r="AF166">
        <v>16.600000000000001</v>
      </c>
      <c r="AG166">
        <v>45.728000000000002</v>
      </c>
      <c r="AH166">
        <v>83.2</v>
      </c>
      <c r="AI166">
        <v>13.144</v>
      </c>
      <c r="AJ166">
        <v>49.308</v>
      </c>
      <c r="AK166">
        <v>24.315000000000001</v>
      </c>
      <c r="AL166">
        <v>-12.895</v>
      </c>
      <c r="AM166">
        <v>83.2</v>
      </c>
      <c r="AN166">
        <v>45.728000000000002</v>
      </c>
      <c r="AO166">
        <v>16.600000000000001</v>
      </c>
      <c r="AP166">
        <v>12.895</v>
      </c>
      <c r="AQ166">
        <v>50.692</v>
      </c>
      <c r="AR166">
        <v>86.855999999999995</v>
      </c>
      <c r="AS166">
        <v>75.685000000000002</v>
      </c>
    </row>
    <row r="167" spans="1:45" x14ac:dyDescent="0.25">
      <c r="A167">
        <v>41</v>
      </c>
      <c r="B167">
        <v>7</v>
      </c>
      <c r="C167">
        <v>1</v>
      </c>
      <c r="D167">
        <v>2018</v>
      </c>
      <c r="E167">
        <v>12</v>
      </c>
      <c r="F167" t="str">
        <f>IFERROR(VLOOKUP(G167, Map!$A$1:$B$33, 2, FALSE),"WAS")</f>
        <v>DEN</v>
      </c>
      <c r="G167" t="s">
        <v>159</v>
      </c>
      <c r="H167" t="str">
        <f>IFERROR(VLOOKUP(I167, Map!$A$1:$B$33, 2, FALSE),"WAS")</f>
        <v>PIT</v>
      </c>
      <c r="I167" t="s">
        <v>145</v>
      </c>
      <c r="J167" t="s">
        <v>183</v>
      </c>
      <c r="K167" t="s">
        <v>170</v>
      </c>
      <c r="L167">
        <v>1</v>
      </c>
      <c r="M167">
        <v>0</v>
      </c>
      <c r="N167">
        <v>43.227272727272698</v>
      </c>
      <c r="O167">
        <v>2.1363636363636398</v>
      </c>
      <c r="P167">
        <v>3</v>
      </c>
      <c r="Q167">
        <v>47</v>
      </c>
      <c r="R167">
        <v>0.1</v>
      </c>
      <c r="S167">
        <v>3.8</v>
      </c>
      <c r="T167">
        <v>-4.9000000000000004</v>
      </c>
      <c r="U167">
        <v>-5.6</v>
      </c>
      <c r="V167">
        <v>0.3</v>
      </c>
      <c r="W167">
        <v>0.21</v>
      </c>
      <c r="X167">
        <v>2</v>
      </c>
      <c r="Y167">
        <v>0</v>
      </c>
      <c r="Z167">
        <v>36.5</v>
      </c>
      <c r="AA167">
        <v>66.2</v>
      </c>
      <c r="AB167">
        <v>333</v>
      </c>
      <c r="AC167">
        <v>45</v>
      </c>
      <c r="AD167">
        <v>33</v>
      </c>
      <c r="AE167">
        <v>16.2</v>
      </c>
      <c r="AF167">
        <v>39.799999999999997</v>
      </c>
      <c r="AG167">
        <v>69.879000000000005</v>
      </c>
      <c r="AH167">
        <v>59.9</v>
      </c>
      <c r="AI167">
        <v>65.581999999999994</v>
      </c>
      <c r="AJ167">
        <v>65.763999999999996</v>
      </c>
      <c r="AK167">
        <v>65.058000000000007</v>
      </c>
      <c r="AL167">
        <v>-3.3940000000000001</v>
      </c>
      <c r="AM167">
        <v>59.9</v>
      </c>
      <c r="AN167">
        <v>69.879000000000005</v>
      </c>
      <c r="AO167">
        <v>39.799999999999997</v>
      </c>
      <c r="AP167">
        <v>3.3940000000000001</v>
      </c>
      <c r="AQ167">
        <v>34.235999999999997</v>
      </c>
      <c r="AR167">
        <v>34.417999999999999</v>
      </c>
      <c r="AS167">
        <v>34.942</v>
      </c>
    </row>
    <row r="168" spans="1:45" x14ac:dyDescent="0.25">
      <c r="A168">
        <v>51</v>
      </c>
      <c r="B168">
        <v>3</v>
      </c>
      <c r="C168">
        <v>1</v>
      </c>
      <c r="D168">
        <v>2018</v>
      </c>
      <c r="E168">
        <v>12</v>
      </c>
      <c r="F168" t="str">
        <f>IFERROR(VLOOKUP(G168, Map!$A$1:$B$33, 2, FALSE),"WAS")</f>
        <v>IND</v>
      </c>
      <c r="G168" t="s">
        <v>138</v>
      </c>
      <c r="H168" t="str">
        <f>IFERROR(VLOOKUP(I168, Map!$A$1:$B$33, 2, FALSE),"WAS")</f>
        <v>MIA</v>
      </c>
      <c r="I168" t="s">
        <v>152</v>
      </c>
      <c r="J168" t="s">
        <v>177</v>
      </c>
      <c r="K168" t="s">
        <v>175</v>
      </c>
      <c r="L168">
        <v>1</v>
      </c>
      <c r="M168">
        <v>0</v>
      </c>
      <c r="N168">
        <v>47.681818181818201</v>
      </c>
      <c r="O168">
        <v>-7.2272727272727302</v>
      </c>
      <c r="P168">
        <v>-3</v>
      </c>
      <c r="Q168">
        <v>50.5</v>
      </c>
      <c r="R168">
        <v>8.1999999999999993</v>
      </c>
      <c r="S168">
        <v>14.5</v>
      </c>
      <c r="T168">
        <v>2.9</v>
      </c>
      <c r="U168">
        <v>5.3</v>
      </c>
      <c r="V168">
        <v>0</v>
      </c>
      <c r="W168">
        <v>0</v>
      </c>
      <c r="X168">
        <v>0</v>
      </c>
      <c r="Y168">
        <v>0</v>
      </c>
      <c r="Z168">
        <v>21.5</v>
      </c>
      <c r="AA168">
        <v>37.799999999999997</v>
      </c>
      <c r="AB168">
        <v>158</v>
      </c>
      <c r="AC168">
        <v>83</v>
      </c>
      <c r="AD168">
        <v>22.2</v>
      </c>
      <c r="AE168">
        <v>12</v>
      </c>
      <c r="AF168">
        <v>82.3</v>
      </c>
      <c r="AG168">
        <v>45.238</v>
      </c>
      <c r="AH168">
        <v>17.600000000000001</v>
      </c>
      <c r="AI168">
        <v>38.353999999999999</v>
      </c>
      <c r="AJ168">
        <v>74.555000000000007</v>
      </c>
      <c r="AK168">
        <v>52.32</v>
      </c>
      <c r="AL168">
        <v>12.411</v>
      </c>
      <c r="AM168">
        <v>17.600000000000001</v>
      </c>
      <c r="AN168">
        <v>45.238</v>
      </c>
      <c r="AO168">
        <v>82.3</v>
      </c>
      <c r="AP168">
        <v>-12.411</v>
      </c>
      <c r="AQ168">
        <v>25.445</v>
      </c>
      <c r="AR168">
        <v>61.646000000000001</v>
      </c>
      <c r="AS168">
        <v>47.68</v>
      </c>
    </row>
    <row r="169" spans="1:45" x14ac:dyDescent="0.25">
      <c r="A169">
        <v>55</v>
      </c>
      <c r="B169">
        <v>-15</v>
      </c>
      <c r="C169">
        <v>0</v>
      </c>
      <c r="D169">
        <v>2018</v>
      </c>
      <c r="E169">
        <v>12</v>
      </c>
      <c r="F169" t="str">
        <f>IFERROR(VLOOKUP(G169, Map!$A$1:$B$33, 2, FALSE),"WAS")</f>
        <v>CIN</v>
      </c>
      <c r="G169" t="s">
        <v>161</v>
      </c>
      <c r="H169" t="str">
        <f>IFERROR(VLOOKUP(I169, Map!$A$1:$B$33, 2, FALSE),"WAS")</f>
        <v>CLE</v>
      </c>
      <c r="I169" t="s">
        <v>162</v>
      </c>
      <c r="J169" t="s">
        <v>176</v>
      </c>
      <c r="K169" t="s">
        <v>171</v>
      </c>
      <c r="L169">
        <v>0</v>
      </c>
      <c r="M169">
        <v>0</v>
      </c>
      <c r="N169">
        <v>42.363636363636402</v>
      </c>
      <c r="O169">
        <v>9.0909090909090898E-2</v>
      </c>
      <c r="P169">
        <v>0</v>
      </c>
      <c r="Q169">
        <v>46</v>
      </c>
      <c r="R169">
        <v>9</v>
      </c>
      <c r="S169">
        <v>16</v>
      </c>
      <c r="T169">
        <v>3.6</v>
      </c>
      <c r="U169">
        <v>6.4</v>
      </c>
      <c r="V169">
        <v>0</v>
      </c>
      <c r="W169">
        <v>0</v>
      </c>
      <c r="X169">
        <v>0</v>
      </c>
      <c r="Y169">
        <v>0</v>
      </c>
      <c r="Z169">
        <v>18.399999999999999</v>
      </c>
      <c r="AA169">
        <v>35.6</v>
      </c>
      <c r="AB169">
        <v>188</v>
      </c>
      <c r="AC169">
        <v>83</v>
      </c>
      <c r="AD169">
        <v>22.2</v>
      </c>
      <c r="AE169">
        <v>10.5</v>
      </c>
      <c r="AF169">
        <v>66.8</v>
      </c>
      <c r="AG169">
        <v>22.024000000000001</v>
      </c>
      <c r="AH169">
        <v>33</v>
      </c>
      <c r="AI169">
        <v>2.6139999999999999</v>
      </c>
      <c r="AJ169">
        <v>38.438000000000002</v>
      </c>
      <c r="AK169">
        <v>4.8879999999999999</v>
      </c>
      <c r="AL169">
        <v>5.8259999999999996</v>
      </c>
      <c r="AM169">
        <v>33</v>
      </c>
      <c r="AN169">
        <v>22.024000000000001</v>
      </c>
      <c r="AO169">
        <v>66.8</v>
      </c>
      <c r="AP169">
        <v>-5.8259999999999996</v>
      </c>
      <c r="AQ169">
        <v>61.561999999999998</v>
      </c>
      <c r="AR169">
        <v>97.385999999999996</v>
      </c>
      <c r="AS169">
        <v>95.111999999999995</v>
      </c>
    </row>
    <row r="170" spans="1:45" x14ac:dyDescent="0.25">
      <c r="A170">
        <v>57</v>
      </c>
      <c r="B170">
        <v>-3</v>
      </c>
      <c r="C170">
        <v>0</v>
      </c>
      <c r="D170">
        <v>2018</v>
      </c>
      <c r="E170">
        <v>12</v>
      </c>
      <c r="F170" t="str">
        <f>IFERROR(VLOOKUP(G170, Map!$A$1:$B$33, 2, FALSE),"WAS")</f>
        <v>CAR</v>
      </c>
      <c r="G170" t="s">
        <v>142</v>
      </c>
      <c r="H170" t="str">
        <f>IFERROR(VLOOKUP(I170, Map!$A$1:$B$33, 2, FALSE),"WAS")</f>
        <v>SEA</v>
      </c>
      <c r="I170" t="s">
        <v>144</v>
      </c>
      <c r="J170" t="s">
        <v>185</v>
      </c>
      <c r="K170" t="s">
        <v>182</v>
      </c>
      <c r="L170">
        <v>0</v>
      </c>
      <c r="M170">
        <v>0</v>
      </c>
      <c r="N170">
        <v>42.363636363636402</v>
      </c>
      <c r="O170">
        <v>-2.7272727272727302</v>
      </c>
      <c r="P170">
        <v>-3</v>
      </c>
      <c r="Q170">
        <v>46</v>
      </c>
      <c r="R170">
        <v>6.8</v>
      </c>
      <c r="S170">
        <v>13.1</v>
      </c>
      <c r="T170">
        <v>3</v>
      </c>
      <c r="U170">
        <v>4.9000000000000004</v>
      </c>
      <c r="V170">
        <v>0</v>
      </c>
      <c r="W170">
        <v>0</v>
      </c>
      <c r="X170">
        <v>0</v>
      </c>
      <c r="Y170">
        <v>0</v>
      </c>
      <c r="Z170">
        <v>9.6999999999999993</v>
      </c>
      <c r="AA170">
        <v>16.2</v>
      </c>
      <c r="AB170">
        <v>241</v>
      </c>
      <c r="AC170">
        <v>92</v>
      </c>
      <c r="AD170">
        <v>13</v>
      </c>
      <c r="AE170">
        <v>5.5</v>
      </c>
      <c r="AF170">
        <v>59.4</v>
      </c>
      <c r="AG170">
        <v>72.141999999999996</v>
      </c>
      <c r="AH170">
        <v>40.299999999999997</v>
      </c>
      <c r="AI170">
        <v>13.359</v>
      </c>
      <c r="AJ170">
        <v>88.837000000000003</v>
      </c>
      <c r="AK170">
        <v>46.883000000000003</v>
      </c>
      <c r="AL170">
        <v>3.2290000000000001</v>
      </c>
      <c r="AM170">
        <v>40.299999999999997</v>
      </c>
      <c r="AN170">
        <v>72.141999999999996</v>
      </c>
      <c r="AO170">
        <v>59.4</v>
      </c>
      <c r="AP170">
        <v>-3.2290000000000001</v>
      </c>
      <c r="AQ170">
        <v>11.163</v>
      </c>
      <c r="AR170">
        <v>86.641000000000005</v>
      </c>
      <c r="AS170">
        <v>53.116999999999997</v>
      </c>
    </row>
    <row r="171" spans="1:45" x14ac:dyDescent="0.25">
      <c r="A171">
        <v>45</v>
      </c>
      <c r="B171">
        <v>3</v>
      </c>
      <c r="C171">
        <v>1</v>
      </c>
      <c r="D171">
        <v>2018</v>
      </c>
      <c r="E171">
        <v>12</v>
      </c>
      <c r="F171" t="str">
        <f>IFERROR(VLOOKUP(G171, Map!$A$1:$B$33, 2, FALSE),"WAS")</f>
        <v>BUF</v>
      </c>
      <c r="G171" t="s">
        <v>165</v>
      </c>
      <c r="H171" t="str">
        <f>IFERROR(VLOOKUP(I171, Map!$A$1:$B$33, 2, FALSE),"WAS")</f>
        <v>JAX</v>
      </c>
      <c r="I171" t="s">
        <v>139</v>
      </c>
      <c r="J171" t="s">
        <v>180</v>
      </c>
      <c r="K171" t="s">
        <v>220</v>
      </c>
      <c r="L171">
        <v>1</v>
      </c>
      <c r="M171">
        <v>0</v>
      </c>
      <c r="N171">
        <v>33.181818181818201</v>
      </c>
      <c r="O171">
        <v>2.7272727272727302</v>
      </c>
      <c r="P171">
        <v>3</v>
      </c>
      <c r="Q171">
        <v>36.5</v>
      </c>
      <c r="R171">
        <v>7.2</v>
      </c>
      <c r="S171">
        <v>13.8</v>
      </c>
      <c r="T171">
        <v>3.8</v>
      </c>
      <c r="U171">
        <v>5.4</v>
      </c>
      <c r="V171">
        <v>0</v>
      </c>
      <c r="W171">
        <v>0</v>
      </c>
      <c r="X171">
        <v>0</v>
      </c>
      <c r="Y171">
        <v>0</v>
      </c>
      <c r="Z171">
        <v>7.9</v>
      </c>
      <c r="AA171">
        <v>14.4</v>
      </c>
      <c r="AB171">
        <v>239</v>
      </c>
      <c r="AC171">
        <v>91</v>
      </c>
      <c r="AD171">
        <v>12.8</v>
      </c>
      <c r="AE171">
        <v>5.4</v>
      </c>
      <c r="AF171">
        <v>51.7</v>
      </c>
      <c r="AG171">
        <v>29.262</v>
      </c>
      <c r="AH171">
        <v>47.9</v>
      </c>
      <c r="AI171">
        <v>64.575000000000003</v>
      </c>
      <c r="AJ171">
        <v>70.974000000000004</v>
      </c>
      <c r="AK171">
        <v>69.748999999999995</v>
      </c>
      <c r="AL171">
        <v>0.64200000000000002</v>
      </c>
      <c r="AM171">
        <v>47.9</v>
      </c>
      <c r="AN171">
        <v>29.262</v>
      </c>
      <c r="AO171">
        <v>51.7</v>
      </c>
      <c r="AP171">
        <v>-0.64200000000000002</v>
      </c>
      <c r="AQ171">
        <v>29.026</v>
      </c>
      <c r="AR171">
        <v>35.424999999999997</v>
      </c>
      <c r="AS171">
        <v>30.251000000000001</v>
      </c>
    </row>
    <row r="172" spans="1:45" x14ac:dyDescent="0.25">
      <c r="A172">
        <v>47</v>
      </c>
      <c r="B172">
        <v>3</v>
      </c>
      <c r="C172">
        <v>1</v>
      </c>
      <c r="D172">
        <v>2018</v>
      </c>
      <c r="E172">
        <v>12</v>
      </c>
      <c r="F172" t="str">
        <f>IFERROR(VLOOKUP(G172, Map!$A$1:$B$33, 2, FALSE),"WAS")</f>
        <v>PHI</v>
      </c>
      <c r="G172" t="s">
        <v>147</v>
      </c>
      <c r="H172" t="str">
        <f>IFERROR(VLOOKUP(I172, Map!$A$1:$B$33, 2, FALSE),"WAS")</f>
        <v>NYG</v>
      </c>
      <c r="I172" t="s">
        <v>149</v>
      </c>
      <c r="J172" t="s">
        <v>206</v>
      </c>
      <c r="K172" t="s">
        <v>219</v>
      </c>
      <c r="L172">
        <v>1</v>
      </c>
      <c r="M172">
        <v>0</v>
      </c>
      <c r="N172">
        <v>45</v>
      </c>
      <c r="O172">
        <v>-4.2727272727272698</v>
      </c>
      <c r="P172">
        <v>-4</v>
      </c>
      <c r="Q172">
        <v>48.5</v>
      </c>
      <c r="R172">
        <v>8.1</v>
      </c>
      <c r="S172">
        <v>13.6</v>
      </c>
      <c r="T172">
        <v>3.6</v>
      </c>
      <c r="U172">
        <v>4.5999999999999996</v>
      </c>
      <c r="V172">
        <v>43.9</v>
      </c>
      <c r="W172">
        <v>0</v>
      </c>
      <c r="X172">
        <v>8</v>
      </c>
      <c r="Y172">
        <v>43.9</v>
      </c>
      <c r="Z172">
        <v>23.7</v>
      </c>
      <c r="AA172">
        <v>42.5</v>
      </c>
      <c r="AB172">
        <v>324</v>
      </c>
      <c r="AC172">
        <v>86</v>
      </c>
      <c r="AD172">
        <v>30.9</v>
      </c>
      <c r="AE172">
        <v>16.2</v>
      </c>
      <c r="AF172">
        <v>67.8</v>
      </c>
      <c r="AG172">
        <v>57.076000000000001</v>
      </c>
      <c r="AH172">
        <v>31.9</v>
      </c>
      <c r="AI172">
        <v>36.783999999999999</v>
      </c>
      <c r="AJ172">
        <v>65.864000000000004</v>
      </c>
      <c r="AK172">
        <v>54.045000000000002</v>
      </c>
      <c r="AL172">
        <v>6.2110000000000003</v>
      </c>
      <c r="AM172">
        <v>31.9</v>
      </c>
      <c r="AN172">
        <v>57.076000000000001</v>
      </c>
      <c r="AO172">
        <v>67.8</v>
      </c>
      <c r="AP172">
        <v>-6.2110000000000003</v>
      </c>
      <c r="AQ172">
        <v>34.136000000000003</v>
      </c>
      <c r="AR172">
        <v>63.216000000000001</v>
      </c>
      <c r="AS172">
        <v>45.954999999999998</v>
      </c>
    </row>
    <row r="173" spans="1:45" x14ac:dyDescent="0.25">
      <c r="A173">
        <v>55</v>
      </c>
      <c r="B173">
        <v>35</v>
      </c>
      <c r="C173">
        <v>1</v>
      </c>
      <c r="D173">
        <v>2018</v>
      </c>
      <c r="E173">
        <v>12</v>
      </c>
      <c r="F173" t="str">
        <f>IFERROR(VLOOKUP(G173, Map!$A$1:$B$33, 2, FALSE),"WAS")</f>
        <v>LAC</v>
      </c>
      <c r="G173" t="s">
        <v>160</v>
      </c>
      <c r="H173" t="str">
        <f>IFERROR(VLOOKUP(I173, Map!$A$1:$B$33, 2, FALSE),"WAS")</f>
        <v>ARI</v>
      </c>
      <c r="I173" t="s">
        <v>156</v>
      </c>
      <c r="J173" t="s">
        <v>210</v>
      </c>
      <c r="K173" t="s">
        <v>190</v>
      </c>
      <c r="L173">
        <v>1</v>
      </c>
      <c r="M173">
        <v>0</v>
      </c>
      <c r="N173">
        <v>39.409090909090899</v>
      </c>
      <c r="O173">
        <v>-12.7727272727273</v>
      </c>
      <c r="P173">
        <v>-13.5</v>
      </c>
      <c r="Q173">
        <v>43</v>
      </c>
      <c r="R173">
        <v>15.5</v>
      </c>
      <c r="S173">
        <v>22.4</v>
      </c>
      <c r="T173">
        <v>11.2</v>
      </c>
      <c r="U173">
        <v>15.5</v>
      </c>
      <c r="V173">
        <v>0</v>
      </c>
      <c r="W173">
        <v>0</v>
      </c>
      <c r="X173">
        <v>0</v>
      </c>
      <c r="Y173">
        <v>0</v>
      </c>
      <c r="Z173">
        <v>11.9</v>
      </c>
      <c r="AA173">
        <v>18.7</v>
      </c>
      <c r="AB173">
        <v>54</v>
      </c>
      <c r="AC173">
        <v>86</v>
      </c>
      <c r="AD173">
        <v>11.2</v>
      </c>
      <c r="AE173">
        <v>6</v>
      </c>
      <c r="AF173">
        <v>93</v>
      </c>
      <c r="AG173">
        <v>49.524000000000001</v>
      </c>
      <c r="AH173">
        <v>6.9</v>
      </c>
      <c r="AI173">
        <v>89.73</v>
      </c>
      <c r="AJ173">
        <v>90.55</v>
      </c>
      <c r="AK173">
        <v>97.421999999999997</v>
      </c>
      <c r="AL173">
        <v>19.783999999999999</v>
      </c>
      <c r="AM173">
        <v>6.9</v>
      </c>
      <c r="AN173">
        <v>49.524000000000001</v>
      </c>
      <c r="AO173">
        <v>93</v>
      </c>
      <c r="AP173">
        <v>-19.783999999999999</v>
      </c>
      <c r="AQ173">
        <v>9.4499999999999993</v>
      </c>
      <c r="AR173">
        <v>10.27</v>
      </c>
      <c r="AS173">
        <v>2.5779999999999998</v>
      </c>
    </row>
    <row r="174" spans="1:45" x14ac:dyDescent="0.25">
      <c r="A174">
        <v>39</v>
      </c>
      <c r="B174">
        <v>-7</v>
      </c>
      <c r="C174">
        <v>0</v>
      </c>
      <c r="D174">
        <v>2018</v>
      </c>
      <c r="E174">
        <v>12</v>
      </c>
      <c r="F174" t="str">
        <f>IFERROR(VLOOKUP(G174, Map!$A$1:$B$33, 2, FALSE),"WAS")</f>
        <v>DET</v>
      </c>
      <c r="G174" t="s">
        <v>164</v>
      </c>
      <c r="H174" t="str">
        <f>IFERROR(VLOOKUP(I174, Map!$A$1:$B$33, 2, FALSE),"WAS")</f>
        <v>CHI</v>
      </c>
      <c r="I174" t="s">
        <v>163</v>
      </c>
      <c r="J174" t="s">
        <v>173</v>
      </c>
      <c r="K174" t="s">
        <v>216</v>
      </c>
      <c r="L174">
        <v>0</v>
      </c>
      <c r="M174">
        <v>0</v>
      </c>
      <c r="N174">
        <v>38.545454545454497</v>
      </c>
      <c r="O174">
        <v>3.0909090909090899</v>
      </c>
      <c r="P174">
        <v>3</v>
      </c>
      <c r="Q174">
        <v>38.5</v>
      </c>
      <c r="R174">
        <v>-5</v>
      </c>
      <c r="S174">
        <v>-2.8</v>
      </c>
      <c r="T174">
        <v>-7</v>
      </c>
      <c r="U174">
        <v>-10.7</v>
      </c>
      <c r="V174">
        <v>0</v>
      </c>
      <c r="W174">
        <v>0</v>
      </c>
      <c r="X174">
        <v>0</v>
      </c>
      <c r="Y174">
        <v>0</v>
      </c>
      <c r="Z174">
        <v>21.9</v>
      </c>
      <c r="AA174">
        <v>36</v>
      </c>
      <c r="AB174">
        <v>52</v>
      </c>
      <c r="AC174">
        <v>55</v>
      </c>
      <c r="AD174">
        <v>27.7</v>
      </c>
      <c r="AE174">
        <v>15.6</v>
      </c>
      <c r="AF174">
        <v>36.200000000000003</v>
      </c>
      <c r="AG174">
        <v>43.798000000000002</v>
      </c>
      <c r="AH174">
        <v>63.5</v>
      </c>
      <c r="AI174">
        <v>55.311</v>
      </c>
      <c r="AJ174">
        <v>28.946999999999999</v>
      </c>
      <c r="AK174">
        <v>34.457999999999998</v>
      </c>
      <c r="AL174">
        <v>-4.6379999999999999</v>
      </c>
      <c r="AM174">
        <v>63.5</v>
      </c>
      <c r="AN174">
        <v>43.798000000000002</v>
      </c>
      <c r="AO174">
        <v>36.200000000000003</v>
      </c>
      <c r="AP174">
        <v>4.6379999999999999</v>
      </c>
      <c r="AQ174">
        <v>71.052999999999997</v>
      </c>
      <c r="AR174">
        <v>44.689</v>
      </c>
      <c r="AS174">
        <v>65.542000000000002</v>
      </c>
    </row>
    <row r="175" spans="1:45" x14ac:dyDescent="0.25">
      <c r="A175">
        <v>51</v>
      </c>
      <c r="B175">
        <v>17</v>
      </c>
      <c r="C175">
        <v>1</v>
      </c>
      <c r="D175">
        <v>2018</v>
      </c>
      <c r="E175">
        <v>12</v>
      </c>
      <c r="F175" t="str">
        <f>IFERROR(VLOOKUP(G175, Map!$A$1:$B$33, 2, FALSE),"WAS")</f>
        <v>BAL</v>
      </c>
      <c r="G175" t="s">
        <v>146</v>
      </c>
      <c r="H175" t="str">
        <f>IFERROR(VLOOKUP(I175, Map!$A$1:$B$33, 2, FALSE),"WAS")</f>
        <v>LV</v>
      </c>
      <c r="I175" t="s">
        <v>157</v>
      </c>
      <c r="J175" t="s">
        <v>181</v>
      </c>
      <c r="K175" t="s">
        <v>179</v>
      </c>
      <c r="L175">
        <v>1</v>
      </c>
      <c r="M175">
        <v>0</v>
      </c>
      <c r="N175">
        <v>38.272727272727302</v>
      </c>
      <c r="O175">
        <v>-11.590909090909101</v>
      </c>
      <c r="P175">
        <v>-12.5</v>
      </c>
      <c r="Q175">
        <v>42</v>
      </c>
      <c r="R175">
        <v>8.1</v>
      </c>
      <c r="S175">
        <v>14.8</v>
      </c>
      <c r="T175">
        <v>4.2</v>
      </c>
      <c r="U175">
        <v>4.9000000000000004</v>
      </c>
      <c r="V175">
        <v>16.3</v>
      </c>
      <c r="W175">
        <v>0</v>
      </c>
      <c r="X175">
        <v>4</v>
      </c>
      <c r="Y175">
        <v>16.3</v>
      </c>
      <c r="Z175">
        <v>24.3</v>
      </c>
      <c r="AA175">
        <v>41.8</v>
      </c>
      <c r="AB175">
        <v>302</v>
      </c>
      <c r="AC175">
        <v>85</v>
      </c>
      <c r="AD175">
        <v>27.5</v>
      </c>
      <c r="AE175">
        <v>14.4</v>
      </c>
      <c r="AF175">
        <v>86.3</v>
      </c>
      <c r="AG175">
        <v>46.634999999999998</v>
      </c>
      <c r="AH175">
        <v>13.6</v>
      </c>
      <c r="AI175">
        <v>60.152999999999999</v>
      </c>
      <c r="AJ175">
        <v>65.198999999999998</v>
      </c>
      <c r="AK175">
        <v>77.994</v>
      </c>
      <c r="AL175">
        <v>14.622999999999999</v>
      </c>
      <c r="AM175">
        <v>13.6</v>
      </c>
      <c r="AN175">
        <v>46.634999999999998</v>
      </c>
      <c r="AO175">
        <v>86.3</v>
      </c>
      <c r="AP175">
        <v>-14.622999999999999</v>
      </c>
      <c r="AQ175">
        <v>34.801000000000002</v>
      </c>
      <c r="AR175">
        <v>39.847000000000001</v>
      </c>
      <c r="AS175">
        <v>22.006</v>
      </c>
    </row>
    <row r="176" spans="1:45" x14ac:dyDescent="0.25">
      <c r="A176">
        <v>51</v>
      </c>
      <c r="B176">
        <v>17</v>
      </c>
      <c r="C176">
        <v>1</v>
      </c>
      <c r="D176">
        <v>2018</v>
      </c>
      <c r="E176">
        <v>12</v>
      </c>
      <c r="F176" t="str">
        <f>IFERROR(VLOOKUP(G176, Map!$A$1:$B$33, 2, FALSE),"WAS")</f>
        <v>HOU</v>
      </c>
      <c r="G176" t="s">
        <v>137</v>
      </c>
      <c r="H176" t="str">
        <f>IFERROR(VLOOKUP(I176, Map!$A$1:$B$33, 2, FALSE),"WAS")</f>
        <v>TEN</v>
      </c>
      <c r="I176" t="s">
        <v>140</v>
      </c>
      <c r="J176" t="s">
        <v>209</v>
      </c>
      <c r="K176" t="s">
        <v>174</v>
      </c>
      <c r="L176">
        <v>1</v>
      </c>
      <c r="M176">
        <v>0</v>
      </c>
      <c r="N176">
        <v>38.636363636363598</v>
      </c>
      <c r="O176">
        <v>-3.2727272727272698</v>
      </c>
      <c r="P176">
        <v>-3.5</v>
      </c>
      <c r="Q176">
        <v>42</v>
      </c>
      <c r="R176">
        <v>7.8</v>
      </c>
      <c r="S176">
        <v>15</v>
      </c>
      <c r="T176">
        <v>2.6</v>
      </c>
      <c r="U176">
        <v>4.5999999999999996</v>
      </c>
      <c r="V176">
        <v>0</v>
      </c>
      <c r="W176">
        <v>0</v>
      </c>
      <c r="X176">
        <v>0</v>
      </c>
      <c r="Y176">
        <v>0</v>
      </c>
      <c r="Z176">
        <v>12.3</v>
      </c>
      <c r="AA176">
        <v>23.4</v>
      </c>
      <c r="AB176">
        <v>345</v>
      </c>
      <c r="AC176">
        <v>62</v>
      </c>
      <c r="AD176">
        <v>15.9</v>
      </c>
      <c r="AE176">
        <v>8.3000000000000007</v>
      </c>
      <c r="AF176">
        <v>74.099999999999994</v>
      </c>
      <c r="AG176">
        <v>55.741999999999997</v>
      </c>
      <c r="AH176">
        <v>25.7</v>
      </c>
      <c r="AI176">
        <v>49.076000000000001</v>
      </c>
      <c r="AJ176">
        <v>98.027000000000001</v>
      </c>
      <c r="AK176">
        <v>90.275999999999996</v>
      </c>
      <c r="AL176">
        <v>8.7590000000000003</v>
      </c>
      <c r="AM176">
        <v>25.7</v>
      </c>
      <c r="AN176">
        <v>55.741999999999997</v>
      </c>
      <c r="AO176">
        <v>74.099999999999994</v>
      </c>
      <c r="AP176">
        <v>-8.7590000000000003</v>
      </c>
      <c r="AQ176">
        <v>1.9730000000000001</v>
      </c>
      <c r="AR176">
        <v>50.923999999999999</v>
      </c>
      <c r="AS176">
        <v>9.7240000000000002</v>
      </c>
    </row>
    <row r="177" spans="1:45" x14ac:dyDescent="0.25">
      <c r="A177">
        <v>48</v>
      </c>
      <c r="B177">
        <v>14</v>
      </c>
      <c r="C177">
        <v>1</v>
      </c>
      <c r="D177">
        <v>2018</v>
      </c>
      <c r="E177">
        <v>12</v>
      </c>
      <c r="F177" t="str">
        <f>IFERROR(VLOOKUP(G177, Map!$A$1:$B$33, 2, FALSE),"WAS")</f>
        <v>NO</v>
      </c>
      <c r="G177" t="s">
        <v>168</v>
      </c>
      <c r="H177" t="str">
        <f>IFERROR(VLOOKUP(I177, Map!$A$1:$B$33, 2, FALSE),"WAS")</f>
        <v>ATL</v>
      </c>
      <c r="I177" t="s">
        <v>167</v>
      </c>
      <c r="J177" t="s">
        <v>192</v>
      </c>
      <c r="K177" t="s">
        <v>188</v>
      </c>
      <c r="L177">
        <v>1</v>
      </c>
      <c r="M177">
        <v>0</v>
      </c>
      <c r="N177">
        <v>55.409090909090899</v>
      </c>
      <c r="O177">
        <v>-11.318181818181801</v>
      </c>
      <c r="P177">
        <v>-12</v>
      </c>
      <c r="Q177">
        <v>59</v>
      </c>
      <c r="R177">
        <v>14.8</v>
      </c>
      <c r="S177">
        <v>21.1</v>
      </c>
      <c r="T177">
        <v>10.4</v>
      </c>
      <c r="U177">
        <v>13.2</v>
      </c>
      <c r="V177">
        <v>0.6</v>
      </c>
      <c r="W177">
        <v>0</v>
      </c>
      <c r="X177">
        <v>3</v>
      </c>
      <c r="Y177">
        <v>0.6</v>
      </c>
      <c r="Z177">
        <v>21.1</v>
      </c>
      <c r="AA177">
        <v>38.9</v>
      </c>
      <c r="AB177">
        <v>118</v>
      </c>
      <c r="AC177">
        <v>77</v>
      </c>
      <c r="AD177">
        <v>23.7</v>
      </c>
      <c r="AE177">
        <v>13.2</v>
      </c>
      <c r="AF177">
        <v>80.2</v>
      </c>
      <c r="AG177">
        <v>75.596000000000004</v>
      </c>
      <c r="AH177">
        <v>19.7</v>
      </c>
      <c r="AI177">
        <v>90.022000000000006</v>
      </c>
      <c r="AJ177">
        <v>85.153000000000006</v>
      </c>
      <c r="AK177">
        <v>92.935000000000002</v>
      </c>
      <c r="AL177">
        <v>11.321999999999999</v>
      </c>
      <c r="AM177">
        <v>19.7</v>
      </c>
      <c r="AN177">
        <v>75.596000000000004</v>
      </c>
      <c r="AO177">
        <v>80.2</v>
      </c>
      <c r="AP177">
        <v>-11.321999999999999</v>
      </c>
      <c r="AQ177">
        <v>14.847</v>
      </c>
      <c r="AR177">
        <v>9.9779999999999998</v>
      </c>
      <c r="AS177">
        <v>7.0650000000000004</v>
      </c>
    </row>
    <row r="178" spans="1:45" x14ac:dyDescent="0.25">
      <c r="A178">
        <v>57</v>
      </c>
      <c r="B178">
        <v>3</v>
      </c>
      <c r="C178">
        <v>1</v>
      </c>
      <c r="D178">
        <v>2018</v>
      </c>
      <c r="E178">
        <v>13</v>
      </c>
      <c r="F178" t="str">
        <f>IFERROR(VLOOKUP(G178, Map!$A$1:$B$33, 2, FALSE),"WAS")</f>
        <v>NYG</v>
      </c>
      <c r="G178" t="s">
        <v>149</v>
      </c>
      <c r="H178" t="str">
        <f>IFERROR(VLOOKUP(I178, Map!$A$1:$B$33, 2, FALSE),"WAS")</f>
        <v>CHI</v>
      </c>
      <c r="I178" t="s">
        <v>163</v>
      </c>
      <c r="J178" t="s">
        <v>219</v>
      </c>
      <c r="K178" t="s">
        <v>216</v>
      </c>
      <c r="L178">
        <v>1</v>
      </c>
      <c r="M178">
        <v>0</v>
      </c>
      <c r="N178">
        <v>39.636363636363598</v>
      </c>
      <c r="O178">
        <v>3.2727272727272698</v>
      </c>
      <c r="P178">
        <v>3.5</v>
      </c>
      <c r="Q178">
        <v>43.5</v>
      </c>
      <c r="R178">
        <v>8.9</v>
      </c>
      <c r="S178">
        <v>13.9</v>
      </c>
      <c r="T178">
        <v>4.0999999999999996</v>
      </c>
      <c r="U178">
        <v>6.8</v>
      </c>
      <c r="V178">
        <v>15.8</v>
      </c>
      <c r="W178">
        <v>0</v>
      </c>
      <c r="X178">
        <v>22</v>
      </c>
      <c r="Y178">
        <v>15.8</v>
      </c>
      <c r="Z178">
        <v>17.2</v>
      </c>
      <c r="AA178">
        <v>32.4</v>
      </c>
      <c r="AB178">
        <v>112</v>
      </c>
      <c r="AC178">
        <v>96</v>
      </c>
      <c r="AD178">
        <v>23.2</v>
      </c>
      <c r="AE178">
        <v>11.8</v>
      </c>
      <c r="AF178">
        <v>49.9</v>
      </c>
      <c r="AG178">
        <v>50.886000000000003</v>
      </c>
      <c r="AH178">
        <v>49.7</v>
      </c>
      <c r="AI178">
        <v>74.343000000000004</v>
      </c>
      <c r="AJ178">
        <v>45.609000000000002</v>
      </c>
      <c r="AK178">
        <v>65.924000000000007</v>
      </c>
      <c r="AL178">
        <v>2.7E-2</v>
      </c>
      <c r="AM178">
        <v>49.7</v>
      </c>
      <c r="AN178">
        <v>50.886000000000003</v>
      </c>
      <c r="AO178">
        <v>49.9</v>
      </c>
      <c r="AP178">
        <v>-2.7E-2</v>
      </c>
      <c r="AQ178">
        <v>54.390999999999998</v>
      </c>
      <c r="AR178">
        <v>25.657</v>
      </c>
      <c r="AS178">
        <v>34.076000000000001</v>
      </c>
    </row>
    <row r="179" spans="1:45" x14ac:dyDescent="0.25">
      <c r="A179">
        <v>46</v>
      </c>
      <c r="B179">
        <v>-14</v>
      </c>
      <c r="C179">
        <v>0</v>
      </c>
      <c r="D179">
        <v>2018</v>
      </c>
      <c r="E179">
        <v>13</v>
      </c>
      <c r="F179" t="str">
        <f>IFERROR(VLOOKUP(G179, Map!$A$1:$B$33, 2, FALSE),"WAS")</f>
        <v>DET</v>
      </c>
      <c r="G179" t="s">
        <v>164</v>
      </c>
      <c r="H179" t="str">
        <f>IFERROR(VLOOKUP(I179, Map!$A$1:$B$33, 2, FALSE),"WAS")</f>
        <v>LA</v>
      </c>
      <c r="I179" t="s">
        <v>155</v>
      </c>
      <c r="J179" t="s">
        <v>173</v>
      </c>
      <c r="K179" t="s">
        <v>178</v>
      </c>
      <c r="L179">
        <v>0</v>
      </c>
      <c r="M179">
        <v>0</v>
      </c>
      <c r="N179">
        <v>49.181818181818201</v>
      </c>
      <c r="O179">
        <v>9.3636363636363598</v>
      </c>
      <c r="P179">
        <v>9.5</v>
      </c>
      <c r="Q179">
        <v>53.5</v>
      </c>
      <c r="R179">
        <v>8.6</v>
      </c>
      <c r="S179">
        <v>12.8</v>
      </c>
      <c r="T179">
        <v>3.1</v>
      </c>
      <c r="U179">
        <v>4.9000000000000004</v>
      </c>
      <c r="V179">
        <v>9.1999999999999993</v>
      </c>
      <c r="W179">
        <v>0</v>
      </c>
      <c r="X179">
        <v>13</v>
      </c>
      <c r="Y179">
        <v>9.1999999999999993</v>
      </c>
      <c r="Z179">
        <v>25.7</v>
      </c>
      <c r="AA179">
        <v>61.6</v>
      </c>
      <c r="AB179">
        <v>162</v>
      </c>
      <c r="AC179">
        <v>90</v>
      </c>
      <c r="AD179">
        <v>39</v>
      </c>
      <c r="AE179">
        <v>20.100000000000001</v>
      </c>
      <c r="AF179">
        <v>24.5</v>
      </c>
      <c r="AG179">
        <v>66.572999999999993</v>
      </c>
      <c r="AH179">
        <v>75.3</v>
      </c>
      <c r="AI179">
        <v>42.384</v>
      </c>
      <c r="AJ179">
        <v>26.116</v>
      </c>
      <c r="AK179">
        <v>22.779</v>
      </c>
      <c r="AL179">
        <v>-9.1609999999999996</v>
      </c>
      <c r="AM179">
        <v>75.3</v>
      </c>
      <c r="AN179">
        <v>66.572999999999993</v>
      </c>
      <c r="AO179">
        <v>24.5</v>
      </c>
      <c r="AP179">
        <v>9.1609999999999996</v>
      </c>
      <c r="AQ179">
        <v>73.884</v>
      </c>
      <c r="AR179">
        <v>57.616</v>
      </c>
      <c r="AS179">
        <v>77.221000000000004</v>
      </c>
    </row>
    <row r="180" spans="1:45" x14ac:dyDescent="0.25">
      <c r="A180">
        <v>48</v>
      </c>
      <c r="B180">
        <v>4</v>
      </c>
      <c r="C180">
        <v>1</v>
      </c>
      <c r="D180">
        <v>2018</v>
      </c>
      <c r="E180">
        <v>13</v>
      </c>
      <c r="F180" t="str">
        <f>IFERROR(VLOOKUP(G180, Map!$A$1:$B$33, 2, FALSE),"WAS")</f>
        <v>TEN</v>
      </c>
      <c r="G180" t="s">
        <v>140</v>
      </c>
      <c r="H180" t="str">
        <f>IFERROR(VLOOKUP(I180, Map!$A$1:$B$33, 2, FALSE),"WAS")</f>
        <v>NYJ</v>
      </c>
      <c r="I180" t="s">
        <v>166</v>
      </c>
      <c r="J180" t="s">
        <v>174</v>
      </c>
      <c r="K180" t="s">
        <v>172</v>
      </c>
      <c r="L180">
        <v>1</v>
      </c>
      <c r="M180">
        <v>0</v>
      </c>
      <c r="N180">
        <v>36.818181818181799</v>
      </c>
      <c r="O180">
        <v>-8.7272727272727302</v>
      </c>
      <c r="P180">
        <v>-9</v>
      </c>
      <c r="Q180">
        <v>40.5</v>
      </c>
      <c r="R180">
        <v>14.5</v>
      </c>
      <c r="S180">
        <v>18.8</v>
      </c>
      <c r="T180">
        <v>9.5</v>
      </c>
      <c r="U180">
        <v>12.1</v>
      </c>
      <c r="V180">
        <v>0.4</v>
      </c>
      <c r="W180">
        <v>0</v>
      </c>
      <c r="X180">
        <v>3</v>
      </c>
      <c r="Y180">
        <v>0.4</v>
      </c>
      <c r="Z180">
        <v>25.9</v>
      </c>
      <c r="AA180">
        <v>56.9</v>
      </c>
      <c r="AB180">
        <v>206</v>
      </c>
      <c r="AC180">
        <v>78</v>
      </c>
      <c r="AD180">
        <v>34.1</v>
      </c>
      <c r="AE180">
        <v>17.5</v>
      </c>
      <c r="AF180">
        <v>79</v>
      </c>
      <c r="AG180">
        <v>39.161999999999999</v>
      </c>
      <c r="AH180">
        <v>20.8</v>
      </c>
      <c r="AI180">
        <v>83.344999999999999</v>
      </c>
      <c r="AJ180">
        <v>45.006</v>
      </c>
      <c r="AK180">
        <v>56.115000000000002</v>
      </c>
      <c r="AL180">
        <v>10.875999999999999</v>
      </c>
      <c r="AM180">
        <v>20.8</v>
      </c>
      <c r="AN180">
        <v>39.161999999999999</v>
      </c>
      <c r="AO180">
        <v>79</v>
      </c>
      <c r="AP180">
        <v>-10.875999999999999</v>
      </c>
      <c r="AQ180">
        <v>54.994</v>
      </c>
      <c r="AR180">
        <v>16.655000000000001</v>
      </c>
      <c r="AS180">
        <v>43.884999999999998</v>
      </c>
    </row>
    <row r="181" spans="1:45" x14ac:dyDescent="0.25">
      <c r="A181">
        <v>73</v>
      </c>
      <c r="B181">
        <v>-7</v>
      </c>
      <c r="C181">
        <v>0</v>
      </c>
      <c r="D181">
        <v>2018</v>
      </c>
      <c r="E181">
        <v>13</v>
      </c>
      <c r="F181" t="str">
        <f>IFERROR(VLOOKUP(G181, Map!$A$1:$B$33, 2, FALSE),"WAS")</f>
        <v>LV</v>
      </c>
      <c r="G181" t="s">
        <v>157</v>
      </c>
      <c r="H181" t="str">
        <f>IFERROR(VLOOKUP(I181, Map!$A$1:$B$33, 2, FALSE),"WAS")</f>
        <v>KC</v>
      </c>
      <c r="I181" t="s">
        <v>158</v>
      </c>
      <c r="J181" t="s">
        <v>179</v>
      </c>
      <c r="K181" t="s">
        <v>202</v>
      </c>
      <c r="L181">
        <v>0</v>
      </c>
      <c r="M181">
        <v>0</v>
      </c>
      <c r="N181">
        <v>51.909090909090899</v>
      </c>
      <c r="O181">
        <v>12.181818181818199</v>
      </c>
      <c r="P181">
        <v>8.5</v>
      </c>
      <c r="Q181">
        <v>53</v>
      </c>
      <c r="R181">
        <v>9.6999999999999993</v>
      </c>
      <c r="S181">
        <v>12.6</v>
      </c>
      <c r="T181">
        <v>6.3</v>
      </c>
      <c r="U181">
        <v>6.5</v>
      </c>
      <c r="V181">
        <v>0</v>
      </c>
      <c r="W181">
        <v>0</v>
      </c>
      <c r="X181">
        <v>0</v>
      </c>
      <c r="Y181">
        <v>0</v>
      </c>
      <c r="Z181">
        <v>26.5</v>
      </c>
      <c r="AA181">
        <v>43.6</v>
      </c>
      <c r="AB181">
        <v>315</v>
      </c>
      <c r="AC181">
        <v>74</v>
      </c>
      <c r="AD181">
        <v>24.4</v>
      </c>
      <c r="AE181">
        <v>13.4</v>
      </c>
      <c r="AF181">
        <v>16.2</v>
      </c>
      <c r="AG181">
        <v>51.901000000000003</v>
      </c>
      <c r="AH181">
        <v>83.7</v>
      </c>
      <c r="AI181">
        <v>7.3810000000000002</v>
      </c>
      <c r="AJ181">
        <v>49.363</v>
      </c>
      <c r="AK181">
        <v>18.605</v>
      </c>
      <c r="AL181">
        <v>-13.131</v>
      </c>
      <c r="AM181">
        <v>83.7</v>
      </c>
      <c r="AN181">
        <v>51.901000000000003</v>
      </c>
      <c r="AO181">
        <v>16.2</v>
      </c>
      <c r="AP181">
        <v>13.131</v>
      </c>
      <c r="AQ181">
        <v>50.637</v>
      </c>
      <c r="AR181">
        <v>92.619</v>
      </c>
      <c r="AS181">
        <v>81.394999999999996</v>
      </c>
    </row>
    <row r="182" spans="1:45" x14ac:dyDescent="0.25">
      <c r="A182">
        <v>34</v>
      </c>
      <c r="B182">
        <v>14</v>
      </c>
      <c r="C182">
        <v>1</v>
      </c>
      <c r="D182">
        <v>2018</v>
      </c>
      <c r="E182">
        <v>13</v>
      </c>
      <c r="F182" t="str">
        <f>IFERROR(VLOOKUP(G182, Map!$A$1:$B$33, 2, FALSE),"WAS")</f>
        <v>NE</v>
      </c>
      <c r="G182" t="s">
        <v>151</v>
      </c>
      <c r="H182" t="str">
        <f>IFERROR(VLOOKUP(I182, Map!$A$1:$B$33, 2, FALSE),"WAS")</f>
        <v>MIN</v>
      </c>
      <c r="I182" t="s">
        <v>153</v>
      </c>
      <c r="J182" t="s">
        <v>187</v>
      </c>
      <c r="K182" t="s">
        <v>214</v>
      </c>
      <c r="L182">
        <v>1</v>
      </c>
      <c r="M182">
        <v>0</v>
      </c>
      <c r="N182">
        <v>45.363636363636402</v>
      </c>
      <c r="O182">
        <v>-6.2272727272727302</v>
      </c>
      <c r="P182">
        <v>-5.5</v>
      </c>
      <c r="Q182">
        <v>49.5</v>
      </c>
      <c r="R182">
        <v>5.4</v>
      </c>
      <c r="S182">
        <v>13</v>
      </c>
      <c r="T182">
        <v>-0.1</v>
      </c>
      <c r="U182">
        <v>2.5</v>
      </c>
      <c r="V182">
        <v>15.6</v>
      </c>
      <c r="W182">
        <v>0</v>
      </c>
      <c r="X182">
        <v>17</v>
      </c>
      <c r="Y182">
        <v>15.6</v>
      </c>
      <c r="Z182">
        <v>19.5</v>
      </c>
      <c r="AA182">
        <v>46.1</v>
      </c>
      <c r="AB182">
        <v>140</v>
      </c>
      <c r="AC182">
        <v>96</v>
      </c>
      <c r="AD182">
        <v>27.1</v>
      </c>
      <c r="AE182">
        <v>12.1</v>
      </c>
      <c r="AF182">
        <v>67.5</v>
      </c>
      <c r="AG182">
        <v>73.076999999999998</v>
      </c>
      <c r="AH182">
        <v>32.200000000000003</v>
      </c>
      <c r="AI182">
        <v>69.795000000000002</v>
      </c>
      <c r="AJ182">
        <v>80.344999999999999</v>
      </c>
      <c r="AK182">
        <v>78.421999999999997</v>
      </c>
      <c r="AL182">
        <v>6.1050000000000004</v>
      </c>
      <c r="AM182">
        <v>32.200000000000003</v>
      </c>
      <c r="AN182">
        <v>73.076999999999998</v>
      </c>
      <c r="AO182">
        <v>67.5</v>
      </c>
      <c r="AP182">
        <v>-6.1050000000000004</v>
      </c>
      <c r="AQ182">
        <v>19.655000000000001</v>
      </c>
      <c r="AR182">
        <v>30.204999999999998</v>
      </c>
      <c r="AS182">
        <v>21.577999999999999</v>
      </c>
    </row>
    <row r="183" spans="1:45" x14ac:dyDescent="0.25">
      <c r="A183">
        <v>41</v>
      </c>
      <c r="B183">
        <v>15</v>
      </c>
      <c r="C183">
        <v>1</v>
      </c>
      <c r="D183">
        <v>2018</v>
      </c>
      <c r="E183">
        <v>13</v>
      </c>
      <c r="F183" t="str">
        <f>IFERROR(VLOOKUP(G183, Map!$A$1:$B$33, 2, FALSE),"WAS")</f>
        <v>PHI</v>
      </c>
      <c r="G183" t="s">
        <v>147</v>
      </c>
      <c r="H183" t="str">
        <f>IFERROR(VLOOKUP(I183, Map!$A$1:$B$33, 2, FALSE),"WAS")</f>
        <v>WAS</v>
      </c>
      <c r="I183" t="s">
        <v>204</v>
      </c>
      <c r="J183" t="s">
        <v>206</v>
      </c>
      <c r="K183" t="s">
        <v>205</v>
      </c>
      <c r="L183">
        <v>1</v>
      </c>
      <c r="M183">
        <v>0</v>
      </c>
      <c r="N183">
        <v>40.772727272727302</v>
      </c>
      <c r="O183">
        <v>-5.0909090909090899</v>
      </c>
      <c r="P183">
        <v>-5.5</v>
      </c>
      <c r="Q183">
        <v>44.5</v>
      </c>
      <c r="R183">
        <v>4.8</v>
      </c>
      <c r="S183">
        <v>9.1</v>
      </c>
      <c r="T183">
        <v>1</v>
      </c>
      <c r="U183">
        <v>-0.1</v>
      </c>
      <c r="V183">
        <v>0</v>
      </c>
      <c r="W183">
        <v>0</v>
      </c>
      <c r="X183">
        <v>0</v>
      </c>
      <c r="Y183">
        <v>0</v>
      </c>
      <c r="Z183">
        <v>21.6</v>
      </c>
      <c r="AA183">
        <v>40.299999999999997</v>
      </c>
      <c r="AB183">
        <v>316</v>
      </c>
      <c r="AC183">
        <v>56</v>
      </c>
      <c r="AD183">
        <v>30.8</v>
      </c>
      <c r="AE183">
        <v>15.8</v>
      </c>
      <c r="AF183">
        <v>67.900000000000006</v>
      </c>
      <c r="AG183">
        <v>47.069000000000003</v>
      </c>
      <c r="AH183">
        <v>31.9</v>
      </c>
      <c r="AI183">
        <v>70.757999999999996</v>
      </c>
      <c r="AJ183">
        <v>76.171000000000006</v>
      </c>
      <c r="AK183">
        <v>78.668000000000006</v>
      </c>
      <c r="AL183">
        <v>6.2320000000000002</v>
      </c>
      <c r="AM183">
        <v>31.9</v>
      </c>
      <c r="AN183">
        <v>47.069000000000003</v>
      </c>
      <c r="AO183">
        <v>67.900000000000006</v>
      </c>
      <c r="AP183">
        <v>-6.2320000000000002</v>
      </c>
      <c r="AQ183">
        <v>23.829000000000001</v>
      </c>
      <c r="AR183">
        <v>29.242000000000001</v>
      </c>
      <c r="AS183">
        <v>21.332000000000001</v>
      </c>
    </row>
    <row r="184" spans="1:45" x14ac:dyDescent="0.25">
      <c r="A184">
        <v>37</v>
      </c>
      <c r="B184">
        <v>-3</v>
      </c>
      <c r="C184">
        <v>0</v>
      </c>
      <c r="D184">
        <v>2018</v>
      </c>
      <c r="E184">
        <v>13</v>
      </c>
      <c r="F184" t="str">
        <f>IFERROR(VLOOKUP(G184, Map!$A$1:$B$33, 2, FALSE),"WAS")</f>
        <v>GB</v>
      </c>
      <c r="G184" t="s">
        <v>154</v>
      </c>
      <c r="H184" t="str">
        <f>IFERROR(VLOOKUP(I184, Map!$A$1:$B$33, 2, FALSE),"WAS")</f>
        <v>ARI</v>
      </c>
      <c r="I184" t="s">
        <v>156</v>
      </c>
      <c r="J184" t="s">
        <v>200</v>
      </c>
      <c r="K184" t="s">
        <v>190</v>
      </c>
      <c r="L184">
        <v>0</v>
      </c>
      <c r="M184">
        <v>0</v>
      </c>
      <c r="N184">
        <v>37.227272727272698</v>
      </c>
      <c r="O184">
        <v>-12.2272727272727</v>
      </c>
      <c r="P184">
        <v>-13</v>
      </c>
      <c r="Q184">
        <v>40.5</v>
      </c>
      <c r="R184">
        <v>1.1000000000000001</v>
      </c>
      <c r="S184">
        <v>1.5</v>
      </c>
      <c r="T184">
        <v>0.3</v>
      </c>
      <c r="U184">
        <v>-5</v>
      </c>
      <c r="V184">
        <v>18.2</v>
      </c>
      <c r="W184">
        <v>10.36</v>
      </c>
      <c r="X184">
        <v>24</v>
      </c>
      <c r="Y184">
        <v>3.4</v>
      </c>
      <c r="Z184">
        <v>32.200000000000003</v>
      </c>
      <c r="AA184">
        <v>60.8</v>
      </c>
      <c r="AB184">
        <v>35</v>
      </c>
      <c r="AC184">
        <v>94</v>
      </c>
      <c r="AD184">
        <v>53.3</v>
      </c>
      <c r="AE184">
        <v>27.3</v>
      </c>
      <c r="AF184">
        <v>92</v>
      </c>
      <c r="AG184">
        <v>44.378</v>
      </c>
      <c r="AH184">
        <v>7.9</v>
      </c>
      <c r="AI184">
        <v>47.375</v>
      </c>
      <c r="AJ184">
        <v>50.9</v>
      </c>
      <c r="AK184">
        <v>43.683999999999997</v>
      </c>
      <c r="AL184">
        <v>18.82</v>
      </c>
      <c r="AM184">
        <v>7.9</v>
      </c>
      <c r="AN184">
        <v>44.378</v>
      </c>
      <c r="AO184">
        <v>92</v>
      </c>
      <c r="AP184">
        <v>-18.82</v>
      </c>
      <c r="AQ184">
        <v>49.1</v>
      </c>
      <c r="AR184">
        <v>52.625</v>
      </c>
      <c r="AS184">
        <v>56.316000000000003</v>
      </c>
    </row>
    <row r="185" spans="1:45" x14ac:dyDescent="0.25">
      <c r="A185">
        <v>59</v>
      </c>
      <c r="B185">
        <v>27</v>
      </c>
      <c r="C185">
        <v>1</v>
      </c>
      <c r="D185">
        <v>2018</v>
      </c>
      <c r="E185">
        <v>13</v>
      </c>
      <c r="F185" t="str">
        <f>IFERROR(VLOOKUP(G185, Map!$A$1:$B$33, 2, FALSE),"WAS")</f>
        <v>SEA</v>
      </c>
      <c r="G185" t="s">
        <v>144</v>
      </c>
      <c r="H185" t="str">
        <f>IFERROR(VLOOKUP(I185, Map!$A$1:$B$33, 2, FALSE),"WAS")</f>
        <v>SF</v>
      </c>
      <c r="I185" t="s">
        <v>143</v>
      </c>
      <c r="J185" t="s">
        <v>182</v>
      </c>
      <c r="K185" t="s">
        <v>197</v>
      </c>
      <c r="L185">
        <v>1</v>
      </c>
      <c r="M185">
        <v>0</v>
      </c>
      <c r="N185">
        <v>43.727272727272698</v>
      </c>
      <c r="O185">
        <v>-10.818181818181801</v>
      </c>
      <c r="P185">
        <v>-9.5</v>
      </c>
      <c r="Q185">
        <v>45</v>
      </c>
      <c r="R185">
        <v>5.6</v>
      </c>
      <c r="S185">
        <v>7</v>
      </c>
      <c r="T185">
        <v>3</v>
      </c>
      <c r="U185">
        <v>3.5</v>
      </c>
      <c r="V185">
        <v>3.2</v>
      </c>
      <c r="W185">
        <v>0</v>
      </c>
      <c r="X185">
        <v>17</v>
      </c>
      <c r="Y185">
        <v>3.2</v>
      </c>
      <c r="Z185">
        <v>7.2</v>
      </c>
      <c r="AA185">
        <v>14.4</v>
      </c>
      <c r="AB185">
        <v>169</v>
      </c>
      <c r="AC185">
        <v>89</v>
      </c>
      <c r="AD185">
        <v>9.1999999999999993</v>
      </c>
      <c r="AE185">
        <v>4.3</v>
      </c>
      <c r="AF185">
        <v>81.5</v>
      </c>
      <c r="AG185">
        <v>48.298999999999999</v>
      </c>
      <c r="AH185">
        <v>18.399999999999999</v>
      </c>
      <c r="AI185">
        <v>83.853999999999999</v>
      </c>
      <c r="AJ185">
        <v>96.567999999999998</v>
      </c>
      <c r="AK185">
        <v>97.147000000000006</v>
      </c>
      <c r="AL185">
        <v>11.977</v>
      </c>
      <c r="AM185">
        <v>18.399999999999999</v>
      </c>
      <c r="AN185">
        <v>48.298999999999999</v>
      </c>
      <c r="AO185">
        <v>81.5</v>
      </c>
      <c r="AP185">
        <v>-11.977</v>
      </c>
      <c r="AQ185">
        <v>3.4319999999999999</v>
      </c>
      <c r="AR185">
        <v>16.146000000000001</v>
      </c>
      <c r="AS185">
        <v>2.8530000000000002</v>
      </c>
    </row>
    <row r="186" spans="1:45" x14ac:dyDescent="0.25">
      <c r="A186">
        <v>23</v>
      </c>
      <c r="B186">
        <v>3</v>
      </c>
      <c r="C186">
        <v>1</v>
      </c>
      <c r="D186">
        <v>2018</v>
      </c>
      <c r="E186">
        <v>13</v>
      </c>
      <c r="F186" t="str">
        <f>IFERROR(VLOOKUP(G186, Map!$A$1:$B$33, 2, FALSE),"WAS")</f>
        <v>DAL</v>
      </c>
      <c r="G186" t="s">
        <v>150</v>
      </c>
      <c r="H186" t="str">
        <f>IFERROR(VLOOKUP(I186, Map!$A$1:$B$33, 2, FALSE),"WAS")</f>
        <v>NO</v>
      </c>
      <c r="I186" t="s">
        <v>168</v>
      </c>
      <c r="J186" t="s">
        <v>184</v>
      </c>
      <c r="K186" t="s">
        <v>192</v>
      </c>
      <c r="L186">
        <v>1</v>
      </c>
      <c r="M186">
        <v>0</v>
      </c>
      <c r="N186">
        <v>46.772727272727302</v>
      </c>
      <c r="O186">
        <v>6.7727272727272698</v>
      </c>
      <c r="P186">
        <v>7</v>
      </c>
      <c r="Q186">
        <v>51</v>
      </c>
      <c r="R186">
        <v>19.100000000000001</v>
      </c>
      <c r="S186">
        <v>21.6</v>
      </c>
      <c r="T186">
        <v>17.3</v>
      </c>
      <c r="U186">
        <v>18.7</v>
      </c>
      <c r="V186">
        <v>0.8</v>
      </c>
      <c r="W186">
        <v>0</v>
      </c>
      <c r="X186">
        <v>7</v>
      </c>
      <c r="Y186">
        <v>0.8</v>
      </c>
      <c r="Z186">
        <v>28.9</v>
      </c>
      <c r="AA186">
        <v>48.2</v>
      </c>
      <c r="AB186">
        <v>186</v>
      </c>
      <c r="AC186">
        <v>89</v>
      </c>
      <c r="AD186">
        <v>34.299999999999997</v>
      </c>
      <c r="AE186">
        <v>20.100000000000001</v>
      </c>
      <c r="AF186">
        <v>37.9</v>
      </c>
      <c r="AG186">
        <v>88.177000000000007</v>
      </c>
      <c r="AH186">
        <v>61.8</v>
      </c>
      <c r="AI186">
        <v>87.466999999999999</v>
      </c>
      <c r="AJ186">
        <v>48.424999999999997</v>
      </c>
      <c r="AK186">
        <v>74.956000000000003</v>
      </c>
      <c r="AL186">
        <v>-4.0529999999999999</v>
      </c>
      <c r="AM186">
        <v>61.8</v>
      </c>
      <c r="AN186">
        <v>88.177000000000007</v>
      </c>
      <c r="AO186">
        <v>37.9</v>
      </c>
      <c r="AP186">
        <v>4.0529999999999999</v>
      </c>
      <c r="AQ186">
        <v>51.575000000000003</v>
      </c>
      <c r="AR186">
        <v>12.532999999999999</v>
      </c>
      <c r="AS186">
        <v>25.044</v>
      </c>
    </row>
    <row r="187" spans="1:45" x14ac:dyDescent="0.25">
      <c r="A187">
        <v>63</v>
      </c>
      <c r="B187">
        <v>-3</v>
      </c>
      <c r="C187">
        <v>0</v>
      </c>
      <c r="D187">
        <v>2018</v>
      </c>
      <c r="E187">
        <v>13</v>
      </c>
      <c r="F187" t="str">
        <f>IFERROR(VLOOKUP(G187, Map!$A$1:$B$33, 2, FALSE),"WAS")</f>
        <v>PIT</v>
      </c>
      <c r="G187" t="s">
        <v>145</v>
      </c>
      <c r="H187" t="str">
        <f>IFERROR(VLOOKUP(I187, Map!$A$1:$B$33, 2, FALSE),"WAS")</f>
        <v>LAC</v>
      </c>
      <c r="I187" t="s">
        <v>160</v>
      </c>
      <c r="J187" t="s">
        <v>170</v>
      </c>
      <c r="K187" t="s">
        <v>210</v>
      </c>
      <c r="L187">
        <v>0</v>
      </c>
      <c r="M187">
        <v>0</v>
      </c>
      <c r="N187">
        <v>48.636363636363598</v>
      </c>
      <c r="O187">
        <v>-2.8636363636363602</v>
      </c>
      <c r="P187">
        <v>-3</v>
      </c>
      <c r="Q187">
        <v>52.5</v>
      </c>
      <c r="R187">
        <v>7.2</v>
      </c>
      <c r="S187">
        <v>13.5</v>
      </c>
      <c r="T187">
        <v>3.8</v>
      </c>
      <c r="U187">
        <v>2.8</v>
      </c>
      <c r="V187">
        <v>0.8</v>
      </c>
      <c r="W187">
        <v>0</v>
      </c>
      <c r="X187">
        <v>6</v>
      </c>
      <c r="Y187">
        <v>0.8</v>
      </c>
      <c r="Z187">
        <v>21.4</v>
      </c>
      <c r="AA187">
        <v>46.8</v>
      </c>
      <c r="AB187">
        <v>248</v>
      </c>
      <c r="AC187">
        <v>69</v>
      </c>
      <c r="AD187">
        <v>38.1</v>
      </c>
      <c r="AE187">
        <v>18</v>
      </c>
      <c r="AF187">
        <v>58.8</v>
      </c>
      <c r="AG187">
        <v>86.76</v>
      </c>
      <c r="AH187">
        <v>40.799999999999997</v>
      </c>
      <c r="AI187">
        <v>18.821000000000002</v>
      </c>
      <c r="AJ187">
        <v>75.697999999999993</v>
      </c>
      <c r="AK187">
        <v>46.902000000000001</v>
      </c>
      <c r="AL187">
        <v>3.0339999999999998</v>
      </c>
      <c r="AM187">
        <v>40.799999999999997</v>
      </c>
      <c r="AN187">
        <v>86.76</v>
      </c>
      <c r="AO187">
        <v>58.8</v>
      </c>
      <c r="AP187">
        <v>-3.0339999999999998</v>
      </c>
      <c r="AQ187">
        <v>24.302</v>
      </c>
      <c r="AR187">
        <v>81.179000000000002</v>
      </c>
      <c r="AS187">
        <v>53.097999999999999</v>
      </c>
    </row>
    <row r="188" spans="1:45" x14ac:dyDescent="0.25">
      <c r="A188">
        <v>41</v>
      </c>
      <c r="B188">
        <v>7</v>
      </c>
      <c r="C188">
        <v>1</v>
      </c>
      <c r="D188">
        <v>2018</v>
      </c>
      <c r="E188">
        <v>13</v>
      </c>
      <c r="F188" t="str">
        <f>IFERROR(VLOOKUP(G188, Map!$A$1:$B$33, 2, FALSE),"WAS")</f>
        <v>TB</v>
      </c>
      <c r="G188" t="s">
        <v>141</v>
      </c>
      <c r="H188" t="str">
        <f>IFERROR(VLOOKUP(I188, Map!$A$1:$B$33, 2, FALSE),"WAS")</f>
        <v>CAR</v>
      </c>
      <c r="I188" t="s">
        <v>142</v>
      </c>
      <c r="J188" t="s">
        <v>186</v>
      </c>
      <c r="K188" t="s">
        <v>185</v>
      </c>
      <c r="L188">
        <v>1</v>
      </c>
      <c r="M188">
        <v>0</v>
      </c>
      <c r="N188">
        <v>47.409090909090899</v>
      </c>
      <c r="O188">
        <v>3.1363636363636398</v>
      </c>
      <c r="P188">
        <v>3</v>
      </c>
      <c r="Q188">
        <v>51</v>
      </c>
      <c r="R188">
        <v>23.9</v>
      </c>
      <c r="S188">
        <v>27.2</v>
      </c>
      <c r="T188">
        <v>21.9</v>
      </c>
      <c r="U188">
        <v>25</v>
      </c>
      <c r="V188">
        <v>0</v>
      </c>
      <c r="W188">
        <v>0</v>
      </c>
      <c r="X188">
        <v>0</v>
      </c>
      <c r="Y188">
        <v>0</v>
      </c>
      <c r="Z188">
        <v>29.5</v>
      </c>
      <c r="AA188">
        <v>51.1</v>
      </c>
      <c r="AB188">
        <v>181</v>
      </c>
      <c r="AC188">
        <v>84</v>
      </c>
      <c r="AD188">
        <v>38.700000000000003</v>
      </c>
      <c r="AE188">
        <v>22.7</v>
      </c>
      <c r="AF188">
        <v>49.8</v>
      </c>
      <c r="AG188">
        <v>51.484000000000002</v>
      </c>
      <c r="AH188">
        <v>49.8</v>
      </c>
      <c r="AI188">
        <v>77.950999999999993</v>
      </c>
      <c r="AJ188">
        <v>66.599000000000004</v>
      </c>
      <c r="AK188">
        <v>77.980999999999995</v>
      </c>
      <c r="AL188">
        <v>1.4E-2</v>
      </c>
      <c r="AM188">
        <v>49.8</v>
      </c>
      <c r="AN188">
        <v>51.484000000000002</v>
      </c>
      <c r="AO188">
        <v>49.8</v>
      </c>
      <c r="AP188">
        <v>-1.4E-2</v>
      </c>
      <c r="AQ188">
        <v>33.401000000000003</v>
      </c>
      <c r="AR188">
        <v>22.048999999999999</v>
      </c>
      <c r="AS188">
        <v>22.018999999999998</v>
      </c>
    </row>
    <row r="189" spans="1:45" x14ac:dyDescent="0.25">
      <c r="A189">
        <v>38</v>
      </c>
      <c r="B189">
        <v>4</v>
      </c>
      <c r="C189">
        <v>1</v>
      </c>
      <c r="D189">
        <v>2018</v>
      </c>
      <c r="E189">
        <v>13</v>
      </c>
      <c r="F189" t="str">
        <f>IFERROR(VLOOKUP(G189, Map!$A$1:$B$33, 2, FALSE),"WAS")</f>
        <v>MIA</v>
      </c>
      <c r="G189" t="s">
        <v>152</v>
      </c>
      <c r="H189" t="str">
        <f>IFERROR(VLOOKUP(I189, Map!$A$1:$B$33, 2, FALSE),"WAS")</f>
        <v>BUF</v>
      </c>
      <c r="I189" t="s">
        <v>165</v>
      </c>
      <c r="J189" t="s">
        <v>175</v>
      </c>
      <c r="K189" t="s">
        <v>180</v>
      </c>
      <c r="L189">
        <v>1</v>
      </c>
      <c r="M189">
        <v>0</v>
      </c>
      <c r="N189">
        <v>36.318181818181799</v>
      </c>
      <c r="O189">
        <v>-3.2727272727272698</v>
      </c>
      <c r="P189">
        <v>-3.5</v>
      </c>
      <c r="Q189">
        <v>39.5</v>
      </c>
      <c r="R189">
        <v>25.3</v>
      </c>
      <c r="S189">
        <v>29.5</v>
      </c>
      <c r="T189">
        <v>22.7</v>
      </c>
      <c r="U189">
        <v>27.9</v>
      </c>
      <c r="V189">
        <v>1.1000000000000001</v>
      </c>
      <c r="W189">
        <v>0</v>
      </c>
      <c r="X189">
        <v>5</v>
      </c>
      <c r="Y189">
        <v>1.1000000000000001</v>
      </c>
      <c r="Z189">
        <v>22.1</v>
      </c>
      <c r="AA189">
        <v>45</v>
      </c>
      <c r="AB189">
        <v>171</v>
      </c>
      <c r="AC189">
        <v>80</v>
      </c>
      <c r="AD189">
        <v>28.3</v>
      </c>
      <c r="AE189">
        <v>14.2</v>
      </c>
      <c r="AF189">
        <v>57.5</v>
      </c>
      <c r="AG189">
        <v>8.3190000000000008</v>
      </c>
      <c r="AH189">
        <v>42.2</v>
      </c>
      <c r="AI189">
        <v>43.906999999999996</v>
      </c>
      <c r="AJ189">
        <v>45.753</v>
      </c>
      <c r="AK189">
        <v>61.87</v>
      </c>
      <c r="AL189">
        <v>2.5830000000000002</v>
      </c>
      <c r="AM189">
        <v>42.2</v>
      </c>
      <c r="AN189">
        <v>8.3190000000000008</v>
      </c>
      <c r="AO189">
        <v>57.5</v>
      </c>
      <c r="AP189">
        <v>-2.5830000000000002</v>
      </c>
      <c r="AQ189">
        <v>54.247</v>
      </c>
      <c r="AR189">
        <v>56.093000000000004</v>
      </c>
      <c r="AS189">
        <v>38.130000000000003</v>
      </c>
    </row>
    <row r="190" spans="1:45" x14ac:dyDescent="0.25">
      <c r="A190">
        <v>6</v>
      </c>
      <c r="B190">
        <v>6</v>
      </c>
      <c r="C190">
        <v>1</v>
      </c>
      <c r="D190">
        <v>2018</v>
      </c>
      <c r="E190">
        <v>13</v>
      </c>
      <c r="F190" t="str">
        <f>IFERROR(VLOOKUP(G190, Map!$A$1:$B$33, 2, FALSE),"WAS")</f>
        <v>JAX</v>
      </c>
      <c r="G190" t="s">
        <v>139</v>
      </c>
      <c r="H190" t="str">
        <f>IFERROR(VLOOKUP(I190, Map!$A$1:$B$33, 2, FALSE),"WAS")</f>
        <v>IND</v>
      </c>
      <c r="I190" t="s">
        <v>138</v>
      </c>
      <c r="J190" t="s">
        <v>220</v>
      </c>
      <c r="K190" t="s">
        <v>177</v>
      </c>
      <c r="L190">
        <v>1</v>
      </c>
      <c r="M190">
        <v>0</v>
      </c>
      <c r="N190">
        <v>41.681818181818201</v>
      </c>
      <c r="O190">
        <v>3.7727272727272698</v>
      </c>
      <c r="P190">
        <v>3.5</v>
      </c>
      <c r="Q190">
        <v>45.5</v>
      </c>
      <c r="R190">
        <v>21.7</v>
      </c>
      <c r="S190">
        <v>27.1</v>
      </c>
      <c r="T190">
        <v>19.100000000000001</v>
      </c>
      <c r="U190">
        <v>22.6</v>
      </c>
      <c r="V190">
        <v>4.3</v>
      </c>
      <c r="W190">
        <v>0</v>
      </c>
      <c r="X190">
        <v>5</v>
      </c>
      <c r="Y190">
        <v>4.3</v>
      </c>
      <c r="Z190">
        <v>28.7</v>
      </c>
      <c r="AA190">
        <v>49</v>
      </c>
      <c r="AB190">
        <v>202</v>
      </c>
      <c r="AC190">
        <v>89</v>
      </c>
      <c r="AD190">
        <v>33.799999999999997</v>
      </c>
      <c r="AE190">
        <v>19.399999999999999</v>
      </c>
      <c r="AF190">
        <v>42.4</v>
      </c>
      <c r="AG190">
        <v>50.834000000000003</v>
      </c>
      <c r="AH190">
        <v>57.3</v>
      </c>
      <c r="AI190">
        <v>94.751999999999995</v>
      </c>
      <c r="AJ190">
        <v>12.13</v>
      </c>
      <c r="AK190">
        <v>62.575000000000003</v>
      </c>
      <c r="AL190">
        <v>-2.4940000000000002</v>
      </c>
      <c r="AM190">
        <v>57.3</v>
      </c>
      <c r="AN190">
        <v>50.834000000000003</v>
      </c>
      <c r="AO190">
        <v>42.4</v>
      </c>
      <c r="AP190">
        <v>2.4940000000000002</v>
      </c>
      <c r="AQ190">
        <v>87.87</v>
      </c>
      <c r="AR190">
        <v>5.2480000000000002</v>
      </c>
      <c r="AS190">
        <v>37.424999999999997</v>
      </c>
    </row>
    <row r="191" spans="1:45" x14ac:dyDescent="0.25">
      <c r="A191">
        <v>34</v>
      </c>
      <c r="B191">
        <v>-14</v>
      </c>
      <c r="C191">
        <v>0</v>
      </c>
      <c r="D191">
        <v>2018</v>
      </c>
      <c r="E191">
        <v>13</v>
      </c>
      <c r="F191" t="str">
        <f>IFERROR(VLOOKUP(G191, Map!$A$1:$B$33, 2, FALSE),"WAS")</f>
        <v>CIN</v>
      </c>
      <c r="G191" t="s">
        <v>161</v>
      </c>
      <c r="H191" t="str">
        <f>IFERROR(VLOOKUP(I191, Map!$A$1:$B$33, 2, FALSE),"WAS")</f>
        <v>DEN</v>
      </c>
      <c r="I191" t="s">
        <v>159</v>
      </c>
      <c r="J191" t="s">
        <v>176</v>
      </c>
      <c r="K191" t="s">
        <v>183</v>
      </c>
      <c r="L191">
        <v>0</v>
      </c>
      <c r="M191">
        <v>0</v>
      </c>
      <c r="N191">
        <v>40.772727272727302</v>
      </c>
      <c r="O191">
        <v>3.5454545454545499</v>
      </c>
      <c r="P191">
        <v>3.5</v>
      </c>
      <c r="Q191">
        <v>44.5</v>
      </c>
      <c r="R191">
        <v>13.7</v>
      </c>
      <c r="S191">
        <v>18.3</v>
      </c>
      <c r="T191">
        <v>10</v>
      </c>
      <c r="U191">
        <v>10.5</v>
      </c>
      <c r="V191">
        <v>9</v>
      </c>
      <c r="W191">
        <v>0</v>
      </c>
      <c r="X191">
        <v>4</v>
      </c>
      <c r="Y191">
        <v>9</v>
      </c>
      <c r="Z191">
        <v>31.9</v>
      </c>
      <c r="AA191">
        <v>83.5</v>
      </c>
      <c r="AB191">
        <v>197</v>
      </c>
      <c r="AC191">
        <v>78</v>
      </c>
      <c r="AD191">
        <v>47.2</v>
      </c>
      <c r="AE191">
        <v>21.5</v>
      </c>
      <c r="AF191">
        <v>47</v>
      </c>
      <c r="AG191">
        <v>27.548999999999999</v>
      </c>
      <c r="AH191">
        <v>52.6</v>
      </c>
      <c r="AI191">
        <v>39.112000000000002</v>
      </c>
      <c r="AJ191">
        <v>18.468</v>
      </c>
      <c r="AK191">
        <v>16.63</v>
      </c>
      <c r="AL191">
        <v>-0.92300000000000004</v>
      </c>
      <c r="AM191">
        <v>52.6</v>
      </c>
      <c r="AN191">
        <v>27.548999999999999</v>
      </c>
      <c r="AO191">
        <v>47</v>
      </c>
      <c r="AP191">
        <v>0.92300000000000004</v>
      </c>
      <c r="AQ191">
        <v>81.531999999999996</v>
      </c>
      <c r="AR191">
        <v>60.887999999999998</v>
      </c>
      <c r="AS191">
        <v>83.37</v>
      </c>
    </row>
    <row r="192" spans="1:45" x14ac:dyDescent="0.25">
      <c r="A192">
        <v>42</v>
      </c>
      <c r="B192">
        <v>16</v>
      </c>
      <c r="C192">
        <v>1</v>
      </c>
      <c r="D192">
        <v>2018</v>
      </c>
      <c r="E192">
        <v>13</v>
      </c>
      <c r="F192" t="str">
        <f>IFERROR(VLOOKUP(G192, Map!$A$1:$B$33, 2, FALSE),"WAS")</f>
        <v>HOU</v>
      </c>
      <c r="G192" t="s">
        <v>137</v>
      </c>
      <c r="H192" t="str">
        <f>IFERROR(VLOOKUP(I192, Map!$A$1:$B$33, 2, FALSE),"WAS")</f>
        <v>CLE</v>
      </c>
      <c r="I192" t="s">
        <v>162</v>
      </c>
      <c r="J192" t="s">
        <v>209</v>
      </c>
      <c r="K192" t="s">
        <v>171</v>
      </c>
      <c r="L192">
        <v>1</v>
      </c>
      <c r="M192">
        <v>0</v>
      </c>
      <c r="N192">
        <v>43.272727272727302</v>
      </c>
      <c r="O192">
        <v>-4.5909090909090899</v>
      </c>
      <c r="P192">
        <v>-5</v>
      </c>
      <c r="Q192">
        <v>47.5</v>
      </c>
      <c r="R192">
        <v>15.9</v>
      </c>
      <c r="S192">
        <v>21.9</v>
      </c>
      <c r="T192">
        <v>10.5</v>
      </c>
      <c r="U192">
        <v>14.6</v>
      </c>
      <c r="V192">
        <v>0</v>
      </c>
      <c r="W192">
        <v>0</v>
      </c>
      <c r="X192">
        <v>0</v>
      </c>
      <c r="Y192">
        <v>0</v>
      </c>
      <c r="Z192">
        <v>14.4</v>
      </c>
      <c r="AA192">
        <v>27.7</v>
      </c>
      <c r="AB192">
        <v>283</v>
      </c>
      <c r="AC192">
        <v>70</v>
      </c>
      <c r="AD192">
        <v>16.8</v>
      </c>
      <c r="AE192">
        <v>9.6999999999999993</v>
      </c>
      <c r="AF192">
        <v>79.900000000000006</v>
      </c>
      <c r="AG192">
        <v>47.72</v>
      </c>
      <c r="AH192">
        <v>20</v>
      </c>
      <c r="AI192">
        <v>96.887</v>
      </c>
      <c r="AJ192">
        <v>76.891999999999996</v>
      </c>
      <c r="AK192">
        <v>95.536000000000001</v>
      </c>
      <c r="AL192">
        <v>11.170999999999999</v>
      </c>
      <c r="AM192">
        <v>20</v>
      </c>
      <c r="AN192">
        <v>47.72</v>
      </c>
      <c r="AO192">
        <v>79.900000000000006</v>
      </c>
      <c r="AP192">
        <v>-11.170999999999999</v>
      </c>
      <c r="AQ192">
        <v>23.108000000000001</v>
      </c>
      <c r="AR192">
        <v>3.113</v>
      </c>
      <c r="AS192">
        <v>4.4640000000000004</v>
      </c>
    </row>
    <row r="193" spans="1:45" x14ac:dyDescent="0.25">
      <c r="A193">
        <v>42</v>
      </c>
      <c r="B193">
        <v>-10</v>
      </c>
      <c r="C193">
        <v>0</v>
      </c>
      <c r="D193">
        <v>2018</v>
      </c>
      <c r="E193">
        <v>13</v>
      </c>
      <c r="F193" t="str">
        <f>IFERROR(VLOOKUP(G193, Map!$A$1:$B$33, 2, FALSE),"WAS")</f>
        <v>ATL</v>
      </c>
      <c r="G193" t="s">
        <v>167</v>
      </c>
      <c r="H193" t="str">
        <f>IFERROR(VLOOKUP(I193, Map!$A$1:$B$33, 2, FALSE),"WAS")</f>
        <v>BAL</v>
      </c>
      <c r="I193" t="s">
        <v>146</v>
      </c>
      <c r="J193" t="s">
        <v>188</v>
      </c>
      <c r="K193" t="s">
        <v>181</v>
      </c>
      <c r="L193">
        <v>0</v>
      </c>
      <c r="M193">
        <v>0</v>
      </c>
      <c r="N193">
        <v>42.5</v>
      </c>
      <c r="O193">
        <v>-2.2272727272727302</v>
      </c>
      <c r="P193">
        <v>-2</v>
      </c>
      <c r="Q193">
        <v>46.5</v>
      </c>
      <c r="R193">
        <v>17.600000000000001</v>
      </c>
      <c r="S193">
        <v>20.9</v>
      </c>
      <c r="T193">
        <v>13.5</v>
      </c>
      <c r="U193">
        <v>16.8</v>
      </c>
      <c r="V193">
        <v>6.2</v>
      </c>
      <c r="W193">
        <v>0</v>
      </c>
      <c r="X193">
        <v>15</v>
      </c>
      <c r="Y193">
        <v>6.2</v>
      </c>
      <c r="Z193">
        <v>22.7</v>
      </c>
      <c r="AA193">
        <v>44.6</v>
      </c>
      <c r="AB193">
        <v>204</v>
      </c>
      <c r="AC193">
        <v>83</v>
      </c>
      <c r="AD193">
        <v>31.4</v>
      </c>
      <c r="AE193">
        <v>15.8</v>
      </c>
      <c r="AF193">
        <v>60.5</v>
      </c>
      <c r="AG193">
        <v>68.025000000000006</v>
      </c>
      <c r="AH193">
        <v>39.200000000000003</v>
      </c>
      <c r="AI193">
        <v>62.621000000000002</v>
      </c>
      <c r="AJ193">
        <v>4.9039999999999999</v>
      </c>
      <c r="AK193">
        <v>22.71</v>
      </c>
      <c r="AL193">
        <v>3.581</v>
      </c>
      <c r="AM193">
        <v>39.200000000000003</v>
      </c>
      <c r="AN193">
        <v>68.025000000000006</v>
      </c>
      <c r="AO193">
        <v>60.5</v>
      </c>
      <c r="AP193">
        <v>-3.581</v>
      </c>
      <c r="AQ193">
        <v>95.096000000000004</v>
      </c>
      <c r="AR193">
        <v>37.378999999999998</v>
      </c>
      <c r="AS193">
        <v>77.290000000000006</v>
      </c>
    </row>
    <row r="194" spans="1:45" x14ac:dyDescent="0.25">
      <c r="A194">
        <v>47</v>
      </c>
      <c r="B194">
        <v>5</v>
      </c>
      <c r="C194">
        <v>1</v>
      </c>
      <c r="D194">
        <v>2018</v>
      </c>
      <c r="E194">
        <v>14</v>
      </c>
      <c r="F194" t="str">
        <f>IFERROR(VLOOKUP(G194, Map!$A$1:$B$33, 2, FALSE),"WAS")</f>
        <v>LAC</v>
      </c>
      <c r="G194" t="s">
        <v>160</v>
      </c>
      <c r="H194" t="str">
        <f>IFERROR(VLOOKUP(I194, Map!$A$1:$B$33, 2, FALSE),"WAS")</f>
        <v>CIN</v>
      </c>
      <c r="I194" t="s">
        <v>161</v>
      </c>
      <c r="J194" t="s">
        <v>210</v>
      </c>
      <c r="K194" t="s">
        <v>176</v>
      </c>
      <c r="L194">
        <v>1</v>
      </c>
      <c r="M194">
        <v>0</v>
      </c>
      <c r="N194">
        <v>44.090909090909101</v>
      </c>
      <c r="O194">
        <v>-15</v>
      </c>
      <c r="P194">
        <v>-16</v>
      </c>
      <c r="Q194">
        <v>48</v>
      </c>
      <c r="R194">
        <v>13.3</v>
      </c>
      <c r="S194">
        <v>21.3</v>
      </c>
      <c r="T194">
        <v>8.1999999999999993</v>
      </c>
      <c r="U194">
        <v>12.1</v>
      </c>
      <c r="V194">
        <v>0</v>
      </c>
      <c r="W194">
        <v>0</v>
      </c>
      <c r="X194">
        <v>0</v>
      </c>
      <c r="Y194">
        <v>0</v>
      </c>
      <c r="Z194">
        <v>12.4</v>
      </c>
      <c r="AA194">
        <v>17.600000000000001</v>
      </c>
      <c r="AB194">
        <v>350</v>
      </c>
      <c r="AC194">
        <v>78</v>
      </c>
      <c r="AD194">
        <v>11.1</v>
      </c>
      <c r="AE194">
        <v>6.3</v>
      </c>
      <c r="AF194">
        <v>90.4</v>
      </c>
      <c r="AG194">
        <v>50.723999999999997</v>
      </c>
      <c r="AH194">
        <v>9.5</v>
      </c>
      <c r="AI194">
        <v>56.468000000000004</v>
      </c>
      <c r="AJ194">
        <v>67.262</v>
      </c>
      <c r="AK194">
        <v>65.986000000000004</v>
      </c>
      <c r="AL194">
        <v>17.399000000000001</v>
      </c>
      <c r="AM194">
        <v>9.5</v>
      </c>
      <c r="AN194">
        <v>50.723999999999997</v>
      </c>
      <c r="AO194">
        <v>90.4</v>
      </c>
      <c r="AP194">
        <v>-17.399000000000001</v>
      </c>
      <c r="AQ194">
        <v>32.738</v>
      </c>
      <c r="AR194">
        <v>43.531999999999996</v>
      </c>
      <c r="AS194">
        <v>34.014000000000003</v>
      </c>
    </row>
    <row r="195" spans="1:45" x14ac:dyDescent="0.25">
      <c r="A195">
        <v>39</v>
      </c>
      <c r="B195">
        <v>21</v>
      </c>
      <c r="C195">
        <v>1</v>
      </c>
      <c r="D195">
        <v>2018</v>
      </c>
      <c r="E195">
        <v>14</v>
      </c>
      <c r="F195" t="str">
        <f>IFERROR(VLOOKUP(G195, Map!$A$1:$B$33, 2, FALSE),"WAS")</f>
        <v>TEN</v>
      </c>
      <c r="G195" t="s">
        <v>140</v>
      </c>
      <c r="H195" t="str">
        <f>IFERROR(VLOOKUP(I195, Map!$A$1:$B$33, 2, FALSE),"WAS")</f>
        <v>JAX</v>
      </c>
      <c r="I195" t="s">
        <v>139</v>
      </c>
      <c r="J195" t="s">
        <v>174</v>
      </c>
      <c r="K195" t="s">
        <v>220</v>
      </c>
      <c r="L195">
        <v>1</v>
      </c>
      <c r="M195">
        <v>0</v>
      </c>
      <c r="N195">
        <v>33.772727272727302</v>
      </c>
      <c r="O195">
        <v>-4.9545454545454497</v>
      </c>
      <c r="P195">
        <v>-5</v>
      </c>
      <c r="Q195">
        <v>37</v>
      </c>
      <c r="R195">
        <v>4.5999999999999996</v>
      </c>
      <c r="S195">
        <v>6</v>
      </c>
      <c r="T195">
        <v>3.6</v>
      </c>
      <c r="U195">
        <v>1.8</v>
      </c>
      <c r="V195">
        <v>0</v>
      </c>
      <c r="W195">
        <v>0</v>
      </c>
      <c r="X195">
        <v>0</v>
      </c>
      <c r="Y195">
        <v>0</v>
      </c>
      <c r="Z195">
        <v>8.3000000000000007</v>
      </c>
      <c r="AA195">
        <v>18</v>
      </c>
      <c r="AB195">
        <v>5</v>
      </c>
      <c r="AC195">
        <v>76</v>
      </c>
      <c r="AD195">
        <v>12</v>
      </c>
      <c r="AE195">
        <v>5.6</v>
      </c>
      <c r="AF195">
        <v>63.4</v>
      </c>
      <c r="AG195">
        <v>42.622999999999998</v>
      </c>
      <c r="AH195">
        <v>36.299999999999997</v>
      </c>
      <c r="AI195">
        <v>89.781000000000006</v>
      </c>
      <c r="AJ195">
        <v>95.950999999999993</v>
      </c>
      <c r="AK195">
        <v>97.201999999999998</v>
      </c>
      <c r="AL195">
        <v>4.5949999999999998</v>
      </c>
      <c r="AM195">
        <v>36.299999999999997</v>
      </c>
      <c r="AN195">
        <v>42.622999999999998</v>
      </c>
      <c r="AO195">
        <v>63.4</v>
      </c>
      <c r="AP195">
        <v>-4.5949999999999998</v>
      </c>
      <c r="AQ195">
        <v>4.0490000000000004</v>
      </c>
      <c r="AR195">
        <v>10.218999999999999</v>
      </c>
      <c r="AS195">
        <v>2.798</v>
      </c>
    </row>
    <row r="196" spans="1:45" x14ac:dyDescent="0.25">
      <c r="A196">
        <v>21</v>
      </c>
      <c r="B196">
        <v>9</v>
      </c>
      <c r="C196">
        <v>1</v>
      </c>
      <c r="D196">
        <v>2018</v>
      </c>
      <c r="E196">
        <v>14</v>
      </c>
      <c r="F196" t="str">
        <f>IFERROR(VLOOKUP(G196, Map!$A$1:$B$33, 2, FALSE),"WAS")</f>
        <v>CHI</v>
      </c>
      <c r="G196" t="s">
        <v>163</v>
      </c>
      <c r="H196" t="str">
        <f>IFERROR(VLOOKUP(I196, Map!$A$1:$B$33, 2, FALSE),"WAS")</f>
        <v>LA</v>
      </c>
      <c r="I196" t="s">
        <v>155</v>
      </c>
      <c r="J196" t="s">
        <v>216</v>
      </c>
      <c r="K196" t="s">
        <v>178</v>
      </c>
      <c r="L196">
        <v>1</v>
      </c>
      <c r="M196">
        <v>0</v>
      </c>
      <c r="N196">
        <v>46.318181818181799</v>
      </c>
      <c r="O196">
        <v>2.6818181818181799</v>
      </c>
      <c r="P196">
        <v>2.5</v>
      </c>
      <c r="Q196">
        <v>50.5</v>
      </c>
      <c r="R196">
        <v>-4.2</v>
      </c>
      <c r="S196">
        <v>2.1</v>
      </c>
      <c r="T196">
        <v>-8.6999999999999993</v>
      </c>
      <c r="U196">
        <v>-9.1</v>
      </c>
      <c r="V196">
        <v>0</v>
      </c>
      <c r="W196">
        <v>0</v>
      </c>
      <c r="X196">
        <v>0</v>
      </c>
      <c r="Y196">
        <v>0</v>
      </c>
      <c r="Z196">
        <v>18.8</v>
      </c>
      <c r="AA196">
        <v>30.2</v>
      </c>
      <c r="AB196">
        <v>265</v>
      </c>
      <c r="AC196">
        <v>74</v>
      </c>
      <c r="AD196">
        <v>18.399999999999999</v>
      </c>
      <c r="AE196">
        <v>12.4</v>
      </c>
      <c r="AF196">
        <v>47.6</v>
      </c>
      <c r="AG196">
        <v>89.358999999999995</v>
      </c>
      <c r="AH196">
        <v>52</v>
      </c>
      <c r="AI196">
        <v>98.546999999999997</v>
      </c>
      <c r="AJ196">
        <v>19.492999999999999</v>
      </c>
      <c r="AK196">
        <v>73.774000000000001</v>
      </c>
      <c r="AL196">
        <v>-0.73399999999999999</v>
      </c>
      <c r="AM196">
        <v>52</v>
      </c>
      <c r="AN196">
        <v>89.358999999999995</v>
      </c>
      <c r="AO196">
        <v>47.6</v>
      </c>
      <c r="AP196">
        <v>0.73399999999999999</v>
      </c>
      <c r="AQ196">
        <v>80.507000000000005</v>
      </c>
      <c r="AR196">
        <v>1.4530000000000001</v>
      </c>
      <c r="AS196">
        <v>26.225999999999999</v>
      </c>
    </row>
    <row r="197" spans="1:45" x14ac:dyDescent="0.25">
      <c r="A197">
        <v>56</v>
      </c>
      <c r="B197">
        <v>-24</v>
      </c>
      <c r="C197">
        <v>0</v>
      </c>
      <c r="D197">
        <v>2018</v>
      </c>
      <c r="E197">
        <v>14</v>
      </c>
      <c r="F197" t="str">
        <f>IFERROR(VLOOKUP(G197, Map!$A$1:$B$33, 2, FALSE),"WAS")</f>
        <v>WAS</v>
      </c>
      <c r="G197" t="s">
        <v>204</v>
      </c>
      <c r="H197" t="str">
        <f>IFERROR(VLOOKUP(I197, Map!$A$1:$B$33, 2, FALSE),"WAS")</f>
        <v>NYG</v>
      </c>
      <c r="I197" t="s">
        <v>149</v>
      </c>
      <c r="J197" t="s">
        <v>205</v>
      </c>
      <c r="K197" t="s">
        <v>219</v>
      </c>
      <c r="L197">
        <v>0</v>
      </c>
      <c r="M197">
        <v>0</v>
      </c>
      <c r="N197">
        <v>36.454545454545503</v>
      </c>
      <c r="O197">
        <v>2.7272727272727302</v>
      </c>
      <c r="P197">
        <v>3</v>
      </c>
      <c r="Q197">
        <v>39.5</v>
      </c>
      <c r="R197">
        <v>-0.8</v>
      </c>
      <c r="S197">
        <v>1.3</v>
      </c>
      <c r="T197">
        <v>-2.2000000000000002</v>
      </c>
      <c r="U197">
        <v>-4.9000000000000004</v>
      </c>
      <c r="V197">
        <v>0.2</v>
      </c>
      <c r="W197">
        <v>0.14000000000000001</v>
      </c>
      <c r="X197">
        <v>2</v>
      </c>
      <c r="Y197">
        <v>0</v>
      </c>
      <c r="Z197">
        <v>12.3</v>
      </c>
      <c r="AA197">
        <v>23.4</v>
      </c>
      <c r="AB197">
        <v>24</v>
      </c>
      <c r="AC197">
        <v>64</v>
      </c>
      <c r="AD197">
        <v>15.5</v>
      </c>
      <c r="AE197">
        <v>7.6</v>
      </c>
      <c r="AF197">
        <v>53.5</v>
      </c>
      <c r="AG197">
        <v>22.396999999999998</v>
      </c>
      <c r="AH197">
        <v>46.1</v>
      </c>
      <c r="AI197">
        <v>43.31</v>
      </c>
      <c r="AJ197">
        <v>0.40400000000000003</v>
      </c>
      <c r="AK197">
        <v>3.33</v>
      </c>
      <c r="AL197">
        <v>1.226</v>
      </c>
      <c r="AM197">
        <v>46.1</v>
      </c>
      <c r="AN197">
        <v>22.396999999999998</v>
      </c>
      <c r="AO197">
        <v>53.5</v>
      </c>
      <c r="AP197">
        <v>-1.226</v>
      </c>
      <c r="AQ197">
        <v>99.596000000000004</v>
      </c>
      <c r="AR197">
        <v>56.69</v>
      </c>
      <c r="AS197">
        <v>96.67</v>
      </c>
    </row>
    <row r="198" spans="1:45" x14ac:dyDescent="0.25">
      <c r="A198">
        <v>46</v>
      </c>
      <c r="B198">
        <v>6</v>
      </c>
      <c r="C198">
        <v>1</v>
      </c>
      <c r="D198">
        <v>2018</v>
      </c>
      <c r="E198">
        <v>14</v>
      </c>
      <c r="F198" t="str">
        <f>IFERROR(VLOOKUP(G198, Map!$A$1:$B$33, 2, FALSE),"WAS")</f>
        <v>CLE</v>
      </c>
      <c r="G198" t="s">
        <v>162</v>
      </c>
      <c r="H198" t="str">
        <f>IFERROR(VLOOKUP(I198, Map!$A$1:$B$33, 2, FALSE),"WAS")</f>
        <v>CAR</v>
      </c>
      <c r="I198" t="s">
        <v>142</v>
      </c>
      <c r="J198" t="s">
        <v>171</v>
      </c>
      <c r="K198" t="s">
        <v>185</v>
      </c>
      <c r="L198">
        <v>1</v>
      </c>
      <c r="M198">
        <v>0</v>
      </c>
      <c r="N198">
        <v>43.318181818181799</v>
      </c>
      <c r="O198">
        <v>0.81818181818181801</v>
      </c>
      <c r="P198">
        <v>0</v>
      </c>
      <c r="Q198">
        <v>47</v>
      </c>
      <c r="R198">
        <v>-4.4000000000000004</v>
      </c>
      <c r="S198">
        <v>-0.9</v>
      </c>
      <c r="T198">
        <v>-7.2</v>
      </c>
      <c r="U198">
        <v>-8.6</v>
      </c>
      <c r="V198">
        <v>0</v>
      </c>
      <c r="W198">
        <v>0</v>
      </c>
      <c r="X198">
        <v>0</v>
      </c>
      <c r="Y198">
        <v>0</v>
      </c>
      <c r="Z198">
        <v>10.8</v>
      </c>
      <c r="AA198">
        <v>17.600000000000001</v>
      </c>
      <c r="AB198">
        <v>148</v>
      </c>
      <c r="AC198">
        <v>74</v>
      </c>
      <c r="AD198">
        <v>15.5</v>
      </c>
      <c r="AE198">
        <v>7.4</v>
      </c>
      <c r="AF198">
        <v>39.799999999999997</v>
      </c>
      <c r="AG198">
        <v>40.064999999999998</v>
      </c>
      <c r="AH198">
        <v>59.8</v>
      </c>
      <c r="AI198">
        <v>57.426000000000002</v>
      </c>
      <c r="AJ198">
        <v>52.445999999999998</v>
      </c>
      <c r="AK198">
        <v>62.35</v>
      </c>
      <c r="AL198">
        <v>-3.3620000000000001</v>
      </c>
      <c r="AM198">
        <v>59.8</v>
      </c>
      <c r="AN198">
        <v>40.064999999999998</v>
      </c>
      <c r="AO198">
        <v>39.799999999999997</v>
      </c>
      <c r="AP198">
        <v>3.3620000000000001</v>
      </c>
      <c r="AQ198">
        <v>47.554000000000002</v>
      </c>
      <c r="AR198">
        <v>42.573999999999998</v>
      </c>
      <c r="AS198">
        <v>37.65</v>
      </c>
    </row>
    <row r="199" spans="1:45" x14ac:dyDescent="0.25">
      <c r="A199">
        <v>52</v>
      </c>
      <c r="B199">
        <v>6</v>
      </c>
      <c r="C199">
        <v>1</v>
      </c>
      <c r="D199">
        <v>2018</v>
      </c>
      <c r="E199">
        <v>14</v>
      </c>
      <c r="F199" t="str">
        <f>IFERROR(VLOOKUP(G199, Map!$A$1:$B$33, 2, FALSE),"WAS")</f>
        <v>DAL</v>
      </c>
      <c r="G199" t="s">
        <v>150</v>
      </c>
      <c r="H199" t="str">
        <f>IFERROR(VLOOKUP(I199, Map!$A$1:$B$33, 2, FALSE),"WAS")</f>
        <v>PHI</v>
      </c>
      <c r="I199" t="s">
        <v>147</v>
      </c>
      <c r="J199" t="s">
        <v>184</v>
      </c>
      <c r="K199" t="s">
        <v>206</v>
      </c>
      <c r="L199">
        <v>1</v>
      </c>
      <c r="M199">
        <v>0</v>
      </c>
      <c r="N199">
        <v>40.090909090909101</v>
      </c>
      <c r="O199">
        <v>-2.6818181818181799</v>
      </c>
      <c r="P199">
        <v>0</v>
      </c>
      <c r="Q199">
        <v>30.5</v>
      </c>
      <c r="R199">
        <v>4.3</v>
      </c>
      <c r="S199">
        <v>8.6999999999999993</v>
      </c>
      <c r="T199">
        <v>2.1</v>
      </c>
      <c r="U199">
        <v>-0.2</v>
      </c>
      <c r="V199">
        <v>0.6</v>
      </c>
      <c r="W199">
        <v>0</v>
      </c>
      <c r="X199">
        <v>3</v>
      </c>
      <c r="Y199">
        <v>0.6</v>
      </c>
      <c r="Z199">
        <v>19.8</v>
      </c>
      <c r="AA199">
        <v>34.9</v>
      </c>
      <c r="AB199">
        <v>333</v>
      </c>
      <c r="AC199">
        <v>78</v>
      </c>
      <c r="AD199">
        <v>30.2</v>
      </c>
      <c r="AE199">
        <v>16.8</v>
      </c>
      <c r="AF199">
        <v>67.099999999999994</v>
      </c>
      <c r="AG199">
        <v>72.055000000000007</v>
      </c>
      <c r="AH199">
        <v>32.6</v>
      </c>
      <c r="AI199">
        <v>51.112000000000002</v>
      </c>
      <c r="AJ199">
        <v>59.162999999999997</v>
      </c>
      <c r="AK199">
        <v>62.578000000000003</v>
      </c>
      <c r="AL199">
        <v>5.9379999999999997</v>
      </c>
      <c r="AM199">
        <v>32.6</v>
      </c>
      <c r="AN199">
        <v>72.055000000000007</v>
      </c>
      <c r="AO199">
        <v>67.099999999999994</v>
      </c>
      <c r="AP199">
        <v>-5.9379999999999997</v>
      </c>
      <c r="AQ199">
        <v>40.837000000000003</v>
      </c>
      <c r="AR199">
        <v>48.887999999999998</v>
      </c>
      <c r="AS199">
        <v>37.421999999999997</v>
      </c>
    </row>
    <row r="200" spans="1:45" x14ac:dyDescent="0.25">
      <c r="A200">
        <v>20</v>
      </c>
      <c r="B200">
        <v>-14</v>
      </c>
      <c r="C200">
        <v>0</v>
      </c>
      <c r="D200">
        <v>2018</v>
      </c>
      <c r="E200">
        <v>14</v>
      </c>
      <c r="F200" t="str">
        <f>IFERROR(VLOOKUP(G200, Map!$A$1:$B$33, 2, FALSE),"WAS")</f>
        <v>ARI</v>
      </c>
      <c r="G200" t="s">
        <v>156</v>
      </c>
      <c r="H200" t="str">
        <f>IFERROR(VLOOKUP(I200, Map!$A$1:$B$33, 2, FALSE),"WAS")</f>
        <v>DET</v>
      </c>
      <c r="I200" t="s">
        <v>164</v>
      </c>
      <c r="J200" t="s">
        <v>190</v>
      </c>
      <c r="K200" t="s">
        <v>173</v>
      </c>
      <c r="L200">
        <v>0</v>
      </c>
      <c r="M200">
        <v>0</v>
      </c>
      <c r="N200">
        <v>36.636363636363598</v>
      </c>
      <c r="O200">
        <v>3.3181818181818201</v>
      </c>
      <c r="P200">
        <v>2.5</v>
      </c>
      <c r="Q200">
        <v>40</v>
      </c>
      <c r="R200">
        <v>15.7</v>
      </c>
      <c r="S200">
        <v>20.399999999999999</v>
      </c>
      <c r="T200">
        <v>11</v>
      </c>
      <c r="U200">
        <v>14.3</v>
      </c>
      <c r="V200">
        <v>0</v>
      </c>
      <c r="W200">
        <v>0</v>
      </c>
      <c r="X200">
        <v>0</v>
      </c>
      <c r="Y200">
        <v>0</v>
      </c>
      <c r="Z200">
        <v>9</v>
      </c>
      <c r="AA200">
        <v>12.6</v>
      </c>
      <c r="AB200">
        <v>331</v>
      </c>
      <c r="AC200">
        <v>56</v>
      </c>
      <c r="AD200">
        <v>8.6999999999999993</v>
      </c>
      <c r="AE200">
        <v>4.2</v>
      </c>
      <c r="AF200">
        <v>43.7</v>
      </c>
      <c r="AG200">
        <v>3.99</v>
      </c>
      <c r="AH200">
        <v>55.9</v>
      </c>
      <c r="AI200">
        <v>79.911000000000001</v>
      </c>
      <c r="AJ200">
        <v>7.2380000000000004</v>
      </c>
      <c r="AK200">
        <v>22.390999999999998</v>
      </c>
      <c r="AL200">
        <v>-2.044</v>
      </c>
      <c r="AM200">
        <v>55.9</v>
      </c>
      <c r="AN200">
        <v>3.99</v>
      </c>
      <c r="AO200">
        <v>43.7</v>
      </c>
      <c r="AP200">
        <v>2.044</v>
      </c>
      <c r="AQ200">
        <v>92.762</v>
      </c>
      <c r="AR200">
        <v>20.088999999999999</v>
      </c>
      <c r="AS200">
        <v>77.608999999999995</v>
      </c>
    </row>
    <row r="201" spans="1:45" x14ac:dyDescent="0.25">
      <c r="A201">
        <v>51</v>
      </c>
      <c r="B201">
        <v>3</v>
      </c>
      <c r="C201">
        <v>1</v>
      </c>
      <c r="D201">
        <v>2018</v>
      </c>
      <c r="E201">
        <v>14</v>
      </c>
      <c r="F201" t="str">
        <f>IFERROR(VLOOKUP(G201, Map!$A$1:$B$33, 2, FALSE),"WAS")</f>
        <v>KC</v>
      </c>
      <c r="G201" t="s">
        <v>158</v>
      </c>
      <c r="H201" t="str">
        <f>IFERROR(VLOOKUP(I201, Map!$A$1:$B$33, 2, FALSE),"WAS")</f>
        <v>BAL</v>
      </c>
      <c r="I201" t="s">
        <v>146</v>
      </c>
      <c r="J201" t="s">
        <v>202</v>
      </c>
      <c r="K201" t="s">
        <v>181</v>
      </c>
      <c r="L201">
        <v>1</v>
      </c>
      <c r="M201">
        <v>0</v>
      </c>
      <c r="N201">
        <v>44.681818181818201</v>
      </c>
      <c r="O201">
        <v>-5.9545454545454497</v>
      </c>
      <c r="P201">
        <v>-6.5</v>
      </c>
      <c r="Q201">
        <v>49</v>
      </c>
      <c r="R201">
        <v>-3.8</v>
      </c>
      <c r="S201">
        <v>2.6</v>
      </c>
      <c r="T201">
        <v>-8.6</v>
      </c>
      <c r="U201">
        <v>-7.7</v>
      </c>
      <c r="V201">
        <v>0</v>
      </c>
      <c r="W201">
        <v>0</v>
      </c>
      <c r="X201">
        <v>0</v>
      </c>
      <c r="Y201">
        <v>0</v>
      </c>
      <c r="Z201">
        <v>10.7</v>
      </c>
      <c r="AA201">
        <v>19.399999999999999</v>
      </c>
      <c r="AB201">
        <v>56</v>
      </c>
      <c r="AC201">
        <v>70</v>
      </c>
      <c r="AD201">
        <v>12.9</v>
      </c>
      <c r="AE201">
        <v>5.4</v>
      </c>
      <c r="AF201">
        <v>77.099999999999994</v>
      </c>
      <c r="AG201">
        <v>73.915999999999997</v>
      </c>
      <c r="AH201">
        <v>22.7</v>
      </c>
      <c r="AI201">
        <v>46.253999999999998</v>
      </c>
      <c r="AJ201">
        <v>71.807000000000002</v>
      </c>
      <c r="AK201">
        <v>52.3</v>
      </c>
      <c r="AL201">
        <v>9.9030000000000005</v>
      </c>
      <c r="AM201">
        <v>22.7</v>
      </c>
      <c r="AN201">
        <v>73.915999999999997</v>
      </c>
      <c r="AO201">
        <v>77.099999999999994</v>
      </c>
      <c r="AP201">
        <v>-9.9030000000000005</v>
      </c>
      <c r="AQ201">
        <v>28.193000000000001</v>
      </c>
      <c r="AR201">
        <v>53.746000000000002</v>
      </c>
      <c r="AS201">
        <v>47.7</v>
      </c>
    </row>
    <row r="202" spans="1:45" x14ac:dyDescent="0.25">
      <c r="A202">
        <v>28</v>
      </c>
      <c r="B202">
        <v>14</v>
      </c>
      <c r="C202">
        <v>1</v>
      </c>
      <c r="D202">
        <v>2018</v>
      </c>
      <c r="E202">
        <v>14</v>
      </c>
      <c r="F202" t="str">
        <f>IFERROR(VLOOKUP(G202, Map!$A$1:$B$33, 2, FALSE),"WAS")</f>
        <v>SEA</v>
      </c>
      <c r="G202" t="s">
        <v>144</v>
      </c>
      <c r="H202" t="str">
        <f>IFERROR(VLOOKUP(I202, Map!$A$1:$B$33, 2, FALSE),"WAS")</f>
        <v>MIN</v>
      </c>
      <c r="I202" t="s">
        <v>153</v>
      </c>
      <c r="J202" t="s">
        <v>182</v>
      </c>
      <c r="K202" t="s">
        <v>214</v>
      </c>
      <c r="L202">
        <v>1</v>
      </c>
      <c r="M202">
        <v>0</v>
      </c>
      <c r="N202">
        <v>41.454545454545503</v>
      </c>
      <c r="O202">
        <v>-2.7272727272727302</v>
      </c>
      <c r="P202">
        <v>-3</v>
      </c>
      <c r="Q202">
        <v>45.5</v>
      </c>
      <c r="R202">
        <v>7.2</v>
      </c>
      <c r="S202">
        <v>9.1</v>
      </c>
      <c r="T202">
        <v>5.9</v>
      </c>
      <c r="U202">
        <v>2.8</v>
      </c>
      <c r="V202">
        <v>23.9</v>
      </c>
      <c r="W202">
        <v>0</v>
      </c>
      <c r="X202">
        <v>15</v>
      </c>
      <c r="Y202">
        <v>23.9</v>
      </c>
      <c r="Z202">
        <v>38.700000000000003</v>
      </c>
      <c r="AA202">
        <v>71.3</v>
      </c>
      <c r="AB202">
        <v>177</v>
      </c>
      <c r="AC202">
        <v>87</v>
      </c>
      <c r="AD202">
        <v>41.1</v>
      </c>
      <c r="AE202">
        <v>22.1</v>
      </c>
      <c r="AF202">
        <v>65.099999999999994</v>
      </c>
      <c r="AG202">
        <v>70.863</v>
      </c>
      <c r="AH202">
        <v>34.6</v>
      </c>
      <c r="AI202">
        <v>87.063000000000002</v>
      </c>
      <c r="AJ202">
        <v>33.161000000000001</v>
      </c>
      <c r="AK202">
        <v>75.581000000000003</v>
      </c>
      <c r="AL202">
        <v>5.2169999999999996</v>
      </c>
      <c r="AM202">
        <v>34.6</v>
      </c>
      <c r="AN202">
        <v>70.863</v>
      </c>
      <c r="AO202">
        <v>65.099999999999994</v>
      </c>
      <c r="AP202">
        <v>-5.2169999999999996</v>
      </c>
      <c r="AQ202">
        <v>66.838999999999999</v>
      </c>
      <c r="AR202">
        <v>12.936999999999999</v>
      </c>
      <c r="AS202">
        <v>24.419</v>
      </c>
    </row>
    <row r="203" spans="1:45" x14ac:dyDescent="0.25">
      <c r="A203">
        <v>67</v>
      </c>
      <c r="B203">
        <v>1</v>
      </c>
      <c r="C203">
        <v>1</v>
      </c>
      <c r="D203">
        <v>2018</v>
      </c>
      <c r="E203">
        <v>14</v>
      </c>
      <c r="F203" t="str">
        <f>IFERROR(VLOOKUP(G203, Map!$A$1:$B$33, 2, FALSE),"WAS")</f>
        <v>MIA</v>
      </c>
      <c r="G203" t="s">
        <v>152</v>
      </c>
      <c r="H203" t="str">
        <f>IFERROR(VLOOKUP(I203, Map!$A$1:$B$33, 2, FALSE),"WAS")</f>
        <v>NE</v>
      </c>
      <c r="I203" t="s">
        <v>151</v>
      </c>
      <c r="J203" t="s">
        <v>175</v>
      </c>
      <c r="K203" t="s">
        <v>187</v>
      </c>
      <c r="L203">
        <v>1</v>
      </c>
      <c r="M203">
        <v>0</v>
      </c>
      <c r="N203">
        <v>44.954545454545503</v>
      </c>
      <c r="O203">
        <v>8</v>
      </c>
      <c r="P203">
        <v>8.5</v>
      </c>
      <c r="Q203">
        <v>49</v>
      </c>
      <c r="R203">
        <v>24.1</v>
      </c>
      <c r="S203">
        <v>28.7</v>
      </c>
      <c r="T203">
        <v>21.3</v>
      </c>
      <c r="U203">
        <v>26</v>
      </c>
      <c r="V203">
        <v>2.5</v>
      </c>
      <c r="W203">
        <v>0</v>
      </c>
      <c r="X203">
        <v>10</v>
      </c>
      <c r="Y203">
        <v>2.5</v>
      </c>
      <c r="Z203">
        <v>29.1</v>
      </c>
      <c r="AA203">
        <v>55.4</v>
      </c>
      <c r="AB203">
        <v>195</v>
      </c>
      <c r="AC203">
        <v>81</v>
      </c>
      <c r="AD203">
        <v>29.2</v>
      </c>
      <c r="AE203">
        <v>14.9</v>
      </c>
      <c r="AF203">
        <v>24.2</v>
      </c>
      <c r="AG203">
        <v>45.881</v>
      </c>
      <c r="AH203">
        <v>75.599999999999994</v>
      </c>
      <c r="AI203">
        <v>16.327999999999999</v>
      </c>
      <c r="AJ203">
        <v>93.722999999999999</v>
      </c>
      <c r="AK203">
        <v>39.412999999999997</v>
      </c>
      <c r="AL203">
        <v>-9.2349999999999994</v>
      </c>
      <c r="AM203">
        <v>75.599999999999994</v>
      </c>
      <c r="AN203">
        <v>45.881</v>
      </c>
      <c r="AO203">
        <v>24.2</v>
      </c>
      <c r="AP203">
        <v>9.2349999999999994</v>
      </c>
      <c r="AQ203">
        <v>6.2770000000000001</v>
      </c>
      <c r="AR203">
        <v>83.671999999999997</v>
      </c>
      <c r="AS203">
        <v>60.587000000000003</v>
      </c>
    </row>
    <row r="204" spans="1:45" x14ac:dyDescent="0.25">
      <c r="A204">
        <v>45</v>
      </c>
      <c r="B204">
        <v>3</v>
      </c>
      <c r="C204">
        <v>1</v>
      </c>
      <c r="D204">
        <v>2018</v>
      </c>
      <c r="E204">
        <v>14</v>
      </c>
      <c r="F204" t="str">
        <f>IFERROR(VLOOKUP(G204, Map!$A$1:$B$33, 2, FALSE),"WAS")</f>
        <v>LV</v>
      </c>
      <c r="G204" t="s">
        <v>157</v>
      </c>
      <c r="H204" t="str">
        <f>IFERROR(VLOOKUP(I204, Map!$A$1:$B$33, 2, FALSE),"WAS")</f>
        <v>PIT</v>
      </c>
      <c r="I204" t="s">
        <v>145</v>
      </c>
      <c r="J204" t="s">
        <v>179</v>
      </c>
      <c r="K204" t="s">
        <v>170</v>
      </c>
      <c r="L204">
        <v>1</v>
      </c>
      <c r="M204">
        <v>0</v>
      </c>
      <c r="N204">
        <v>45.090909090909101</v>
      </c>
      <c r="O204">
        <v>7.9090909090909101</v>
      </c>
      <c r="P204">
        <v>-3</v>
      </c>
      <c r="Q204">
        <v>36.5</v>
      </c>
      <c r="R204">
        <v>9.6999999999999993</v>
      </c>
      <c r="S204">
        <v>14</v>
      </c>
      <c r="T204">
        <v>7.8</v>
      </c>
      <c r="U204">
        <v>7.3</v>
      </c>
      <c r="V204">
        <v>0.1</v>
      </c>
      <c r="W204">
        <v>0</v>
      </c>
      <c r="X204">
        <v>1</v>
      </c>
      <c r="Y204">
        <v>0.1</v>
      </c>
      <c r="Z204">
        <v>19.2</v>
      </c>
      <c r="AA204">
        <v>31.3</v>
      </c>
      <c r="AB204">
        <v>38</v>
      </c>
      <c r="AC204">
        <v>88</v>
      </c>
      <c r="AD204">
        <v>19.2</v>
      </c>
      <c r="AE204">
        <v>12.3</v>
      </c>
      <c r="AF204">
        <v>26.4</v>
      </c>
      <c r="AG204">
        <v>42.344999999999999</v>
      </c>
      <c r="AH204">
        <v>73.400000000000006</v>
      </c>
      <c r="AI204">
        <v>30.635999999999999</v>
      </c>
      <c r="AJ204">
        <v>64.754999999999995</v>
      </c>
      <c r="AK204">
        <v>58.673999999999999</v>
      </c>
      <c r="AL204">
        <v>-8.3480000000000008</v>
      </c>
      <c r="AM204">
        <v>73.400000000000006</v>
      </c>
      <c r="AN204">
        <v>42.344999999999999</v>
      </c>
      <c r="AO204">
        <v>26.4</v>
      </c>
      <c r="AP204">
        <v>8.3480000000000008</v>
      </c>
      <c r="AQ204">
        <v>35.244999999999997</v>
      </c>
      <c r="AR204">
        <v>69.364000000000004</v>
      </c>
      <c r="AS204">
        <v>41.326000000000001</v>
      </c>
    </row>
    <row r="205" spans="1:45" x14ac:dyDescent="0.25">
      <c r="A205">
        <v>42</v>
      </c>
      <c r="B205">
        <v>-14</v>
      </c>
      <c r="C205">
        <v>0</v>
      </c>
      <c r="D205">
        <v>2018</v>
      </c>
      <c r="E205">
        <v>14</v>
      </c>
      <c r="F205" t="str">
        <f>IFERROR(VLOOKUP(G205, Map!$A$1:$B$33, 2, FALSE),"WAS")</f>
        <v>TB</v>
      </c>
      <c r="G205" t="s">
        <v>141</v>
      </c>
      <c r="H205" t="str">
        <f>IFERROR(VLOOKUP(I205, Map!$A$1:$B$33, 2, FALSE),"WAS")</f>
        <v>NO</v>
      </c>
      <c r="I205" t="s">
        <v>168</v>
      </c>
      <c r="J205" t="s">
        <v>186</v>
      </c>
      <c r="K205" t="s">
        <v>192</v>
      </c>
      <c r="L205">
        <v>0</v>
      </c>
      <c r="M205">
        <v>0</v>
      </c>
      <c r="N205">
        <v>49.772727272727302</v>
      </c>
      <c r="O205">
        <v>8.5909090909090899</v>
      </c>
      <c r="P205">
        <v>8.5</v>
      </c>
      <c r="Q205">
        <v>54</v>
      </c>
      <c r="R205">
        <v>20.2</v>
      </c>
      <c r="S205">
        <v>21.9</v>
      </c>
      <c r="T205">
        <v>18.600000000000001</v>
      </c>
      <c r="U205">
        <v>20.5</v>
      </c>
      <c r="V205">
        <v>35.9</v>
      </c>
      <c r="W205">
        <v>0</v>
      </c>
      <c r="X205">
        <v>6</v>
      </c>
      <c r="Y205">
        <v>35.9</v>
      </c>
      <c r="Z205">
        <v>40.799999999999997</v>
      </c>
      <c r="AA205">
        <v>75.599999999999994</v>
      </c>
      <c r="AB205">
        <v>201</v>
      </c>
      <c r="AC205">
        <v>88</v>
      </c>
      <c r="AD205">
        <v>34.799999999999997</v>
      </c>
      <c r="AE205">
        <v>18.600000000000001</v>
      </c>
      <c r="AF205">
        <v>25.7</v>
      </c>
      <c r="AG205">
        <v>73.53</v>
      </c>
      <c r="AH205">
        <v>74.099999999999994</v>
      </c>
      <c r="AI205">
        <v>44.286000000000001</v>
      </c>
      <c r="AJ205">
        <v>49.767000000000003</v>
      </c>
      <c r="AK205">
        <v>27.37</v>
      </c>
      <c r="AL205">
        <v>-8.6259999999999994</v>
      </c>
      <c r="AM205">
        <v>74.099999999999994</v>
      </c>
      <c r="AN205">
        <v>73.53</v>
      </c>
      <c r="AO205">
        <v>25.7</v>
      </c>
      <c r="AP205">
        <v>8.6259999999999994</v>
      </c>
      <c r="AQ205">
        <v>50.232999999999997</v>
      </c>
      <c r="AR205">
        <v>55.713999999999999</v>
      </c>
      <c r="AS205">
        <v>72.63</v>
      </c>
    </row>
    <row r="206" spans="1:45" x14ac:dyDescent="0.25">
      <c r="A206">
        <v>45</v>
      </c>
      <c r="B206">
        <v>-3</v>
      </c>
      <c r="C206">
        <v>0</v>
      </c>
      <c r="D206">
        <v>2018</v>
      </c>
      <c r="E206">
        <v>14</v>
      </c>
      <c r="F206" t="str">
        <f>IFERROR(VLOOKUP(G206, Map!$A$1:$B$33, 2, FALSE),"WAS")</f>
        <v>HOU</v>
      </c>
      <c r="G206" t="s">
        <v>137</v>
      </c>
      <c r="H206" t="str">
        <f>IFERROR(VLOOKUP(I206, Map!$A$1:$B$33, 2, FALSE),"WAS")</f>
        <v>IND</v>
      </c>
      <c r="I206" t="s">
        <v>138</v>
      </c>
      <c r="J206" t="s">
        <v>209</v>
      </c>
      <c r="K206" t="s">
        <v>177</v>
      </c>
      <c r="L206">
        <v>0</v>
      </c>
      <c r="M206">
        <v>0</v>
      </c>
      <c r="N206">
        <v>44.636363636363598</v>
      </c>
      <c r="O206">
        <v>-3.6818181818181799</v>
      </c>
      <c r="P206">
        <v>-3.5</v>
      </c>
      <c r="Q206">
        <v>49</v>
      </c>
      <c r="R206">
        <v>8.1999999999999993</v>
      </c>
      <c r="S206">
        <v>11.5</v>
      </c>
      <c r="T206">
        <v>6.4</v>
      </c>
      <c r="U206">
        <v>3.6</v>
      </c>
      <c r="V206">
        <v>0</v>
      </c>
      <c r="W206">
        <v>0</v>
      </c>
      <c r="X206">
        <v>0</v>
      </c>
      <c r="Y206">
        <v>0</v>
      </c>
      <c r="Z206">
        <v>25.5</v>
      </c>
      <c r="AA206">
        <v>42.1</v>
      </c>
      <c r="AB206">
        <v>329</v>
      </c>
      <c r="AC206">
        <v>72</v>
      </c>
      <c r="AD206">
        <v>36.6</v>
      </c>
      <c r="AE206">
        <v>20.9</v>
      </c>
      <c r="AF206">
        <v>64.3</v>
      </c>
      <c r="AG206">
        <v>75.643000000000001</v>
      </c>
      <c r="AH206">
        <v>35.5</v>
      </c>
      <c r="AI206">
        <v>23.786999999999999</v>
      </c>
      <c r="AJ206">
        <v>56.515000000000001</v>
      </c>
      <c r="AK206">
        <v>33.981999999999999</v>
      </c>
      <c r="AL206">
        <v>4.8739999999999997</v>
      </c>
      <c r="AM206">
        <v>35.5</v>
      </c>
      <c r="AN206">
        <v>75.643000000000001</v>
      </c>
      <c r="AO206">
        <v>64.3</v>
      </c>
      <c r="AP206">
        <v>-4.8739999999999997</v>
      </c>
      <c r="AQ206">
        <v>43.484999999999999</v>
      </c>
      <c r="AR206">
        <v>76.212999999999994</v>
      </c>
      <c r="AS206">
        <v>66.018000000000001</v>
      </c>
    </row>
    <row r="207" spans="1:45" x14ac:dyDescent="0.25">
      <c r="A207">
        <v>34</v>
      </c>
      <c r="B207">
        <v>6</v>
      </c>
      <c r="C207">
        <v>1</v>
      </c>
      <c r="D207">
        <v>2018</v>
      </c>
      <c r="E207">
        <v>14</v>
      </c>
      <c r="F207" t="str">
        <f>IFERROR(VLOOKUP(G207, Map!$A$1:$B$33, 2, FALSE),"WAS")</f>
        <v>SF</v>
      </c>
      <c r="G207" t="s">
        <v>143</v>
      </c>
      <c r="H207" t="str">
        <f>IFERROR(VLOOKUP(I207, Map!$A$1:$B$33, 2, FALSE),"WAS")</f>
        <v>DEN</v>
      </c>
      <c r="I207" t="s">
        <v>159</v>
      </c>
      <c r="J207" t="s">
        <v>197</v>
      </c>
      <c r="K207" t="s">
        <v>183</v>
      </c>
      <c r="L207">
        <v>1</v>
      </c>
      <c r="M207">
        <v>0</v>
      </c>
      <c r="N207">
        <v>41.090909090909101</v>
      </c>
      <c r="O207">
        <v>2</v>
      </c>
      <c r="P207">
        <v>3</v>
      </c>
      <c r="Q207">
        <v>45</v>
      </c>
      <c r="R207">
        <v>9.9</v>
      </c>
      <c r="S207">
        <v>14.1</v>
      </c>
      <c r="T207">
        <v>6.9</v>
      </c>
      <c r="U207">
        <v>8.3000000000000007</v>
      </c>
      <c r="V207">
        <v>0</v>
      </c>
      <c r="W207">
        <v>0</v>
      </c>
      <c r="X207">
        <v>0</v>
      </c>
      <c r="Y207">
        <v>0</v>
      </c>
      <c r="Z207">
        <v>10</v>
      </c>
      <c r="AA207">
        <v>19.100000000000001</v>
      </c>
      <c r="AB207">
        <v>121</v>
      </c>
      <c r="AC207">
        <v>78</v>
      </c>
      <c r="AD207">
        <v>8.9</v>
      </c>
      <c r="AE207">
        <v>4.9000000000000004</v>
      </c>
      <c r="AF207">
        <v>40.1</v>
      </c>
      <c r="AG207">
        <v>24.943000000000001</v>
      </c>
      <c r="AH207">
        <v>59.5</v>
      </c>
      <c r="AI207">
        <v>79.683000000000007</v>
      </c>
      <c r="AJ207">
        <v>81.114000000000004</v>
      </c>
      <c r="AK207">
        <v>86.013000000000005</v>
      </c>
      <c r="AL207">
        <v>-3.2610000000000001</v>
      </c>
      <c r="AM207">
        <v>59.5</v>
      </c>
      <c r="AN207">
        <v>24.943000000000001</v>
      </c>
      <c r="AO207">
        <v>40.1</v>
      </c>
      <c r="AP207">
        <v>3.2610000000000001</v>
      </c>
      <c r="AQ207">
        <v>18.885999999999999</v>
      </c>
      <c r="AR207">
        <v>20.317</v>
      </c>
      <c r="AS207">
        <v>13.987</v>
      </c>
    </row>
    <row r="208" spans="1:45" x14ac:dyDescent="0.25">
      <c r="A208">
        <v>50</v>
      </c>
      <c r="B208">
        <v>-4</v>
      </c>
      <c r="C208">
        <v>0</v>
      </c>
      <c r="D208">
        <v>2018</v>
      </c>
      <c r="E208">
        <v>14</v>
      </c>
      <c r="F208" t="str">
        <f>IFERROR(VLOOKUP(G208, Map!$A$1:$B$33, 2, FALSE),"WAS")</f>
        <v>BUF</v>
      </c>
      <c r="G208" t="s">
        <v>165</v>
      </c>
      <c r="H208" t="str">
        <f>IFERROR(VLOOKUP(I208, Map!$A$1:$B$33, 2, FALSE),"WAS")</f>
        <v>NYJ</v>
      </c>
      <c r="I208" t="s">
        <v>166</v>
      </c>
      <c r="J208" t="s">
        <v>180</v>
      </c>
      <c r="K208" t="s">
        <v>172</v>
      </c>
      <c r="L208">
        <v>0</v>
      </c>
      <c r="M208">
        <v>0</v>
      </c>
      <c r="N208">
        <v>33.818181818181799</v>
      </c>
      <c r="O208">
        <v>-3.9545454545454501</v>
      </c>
      <c r="P208">
        <v>-4</v>
      </c>
      <c r="Q208">
        <v>37</v>
      </c>
      <c r="R208">
        <v>0.4</v>
      </c>
      <c r="S208">
        <v>1.8</v>
      </c>
      <c r="T208">
        <v>-0.7</v>
      </c>
      <c r="U208">
        <v>-4.9000000000000004</v>
      </c>
      <c r="V208">
        <v>42.6</v>
      </c>
      <c r="W208">
        <v>5.74</v>
      </c>
      <c r="X208">
        <v>24</v>
      </c>
      <c r="Y208">
        <v>34.4</v>
      </c>
      <c r="Z208">
        <v>30.2</v>
      </c>
      <c r="AA208">
        <v>54.4</v>
      </c>
      <c r="AB208">
        <v>42</v>
      </c>
      <c r="AC208">
        <v>96</v>
      </c>
      <c r="AD208">
        <v>39.799999999999997</v>
      </c>
      <c r="AE208">
        <v>21.2</v>
      </c>
      <c r="AF208">
        <v>67.5</v>
      </c>
      <c r="AG208">
        <v>18.295000000000002</v>
      </c>
      <c r="AH208">
        <v>32.200000000000003</v>
      </c>
      <c r="AI208">
        <v>39.198</v>
      </c>
      <c r="AJ208">
        <v>57.180999999999997</v>
      </c>
      <c r="AK208">
        <v>44.337000000000003</v>
      </c>
      <c r="AL208">
        <v>6.085</v>
      </c>
      <c r="AM208">
        <v>32.200000000000003</v>
      </c>
      <c r="AN208">
        <v>18.295000000000002</v>
      </c>
      <c r="AO208">
        <v>67.5</v>
      </c>
      <c r="AP208">
        <v>-6.085</v>
      </c>
      <c r="AQ208">
        <v>42.819000000000003</v>
      </c>
      <c r="AR208">
        <v>60.802</v>
      </c>
      <c r="AS208">
        <v>55.662999999999997</v>
      </c>
    </row>
    <row r="209" spans="1:45" x14ac:dyDescent="0.25">
      <c r="A209">
        <v>54</v>
      </c>
      <c r="B209">
        <v>14</v>
      </c>
      <c r="C209">
        <v>1</v>
      </c>
      <c r="D209">
        <v>2018</v>
      </c>
      <c r="E209">
        <v>14</v>
      </c>
      <c r="F209" t="str">
        <f>IFERROR(VLOOKUP(G209, Map!$A$1:$B$33, 2, FALSE),"WAS")</f>
        <v>GB</v>
      </c>
      <c r="G209" t="s">
        <v>154</v>
      </c>
      <c r="H209" t="str">
        <f>IFERROR(VLOOKUP(I209, Map!$A$1:$B$33, 2, FALSE),"WAS")</f>
        <v>ATL</v>
      </c>
      <c r="I209" t="s">
        <v>167</v>
      </c>
      <c r="J209" t="s">
        <v>200</v>
      </c>
      <c r="K209" t="s">
        <v>188</v>
      </c>
      <c r="L209">
        <v>1</v>
      </c>
      <c r="M209">
        <v>0</v>
      </c>
      <c r="N209">
        <v>46</v>
      </c>
      <c r="O209">
        <v>-3.5454545454545499</v>
      </c>
      <c r="P209">
        <v>-3.5</v>
      </c>
      <c r="Q209">
        <v>50</v>
      </c>
      <c r="R209">
        <v>-6</v>
      </c>
      <c r="S209">
        <v>-3.3</v>
      </c>
      <c r="T209">
        <v>-7.9</v>
      </c>
      <c r="U209">
        <v>-10.8</v>
      </c>
      <c r="V209">
        <v>0</v>
      </c>
      <c r="W209">
        <v>0</v>
      </c>
      <c r="X209">
        <v>0</v>
      </c>
      <c r="Y209">
        <v>0</v>
      </c>
      <c r="Z209">
        <v>14.7</v>
      </c>
      <c r="AA209">
        <v>31</v>
      </c>
      <c r="AB209">
        <v>239</v>
      </c>
      <c r="AC209">
        <v>82</v>
      </c>
      <c r="AD209">
        <v>23.7</v>
      </c>
      <c r="AE209">
        <v>11.7</v>
      </c>
      <c r="AF209">
        <v>64.2</v>
      </c>
      <c r="AG209">
        <v>68.069999999999993</v>
      </c>
      <c r="AH209">
        <v>35.5</v>
      </c>
      <c r="AI209">
        <v>78.725999999999999</v>
      </c>
      <c r="AJ209">
        <v>76.430000000000007</v>
      </c>
      <c r="AK209">
        <v>89.364000000000004</v>
      </c>
      <c r="AL209">
        <v>4.88</v>
      </c>
      <c r="AM209">
        <v>35.5</v>
      </c>
      <c r="AN209">
        <v>68.069999999999993</v>
      </c>
      <c r="AO209">
        <v>64.2</v>
      </c>
      <c r="AP209">
        <v>-4.88</v>
      </c>
      <c r="AQ209">
        <v>23.57</v>
      </c>
      <c r="AR209">
        <v>21.274000000000001</v>
      </c>
      <c r="AS209">
        <v>10.635999999999999</v>
      </c>
    </row>
    <row r="210" spans="1:45" x14ac:dyDescent="0.25">
      <c r="A210">
        <v>27</v>
      </c>
      <c r="B210">
        <v>7</v>
      </c>
      <c r="C210">
        <v>1</v>
      </c>
      <c r="D210">
        <v>2018</v>
      </c>
      <c r="E210">
        <v>15</v>
      </c>
      <c r="F210" t="str">
        <f>IFERROR(VLOOKUP(G210, Map!$A$1:$B$33, 2, FALSE),"WAS")</f>
        <v>PIT</v>
      </c>
      <c r="G210" t="s">
        <v>145</v>
      </c>
      <c r="H210" t="str">
        <f>IFERROR(VLOOKUP(I210, Map!$A$1:$B$33, 2, FALSE),"WAS")</f>
        <v>NE</v>
      </c>
      <c r="I210" t="s">
        <v>151</v>
      </c>
      <c r="J210" t="s">
        <v>170</v>
      </c>
      <c r="K210" t="s">
        <v>187</v>
      </c>
      <c r="L210">
        <v>1</v>
      </c>
      <c r="M210">
        <v>0</v>
      </c>
      <c r="N210">
        <v>50.045454545454497</v>
      </c>
      <c r="O210">
        <v>2.2727272727272698</v>
      </c>
      <c r="P210">
        <v>2.5</v>
      </c>
      <c r="Q210">
        <v>54.5</v>
      </c>
      <c r="R210">
        <v>4.9000000000000004</v>
      </c>
      <c r="S210">
        <v>7.6</v>
      </c>
      <c r="T210">
        <v>3.1</v>
      </c>
      <c r="U210">
        <v>1.6</v>
      </c>
      <c r="V210">
        <v>16.3</v>
      </c>
      <c r="W210">
        <v>0</v>
      </c>
      <c r="X210">
        <v>20</v>
      </c>
      <c r="Y210">
        <v>16.3</v>
      </c>
      <c r="Z210">
        <v>18.5</v>
      </c>
      <c r="AA210">
        <v>38.5</v>
      </c>
      <c r="AB210">
        <v>46</v>
      </c>
      <c r="AC210">
        <v>94</v>
      </c>
      <c r="AD210">
        <v>28.4</v>
      </c>
      <c r="AE210">
        <v>13</v>
      </c>
      <c r="AF210">
        <v>59.8</v>
      </c>
      <c r="AG210">
        <v>89.963999999999999</v>
      </c>
      <c r="AH210">
        <v>39.9</v>
      </c>
      <c r="AI210">
        <v>57.963999999999999</v>
      </c>
      <c r="AJ210">
        <v>75.165999999999997</v>
      </c>
      <c r="AK210">
        <v>69.688999999999993</v>
      </c>
      <c r="AL210">
        <v>3.3290000000000002</v>
      </c>
      <c r="AM210">
        <v>39.9</v>
      </c>
      <c r="AN210">
        <v>89.963999999999999</v>
      </c>
      <c r="AO210">
        <v>59.8</v>
      </c>
      <c r="AP210">
        <v>-3.3290000000000002</v>
      </c>
      <c r="AQ210">
        <v>24.834</v>
      </c>
      <c r="AR210">
        <v>42.036000000000001</v>
      </c>
      <c r="AS210">
        <v>30.311</v>
      </c>
    </row>
    <row r="211" spans="1:45" x14ac:dyDescent="0.25">
      <c r="A211">
        <v>27</v>
      </c>
      <c r="B211">
        <v>1</v>
      </c>
      <c r="C211">
        <v>1</v>
      </c>
      <c r="D211">
        <v>2018</v>
      </c>
      <c r="E211">
        <v>15</v>
      </c>
      <c r="F211" t="str">
        <f>IFERROR(VLOOKUP(G211, Map!$A$1:$B$33, 2, FALSE),"WAS")</f>
        <v>BUF</v>
      </c>
      <c r="G211" t="s">
        <v>165</v>
      </c>
      <c r="H211" t="str">
        <f>IFERROR(VLOOKUP(I211, Map!$A$1:$B$33, 2, FALSE),"WAS")</f>
        <v>DET</v>
      </c>
      <c r="I211" t="s">
        <v>164</v>
      </c>
      <c r="J211" t="s">
        <v>180</v>
      </c>
      <c r="K211" t="s">
        <v>173</v>
      </c>
      <c r="L211">
        <v>1</v>
      </c>
      <c r="M211">
        <v>0</v>
      </c>
      <c r="N211">
        <v>36</v>
      </c>
      <c r="O211">
        <v>-2.2727272727272698</v>
      </c>
      <c r="P211">
        <v>-2.5</v>
      </c>
      <c r="Q211">
        <v>39.5</v>
      </c>
      <c r="R211">
        <v>9.1</v>
      </c>
      <c r="S211">
        <v>14</v>
      </c>
      <c r="T211">
        <v>4.5</v>
      </c>
      <c r="U211">
        <v>6.2</v>
      </c>
      <c r="V211">
        <v>0</v>
      </c>
      <c r="W211">
        <v>0</v>
      </c>
      <c r="X211">
        <v>0</v>
      </c>
      <c r="Y211">
        <v>0</v>
      </c>
      <c r="Z211">
        <v>20.9</v>
      </c>
      <c r="AA211">
        <v>42.1</v>
      </c>
      <c r="AB211">
        <v>253</v>
      </c>
      <c r="AC211">
        <v>86</v>
      </c>
      <c r="AD211">
        <v>27.9</v>
      </c>
      <c r="AE211">
        <v>14.3</v>
      </c>
      <c r="AF211">
        <v>55</v>
      </c>
      <c r="AG211">
        <v>23.545999999999999</v>
      </c>
      <c r="AH211">
        <v>44.7</v>
      </c>
      <c r="AI211">
        <v>41.652000000000001</v>
      </c>
      <c r="AJ211">
        <v>56.493000000000002</v>
      </c>
      <c r="AK211">
        <v>55.265999999999998</v>
      </c>
      <c r="AL211">
        <v>1.722</v>
      </c>
      <c r="AM211">
        <v>44.7</v>
      </c>
      <c r="AN211">
        <v>23.545999999999999</v>
      </c>
      <c r="AO211">
        <v>55</v>
      </c>
      <c r="AP211">
        <v>-1.722</v>
      </c>
      <c r="AQ211">
        <v>43.506999999999998</v>
      </c>
      <c r="AR211">
        <v>58.347999999999999</v>
      </c>
      <c r="AS211">
        <v>44.734000000000002</v>
      </c>
    </row>
    <row r="212" spans="1:45" x14ac:dyDescent="0.25">
      <c r="A212">
        <v>21</v>
      </c>
      <c r="B212">
        <v>-3</v>
      </c>
      <c r="C212">
        <v>0</v>
      </c>
      <c r="D212">
        <v>2018</v>
      </c>
      <c r="E212">
        <v>15</v>
      </c>
      <c r="F212" t="str">
        <f>IFERROR(VLOOKUP(G212, Map!$A$1:$B$33, 2, FALSE),"WAS")</f>
        <v>CAR</v>
      </c>
      <c r="G212" t="s">
        <v>142</v>
      </c>
      <c r="H212" t="str">
        <f>IFERROR(VLOOKUP(I212, Map!$A$1:$B$33, 2, FALSE),"WAS")</f>
        <v>NO</v>
      </c>
      <c r="I212" t="s">
        <v>168</v>
      </c>
      <c r="J212" t="s">
        <v>185</v>
      </c>
      <c r="K212" t="s">
        <v>192</v>
      </c>
      <c r="L212">
        <v>0</v>
      </c>
      <c r="M212">
        <v>0</v>
      </c>
      <c r="N212">
        <v>45.909090909090899</v>
      </c>
      <c r="O212">
        <v>5.5</v>
      </c>
      <c r="P212">
        <v>6</v>
      </c>
      <c r="Q212">
        <v>50</v>
      </c>
      <c r="R212">
        <v>6.7</v>
      </c>
      <c r="S212">
        <v>11.5</v>
      </c>
      <c r="T212">
        <v>2.1</v>
      </c>
      <c r="U212">
        <v>3.2</v>
      </c>
      <c r="V212">
        <v>0</v>
      </c>
      <c r="W212">
        <v>0</v>
      </c>
      <c r="X212">
        <v>0</v>
      </c>
      <c r="Y212">
        <v>0</v>
      </c>
      <c r="Z212">
        <v>15.5</v>
      </c>
      <c r="AA212">
        <v>30.2</v>
      </c>
      <c r="AB212">
        <v>17</v>
      </c>
      <c r="AC212">
        <v>64</v>
      </c>
      <c r="AD212">
        <v>17.2</v>
      </c>
      <c r="AE212">
        <v>9</v>
      </c>
      <c r="AF212">
        <v>33.700000000000003</v>
      </c>
      <c r="AG212">
        <v>85.186999999999998</v>
      </c>
      <c r="AH212">
        <v>66</v>
      </c>
      <c r="AI212">
        <v>68.137</v>
      </c>
      <c r="AJ212">
        <v>24.300999999999998</v>
      </c>
      <c r="AK212">
        <v>37.387999999999998</v>
      </c>
      <c r="AL212">
        <v>-5.5149999999999997</v>
      </c>
      <c r="AM212">
        <v>66</v>
      </c>
      <c r="AN212">
        <v>85.186999999999998</v>
      </c>
      <c r="AO212">
        <v>33.700000000000003</v>
      </c>
      <c r="AP212">
        <v>5.5149999999999997</v>
      </c>
      <c r="AQ212">
        <v>75.698999999999998</v>
      </c>
      <c r="AR212">
        <v>31.863</v>
      </c>
      <c r="AS212">
        <v>62.612000000000002</v>
      </c>
    </row>
    <row r="213" spans="1:45" x14ac:dyDescent="0.25">
      <c r="A213">
        <v>49</v>
      </c>
      <c r="B213">
        <v>3</v>
      </c>
      <c r="C213">
        <v>1</v>
      </c>
      <c r="D213">
        <v>2018</v>
      </c>
      <c r="E213">
        <v>15</v>
      </c>
      <c r="F213" t="str">
        <f>IFERROR(VLOOKUP(G213, Map!$A$1:$B$33, 2, FALSE),"WAS")</f>
        <v>SF</v>
      </c>
      <c r="G213" t="s">
        <v>143</v>
      </c>
      <c r="H213" t="str">
        <f>IFERROR(VLOOKUP(I213, Map!$A$1:$B$33, 2, FALSE),"WAS")</f>
        <v>SEA</v>
      </c>
      <c r="I213" t="s">
        <v>144</v>
      </c>
      <c r="J213" t="s">
        <v>197</v>
      </c>
      <c r="K213" t="s">
        <v>182</v>
      </c>
      <c r="L213">
        <v>1</v>
      </c>
      <c r="M213">
        <v>0</v>
      </c>
      <c r="N213">
        <v>40.045454545454497</v>
      </c>
      <c r="O213">
        <v>3.5909090909090899</v>
      </c>
      <c r="P213">
        <v>3.5</v>
      </c>
      <c r="Q213">
        <v>44</v>
      </c>
      <c r="R213">
        <v>12.3</v>
      </c>
      <c r="S213">
        <v>16</v>
      </c>
      <c r="T213">
        <v>9.1</v>
      </c>
      <c r="U213">
        <v>10</v>
      </c>
      <c r="V213">
        <v>1.4</v>
      </c>
      <c r="W213">
        <v>0</v>
      </c>
      <c r="X213">
        <v>4</v>
      </c>
      <c r="Y213">
        <v>1.4</v>
      </c>
      <c r="Z213">
        <v>21.1</v>
      </c>
      <c r="AA213">
        <v>34.9</v>
      </c>
      <c r="AB213">
        <v>134</v>
      </c>
      <c r="AC213">
        <v>79</v>
      </c>
      <c r="AD213">
        <v>21.9</v>
      </c>
      <c r="AE213">
        <v>13.7</v>
      </c>
      <c r="AF213">
        <v>34</v>
      </c>
      <c r="AG213">
        <v>43.908999999999999</v>
      </c>
      <c r="AH213">
        <v>65.8</v>
      </c>
      <c r="AI213">
        <v>39.04</v>
      </c>
      <c r="AJ213">
        <v>59.024000000000001</v>
      </c>
      <c r="AK213">
        <v>56.45</v>
      </c>
      <c r="AL213">
        <v>-5.42</v>
      </c>
      <c r="AM213">
        <v>65.8</v>
      </c>
      <c r="AN213">
        <v>43.908999999999999</v>
      </c>
      <c r="AO213">
        <v>34</v>
      </c>
      <c r="AP213">
        <v>5.42</v>
      </c>
      <c r="AQ213">
        <v>40.975999999999999</v>
      </c>
      <c r="AR213">
        <v>60.96</v>
      </c>
      <c r="AS213">
        <v>43.55</v>
      </c>
    </row>
    <row r="214" spans="1:45" x14ac:dyDescent="0.25">
      <c r="A214">
        <v>58</v>
      </c>
      <c r="B214">
        <v>24</v>
      </c>
      <c r="C214">
        <v>1</v>
      </c>
      <c r="D214">
        <v>2018</v>
      </c>
      <c r="E214">
        <v>15</v>
      </c>
      <c r="F214" t="str">
        <f>IFERROR(VLOOKUP(G214, Map!$A$1:$B$33, 2, FALSE),"WAS")</f>
        <v>MIN</v>
      </c>
      <c r="G214" t="s">
        <v>153</v>
      </c>
      <c r="H214" t="str">
        <f>IFERROR(VLOOKUP(I214, Map!$A$1:$B$33, 2, FALSE),"WAS")</f>
        <v>MIA</v>
      </c>
      <c r="I214" t="s">
        <v>152</v>
      </c>
      <c r="J214" t="s">
        <v>214</v>
      </c>
      <c r="K214" t="s">
        <v>175</v>
      </c>
      <c r="L214">
        <v>1</v>
      </c>
      <c r="M214">
        <v>0</v>
      </c>
      <c r="N214">
        <v>41.272727272727302</v>
      </c>
      <c r="O214">
        <v>-7.0454545454545503</v>
      </c>
      <c r="P214">
        <v>-7.5</v>
      </c>
      <c r="Q214">
        <v>44.5</v>
      </c>
      <c r="R214">
        <v>0.4</v>
      </c>
      <c r="S214">
        <v>4.9000000000000004</v>
      </c>
      <c r="T214">
        <v>-4.0999999999999996</v>
      </c>
      <c r="U214">
        <v>-3.7</v>
      </c>
      <c r="V214">
        <v>0</v>
      </c>
      <c r="W214">
        <v>0</v>
      </c>
      <c r="X214">
        <v>0</v>
      </c>
      <c r="Y214">
        <v>0</v>
      </c>
      <c r="Z214">
        <v>14.2</v>
      </c>
      <c r="AA214">
        <v>25.6</v>
      </c>
      <c r="AB214">
        <v>237</v>
      </c>
      <c r="AC214">
        <v>75</v>
      </c>
      <c r="AD214">
        <v>18.399999999999999</v>
      </c>
      <c r="AE214">
        <v>10.199999999999999</v>
      </c>
      <c r="AF214">
        <v>82.5</v>
      </c>
      <c r="AG214">
        <v>44.923999999999999</v>
      </c>
      <c r="AH214">
        <v>17.3</v>
      </c>
      <c r="AI214">
        <v>92.182000000000002</v>
      </c>
      <c r="AJ214">
        <v>68.281999999999996</v>
      </c>
      <c r="AK214">
        <v>91.183000000000007</v>
      </c>
      <c r="AL214">
        <v>12.468999999999999</v>
      </c>
      <c r="AM214">
        <v>17.3</v>
      </c>
      <c r="AN214">
        <v>44.923999999999999</v>
      </c>
      <c r="AO214">
        <v>82.5</v>
      </c>
      <c r="AP214">
        <v>-12.468999999999999</v>
      </c>
      <c r="AQ214">
        <v>31.718</v>
      </c>
      <c r="AR214">
        <v>7.8179999999999996</v>
      </c>
      <c r="AS214">
        <v>8.8170000000000002</v>
      </c>
    </row>
    <row r="215" spans="1:45" x14ac:dyDescent="0.25">
      <c r="A215">
        <v>41</v>
      </c>
      <c r="B215">
        <v>7</v>
      </c>
      <c r="C215">
        <v>1</v>
      </c>
      <c r="D215">
        <v>2018</v>
      </c>
      <c r="E215">
        <v>15</v>
      </c>
      <c r="F215" t="str">
        <f>IFERROR(VLOOKUP(G215, Map!$A$1:$B$33, 2, FALSE),"WAS")</f>
        <v>CHI</v>
      </c>
      <c r="G215" t="s">
        <v>163</v>
      </c>
      <c r="H215" t="str">
        <f>IFERROR(VLOOKUP(I215, Map!$A$1:$B$33, 2, FALSE),"WAS")</f>
        <v>GB</v>
      </c>
      <c r="I215" t="s">
        <v>154</v>
      </c>
      <c r="J215" t="s">
        <v>216</v>
      </c>
      <c r="K215" t="s">
        <v>200</v>
      </c>
      <c r="L215">
        <v>1</v>
      </c>
      <c r="M215">
        <v>0</v>
      </c>
      <c r="N215">
        <v>42.090909090909101</v>
      </c>
      <c r="O215">
        <v>-5.2272727272727302</v>
      </c>
      <c r="P215">
        <v>-5</v>
      </c>
      <c r="Q215">
        <v>44.5</v>
      </c>
      <c r="R215">
        <v>1.8</v>
      </c>
      <c r="S215">
        <v>8.8000000000000007</v>
      </c>
      <c r="T215">
        <v>-4.0999999999999996</v>
      </c>
      <c r="U215">
        <v>-2.2999999999999998</v>
      </c>
      <c r="V215">
        <v>0</v>
      </c>
      <c r="W215">
        <v>0</v>
      </c>
      <c r="X215">
        <v>0</v>
      </c>
      <c r="Y215">
        <v>0</v>
      </c>
      <c r="Z215">
        <v>18</v>
      </c>
      <c r="AA215">
        <v>27.7</v>
      </c>
      <c r="AB215">
        <v>304</v>
      </c>
      <c r="AC215">
        <v>83</v>
      </c>
      <c r="AD215">
        <v>19.2</v>
      </c>
      <c r="AE215">
        <v>12.7</v>
      </c>
      <c r="AF215">
        <v>62.7</v>
      </c>
      <c r="AG215">
        <v>72.207999999999998</v>
      </c>
      <c r="AH215">
        <v>37</v>
      </c>
      <c r="AI215">
        <v>65.828000000000003</v>
      </c>
      <c r="AJ215">
        <v>72.381</v>
      </c>
      <c r="AK215">
        <v>74.998000000000005</v>
      </c>
      <c r="AL215">
        <v>4.3310000000000004</v>
      </c>
      <c r="AM215">
        <v>37</v>
      </c>
      <c r="AN215">
        <v>72.207999999999998</v>
      </c>
      <c r="AO215">
        <v>62.7</v>
      </c>
      <c r="AP215">
        <v>-4.3310000000000004</v>
      </c>
      <c r="AQ215">
        <v>27.619</v>
      </c>
      <c r="AR215">
        <v>34.171999999999997</v>
      </c>
      <c r="AS215">
        <v>25.001999999999999</v>
      </c>
    </row>
    <row r="216" spans="1:45" x14ac:dyDescent="0.25">
      <c r="A216">
        <v>53</v>
      </c>
      <c r="B216">
        <v>-7</v>
      </c>
      <c r="C216">
        <v>0</v>
      </c>
      <c r="D216">
        <v>2018</v>
      </c>
      <c r="E216">
        <v>15</v>
      </c>
      <c r="F216" t="str">
        <f>IFERROR(VLOOKUP(G216, Map!$A$1:$B$33, 2, FALSE),"WAS")</f>
        <v>LA</v>
      </c>
      <c r="G216" t="s">
        <v>155</v>
      </c>
      <c r="H216" t="str">
        <f>IFERROR(VLOOKUP(I216, Map!$A$1:$B$33, 2, FALSE),"WAS")</f>
        <v>PHI</v>
      </c>
      <c r="I216" t="s">
        <v>147</v>
      </c>
      <c r="J216" t="s">
        <v>178</v>
      </c>
      <c r="K216" t="s">
        <v>206</v>
      </c>
      <c r="L216">
        <v>0</v>
      </c>
      <c r="M216">
        <v>0</v>
      </c>
      <c r="N216">
        <v>47.954545454545503</v>
      </c>
      <c r="O216">
        <v>-12.2727272727273</v>
      </c>
      <c r="P216">
        <v>-13.5</v>
      </c>
      <c r="Q216">
        <v>52</v>
      </c>
      <c r="R216">
        <v>13.4</v>
      </c>
      <c r="S216">
        <v>17.8</v>
      </c>
      <c r="T216">
        <v>10.9</v>
      </c>
      <c r="U216">
        <v>13</v>
      </c>
      <c r="V216">
        <v>0.2</v>
      </c>
      <c r="W216">
        <v>0</v>
      </c>
      <c r="X216">
        <v>2</v>
      </c>
      <c r="Y216">
        <v>0.2</v>
      </c>
      <c r="Z216">
        <v>11</v>
      </c>
      <c r="AA216">
        <v>23.4</v>
      </c>
      <c r="AB216">
        <v>142</v>
      </c>
      <c r="AC216">
        <v>86</v>
      </c>
      <c r="AD216">
        <v>12.1</v>
      </c>
      <c r="AE216">
        <v>5.0999999999999996</v>
      </c>
      <c r="AF216">
        <v>82</v>
      </c>
      <c r="AG216">
        <v>70.036000000000001</v>
      </c>
      <c r="AH216">
        <v>17.8</v>
      </c>
      <c r="AI216">
        <v>37.707999999999998</v>
      </c>
      <c r="AJ216">
        <v>31.315000000000001</v>
      </c>
      <c r="AK216">
        <v>21.670999999999999</v>
      </c>
      <c r="AL216">
        <v>12.199</v>
      </c>
      <c r="AM216">
        <v>17.8</v>
      </c>
      <c r="AN216">
        <v>70.036000000000001</v>
      </c>
      <c r="AO216">
        <v>82</v>
      </c>
      <c r="AP216">
        <v>-12.199</v>
      </c>
      <c r="AQ216">
        <v>68.685000000000002</v>
      </c>
      <c r="AR216">
        <v>62.292000000000002</v>
      </c>
      <c r="AS216">
        <v>78.328999999999994</v>
      </c>
    </row>
    <row r="217" spans="1:45" x14ac:dyDescent="0.25">
      <c r="A217">
        <v>54</v>
      </c>
      <c r="B217">
        <v>26</v>
      </c>
      <c r="C217">
        <v>1</v>
      </c>
      <c r="D217">
        <v>2018</v>
      </c>
      <c r="E217">
        <v>15</v>
      </c>
      <c r="F217" t="str">
        <f>IFERROR(VLOOKUP(G217, Map!$A$1:$B$33, 2, FALSE),"WAS")</f>
        <v>ATL</v>
      </c>
      <c r="G217" t="s">
        <v>167</v>
      </c>
      <c r="H217" t="str">
        <f>IFERROR(VLOOKUP(I217, Map!$A$1:$B$33, 2, FALSE),"WAS")</f>
        <v>ARI</v>
      </c>
      <c r="I217" t="s">
        <v>156</v>
      </c>
      <c r="J217" t="s">
        <v>188</v>
      </c>
      <c r="K217" t="s">
        <v>190</v>
      </c>
      <c r="L217">
        <v>1</v>
      </c>
      <c r="M217">
        <v>0</v>
      </c>
      <c r="N217">
        <v>39.5</v>
      </c>
      <c r="O217">
        <v>-8.4090909090909101</v>
      </c>
      <c r="P217">
        <v>-8.5</v>
      </c>
      <c r="Q217">
        <v>43</v>
      </c>
      <c r="R217">
        <v>9.1</v>
      </c>
      <c r="S217">
        <v>12</v>
      </c>
      <c r="T217">
        <v>6.5</v>
      </c>
      <c r="U217">
        <v>5.9</v>
      </c>
      <c r="V217">
        <v>0.7</v>
      </c>
      <c r="W217">
        <v>0</v>
      </c>
      <c r="X217">
        <v>6</v>
      </c>
      <c r="Y217">
        <v>0.7</v>
      </c>
      <c r="Z217">
        <v>23.7</v>
      </c>
      <c r="AA217">
        <v>41.4</v>
      </c>
      <c r="AB217">
        <v>287</v>
      </c>
      <c r="AC217">
        <v>85</v>
      </c>
      <c r="AD217">
        <v>28.6</v>
      </c>
      <c r="AE217">
        <v>15.5</v>
      </c>
      <c r="AF217">
        <v>89.1</v>
      </c>
      <c r="AG217">
        <v>45.798999999999999</v>
      </c>
      <c r="AH217">
        <v>10.8</v>
      </c>
      <c r="AI217">
        <v>95.539000000000001</v>
      </c>
      <c r="AJ217">
        <v>81.198999999999998</v>
      </c>
      <c r="AK217">
        <v>92.141999999999996</v>
      </c>
      <c r="AL217">
        <v>16.390999999999998</v>
      </c>
      <c r="AM217">
        <v>10.8</v>
      </c>
      <c r="AN217">
        <v>45.798999999999999</v>
      </c>
      <c r="AO217">
        <v>89.1</v>
      </c>
      <c r="AP217">
        <v>-16.390999999999998</v>
      </c>
      <c r="AQ217">
        <v>18.800999999999998</v>
      </c>
      <c r="AR217">
        <v>4.4610000000000003</v>
      </c>
      <c r="AS217">
        <v>7.8579999999999997</v>
      </c>
    </row>
    <row r="218" spans="1:45" x14ac:dyDescent="0.25">
      <c r="A218">
        <v>23</v>
      </c>
      <c r="B218">
        <v>23</v>
      </c>
      <c r="C218">
        <v>1</v>
      </c>
      <c r="D218">
        <v>2018</v>
      </c>
      <c r="E218">
        <v>15</v>
      </c>
      <c r="F218" t="str">
        <f>IFERROR(VLOOKUP(G218, Map!$A$1:$B$33, 2, FALSE),"WAS")</f>
        <v>IND</v>
      </c>
      <c r="G218" t="s">
        <v>138</v>
      </c>
      <c r="H218" t="str">
        <f>IFERROR(VLOOKUP(I218, Map!$A$1:$B$33, 2, FALSE),"WAS")</f>
        <v>DAL</v>
      </c>
      <c r="I218" t="s">
        <v>150</v>
      </c>
      <c r="J218" t="s">
        <v>177</v>
      </c>
      <c r="K218" t="s">
        <v>184</v>
      </c>
      <c r="L218">
        <v>1</v>
      </c>
      <c r="M218">
        <v>0</v>
      </c>
      <c r="N218">
        <v>42.545454545454497</v>
      </c>
      <c r="O218">
        <v>-2.7727272727272698</v>
      </c>
      <c r="P218">
        <v>-3</v>
      </c>
      <c r="Q218">
        <v>46.5</v>
      </c>
      <c r="R218">
        <v>5.4</v>
      </c>
      <c r="S218">
        <v>10.8</v>
      </c>
      <c r="T218">
        <v>2.5</v>
      </c>
      <c r="U218">
        <v>1.6</v>
      </c>
      <c r="V218">
        <v>4.5</v>
      </c>
      <c r="W218">
        <v>0</v>
      </c>
      <c r="X218">
        <v>6</v>
      </c>
      <c r="Y218">
        <v>4.5</v>
      </c>
      <c r="Z218">
        <v>24.8</v>
      </c>
      <c r="AA218">
        <v>46.1</v>
      </c>
      <c r="AB218">
        <v>348</v>
      </c>
      <c r="AC218">
        <v>81</v>
      </c>
      <c r="AD218">
        <v>28.5</v>
      </c>
      <c r="AE218">
        <v>14</v>
      </c>
      <c r="AF218">
        <v>60.1</v>
      </c>
      <c r="AG218">
        <v>72.114000000000004</v>
      </c>
      <c r="AH218">
        <v>39.6</v>
      </c>
      <c r="AI218">
        <v>72.882999999999996</v>
      </c>
      <c r="AJ218">
        <v>79.591999999999999</v>
      </c>
      <c r="AK218">
        <v>91.403999999999996</v>
      </c>
      <c r="AL218">
        <v>3.4289999999999998</v>
      </c>
      <c r="AM218">
        <v>39.6</v>
      </c>
      <c r="AN218">
        <v>72.114000000000004</v>
      </c>
      <c r="AO218">
        <v>60.1</v>
      </c>
      <c r="AP218">
        <v>-3.4289999999999998</v>
      </c>
      <c r="AQ218">
        <v>20.408000000000001</v>
      </c>
      <c r="AR218">
        <v>27.117000000000001</v>
      </c>
      <c r="AS218">
        <v>8.5960000000000001</v>
      </c>
    </row>
    <row r="219" spans="1:45" x14ac:dyDescent="0.25">
      <c r="A219">
        <v>46</v>
      </c>
      <c r="B219">
        <v>14</v>
      </c>
      <c r="C219">
        <v>1</v>
      </c>
      <c r="D219">
        <v>2018</v>
      </c>
      <c r="E219">
        <v>15</v>
      </c>
      <c r="F219" t="str">
        <f>IFERROR(VLOOKUP(G219, Map!$A$1:$B$33, 2, FALSE),"WAS")</f>
        <v>CIN</v>
      </c>
      <c r="G219" t="s">
        <v>161</v>
      </c>
      <c r="H219" t="str">
        <f>IFERROR(VLOOKUP(I219, Map!$A$1:$B$33, 2, FALSE),"WAS")</f>
        <v>LV</v>
      </c>
      <c r="I219" t="s">
        <v>157</v>
      </c>
      <c r="J219" t="s">
        <v>176</v>
      </c>
      <c r="K219" t="s">
        <v>179</v>
      </c>
      <c r="L219">
        <v>1</v>
      </c>
      <c r="M219">
        <v>0</v>
      </c>
      <c r="N219">
        <v>41.818181818181799</v>
      </c>
      <c r="O219">
        <v>-2.7727272727272698</v>
      </c>
      <c r="P219">
        <v>-3</v>
      </c>
      <c r="Q219">
        <v>45.5</v>
      </c>
      <c r="R219">
        <v>7.6</v>
      </c>
      <c r="S219">
        <v>11.9</v>
      </c>
      <c r="T219">
        <v>4.7</v>
      </c>
      <c r="U219">
        <v>4.9000000000000004</v>
      </c>
      <c r="V219">
        <v>1.4</v>
      </c>
      <c r="W219">
        <v>0</v>
      </c>
      <c r="X219">
        <v>4</v>
      </c>
      <c r="Y219">
        <v>1.4</v>
      </c>
      <c r="Z219">
        <v>18</v>
      </c>
      <c r="AA219">
        <v>36</v>
      </c>
      <c r="AB219">
        <v>320</v>
      </c>
      <c r="AC219">
        <v>87</v>
      </c>
      <c r="AD219">
        <v>24.5</v>
      </c>
      <c r="AE219">
        <v>11</v>
      </c>
      <c r="AF219">
        <v>67.900000000000006</v>
      </c>
      <c r="AG219">
        <v>18.768999999999998</v>
      </c>
      <c r="AH219">
        <v>31.8</v>
      </c>
      <c r="AI219">
        <v>90.07</v>
      </c>
      <c r="AJ219">
        <v>61.746000000000002</v>
      </c>
      <c r="AK219">
        <v>86.225999999999999</v>
      </c>
      <c r="AL219">
        <v>6.2270000000000003</v>
      </c>
      <c r="AM219">
        <v>31.8</v>
      </c>
      <c r="AN219">
        <v>18.768999999999998</v>
      </c>
      <c r="AO219">
        <v>67.900000000000006</v>
      </c>
      <c r="AP219">
        <v>-6.2270000000000003</v>
      </c>
      <c r="AQ219">
        <v>38.253999999999998</v>
      </c>
      <c r="AR219">
        <v>9.93</v>
      </c>
      <c r="AS219">
        <v>13.773999999999999</v>
      </c>
    </row>
    <row r="220" spans="1:45" x14ac:dyDescent="0.25">
      <c r="A220">
        <v>32</v>
      </c>
      <c r="B220">
        <v>8</v>
      </c>
      <c r="C220">
        <v>1</v>
      </c>
      <c r="D220">
        <v>2018</v>
      </c>
      <c r="E220">
        <v>15</v>
      </c>
      <c r="F220" t="str">
        <f>IFERROR(VLOOKUP(G220, Map!$A$1:$B$33, 2, FALSE),"WAS")</f>
        <v>BAL</v>
      </c>
      <c r="G220" t="s">
        <v>146</v>
      </c>
      <c r="H220" t="str">
        <f>IFERROR(VLOOKUP(I220, Map!$A$1:$B$33, 2, FALSE),"WAS")</f>
        <v>TB</v>
      </c>
      <c r="I220" t="s">
        <v>141</v>
      </c>
      <c r="J220" t="s">
        <v>181</v>
      </c>
      <c r="K220" t="s">
        <v>186</v>
      </c>
      <c r="L220">
        <v>1</v>
      </c>
      <c r="M220">
        <v>0</v>
      </c>
      <c r="N220">
        <v>40.681818181818201</v>
      </c>
      <c r="O220">
        <v>-7.7272727272727302</v>
      </c>
      <c r="P220">
        <v>-8</v>
      </c>
      <c r="Q220">
        <v>44</v>
      </c>
      <c r="R220">
        <v>7.2</v>
      </c>
      <c r="S220">
        <v>10.1</v>
      </c>
      <c r="T220">
        <v>4.7</v>
      </c>
      <c r="U220">
        <v>3.3</v>
      </c>
      <c r="V220">
        <v>52.7</v>
      </c>
      <c r="W220">
        <v>0</v>
      </c>
      <c r="X220">
        <v>24</v>
      </c>
      <c r="Y220">
        <v>52.7</v>
      </c>
      <c r="Z220">
        <v>24.9</v>
      </c>
      <c r="AA220">
        <v>61.2</v>
      </c>
      <c r="AB220">
        <v>23</v>
      </c>
      <c r="AC220">
        <v>92</v>
      </c>
      <c r="AD220">
        <v>41.5</v>
      </c>
      <c r="AE220">
        <v>19.7</v>
      </c>
      <c r="AF220">
        <v>69.900000000000006</v>
      </c>
      <c r="AG220">
        <v>53.759</v>
      </c>
      <c r="AH220">
        <v>29.9</v>
      </c>
      <c r="AI220">
        <v>80.688000000000002</v>
      </c>
      <c r="AJ220">
        <v>59.975000000000001</v>
      </c>
      <c r="AK220">
        <v>72.364999999999995</v>
      </c>
      <c r="AL220">
        <v>6.9429999999999996</v>
      </c>
      <c r="AM220">
        <v>29.9</v>
      </c>
      <c r="AN220">
        <v>53.759</v>
      </c>
      <c r="AO220">
        <v>69.900000000000006</v>
      </c>
      <c r="AP220">
        <v>-6.9429999999999996</v>
      </c>
      <c r="AQ220">
        <v>40.024999999999999</v>
      </c>
      <c r="AR220">
        <v>19.312000000000001</v>
      </c>
      <c r="AS220">
        <v>27.635000000000002</v>
      </c>
    </row>
    <row r="221" spans="1:45" x14ac:dyDescent="0.25">
      <c r="A221">
        <v>57</v>
      </c>
      <c r="B221">
        <v>-1</v>
      </c>
      <c r="C221">
        <v>0</v>
      </c>
      <c r="D221">
        <v>2018</v>
      </c>
      <c r="E221">
        <v>15</v>
      </c>
      <c r="F221" t="str">
        <f>IFERROR(VLOOKUP(G221, Map!$A$1:$B$33, 2, FALSE),"WAS")</f>
        <v>KC</v>
      </c>
      <c r="G221" t="s">
        <v>158</v>
      </c>
      <c r="H221" t="str">
        <f>IFERROR(VLOOKUP(I221, Map!$A$1:$B$33, 2, FALSE),"WAS")</f>
        <v>LAC</v>
      </c>
      <c r="I221" t="s">
        <v>160</v>
      </c>
      <c r="J221" t="s">
        <v>202</v>
      </c>
      <c r="K221" t="s">
        <v>210</v>
      </c>
      <c r="L221">
        <v>0</v>
      </c>
      <c r="M221">
        <v>0</v>
      </c>
      <c r="N221">
        <v>49.272727272727302</v>
      </c>
      <c r="O221">
        <v>-3.1818181818181799</v>
      </c>
      <c r="P221">
        <v>-3.5</v>
      </c>
      <c r="Q221">
        <v>52.5</v>
      </c>
      <c r="R221">
        <v>2.6</v>
      </c>
      <c r="S221">
        <v>7.1</v>
      </c>
      <c r="T221">
        <v>-0.6</v>
      </c>
      <c r="U221">
        <v>-1.8</v>
      </c>
      <c r="V221">
        <v>0</v>
      </c>
      <c r="W221">
        <v>0</v>
      </c>
      <c r="X221">
        <v>0</v>
      </c>
      <c r="Y221">
        <v>0</v>
      </c>
      <c r="Z221">
        <v>19.600000000000001</v>
      </c>
      <c r="AA221">
        <v>35.299999999999997</v>
      </c>
      <c r="AB221">
        <v>359</v>
      </c>
      <c r="AC221">
        <v>82</v>
      </c>
      <c r="AD221">
        <v>30.3</v>
      </c>
      <c r="AE221">
        <v>15.5</v>
      </c>
      <c r="AF221">
        <v>63.3</v>
      </c>
      <c r="AG221">
        <v>88.844999999999999</v>
      </c>
      <c r="AH221">
        <v>36.4</v>
      </c>
      <c r="AI221">
        <v>24.536999999999999</v>
      </c>
      <c r="AJ221">
        <v>81.988</v>
      </c>
      <c r="AK221">
        <v>60.08</v>
      </c>
      <c r="AL221">
        <v>4.5350000000000001</v>
      </c>
      <c r="AM221">
        <v>36.4</v>
      </c>
      <c r="AN221">
        <v>88.844999999999999</v>
      </c>
      <c r="AO221">
        <v>63.3</v>
      </c>
      <c r="AP221">
        <v>-4.5350000000000001</v>
      </c>
      <c r="AQ221">
        <v>18.012</v>
      </c>
      <c r="AR221">
        <v>75.462999999999994</v>
      </c>
      <c r="AS221">
        <v>39.92</v>
      </c>
    </row>
    <row r="222" spans="1:45" x14ac:dyDescent="0.25">
      <c r="A222">
        <v>17</v>
      </c>
      <c r="B222">
        <v>-17</v>
      </c>
      <c r="C222">
        <v>0</v>
      </c>
      <c r="D222">
        <v>2018</v>
      </c>
      <c r="E222">
        <v>15</v>
      </c>
      <c r="F222" t="str">
        <f>IFERROR(VLOOKUP(G222, Map!$A$1:$B$33, 2, FALSE),"WAS")</f>
        <v>NYG</v>
      </c>
      <c r="G222" t="s">
        <v>149</v>
      </c>
      <c r="H222" t="str">
        <f>IFERROR(VLOOKUP(I222, Map!$A$1:$B$33, 2, FALSE),"WAS")</f>
        <v>TEN</v>
      </c>
      <c r="I222" t="s">
        <v>140</v>
      </c>
      <c r="J222" t="s">
        <v>219</v>
      </c>
      <c r="K222" t="s">
        <v>174</v>
      </c>
      <c r="L222">
        <v>0</v>
      </c>
      <c r="M222">
        <v>0</v>
      </c>
      <c r="N222">
        <v>38.5</v>
      </c>
      <c r="O222">
        <v>2.0909090909090899</v>
      </c>
      <c r="P222">
        <v>1.5</v>
      </c>
      <c r="Q222">
        <v>42</v>
      </c>
      <c r="R222">
        <v>4.9000000000000004</v>
      </c>
      <c r="S222">
        <v>7.8</v>
      </c>
      <c r="T222">
        <v>3.3</v>
      </c>
      <c r="U222">
        <v>0</v>
      </c>
      <c r="V222">
        <v>19.8</v>
      </c>
      <c r="W222">
        <v>0</v>
      </c>
      <c r="X222">
        <v>17</v>
      </c>
      <c r="Y222">
        <v>19.8</v>
      </c>
      <c r="Z222">
        <v>24.7</v>
      </c>
      <c r="AA222">
        <v>48.2</v>
      </c>
      <c r="AB222">
        <v>42</v>
      </c>
      <c r="AC222">
        <v>84</v>
      </c>
      <c r="AD222">
        <v>43.2</v>
      </c>
      <c r="AE222">
        <v>21.7</v>
      </c>
      <c r="AF222">
        <v>58.5</v>
      </c>
      <c r="AG222">
        <v>49.136000000000003</v>
      </c>
      <c r="AH222">
        <v>41.2</v>
      </c>
      <c r="AI222">
        <v>34.505000000000003</v>
      </c>
      <c r="AJ222">
        <v>8.3529999999999998</v>
      </c>
      <c r="AK222">
        <v>16.271999999999998</v>
      </c>
      <c r="AL222">
        <v>2.8969999999999998</v>
      </c>
      <c r="AM222">
        <v>41.2</v>
      </c>
      <c r="AN222">
        <v>49.136000000000003</v>
      </c>
      <c r="AO222">
        <v>58.5</v>
      </c>
      <c r="AP222">
        <v>-2.8969999999999998</v>
      </c>
      <c r="AQ222">
        <v>91.647000000000006</v>
      </c>
      <c r="AR222">
        <v>65.495000000000005</v>
      </c>
      <c r="AS222">
        <v>83.727999999999994</v>
      </c>
    </row>
    <row r="223" spans="1:45" x14ac:dyDescent="0.25">
      <c r="A223">
        <v>33</v>
      </c>
      <c r="B223">
        <v>-1</v>
      </c>
      <c r="C223">
        <v>0</v>
      </c>
      <c r="D223">
        <v>2018</v>
      </c>
      <c r="E223">
        <v>15</v>
      </c>
      <c r="F223" t="str">
        <f>IFERROR(VLOOKUP(G223, Map!$A$1:$B$33, 2, FALSE),"WAS")</f>
        <v>DEN</v>
      </c>
      <c r="G223" t="s">
        <v>159</v>
      </c>
      <c r="H223" t="str">
        <f>IFERROR(VLOOKUP(I223, Map!$A$1:$B$33, 2, FALSE),"WAS")</f>
        <v>CLE</v>
      </c>
      <c r="I223" t="s">
        <v>162</v>
      </c>
      <c r="J223" t="s">
        <v>183</v>
      </c>
      <c r="K223" t="s">
        <v>171</v>
      </c>
      <c r="L223">
        <v>0</v>
      </c>
      <c r="M223">
        <v>0</v>
      </c>
      <c r="N223">
        <v>42.636363636363598</v>
      </c>
      <c r="O223">
        <v>-1.36363636363636</v>
      </c>
      <c r="P223">
        <v>-1</v>
      </c>
      <c r="Q223">
        <v>45.5</v>
      </c>
      <c r="R223">
        <v>1.6</v>
      </c>
      <c r="S223">
        <v>11</v>
      </c>
      <c r="T223">
        <v>-4.0999999999999996</v>
      </c>
      <c r="U223">
        <v>-2.9</v>
      </c>
      <c r="V223">
        <v>0</v>
      </c>
      <c r="W223">
        <v>0</v>
      </c>
      <c r="X223">
        <v>0</v>
      </c>
      <c r="Y223">
        <v>0</v>
      </c>
      <c r="Z223">
        <v>14.9</v>
      </c>
      <c r="AA223">
        <v>25.9</v>
      </c>
      <c r="AB223">
        <v>229</v>
      </c>
      <c r="AC223">
        <v>50</v>
      </c>
      <c r="AD223">
        <v>15</v>
      </c>
      <c r="AE223">
        <v>9</v>
      </c>
      <c r="AF223">
        <v>77.099999999999994</v>
      </c>
      <c r="AG223">
        <v>37.607999999999997</v>
      </c>
      <c r="AH223">
        <v>22.7</v>
      </c>
      <c r="AI223">
        <v>52.28</v>
      </c>
      <c r="AJ223">
        <v>38.729999999999997</v>
      </c>
      <c r="AK223">
        <v>40.936</v>
      </c>
      <c r="AL223">
        <v>9.8719999999999999</v>
      </c>
      <c r="AM223">
        <v>22.7</v>
      </c>
      <c r="AN223">
        <v>37.607999999999997</v>
      </c>
      <c r="AO223">
        <v>77.099999999999994</v>
      </c>
      <c r="AP223">
        <v>-9.8719999999999999</v>
      </c>
      <c r="AQ223">
        <v>61.27</v>
      </c>
      <c r="AR223">
        <v>47.72</v>
      </c>
      <c r="AS223">
        <v>59.064</v>
      </c>
    </row>
    <row r="224" spans="1:45" x14ac:dyDescent="0.25">
      <c r="A224">
        <v>29</v>
      </c>
      <c r="B224">
        <v>-3</v>
      </c>
      <c r="C224">
        <v>0</v>
      </c>
      <c r="D224">
        <v>2018</v>
      </c>
      <c r="E224">
        <v>15</v>
      </c>
      <c r="F224" t="str">
        <f>IFERROR(VLOOKUP(G224, Map!$A$1:$B$33, 2, FALSE),"WAS")</f>
        <v>JAX</v>
      </c>
      <c r="G224" t="s">
        <v>139</v>
      </c>
      <c r="H224" t="str">
        <f>IFERROR(VLOOKUP(I224, Map!$A$1:$B$33, 2, FALSE),"WAS")</f>
        <v>WAS</v>
      </c>
      <c r="I224" t="s">
        <v>204</v>
      </c>
      <c r="J224" t="s">
        <v>220</v>
      </c>
      <c r="K224" t="s">
        <v>205</v>
      </c>
      <c r="L224">
        <v>0</v>
      </c>
      <c r="M224">
        <v>0</v>
      </c>
      <c r="N224">
        <v>33.136363636363598</v>
      </c>
      <c r="O224">
        <v>-6.7272727272727302</v>
      </c>
      <c r="P224">
        <v>-7</v>
      </c>
      <c r="Q224">
        <v>36</v>
      </c>
      <c r="R224">
        <v>14.6</v>
      </c>
      <c r="S224">
        <v>18.100000000000001</v>
      </c>
      <c r="T224">
        <v>10.6</v>
      </c>
      <c r="U224">
        <v>13.3</v>
      </c>
      <c r="V224">
        <v>0</v>
      </c>
      <c r="W224">
        <v>0</v>
      </c>
      <c r="X224">
        <v>0</v>
      </c>
      <c r="Y224">
        <v>0</v>
      </c>
      <c r="Z224">
        <v>18.899999999999999</v>
      </c>
      <c r="AA224">
        <v>34.9</v>
      </c>
      <c r="AB224">
        <v>272</v>
      </c>
      <c r="AC224">
        <v>79</v>
      </c>
      <c r="AD224">
        <v>20.399999999999999</v>
      </c>
      <c r="AE224">
        <v>11.1</v>
      </c>
      <c r="AF224">
        <v>68.099999999999994</v>
      </c>
      <c r="AG224">
        <v>22.706</v>
      </c>
      <c r="AH224">
        <v>31.6</v>
      </c>
      <c r="AI224">
        <v>63.654000000000003</v>
      </c>
      <c r="AJ224">
        <v>7.9219999999999997</v>
      </c>
      <c r="AK224">
        <v>44.314</v>
      </c>
      <c r="AL224">
        <v>6.2880000000000003</v>
      </c>
      <c r="AM224">
        <v>31.6</v>
      </c>
      <c r="AN224">
        <v>22.706</v>
      </c>
      <c r="AO224">
        <v>68.099999999999994</v>
      </c>
      <c r="AP224">
        <v>-6.2880000000000003</v>
      </c>
      <c r="AQ224">
        <v>92.078000000000003</v>
      </c>
      <c r="AR224">
        <v>36.345999999999997</v>
      </c>
      <c r="AS224">
        <v>55.686</v>
      </c>
    </row>
    <row r="225" spans="1:45" x14ac:dyDescent="0.25">
      <c r="A225">
        <v>51</v>
      </c>
      <c r="B225">
        <v>-7</v>
      </c>
      <c r="C225">
        <v>0</v>
      </c>
      <c r="D225">
        <v>2018</v>
      </c>
      <c r="E225">
        <v>15</v>
      </c>
      <c r="F225" t="str">
        <f>IFERROR(VLOOKUP(G225, Map!$A$1:$B$33, 2, FALSE),"WAS")</f>
        <v>NYJ</v>
      </c>
      <c r="G225" t="s">
        <v>166</v>
      </c>
      <c r="H225" t="str">
        <f>IFERROR(VLOOKUP(I225, Map!$A$1:$B$33, 2, FALSE),"WAS")</f>
        <v>HOU</v>
      </c>
      <c r="I225" t="s">
        <v>137</v>
      </c>
      <c r="J225" t="s">
        <v>172</v>
      </c>
      <c r="K225" t="s">
        <v>209</v>
      </c>
      <c r="L225">
        <v>0</v>
      </c>
      <c r="M225">
        <v>0</v>
      </c>
      <c r="N225">
        <v>39.863636363636402</v>
      </c>
      <c r="O225">
        <v>5.4545454545454497</v>
      </c>
      <c r="P225">
        <v>-2.5</v>
      </c>
      <c r="Q225">
        <v>41.5</v>
      </c>
      <c r="R225">
        <v>7.5</v>
      </c>
      <c r="S225">
        <v>9.6</v>
      </c>
      <c r="T225">
        <v>5.8</v>
      </c>
      <c r="U225">
        <v>5.2</v>
      </c>
      <c r="V225">
        <v>5.6</v>
      </c>
      <c r="W225">
        <v>0</v>
      </c>
      <c r="X225">
        <v>14</v>
      </c>
      <c r="Y225">
        <v>5.6</v>
      </c>
      <c r="Z225">
        <v>19.3</v>
      </c>
      <c r="AA225">
        <v>36.700000000000003</v>
      </c>
      <c r="AB225">
        <v>21</v>
      </c>
      <c r="AC225">
        <v>95</v>
      </c>
      <c r="AD225">
        <v>18.600000000000001</v>
      </c>
      <c r="AE225">
        <v>9.4</v>
      </c>
      <c r="AF225">
        <v>30.5</v>
      </c>
      <c r="AG225">
        <v>29.61</v>
      </c>
      <c r="AH225">
        <v>69.3</v>
      </c>
      <c r="AI225">
        <v>33.905999999999999</v>
      </c>
      <c r="AJ225">
        <v>49.192999999999998</v>
      </c>
      <c r="AK225">
        <v>33.722000000000001</v>
      </c>
      <c r="AL225">
        <v>-6.7110000000000003</v>
      </c>
      <c r="AM225">
        <v>69.3</v>
      </c>
      <c r="AN225">
        <v>29.61</v>
      </c>
      <c r="AO225">
        <v>30.5</v>
      </c>
      <c r="AP225">
        <v>6.7110000000000003</v>
      </c>
      <c r="AQ225">
        <v>50.807000000000002</v>
      </c>
      <c r="AR225">
        <v>66.093999999999994</v>
      </c>
      <c r="AS225">
        <v>66.278000000000006</v>
      </c>
    </row>
    <row r="226" spans="1:45" x14ac:dyDescent="0.25">
      <c r="A226">
        <v>62</v>
      </c>
      <c r="B226">
        <v>2</v>
      </c>
      <c r="C226">
        <v>1</v>
      </c>
      <c r="D226">
        <v>2018</v>
      </c>
      <c r="E226">
        <v>16</v>
      </c>
      <c r="F226" t="str">
        <f>IFERROR(VLOOKUP(G226, Map!$A$1:$B$33, 2, FALSE),"WAS")</f>
        <v>PHI</v>
      </c>
      <c r="G226" t="s">
        <v>147</v>
      </c>
      <c r="H226" t="str">
        <f>IFERROR(VLOOKUP(I226, Map!$A$1:$B$33, 2, FALSE),"WAS")</f>
        <v>HOU</v>
      </c>
      <c r="I226" t="s">
        <v>137</v>
      </c>
      <c r="J226" t="s">
        <v>206</v>
      </c>
      <c r="K226" t="s">
        <v>209</v>
      </c>
      <c r="L226">
        <v>1</v>
      </c>
      <c r="M226">
        <v>0</v>
      </c>
      <c r="N226">
        <v>42.636363636363598</v>
      </c>
      <c r="O226">
        <v>-1.5909090909090899</v>
      </c>
      <c r="P226">
        <v>-1</v>
      </c>
      <c r="Q226">
        <v>46.5</v>
      </c>
      <c r="R226">
        <v>4</v>
      </c>
      <c r="S226">
        <v>7.2</v>
      </c>
      <c r="T226">
        <v>0.9</v>
      </c>
      <c r="U226">
        <v>-0.1</v>
      </c>
      <c r="V226">
        <v>0</v>
      </c>
      <c r="W226">
        <v>0</v>
      </c>
      <c r="X226">
        <v>0</v>
      </c>
      <c r="Y226">
        <v>0</v>
      </c>
      <c r="Z226">
        <v>16.8</v>
      </c>
      <c r="AA226">
        <v>36</v>
      </c>
      <c r="AB226">
        <v>275</v>
      </c>
      <c r="AC226">
        <v>60</v>
      </c>
      <c r="AD226">
        <v>22.3</v>
      </c>
      <c r="AE226">
        <v>10.9</v>
      </c>
      <c r="AF226">
        <v>55.2</v>
      </c>
      <c r="AG226">
        <v>69.343000000000004</v>
      </c>
      <c r="AH226">
        <v>44.4</v>
      </c>
      <c r="AI226">
        <v>39.116999999999997</v>
      </c>
      <c r="AJ226">
        <v>67.929000000000002</v>
      </c>
      <c r="AK226">
        <v>62.857999999999997</v>
      </c>
      <c r="AL226">
        <v>1.796</v>
      </c>
      <c r="AM226">
        <v>44.4</v>
      </c>
      <c r="AN226">
        <v>69.343000000000004</v>
      </c>
      <c r="AO226">
        <v>55.2</v>
      </c>
      <c r="AP226">
        <v>-1.796</v>
      </c>
      <c r="AQ226">
        <v>32.070999999999998</v>
      </c>
      <c r="AR226">
        <v>60.883000000000003</v>
      </c>
      <c r="AS226">
        <v>37.142000000000003</v>
      </c>
    </row>
    <row r="227" spans="1:45" x14ac:dyDescent="0.25">
      <c r="A227">
        <v>69</v>
      </c>
      <c r="B227">
        <v>7</v>
      </c>
      <c r="C227">
        <v>1</v>
      </c>
      <c r="D227">
        <v>2018</v>
      </c>
      <c r="E227">
        <v>16</v>
      </c>
      <c r="F227" t="str">
        <f>IFERROR(VLOOKUP(G227, Map!$A$1:$B$33, 2, FALSE),"WAS")</f>
        <v>SEA</v>
      </c>
      <c r="G227" t="s">
        <v>144</v>
      </c>
      <c r="H227" t="str">
        <f>IFERROR(VLOOKUP(I227, Map!$A$1:$B$33, 2, FALSE),"WAS")</f>
        <v>KC</v>
      </c>
      <c r="I227" t="s">
        <v>158</v>
      </c>
      <c r="J227" t="s">
        <v>182</v>
      </c>
      <c r="K227" t="s">
        <v>202</v>
      </c>
      <c r="L227">
        <v>1</v>
      </c>
      <c r="M227">
        <v>0</v>
      </c>
      <c r="N227">
        <v>49.681818181818201</v>
      </c>
      <c r="O227">
        <v>0.95454545454545503</v>
      </c>
      <c r="P227">
        <v>1</v>
      </c>
      <c r="Q227">
        <v>54</v>
      </c>
      <c r="R227">
        <v>6.1</v>
      </c>
      <c r="S227">
        <v>9</v>
      </c>
      <c r="T227">
        <v>4.0999999999999996</v>
      </c>
      <c r="U227">
        <v>3.4</v>
      </c>
      <c r="V227">
        <v>0.2</v>
      </c>
      <c r="W227">
        <v>0</v>
      </c>
      <c r="X227">
        <v>2</v>
      </c>
      <c r="Y227">
        <v>0.2</v>
      </c>
      <c r="Z227">
        <v>16.8</v>
      </c>
      <c r="AA227">
        <v>43.6</v>
      </c>
      <c r="AB227">
        <v>145</v>
      </c>
      <c r="AC227">
        <v>89</v>
      </c>
      <c r="AD227">
        <v>19.3</v>
      </c>
      <c r="AE227">
        <v>9.5</v>
      </c>
      <c r="AF227">
        <v>47.9</v>
      </c>
      <c r="AG227">
        <v>92.424000000000007</v>
      </c>
      <c r="AH227">
        <v>51.7</v>
      </c>
      <c r="AI227">
        <v>32.232999999999997</v>
      </c>
      <c r="AJ227">
        <v>89.117000000000004</v>
      </c>
      <c r="AK227">
        <v>70.721999999999994</v>
      </c>
      <c r="AL227">
        <v>-0.61799999999999999</v>
      </c>
      <c r="AM227">
        <v>51.7</v>
      </c>
      <c r="AN227">
        <v>92.424000000000007</v>
      </c>
      <c r="AO227">
        <v>47.9</v>
      </c>
      <c r="AP227">
        <v>0.61799999999999999</v>
      </c>
      <c r="AQ227">
        <v>10.882999999999999</v>
      </c>
      <c r="AR227">
        <v>67.766999999999996</v>
      </c>
      <c r="AS227">
        <v>29.277999999999999</v>
      </c>
    </row>
    <row r="228" spans="1:45" x14ac:dyDescent="0.25">
      <c r="A228">
        <v>24</v>
      </c>
      <c r="B228">
        <v>-10</v>
      </c>
      <c r="C228">
        <v>0</v>
      </c>
      <c r="D228">
        <v>2018</v>
      </c>
      <c r="E228">
        <v>16</v>
      </c>
      <c r="F228" t="str">
        <f>IFERROR(VLOOKUP(G228, Map!$A$1:$B$33, 2, FALSE),"WAS")</f>
        <v>MIA</v>
      </c>
      <c r="G228" t="s">
        <v>152</v>
      </c>
      <c r="H228" t="str">
        <f>IFERROR(VLOOKUP(I228, Map!$A$1:$B$33, 2, FALSE),"WAS")</f>
        <v>JAX</v>
      </c>
      <c r="I228" t="s">
        <v>139</v>
      </c>
      <c r="J228" t="s">
        <v>175</v>
      </c>
      <c r="K228" t="s">
        <v>220</v>
      </c>
      <c r="L228">
        <v>0</v>
      </c>
      <c r="M228">
        <v>0</v>
      </c>
      <c r="N228">
        <v>35.545454545454497</v>
      </c>
      <c r="O228">
        <v>-2.8181818181818201</v>
      </c>
      <c r="P228">
        <v>-3</v>
      </c>
      <c r="Q228">
        <v>39</v>
      </c>
      <c r="R228">
        <v>15.2</v>
      </c>
      <c r="S228">
        <v>21.5</v>
      </c>
      <c r="T228">
        <v>9.5</v>
      </c>
      <c r="U228">
        <v>14.2</v>
      </c>
      <c r="V228">
        <v>0</v>
      </c>
      <c r="W228">
        <v>0</v>
      </c>
      <c r="X228">
        <v>0</v>
      </c>
      <c r="Y228">
        <v>0</v>
      </c>
      <c r="Z228">
        <v>12.2</v>
      </c>
      <c r="AA228">
        <v>24.5</v>
      </c>
      <c r="AB228">
        <v>12</v>
      </c>
      <c r="AC228">
        <v>75</v>
      </c>
      <c r="AD228">
        <v>18.2</v>
      </c>
      <c r="AE228">
        <v>9</v>
      </c>
      <c r="AF228">
        <v>50.7</v>
      </c>
      <c r="AG228">
        <v>8.1969999999999992</v>
      </c>
      <c r="AH228">
        <v>48.9</v>
      </c>
      <c r="AI228">
        <v>79.004999999999995</v>
      </c>
      <c r="AJ228">
        <v>2.4220000000000002</v>
      </c>
      <c r="AK228">
        <v>24.977</v>
      </c>
      <c r="AL228">
        <v>0.311</v>
      </c>
      <c r="AM228">
        <v>48.9</v>
      </c>
      <c r="AN228">
        <v>8.1969999999999992</v>
      </c>
      <c r="AO228">
        <v>50.7</v>
      </c>
      <c r="AP228">
        <v>-0.311</v>
      </c>
      <c r="AQ228">
        <v>97.578000000000003</v>
      </c>
      <c r="AR228">
        <v>20.995000000000001</v>
      </c>
      <c r="AS228">
        <v>75.022999999999996</v>
      </c>
    </row>
    <row r="229" spans="1:45" x14ac:dyDescent="0.25">
      <c r="A229">
        <v>82</v>
      </c>
      <c r="B229">
        <v>-6</v>
      </c>
      <c r="C229">
        <v>0</v>
      </c>
      <c r="D229">
        <v>2018</v>
      </c>
      <c r="E229">
        <v>16</v>
      </c>
      <c r="F229" t="str">
        <f>IFERROR(VLOOKUP(G229, Map!$A$1:$B$33, 2, FALSE),"WAS")</f>
        <v>NYJ</v>
      </c>
      <c r="G229" t="s">
        <v>166</v>
      </c>
      <c r="H229" t="str">
        <f>IFERROR(VLOOKUP(I229, Map!$A$1:$B$33, 2, FALSE),"WAS")</f>
        <v>GB</v>
      </c>
      <c r="I229" t="s">
        <v>154</v>
      </c>
      <c r="J229" t="s">
        <v>172</v>
      </c>
      <c r="K229" t="s">
        <v>200</v>
      </c>
      <c r="L229">
        <v>0</v>
      </c>
      <c r="M229">
        <v>0</v>
      </c>
      <c r="N229">
        <v>42.772727272727302</v>
      </c>
      <c r="O229">
        <v>2.7272727272727302</v>
      </c>
      <c r="P229">
        <v>3</v>
      </c>
      <c r="Q229">
        <v>46.5</v>
      </c>
      <c r="R229">
        <v>3</v>
      </c>
      <c r="S229">
        <v>5.9</v>
      </c>
      <c r="T229">
        <v>-0.3</v>
      </c>
      <c r="U229">
        <v>-1.7</v>
      </c>
      <c r="V229">
        <v>0</v>
      </c>
      <c r="W229">
        <v>0</v>
      </c>
      <c r="X229">
        <v>0</v>
      </c>
      <c r="Y229">
        <v>0</v>
      </c>
      <c r="Z229">
        <v>23.7</v>
      </c>
      <c r="AA229">
        <v>46.1</v>
      </c>
      <c r="AB229">
        <v>286</v>
      </c>
      <c r="AC229">
        <v>61</v>
      </c>
      <c r="AD229">
        <v>29.4</v>
      </c>
      <c r="AE229">
        <v>14</v>
      </c>
      <c r="AF229">
        <v>31.8</v>
      </c>
      <c r="AG229">
        <v>27.324999999999999</v>
      </c>
      <c r="AH229">
        <v>67.900000000000006</v>
      </c>
      <c r="AI229">
        <v>7.8520000000000003</v>
      </c>
      <c r="AJ229">
        <v>87.968000000000004</v>
      </c>
      <c r="AK229">
        <v>55.287999999999997</v>
      </c>
      <c r="AL229">
        <v>-6.1980000000000004</v>
      </c>
      <c r="AM229">
        <v>67.900000000000006</v>
      </c>
      <c r="AN229">
        <v>27.324999999999999</v>
      </c>
      <c r="AO229">
        <v>31.8</v>
      </c>
      <c r="AP229">
        <v>6.1980000000000004</v>
      </c>
      <c r="AQ229">
        <v>12.032</v>
      </c>
      <c r="AR229">
        <v>92.147999999999996</v>
      </c>
      <c r="AS229">
        <v>44.712000000000003</v>
      </c>
    </row>
    <row r="230" spans="1:45" x14ac:dyDescent="0.25">
      <c r="A230">
        <v>41</v>
      </c>
      <c r="B230">
        <v>13</v>
      </c>
      <c r="C230">
        <v>1</v>
      </c>
      <c r="D230">
        <v>2018</v>
      </c>
      <c r="E230">
        <v>16</v>
      </c>
      <c r="F230" t="str">
        <f>IFERROR(VLOOKUP(G230, Map!$A$1:$B$33, 2, FALSE),"WAS")</f>
        <v>LV</v>
      </c>
      <c r="G230" t="s">
        <v>157</v>
      </c>
      <c r="H230" t="str">
        <f>IFERROR(VLOOKUP(I230, Map!$A$1:$B$33, 2, FALSE),"WAS")</f>
        <v>DEN</v>
      </c>
      <c r="I230" t="s">
        <v>159</v>
      </c>
      <c r="J230" t="s">
        <v>179</v>
      </c>
      <c r="K230" t="s">
        <v>183</v>
      </c>
      <c r="L230">
        <v>1</v>
      </c>
      <c r="M230">
        <v>0</v>
      </c>
      <c r="N230">
        <v>38.636363636363598</v>
      </c>
      <c r="O230">
        <v>2.2727272727272698</v>
      </c>
      <c r="P230">
        <v>2.5</v>
      </c>
      <c r="Q230">
        <v>42.5</v>
      </c>
      <c r="R230">
        <v>11.3</v>
      </c>
      <c r="S230">
        <v>14.3</v>
      </c>
      <c r="T230">
        <v>7.8</v>
      </c>
      <c r="U230">
        <v>7.6</v>
      </c>
      <c r="V230">
        <v>4.2</v>
      </c>
      <c r="W230">
        <v>0</v>
      </c>
      <c r="X230">
        <v>7</v>
      </c>
      <c r="Y230">
        <v>4.2</v>
      </c>
      <c r="Z230">
        <v>35</v>
      </c>
      <c r="AA230">
        <v>63.4</v>
      </c>
      <c r="AB230">
        <v>299</v>
      </c>
      <c r="AC230">
        <v>80</v>
      </c>
      <c r="AD230">
        <v>38.6</v>
      </c>
      <c r="AE230">
        <v>21.6</v>
      </c>
      <c r="AF230">
        <v>39.200000000000003</v>
      </c>
      <c r="AG230">
        <v>19.274000000000001</v>
      </c>
      <c r="AH230">
        <v>60.5</v>
      </c>
      <c r="AI230">
        <v>67.525999999999996</v>
      </c>
      <c r="AJ230">
        <v>58.052</v>
      </c>
      <c r="AK230">
        <v>89.430999999999997</v>
      </c>
      <c r="AL230">
        <v>-3.5720000000000001</v>
      </c>
      <c r="AM230">
        <v>60.5</v>
      </c>
      <c r="AN230">
        <v>19.274000000000001</v>
      </c>
      <c r="AO230">
        <v>39.200000000000003</v>
      </c>
      <c r="AP230">
        <v>3.5720000000000001</v>
      </c>
      <c r="AQ230">
        <v>41.948</v>
      </c>
      <c r="AR230">
        <v>32.473999999999997</v>
      </c>
      <c r="AS230">
        <v>10.569000000000001</v>
      </c>
    </row>
    <row r="231" spans="1:45" x14ac:dyDescent="0.25">
      <c r="A231">
        <v>44</v>
      </c>
      <c r="B231">
        <v>8</v>
      </c>
      <c r="C231">
        <v>1</v>
      </c>
      <c r="D231">
        <v>2018</v>
      </c>
      <c r="E231">
        <v>16</v>
      </c>
      <c r="F231" t="str">
        <f>IFERROR(VLOOKUP(G231, Map!$A$1:$B$33, 2, FALSE),"WAS")</f>
        <v>CLE</v>
      </c>
      <c r="G231" t="s">
        <v>162</v>
      </c>
      <c r="H231" t="str">
        <f>IFERROR(VLOOKUP(I231, Map!$A$1:$B$33, 2, FALSE),"WAS")</f>
        <v>CIN</v>
      </c>
      <c r="I231" t="s">
        <v>161</v>
      </c>
      <c r="J231" t="s">
        <v>171</v>
      </c>
      <c r="K231" t="s">
        <v>176</v>
      </c>
      <c r="L231">
        <v>1</v>
      </c>
      <c r="M231">
        <v>0</v>
      </c>
      <c r="N231">
        <v>39.863636363636402</v>
      </c>
      <c r="O231">
        <v>-8.8636363636363598</v>
      </c>
      <c r="P231">
        <v>-9.5</v>
      </c>
      <c r="Q231">
        <v>43.5</v>
      </c>
      <c r="R231">
        <v>1.1000000000000001</v>
      </c>
      <c r="S231">
        <v>4.4000000000000004</v>
      </c>
      <c r="T231">
        <v>-1.8</v>
      </c>
      <c r="U231">
        <v>-3.1</v>
      </c>
      <c r="V231">
        <v>0</v>
      </c>
      <c r="W231">
        <v>0</v>
      </c>
      <c r="X231">
        <v>0</v>
      </c>
      <c r="Y231">
        <v>0</v>
      </c>
      <c r="Z231">
        <v>16.100000000000001</v>
      </c>
      <c r="AA231">
        <v>25.2</v>
      </c>
      <c r="AB231">
        <v>218</v>
      </c>
      <c r="AC231">
        <v>83</v>
      </c>
      <c r="AD231">
        <v>21.1</v>
      </c>
      <c r="AE231">
        <v>12.4</v>
      </c>
      <c r="AF231">
        <v>60.2</v>
      </c>
      <c r="AG231">
        <v>20.812000000000001</v>
      </c>
      <c r="AH231">
        <v>39.5</v>
      </c>
      <c r="AI231">
        <v>90.105999999999995</v>
      </c>
      <c r="AJ231">
        <v>90.16</v>
      </c>
      <c r="AK231">
        <v>90.557000000000002</v>
      </c>
      <c r="AL231">
        <v>3.444</v>
      </c>
      <c r="AM231">
        <v>39.5</v>
      </c>
      <c r="AN231">
        <v>20.812000000000001</v>
      </c>
      <c r="AO231">
        <v>60.2</v>
      </c>
      <c r="AP231">
        <v>-3.444</v>
      </c>
      <c r="AQ231">
        <v>9.84</v>
      </c>
      <c r="AR231">
        <v>9.8940000000000001</v>
      </c>
      <c r="AS231">
        <v>9.4429999999999996</v>
      </c>
    </row>
    <row r="232" spans="1:45" x14ac:dyDescent="0.25">
      <c r="A232">
        <v>40</v>
      </c>
      <c r="B232">
        <v>-22</v>
      </c>
      <c r="C232">
        <v>0</v>
      </c>
      <c r="D232">
        <v>2018</v>
      </c>
      <c r="E232">
        <v>16</v>
      </c>
      <c r="F232" t="str">
        <f>IFERROR(VLOOKUP(G232, Map!$A$1:$B$33, 2, FALSE),"WAS")</f>
        <v>ARI</v>
      </c>
      <c r="G232" t="s">
        <v>156</v>
      </c>
      <c r="H232" t="str">
        <f>IFERROR(VLOOKUP(I232, Map!$A$1:$B$33, 2, FALSE),"WAS")</f>
        <v>LA</v>
      </c>
      <c r="I232" t="s">
        <v>155</v>
      </c>
      <c r="J232" t="s">
        <v>190</v>
      </c>
      <c r="K232" t="s">
        <v>178</v>
      </c>
      <c r="L232">
        <v>0</v>
      </c>
      <c r="M232">
        <v>0</v>
      </c>
      <c r="N232">
        <v>28.8333333333333</v>
      </c>
      <c r="O232">
        <v>9.5</v>
      </c>
      <c r="P232">
        <v>14</v>
      </c>
      <c r="Q232">
        <v>43</v>
      </c>
      <c r="R232">
        <v>14.9</v>
      </c>
      <c r="S232">
        <v>19.100000000000001</v>
      </c>
      <c r="T232">
        <v>11.5</v>
      </c>
      <c r="U232">
        <v>13.2</v>
      </c>
      <c r="V232">
        <v>0</v>
      </c>
      <c r="W232">
        <v>0</v>
      </c>
      <c r="X232">
        <v>0</v>
      </c>
      <c r="Y232">
        <v>0</v>
      </c>
      <c r="Z232">
        <v>8.1</v>
      </c>
      <c r="AA232">
        <v>18</v>
      </c>
      <c r="AB232">
        <v>131</v>
      </c>
      <c r="AC232">
        <v>52</v>
      </c>
      <c r="AD232">
        <v>9.9</v>
      </c>
      <c r="AE232">
        <v>3.7</v>
      </c>
      <c r="AF232">
        <v>11.2</v>
      </c>
      <c r="AG232">
        <v>42.936</v>
      </c>
      <c r="AH232">
        <v>88.7</v>
      </c>
      <c r="AI232">
        <v>5.4169999999999998</v>
      </c>
      <c r="AJ232">
        <v>38.241</v>
      </c>
      <c r="AK232">
        <v>8.0679999999999996</v>
      </c>
      <c r="AL232">
        <v>-16.045000000000002</v>
      </c>
      <c r="AM232">
        <v>88.7</v>
      </c>
      <c r="AN232">
        <v>42.936</v>
      </c>
      <c r="AO232">
        <v>11.2</v>
      </c>
      <c r="AP232">
        <v>16.045000000000002</v>
      </c>
      <c r="AQ232">
        <v>61.759</v>
      </c>
      <c r="AR232">
        <v>94.582999999999998</v>
      </c>
      <c r="AS232">
        <v>91.932000000000002</v>
      </c>
    </row>
    <row r="233" spans="1:45" x14ac:dyDescent="0.25">
      <c r="A233">
        <v>36</v>
      </c>
      <c r="B233">
        <v>12</v>
      </c>
      <c r="C233">
        <v>1</v>
      </c>
      <c r="D233">
        <v>2018</v>
      </c>
      <c r="E233">
        <v>16</v>
      </c>
      <c r="F233" t="str">
        <f>IFERROR(VLOOKUP(G233, Map!$A$1:$B$33, 2, FALSE),"WAS")</f>
        <v>NE</v>
      </c>
      <c r="G233" t="s">
        <v>151</v>
      </c>
      <c r="H233" t="str">
        <f>IFERROR(VLOOKUP(I233, Map!$A$1:$B$33, 2, FALSE),"WAS")</f>
        <v>BUF</v>
      </c>
      <c r="I233" t="s">
        <v>165</v>
      </c>
      <c r="J233" t="s">
        <v>187</v>
      </c>
      <c r="K233" t="s">
        <v>180</v>
      </c>
      <c r="L233">
        <v>1</v>
      </c>
      <c r="M233">
        <v>0</v>
      </c>
      <c r="N233">
        <v>40.954545454545404</v>
      </c>
      <c r="O233">
        <v>-12.318181818181801</v>
      </c>
      <c r="P233">
        <v>-13.5</v>
      </c>
      <c r="Q233">
        <v>44.5</v>
      </c>
      <c r="R233">
        <v>0.8</v>
      </c>
      <c r="S233">
        <v>3.4</v>
      </c>
      <c r="T233">
        <v>-1.8</v>
      </c>
      <c r="U233">
        <v>-4.5</v>
      </c>
      <c r="V233">
        <v>0</v>
      </c>
      <c r="W233">
        <v>0</v>
      </c>
      <c r="X233">
        <v>0</v>
      </c>
      <c r="Y233">
        <v>0</v>
      </c>
      <c r="Z233">
        <v>24.2</v>
      </c>
      <c r="AA233">
        <v>55.1</v>
      </c>
      <c r="AB233">
        <v>285</v>
      </c>
      <c r="AC233">
        <v>59</v>
      </c>
      <c r="AD233">
        <v>37</v>
      </c>
      <c r="AE233">
        <v>15.9</v>
      </c>
      <c r="AF233">
        <v>86</v>
      </c>
      <c r="AG233">
        <v>52.622999999999998</v>
      </c>
      <c r="AH233">
        <v>13.9</v>
      </c>
      <c r="AI233">
        <v>97.677000000000007</v>
      </c>
      <c r="AJ233">
        <v>45.835000000000001</v>
      </c>
      <c r="AK233">
        <v>90.713999999999999</v>
      </c>
      <c r="AL233">
        <v>14.297000000000001</v>
      </c>
      <c r="AM233">
        <v>13.9</v>
      </c>
      <c r="AN233">
        <v>52.622999999999998</v>
      </c>
      <c r="AO233">
        <v>86</v>
      </c>
      <c r="AP233">
        <v>-14.297000000000001</v>
      </c>
      <c r="AQ233">
        <v>54.164999999999999</v>
      </c>
      <c r="AR233">
        <v>2.323</v>
      </c>
      <c r="AS233">
        <v>9.2859999999999996</v>
      </c>
    </row>
    <row r="234" spans="1:45" x14ac:dyDescent="0.25">
      <c r="A234">
        <v>36</v>
      </c>
      <c r="B234">
        <v>-18</v>
      </c>
      <c r="C234">
        <v>0</v>
      </c>
      <c r="D234">
        <v>2018</v>
      </c>
      <c r="E234">
        <v>16</v>
      </c>
      <c r="F234" t="str">
        <f>IFERROR(VLOOKUP(G234, Map!$A$1:$B$33, 2, FALSE),"WAS")</f>
        <v>DET</v>
      </c>
      <c r="G234" t="s">
        <v>164</v>
      </c>
      <c r="H234" t="str">
        <f>IFERROR(VLOOKUP(I234, Map!$A$1:$B$33, 2, FALSE),"WAS")</f>
        <v>MIN</v>
      </c>
      <c r="I234" t="s">
        <v>153</v>
      </c>
      <c r="J234" t="s">
        <v>173</v>
      </c>
      <c r="K234" t="s">
        <v>214</v>
      </c>
      <c r="L234">
        <v>0</v>
      </c>
      <c r="M234">
        <v>0</v>
      </c>
      <c r="N234">
        <v>38.090909090909101</v>
      </c>
      <c r="O234">
        <v>5.9090909090909101</v>
      </c>
      <c r="P234">
        <v>6.5</v>
      </c>
      <c r="Q234">
        <v>41.5</v>
      </c>
      <c r="R234">
        <v>0.7</v>
      </c>
      <c r="S234">
        <v>4.3</v>
      </c>
      <c r="T234">
        <v>-2.4</v>
      </c>
      <c r="U234">
        <v>-3.2</v>
      </c>
      <c r="V234">
        <v>0</v>
      </c>
      <c r="W234">
        <v>0</v>
      </c>
      <c r="X234">
        <v>0</v>
      </c>
      <c r="Y234">
        <v>0</v>
      </c>
      <c r="Z234">
        <v>14.1</v>
      </c>
      <c r="AA234">
        <v>25.2</v>
      </c>
      <c r="AB234">
        <v>229</v>
      </c>
      <c r="AC234">
        <v>79</v>
      </c>
      <c r="AD234">
        <v>17.100000000000001</v>
      </c>
      <c r="AE234">
        <v>9.6999999999999993</v>
      </c>
      <c r="AF234">
        <v>40.5</v>
      </c>
      <c r="AG234">
        <v>48.615000000000002</v>
      </c>
      <c r="AH234">
        <v>59.2</v>
      </c>
      <c r="AI234">
        <v>30.757999999999999</v>
      </c>
      <c r="AJ234">
        <v>15.938000000000001</v>
      </c>
      <c r="AK234">
        <v>20.190000000000001</v>
      </c>
      <c r="AL234">
        <v>-3.1150000000000002</v>
      </c>
      <c r="AM234">
        <v>59.2</v>
      </c>
      <c r="AN234">
        <v>48.615000000000002</v>
      </c>
      <c r="AO234">
        <v>40.5</v>
      </c>
      <c r="AP234">
        <v>3.1150000000000002</v>
      </c>
      <c r="AQ234">
        <v>84.061999999999998</v>
      </c>
      <c r="AR234">
        <v>69.242000000000004</v>
      </c>
      <c r="AS234">
        <v>79.81</v>
      </c>
    </row>
    <row r="235" spans="1:45" x14ac:dyDescent="0.25">
      <c r="A235">
        <v>23</v>
      </c>
      <c r="B235">
        <v>-5</v>
      </c>
      <c r="C235">
        <v>0</v>
      </c>
      <c r="D235">
        <v>2018</v>
      </c>
      <c r="E235">
        <v>16</v>
      </c>
      <c r="F235" t="str">
        <f>IFERROR(VLOOKUP(G235, Map!$A$1:$B$33, 2, FALSE),"WAS")</f>
        <v>SF</v>
      </c>
      <c r="G235" t="s">
        <v>143</v>
      </c>
      <c r="H235" t="str">
        <f>IFERROR(VLOOKUP(I235, Map!$A$1:$B$33, 2, FALSE),"WAS")</f>
        <v>CHI</v>
      </c>
      <c r="I235" t="s">
        <v>163</v>
      </c>
      <c r="J235" t="s">
        <v>197</v>
      </c>
      <c r="K235" t="s">
        <v>216</v>
      </c>
      <c r="L235">
        <v>0</v>
      </c>
      <c r="M235">
        <v>0</v>
      </c>
      <c r="N235">
        <v>39.818181818181799</v>
      </c>
      <c r="O235">
        <v>3.3636363636363602</v>
      </c>
      <c r="P235">
        <v>3.5</v>
      </c>
      <c r="Q235">
        <v>42.5</v>
      </c>
      <c r="R235">
        <v>10.5</v>
      </c>
      <c r="S235">
        <v>14.6</v>
      </c>
      <c r="T235">
        <v>7.4</v>
      </c>
      <c r="U235">
        <v>8.6</v>
      </c>
      <c r="V235">
        <v>0</v>
      </c>
      <c r="W235">
        <v>0</v>
      </c>
      <c r="X235">
        <v>0</v>
      </c>
      <c r="Y235">
        <v>0</v>
      </c>
      <c r="Z235">
        <v>10.8</v>
      </c>
      <c r="AA235">
        <v>21.6</v>
      </c>
      <c r="AB235">
        <v>252</v>
      </c>
      <c r="AC235">
        <v>70</v>
      </c>
      <c r="AD235">
        <v>10.6</v>
      </c>
      <c r="AE235">
        <v>5.4</v>
      </c>
      <c r="AF235">
        <v>34.799999999999997</v>
      </c>
      <c r="AG235">
        <v>46.673000000000002</v>
      </c>
      <c r="AH235">
        <v>64.900000000000006</v>
      </c>
      <c r="AI235">
        <v>36.787999999999997</v>
      </c>
      <c r="AJ235">
        <v>22.742999999999999</v>
      </c>
      <c r="AK235">
        <v>34.701999999999998</v>
      </c>
      <c r="AL235">
        <v>-5.1230000000000002</v>
      </c>
      <c r="AM235">
        <v>64.900000000000006</v>
      </c>
      <c r="AN235">
        <v>46.673000000000002</v>
      </c>
      <c r="AO235">
        <v>34.799999999999997</v>
      </c>
      <c r="AP235">
        <v>5.1230000000000002</v>
      </c>
      <c r="AQ235">
        <v>77.257000000000005</v>
      </c>
      <c r="AR235">
        <v>63.212000000000003</v>
      </c>
      <c r="AS235">
        <v>65.298000000000002</v>
      </c>
    </row>
    <row r="236" spans="1:45" x14ac:dyDescent="0.25">
      <c r="A236">
        <v>47</v>
      </c>
      <c r="B236">
        <v>7</v>
      </c>
      <c r="C236">
        <v>1</v>
      </c>
      <c r="D236">
        <v>2018</v>
      </c>
      <c r="E236">
        <v>16</v>
      </c>
      <c r="F236" t="str">
        <f>IFERROR(VLOOKUP(G236, Map!$A$1:$B$33, 2, FALSE),"WAS")</f>
        <v>DAL</v>
      </c>
      <c r="G236" t="s">
        <v>150</v>
      </c>
      <c r="H236" t="str">
        <f>IFERROR(VLOOKUP(I236, Map!$A$1:$B$33, 2, FALSE),"WAS")</f>
        <v>TB</v>
      </c>
      <c r="I236" t="s">
        <v>141</v>
      </c>
      <c r="J236" t="s">
        <v>184</v>
      </c>
      <c r="K236" t="s">
        <v>186</v>
      </c>
      <c r="L236">
        <v>1</v>
      </c>
      <c r="M236">
        <v>0</v>
      </c>
      <c r="N236">
        <v>32</v>
      </c>
      <c r="O236">
        <v>-4.6666666666666696</v>
      </c>
      <c r="P236">
        <v>-7</v>
      </c>
      <c r="Q236">
        <v>48</v>
      </c>
      <c r="R236">
        <v>8.1999999999999993</v>
      </c>
      <c r="S236">
        <v>11.6</v>
      </c>
      <c r="T236">
        <v>5.4</v>
      </c>
      <c r="U236">
        <v>4.4000000000000004</v>
      </c>
      <c r="V236">
        <v>0</v>
      </c>
      <c r="W236">
        <v>0</v>
      </c>
      <c r="X236">
        <v>0</v>
      </c>
      <c r="Y236">
        <v>0</v>
      </c>
      <c r="Z236">
        <v>22</v>
      </c>
      <c r="AA236">
        <v>38.9</v>
      </c>
      <c r="AB236">
        <v>350</v>
      </c>
      <c r="AC236">
        <v>69</v>
      </c>
      <c r="AD236">
        <v>26.2</v>
      </c>
      <c r="AE236">
        <v>14.1</v>
      </c>
      <c r="AF236">
        <v>69</v>
      </c>
      <c r="AG236">
        <v>53.959000000000003</v>
      </c>
      <c r="AH236">
        <v>30.8</v>
      </c>
      <c r="AI236">
        <v>85.914000000000001</v>
      </c>
      <c r="AJ236">
        <v>54.555999999999997</v>
      </c>
      <c r="AK236">
        <v>81.81</v>
      </c>
      <c r="AL236">
        <v>6.6</v>
      </c>
      <c r="AM236">
        <v>30.8</v>
      </c>
      <c r="AN236">
        <v>53.959000000000003</v>
      </c>
      <c r="AO236">
        <v>69</v>
      </c>
      <c r="AP236">
        <v>-6.6</v>
      </c>
      <c r="AQ236">
        <v>45.444000000000003</v>
      </c>
      <c r="AR236">
        <v>14.086</v>
      </c>
      <c r="AS236">
        <v>18.190000000000001</v>
      </c>
    </row>
    <row r="237" spans="1:45" x14ac:dyDescent="0.25">
      <c r="A237">
        <v>59</v>
      </c>
      <c r="B237">
        <v>3</v>
      </c>
      <c r="C237">
        <v>1</v>
      </c>
      <c r="D237">
        <v>2018</v>
      </c>
      <c r="E237">
        <v>16</v>
      </c>
      <c r="F237" t="str">
        <f>IFERROR(VLOOKUP(G237, Map!$A$1:$B$33, 2, FALSE),"WAS")</f>
        <v>NO</v>
      </c>
      <c r="G237" t="s">
        <v>168</v>
      </c>
      <c r="H237" t="str">
        <f>IFERROR(VLOOKUP(I237, Map!$A$1:$B$33, 2, FALSE),"WAS")</f>
        <v>PIT</v>
      </c>
      <c r="I237" t="s">
        <v>145</v>
      </c>
      <c r="J237" t="s">
        <v>192</v>
      </c>
      <c r="K237" t="s">
        <v>170</v>
      </c>
      <c r="L237">
        <v>1</v>
      </c>
      <c r="M237">
        <v>0</v>
      </c>
      <c r="N237">
        <v>48.5</v>
      </c>
      <c r="O237">
        <v>-4.3181818181818201</v>
      </c>
      <c r="P237">
        <v>0</v>
      </c>
      <c r="Q237">
        <v>53</v>
      </c>
      <c r="R237">
        <v>15.5</v>
      </c>
      <c r="S237">
        <v>21.3</v>
      </c>
      <c r="T237">
        <v>12.3</v>
      </c>
      <c r="U237">
        <v>14.7</v>
      </c>
      <c r="V237">
        <v>0.7</v>
      </c>
      <c r="W237">
        <v>0</v>
      </c>
      <c r="X237">
        <v>4</v>
      </c>
      <c r="Y237">
        <v>0.7</v>
      </c>
      <c r="Z237">
        <v>22.1</v>
      </c>
      <c r="AA237">
        <v>40</v>
      </c>
      <c r="AB237">
        <v>203</v>
      </c>
      <c r="AC237">
        <v>86</v>
      </c>
      <c r="AD237">
        <v>23.9</v>
      </c>
      <c r="AE237">
        <v>12.4</v>
      </c>
      <c r="AF237">
        <v>70.900000000000006</v>
      </c>
      <c r="AG237">
        <v>86.147999999999996</v>
      </c>
      <c r="AH237">
        <v>28.9</v>
      </c>
      <c r="AI237">
        <v>22.731999999999999</v>
      </c>
      <c r="AJ237">
        <v>87.558000000000007</v>
      </c>
      <c r="AK237">
        <v>58.65</v>
      </c>
      <c r="AL237">
        <v>7.3280000000000003</v>
      </c>
      <c r="AM237">
        <v>28.9</v>
      </c>
      <c r="AN237">
        <v>86.147999999999996</v>
      </c>
      <c r="AO237">
        <v>70.900000000000006</v>
      </c>
      <c r="AP237">
        <v>-7.3280000000000003</v>
      </c>
      <c r="AQ237">
        <v>12.442</v>
      </c>
      <c r="AR237">
        <v>77.268000000000001</v>
      </c>
      <c r="AS237">
        <v>41.35</v>
      </c>
    </row>
    <row r="238" spans="1:45" x14ac:dyDescent="0.25">
      <c r="A238">
        <v>41</v>
      </c>
      <c r="B238">
        <v>9</v>
      </c>
      <c r="C238">
        <v>1</v>
      </c>
      <c r="D238">
        <v>2018</v>
      </c>
      <c r="E238">
        <v>16</v>
      </c>
      <c r="F238" t="str">
        <f>IFERROR(VLOOKUP(G238, Map!$A$1:$B$33, 2, FALSE),"WAS")</f>
        <v>TEN</v>
      </c>
      <c r="G238" t="s">
        <v>140</v>
      </c>
      <c r="H238" t="str">
        <f>IFERROR(VLOOKUP(I238, Map!$A$1:$B$33, 2, FALSE),"WAS")</f>
        <v>WAS</v>
      </c>
      <c r="I238" t="s">
        <v>204</v>
      </c>
      <c r="J238" t="s">
        <v>174</v>
      </c>
      <c r="K238" t="s">
        <v>205</v>
      </c>
      <c r="L238">
        <v>1</v>
      </c>
      <c r="M238">
        <v>0</v>
      </c>
      <c r="N238">
        <v>34.409090909090899</v>
      </c>
      <c r="O238">
        <v>-9.6818181818181799</v>
      </c>
      <c r="P238">
        <v>-2.5</v>
      </c>
      <c r="Q238">
        <v>37.5</v>
      </c>
      <c r="R238">
        <v>3.5</v>
      </c>
      <c r="S238">
        <v>10</v>
      </c>
      <c r="T238">
        <v>-1.8</v>
      </c>
      <c r="U238">
        <v>0.1</v>
      </c>
      <c r="V238">
        <v>0</v>
      </c>
      <c r="W238">
        <v>0</v>
      </c>
      <c r="X238">
        <v>0</v>
      </c>
      <c r="Y238">
        <v>0</v>
      </c>
      <c r="Z238">
        <v>16.100000000000001</v>
      </c>
      <c r="AA238">
        <v>32.799999999999997</v>
      </c>
      <c r="AB238">
        <v>250</v>
      </c>
      <c r="AC238">
        <v>78</v>
      </c>
      <c r="AD238">
        <v>18.7</v>
      </c>
      <c r="AE238">
        <v>8.9</v>
      </c>
      <c r="AF238">
        <v>75.7</v>
      </c>
      <c r="AG238">
        <v>40.664999999999999</v>
      </c>
      <c r="AH238">
        <v>24.1</v>
      </c>
      <c r="AI238">
        <v>47.984000000000002</v>
      </c>
      <c r="AJ238">
        <v>74.786000000000001</v>
      </c>
      <c r="AK238">
        <v>60.277999999999999</v>
      </c>
      <c r="AL238">
        <v>9.2840000000000007</v>
      </c>
      <c r="AM238">
        <v>24.1</v>
      </c>
      <c r="AN238">
        <v>40.664999999999999</v>
      </c>
      <c r="AO238">
        <v>75.7</v>
      </c>
      <c r="AP238">
        <v>-9.2840000000000007</v>
      </c>
      <c r="AQ238">
        <v>25.213999999999999</v>
      </c>
      <c r="AR238">
        <v>52.015999999999998</v>
      </c>
      <c r="AS238">
        <v>39.722000000000001</v>
      </c>
    </row>
    <row r="239" spans="1:45" x14ac:dyDescent="0.25">
      <c r="A239">
        <v>34</v>
      </c>
      <c r="B239">
        <v>-14</v>
      </c>
      <c r="C239">
        <v>0</v>
      </c>
      <c r="D239">
        <v>2018</v>
      </c>
      <c r="E239">
        <v>16</v>
      </c>
      <c r="F239" t="str">
        <f>IFERROR(VLOOKUP(G239, Map!$A$1:$B$33, 2, FALSE),"WAS")</f>
        <v>CAR</v>
      </c>
      <c r="G239" t="s">
        <v>142</v>
      </c>
      <c r="H239" t="str">
        <f>IFERROR(VLOOKUP(I239, Map!$A$1:$B$33, 2, FALSE),"WAS")</f>
        <v>ATL</v>
      </c>
      <c r="I239" t="s">
        <v>167</v>
      </c>
      <c r="J239" t="s">
        <v>185</v>
      </c>
      <c r="K239" t="s">
        <v>188</v>
      </c>
      <c r="L239">
        <v>0</v>
      </c>
      <c r="M239">
        <v>0</v>
      </c>
      <c r="N239">
        <v>41.636363636363598</v>
      </c>
      <c r="O239">
        <v>2.5454545454545499</v>
      </c>
      <c r="P239">
        <v>2.5</v>
      </c>
      <c r="Q239">
        <v>43.5</v>
      </c>
      <c r="R239">
        <v>4.5999999999999996</v>
      </c>
      <c r="S239">
        <v>11.7</v>
      </c>
      <c r="T239">
        <v>-0.8</v>
      </c>
      <c r="U239">
        <v>1.4</v>
      </c>
      <c r="V239">
        <v>0.2</v>
      </c>
      <c r="W239">
        <v>0</v>
      </c>
      <c r="X239">
        <v>1</v>
      </c>
      <c r="Y239">
        <v>0.2</v>
      </c>
      <c r="Z239">
        <v>15.6</v>
      </c>
      <c r="AA239">
        <v>27.7</v>
      </c>
      <c r="AB239">
        <v>206</v>
      </c>
      <c r="AC239">
        <v>77</v>
      </c>
      <c r="AD239">
        <v>14.8</v>
      </c>
      <c r="AE239">
        <v>8.3000000000000007</v>
      </c>
      <c r="AF239">
        <v>49.9</v>
      </c>
      <c r="AG239">
        <v>54.853999999999999</v>
      </c>
      <c r="AH239">
        <v>49.7</v>
      </c>
      <c r="AI239">
        <v>20.366</v>
      </c>
      <c r="AJ239">
        <v>20.841000000000001</v>
      </c>
      <c r="AK239">
        <v>18.561</v>
      </c>
      <c r="AL239">
        <v>4.2999999999999997E-2</v>
      </c>
      <c r="AM239">
        <v>49.7</v>
      </c>
      <c r="AN239">
        <v>54.853999999999999</v>
      </c>
      <c r="AO239">
        <v>49.9</v>
      </c>
      <c r="AP239">
        <v>-4.2999999999999997E-2</v>
      </c>
      <c r="AQ239">
        <v>79.159000000000006</v>
      </c>
      <c r="AR239">
        <v>79.634</v>
      </c>
      <c r="AS239">
        <v>81.438999999999993</v>
      </c>
    </row>
    <row r="240" spans="1:45" x14ac:dyDescent="0.25">
      <c r="A240">
        <v>32</v>
      </c>
      <c r="B240">
        <v>-12</v>
      </c>
      <c r="C240">
        <v>0</v>
      </c>
      <c r="D240">
        <v>2018</v>
      </c>
      <c r="E240">
        <v>16</v>
      </c>
      <c r="F240" t="str">
        <f>IFERROR(VLOOKUP(G240, Map!$A$1:$B$33, 2, FALSE),"WAS")</f>
        <v>LAC</v>
      </c>
      <c r="G240" t="s">
        <v>160</v>
      </c>
      <c r="H240" t="str">
        <f>IFERROR(VLOOKUP(I240, Map!$A$1:$B$33, 2, FALSE),"WAS")</f>
        <v>BAL</v>
      </c>
      <c r="I240" t="s">
        <v>146</v>
      </c>
      <c r="J240" t="s">
        <v>210</v>
      </c>
      <c r="K240" t="s">
        <v>181</v>
      </c>
      <c r="L240">
        <v>0</v>
      </c>
      <c r="M240">
        <v>0</v>
      </c>
      <c r="N240">
        <v>38.681818181818201</v>
      </c>
      <c r="O240">
        <v>-3.5909090909090899</v>
      </c>
      <c r="P240">
        <v>-3.5</v>
      </c>
      <c r="Q240">
        <v>42.5</v>
      </c>
      <c r="R240">
        <v>12.9</v>
      </c>
      <c r="S240">
        <v>19</v>
      </c>
      <c r="T240">
        <v>8.1999999999999993</v>
      </c>
      <c r="U240">
        <v>12.6</v>
      </c>
      <c r="V240">
        <v>0</v>
      </c>
      <c r="W240">
        <v>0</v>
      </c>
      <c r="X240">
        <v>0</v>
      </c>
      <c r="Y240">
        <v>0</v>
      </c>
      <c r="Z240">
        <v>11.2</v>
      </c>
      <c r="AA240">
        <v>19.100000000000001</v>
      </c>
      <c r="AB240">
        <v>294</v>
      </c>
      <c r="AC240">
        <v>90</v>
      </c>
      <c r="AD240">
        <v>10.3</v>
      </c>
      <c r="AE240">
        <v>4.5999999999999996</v>
      </c>
      <c r="AF240">
        <v>79.5</v>
      </c>
      <c r="AG240">
        <v>67.938000000000002</v>
      </c>
      <c r="AH240">
        <v>20.3</v>
      </c>
      <c r="AI240">
        <v>76.094999999999999</v>
      </c>
      <c r="AJ240">
        <v>3.5819999999999999</v>
      </c>
      <c r="AK240">
        <v>23.940999999999999</v>
      </c>
      <c r="AL240">
        <v>10.956</v>
      </c>
      <c r="AM240">
        <v>20.3</v>
      </c>
      <c r="AN240">
        <v>67.938000000000002</v>
      </c>
      <c r="AO240">
        <v>79.5</v>
      </c>
      <c r="AP240">
        <v>-10.956</v>
      </c>
      <c r="AQ240">
        <v>96.418000000000006</v>
      </c>
      <c r="AR240">
        <v>23.905000000000001</v>
      </c>
      <c r="AS240">
        <v>76.058999999999997</v>
      </c>
    </row>
    <row r="241" spans="1:45" x14ac:dyDescent="0.25">
      <c r="A241">
        <v>55</v>
      </c>
      <c r="B241">
        <v>1</v>
      </c>
      <c r="C241">
        <v>1</v>
      </c>
      <c r="D241">
        <v>2018</v>
      </c>
      <c r="E241">
        <v>16</v>
      </c>
      <c r="F241" t="str">
        <f>IFERROR(VLOOKUP(G241, Map!$A$1:$B$33, 2, FALSE),"WAS")</f>
        <v>IND</v>
      </c>
      <c r="G241" t="s">
        <v>138</v>
      </c>
      <c r="H241" t="str">
        <f>IFERROR(VLOOKUP(I241, Map!$A$1:$B$33, 2, FALSE),"WAS")</f>
        <v>NYG</v>
      </c>
      <c r="I241" t="s">
        <v>149</v>
      </c>
      <c r="J241" t="s">
        <v>177</v>
      </c>
      <c r="K241" t="s">
        <v>219</v>
      </c>
      <c r="L241">
        <v>1</v>
      </c>
      <c r="M241">
        <v>0</v>
      </c>
      <c r="N241">
        <v>43.545454545454497</v>
      </c>
      <c r="O241">
        <v>-8.7727272727272698</v>
      </c>
      <c r="P241">
        <v>-9.5</v>
      </c>
      <c r="Q241">
        <v>46</v>
      </c>
      <c r="R241">
        <v>0.9</v>
      </c>
      <c r="S241">
        <v>3</v>
      </c>
      <c r="T241">
        <v>-1.4</v>
      </c>
      <c r="U241">
        <v>-2.9</v>
      </c>
      <c r="V241">
        <v>0.1</v>
      </c>
      <c r="W241">
        <v>7.0000000000000007E-2</v>
      </c>
      <c r="X241">
        <v>1</v>
      </c>
      <c r="Y241">
        <v>0</v>
      </c>
      <c r="Z241">
        <v>12.5</v>
      </c>
      <c r="AA241">
        <v>24.1</v>
      </c>
      <c r="AB241">
        <v>257</v>
      </c>
      <c r="AC241">
        <v>83</v>
      </c>
      <c r="AD241">
        <v>19</v>
      </c>
      <c r="AE241">
        <v>9.5</v>
      </c>
      <c r="AF241">
        <v>73.5</v>
      </c>
      <c r="AG241">
        <v>56.847999999999999</v>
      </c>
      <c r="AH241">
        <v>26.3</v>
      </c>
      <c r="AI241">
        <v>14.041</v>
      </c>
      <c r="AJ241">
        <v>85.897000000000006</v>
      </c>
      <c r="AK241">
        <v>50.011000000000003</v>
      </c>
      <c r="AL241">
        <v>8.3369999999999997</v>
      </c>
      <c r="AM241">
        <v>26.3</v>
      </c>
      <c r="AN241">
        <v>56.847999999999999</v>
      </c>
      <c r="AO241">
        <v>73.5</v>
      </c>
      <c r="AP241">
        <v>-8.3369999999999997</v>
      </c>
      <c r="AQ241">
        <v>14.103</v>
      </c>
      <c r="AR241">
        <v>85.959000000000003</v>
      </c>
      <c r="AS241">
        <v>49.988999999999997</v>
      </c>
    </row>
    <row r="242" spans="1:45" x14ac:dyDescent="0.25">
      <c r="A242">
        <v>66</v>
      </c>
      <c r="B242">
        <v>-2</v>
      </c>
      <c r="C242">
        <v>0</v>
      </c>
      <c r="D242">
        <v>2018</v>
      </c>
      <c r="E242">
        <v>17</v>
      </c>
      <c r="F242" t="str">
        <f>IFERROR(VLOOKUP(G242, Map!$A$1:$B$33, 2, FALSE),"WAS")</f>
        <v>TB</v>
      </c>
      <c r="G242" t="s">
        <v>141</v>
      </c>
      <c r="H242" t="str">
        <f>IFERROR(VLOOKUP(I242, Map!$A$1:$B$33, 2, FALSE),"WAS")</f>
        <v>ATL</v>
      </c>
      <c r="I242" t="s">
        <v>167</v>
      </c>
      <c r="J242" t="s">
        <v>186</v>
      </c>
      <c r="K242" t="s">
        <v>188</v>
      </c>
      <c r="L242">
        <v>0</v>
      </c>
      <c r="M242">
        <v>0</v>
      </c>
      <c r="N242">
        <v>48</v>
      </c>
      <c r="O242">
        <v>1.72727272727273</v>
      </c>
      <c r="P242">
        <v>0</v>
      </c>
      <c r="Q242">
        <v>51</v>
      </c>
      <c r="R242">
        <v>22.2</v>
      </c>
      <c r="S242">
        <v>26.2</v>
      </c>
      <c r="T242">
        <v>20.2</v>
      </c>
      <c r="U242">
        <v>25.3</v>
      </c>
      <c r="V242">
        <v>0</v>
      </c>
      <c r="W242">
        <v>0</v>
      </c>
      <c r="X242">
        <v>0</v>
      </c>
      <c r="Y242">
        <v>0</v>
      </c>
      <c r="Z242">
        <v>10.5</v>
      </c>
      <c r="AA242">
        <v>19.399999999999999</v>
      </c>
      <c r="AB242">
        <v>128</v>
      </c>
      <c r="AC242">
        <v>91</v>
      </c>
      <c r="AD242">
        <v>14.4</v>
      </c>
      <c r="AE242">
        <v>7.4</v>
      </c>
      <c r="AF242">
        <v>47.5</v>
      </c>
      <c r="AG242">
        <v>56.073999999999998</v>
      </c>
      <c r="AH242">
        <v>52.1</v>
      </c>
      <c r="AI242">
        <v>30.082000000000001</v>
      </c>
      <c r="AJ242">
        <v>76.331000000000003</v>
      </c>
      <c r="AK242">
        <v>47.146999999999998</v>
      </c>
      <c r="AL242">
        <v>-0.753</v>
      </c>
      <c r="AM242">
        <v>52.1</v>
      </c>
      <c r="AN242">
        <v>56.073999999999998</v>
      </c>
      <c r="AO242">
        <v>47.5</v>
      </c>
      <c r="AP242">
        <v>0.753</v>
      </c>
      <c r="AQ242">
        <v>23.669</v>
      </c>
      <c r="AR242">
        <v>69.918000000000006</v>
      </c>
      <c r="AS242">
        <v>52.853000000000002</v>
      </c>
    </row>
    <row r="243" spans="1:45" x14ac:dyDescent="0.25">
      <c r="A243">
        <v>80</v>
      </c>
      <c r="B243">
        <v>16</v>
      </c>
      <c r="C243">
        <v>1</v>
      </c>
      <c r="D243">
        <v>2018</v>
      </c>
      <c r="E243">
        <v>17</v>
      </c>
      <c r="F243" t="str">
        <f>IFERROR(VLOOKUP(G243, Map!$A$1:$B$33, 2, FALSE),"WAS")</f>
        <v>LA</v>
      </c>
      <c r="G243" t="s">
        <v>155</v>
      </c>
      <c r="H243" t="str">
        <f>IFERROR(VLOOKUP(I243, Map!$A$1:$B$33, 2, FALSE),"WAS")</f>
        <v>SF</v>
      </c>
      <c r="I243" t="s">
        <v>143</v>
      </c>
      <c r="J243" t="s">
        <v>178</v>
      </c>
      <c r="K243" t="s">
        <v>197</v>
      </c>
      <c r="L243">
        <v>1</v>
      </c>
      <c r="M243">
        <v>0</v>
      </c>
      <c r="N243">
        <v>47.227272727272698</v>
      </c>
      <c r="O243">
        <v>-9</v>
      </c>
      <c r="P243">
        <v>0</v>
      </c>
      <c r="Q243">
        <v>48</v>
      </c>
      <c r="R243">
        <v>11.2</v>
      </c>
      <c r="S243">
        <v>17.7</v>
      </c>
      <c r="T243">
        <v>6.4</v>
      </c>
      <c r="U243">
        <v>7.7</v>
      </c>
      <c r="V243">
        <v>0</v>
      </c>
      <c r="W243">
        <v>0</v>
      </c>
      <c r="X243">
        <v>0</v>
      </c>
      <c r="Y243">
        <v>0</v>
      </c>
      <c r="Z243">
        <v>9.1</v>
      </c>
      <c r="AA243">
        <v>21.6</v>
      </c>
      <c r="AB243">
        <v>56</v>
      </c>
      <c r="AC243">
        <v>30</v>
      </c>
      <c r="AD243">
        <v>11</v>
      </c>
      <c r="AE243">
        <v>5</v>
      </c>
      <c r="AF243">
        <v>89.5</v>
      </c>
      <c r="AG243">
        <v>50.850999999999999</v>
      </c>
      <c r="AH243">
        <v>10.4</v>
      </c>
      <c r="AI243">
        <v>96.906999999999996</v>
      </c>
      <c r="AJ243">
        <v>81.182000000000002</v>
      </c>
      <c r="AK243">
        <v>96.284999999999997</v>
      </c>
      <c r="AL243">
        <v>16.59</v>
      </c>
      <c r="AM243">
        <v>10.4</v>
      </c>
      <c r="AN243">
        <v>50.850999999999999</v>
      </c>
      <c r="AO243">
        <v>89.5</v>
      </c>
      <c r="AP243">
        <v>-16.59</v>
      </c>
      <c r="AQ243">
        <v>18.818000000000001</v>
      </c>
      <c r="AR243">
        <v>3.093</v>
      </c>
      <c r="AS243">
        <v>3.7149999999999999</v>
      </c>
    </row>
    <row r="244" spans="1:45" x14ac:dyDescent="0.25">
      <c r="A244">
        <v>29</v>
      </c>
      <c r="B244">
        <v>3</v>
      </c>
      <c r="C244">
        <v>1</v>
      </c>
      <c r="D244">
        <v>2018</v>
      </c>
      <c r="E244">
        <v>17</v>
      </c>
      <c r="F244" t="str">
        <f>IFERROR(VLOOKUP(G244, Map!$A$1:$B$33, 2, FALSE),"WAS")</f>
        <v>PIT</v>
      </c>
      <c r="G244" t="s">
        <v>145</v>
      </c>
      <c r="H244" t="str">
        <f>IFERROR(VLOOKUP(I244, Map!$A$1:$B$33, 2, FALSE),"WAS")</f>
        <v>CIN</v>
      </c>
      <c r="I244" t="s">
        <v>161</v>
      </c>
      <c r="J244" t="s">
        <v>170</v>
      </c>
      <c r="K244" t="s">
        <v>176</v>
      </c>
      <c r="L244">
        <v>1</v>
      </c>
      <c r="M244">
        <v>0</v>
      </c>
      <c r="N244">
        <v>40.136363636363598</v>
      </c>
      <c r="O244">
        <v>-10.318181818181801</v>
      </c>
      <c r="P244">
        <v>0</v>
      </c>
      <c r="Q244">
        <v>33.5</v>
      </c>
      <c r="R244">
        <v>1.9</v>
      </c>
      <c r="S244">
        <v>6.7</v>
      </c>
      <c r="T244">
        <v>-0.9</v>
      </c>
      <c r="U244">
        <v>-2.1</v>
      </c>
      <c r="V244">
        <v>0</v>
      </c>
      <c r="W244">
        <v>0</v>
      </c>
      <c r="X244">
        <v>0</v>
      </c>
      <c r="Y244">
        <v>0</v>
      </c>
      <c r="Z244">
        <v>14</v>
      </c>
      <c r="AA244">
        <v>33.1</v>
      </c>
      <c r="AB244">
        <v>227</v>
      </c>
      <c r="AC244">
        <v>73</v>
      </c>
      <c r="AD244">
        <v>23.2</v>
      </c>
      <c r="AE244">
        <v>10.4</v>
      </c>
      <c r="AF244">
        <v>86.4</v>
      </c>
      <c r="AG244">
        <v>50.387</v>
      </c>
      <c r="AH244">
        <v>13.5</v>
      </c>
      <c r="AI244">
        <v>85.471000000000004</v>
      </c>
      <c r="AJ244">
        <v>23.488</v>
      </c>
      <c r="AK244">
        <v>56.988999999999997</v>
      </c>
      <c r="AL244">
        <v>14.478</v>
      </c>
      <c r="AM244">
        <v>13.5</v>
      </c>
      <c r="AN244">
        <v>50.387</v>
      </c>
      <c r="AO244">
        <v>86.4</v>
      </c>
      <c r="AP244">
        <v>-14.478</v>
      </c>
      <c r="AQ244">
        <v>76.512</v>
      </c>
      <c r="AR244">
        <v>14.529</v>
      </c>
      <c r="AS244">
        <v>43.011000000000003</v>
      </c>
    </row>
    <row r="245" spans="1:45" x14ac:dyDescent="0.25">
      <c r="A245">
        <v>59</v>
      </c>
      <c r="B245">
        <v>25</v>
      </c>
      <c r="C245">
        <v>1</v>
      </c>
      <c r="D245">
        <v>2018</v>
      </c>
      <c r="E245">
        <v>17</v>
      </c>
      <c r="F245" t="str">
        <f>IFERROR(VLOOKUP(G245, Map!$A$1:$B$33, 2, FALSE),"WAS")</f>
        <v>BUF</v>
      </c>
      <c r="G245" t="s">
        <v>165</v>
      </c>
      <c r="H245" t="str">
        <f>IFERROR(VLOOKUP(I245, Map!$A$1:$B$33, 2, FALSE),"WAS")</f>
        <v>MIA</v>
      </c>
      <c r="I245" t="s">
        <v>152</v>
      </c>
      <c r="J245" t="s">
        <v>180</v>
      </c>
      <c r="K245" t="s">
        <v>175</v>
      </c>
      <c r="L245">
        <v>1</v>
      </c>
      <c r="M245">
        <v>0</v>
      </c>
      <c r="N245">
        <v>37.590909090909101</v>
      </c>
      <c r="O245">
        <v>-6.5</v>
      </c>
      <c r="P245">
        <v>-3.5</v>
      </c>
      <c r="Q245">
        <v>39</v>
      </c>
      <c r="R245">
        <v>11.6</v>
      </c>
      <c r="S245">
        <v>14.6</v>
      </c>
      <c r="T245">
        <v>8.8000000000000007</v>
      </c>
      <c r="U245">
        <v>10.9</v>
      </c>
      <c r="V245">
        <v>0.8</v>
      </c>
      <c r="W245">
        <v>0</v>
      </c>
      <c r="X245">
        <v>5</v>
      </c>
      <c r="Y245">
        <v>0.8</v>
      </c>
      <c r="Z245">
        <v>10</v>
      </c>
      <c r="AA245">
        <v>15.8</v>
      </c>
      <c r="AB245">
        <v>229</v>
      </c>
      <c r="AC245">
        <v>92</v>
      </c>
      <c r="AD245">
        <v>11.2</v>
      </c>
      <c r="AE245">
        <v>5.6</v>
      </c>
      <c r="AF245">
        <v>67.3</v>
      </c>
      <c r="AG245">
        <v>20.367000000000001</v>
      </c>
      <c r="AH245">
        <v>32.4</v>
      </c>
      <c r="AI245">
        <v>96.966999999999999</v>
      </c>
      <c r="AJ245">
        <v>73.488</v>
      </c>
      <c r="AK245">
        <v>91.391000000000005</v>
      </c>
      <c r="AL245">
        <v>5.9829999999999997</v>
      </c>
      <c r="AM245">
        <v>32.4</v>
      </c>
      <c r="AN245">
        <v>20.367000000000001</v>
      </c>
      <c r="AO245">
        <v>67.3</v>
      </c>
      <c r="AP245">
        <v>-5.9829999999999997</v>
      </c>
      <c r="AQ245">
        <v>26.512</v>
      </c>
      <c r="AR245">
        <v>3.0329999999999999</v>
      </c>
      <c r="AS245">
        <v>8.609</v>
      </c>
    </row>
    <row r="246" spans="1:45" x14ac:dyDescent="0.25">
      <c r="A246">
        <v>23</v>
      </c>
      <c r="B246">
        <v>17</v>
      </c>
      <c r="C246">
        <v>1</v>
      </c>
      <c r="D246">
        <v>2018</v>
      </c>
      <c r="E246">
        <v>17</v>
      </c>
      <c r="F246" t="str">
        <f>IFERROR(VLOOKUP(G246, Map!$A$1:$B$33, 2, FALSE),"WAS")</f>
        <v>HOU</v>
      </c>
      <c r="G246" t="s">
        <v>137</v>
      </c>
      <c r="H246" t="str">
        <f>IFERROR(VLOOKUP(I246, Map!$A$1:$B$33, 2, FALSE),"WAS")</f>
        <v>JAX</v>
      </c>
      <c r="I246" t="s">
        <v>139</v>
      </c>
      <c r="J246" t="s">
        <v>209</v>
      </c>
      <c r="K246" t="s">
        <v>220</v>
      </c>
      <c r="L246">
        <v>1</v>
      </c>
      <c r="M246">
        <v>0</v>
      </c>
      <c r="N246">
        <v>34.909090909090899</v>
      </c>
      <c r="O246">
        <v>-6.6363636363636402</v>
      </c>
      <c r="P246">
        <v>0</v>
      </c>
      <c r="Q246">
        <v>26.5</v>
      </c>
      <c r="R246">
        <v>8.6</v>
      </c>
      <c r="S246">
        <v>9.9</v>
      </c>
      <c r="T246">
        <v>6.8</v>
      </c>
      <c r="U246">
        <v>5.9</v>
      </c>
      <c r="V246">
        <v>16.899999999999999</v>
      </c>
      <c r="W246">
        <v>0</v>
      </c>
      <c r="X246">
        <v>15</v>
      </c>
      <c r="Y246">
        <v>16.899999999999999</v>
      </c>
      <c r="Z246">
        <v>16.8</v>
      </c>
      <c r="AA246">
        <v>38.9</v>
      </c>
      <c r="AB246">
        <v>6</v>
      </c>
      <c r="AC246">
        <v>88</v>
      </c>
      <c r="AD246">
        <v>26.3</v>
      </c>
      <c r="AE246">
        <v>13.1</v>
      </c>
      <c r="AF246">
        <v>74.5</v>
      </c>
      <c r="AG246">
        <v>51.796999999999997</v>
      </c>
      <c r="AH246">
        <v>25.3</v>
      </c>
      <c r="AI246">
        <v>98.32</v>
      </c>
      <c r="AJ246">
        <v>54.706000000000003</v>
      </c>
      <c r="AK246">
        <v>88.474999999999994</v>
      </c>
      <c r="AL246">
        <v>8.7140000000000004</v>
      </c>
      <c r="AM246">
        <v>25.3</v>
      </c>
      <c r="AN246">
        <v>51.796999999999997</v>
      </c>
      <c r="AO246">
        <v>74.5</v>
      </c>
      <c r="AP246">
        <v>-8.7140000000000004</v>
      </c>
      <c r="AQ246">
        <v>45.293999999999997</v>
      </c>
      <c r="AR246">
        <v>1.68</v>
      </c>
      <c r="AS246">
        <v>11.525</v>
      </c>
    </row>
    <row r="247" spans="1:45" x14ac:dyDescent="0.25">
      <c r="A247">
        <v>50</v>
      </c>
      <c r="B247">
        <v>2</v>
      </c>
      <c r="C247">
        <v>1</v>
      </c>
      <c r="D247">
        <v>2018</v>
      </c>
      <c r="E247">
        <v>17</v>
      </c>
      <c r="F247" t="str">
        <f>IFERROR(VLOOKUP(G247, Map!$A$1:$B$33, 2, FALSE),"WAS")</f>
        <v>BAL</v>
      </c>
      <c r="G247" t="s">
        <v>146</v>
      </c>
      <c r="H247" t="str">
        <f>IFERROR(VLOOKUP(I247, Map!$A$1:$B$33, 2, FALSE),"WAS")</f>
        <v>CLE</v>
      </c>
      <c r="I247" t="s">
        <v>162</v>
      </c>
      <c r="J247" t="s">
        <v>181</v>
      </c>
      <c r="K247" t="s">
        <v>171</v>
      </c>
      <c r="L247">
        <v>1</v>
      </c>
      <c r="M247">
        <v>0</v>
      </c>
      <c r="N247">
        <v>37.772727272727302</v>
      </c>
      <c r="O247">
        <v>-5.2272727272727302</v>
      </c>
      <c r="P247">
        <v>0</v>
      </c>
      <c r="Q247">
        <v>40.5</v>
      </c>
      <c r="R247">
        <v>3.5</v>
      </c>
      <c r="S247">
        <v>8.3000000000000007</v>
      </c>
      <c r="T247">
        <v>-0.1</v>
      </c>
      <c r="U247">
        <v>0.5</v>
      </c>
      <c r="V247">
        <v>0.1</v>
      </c>
      <c r="W247">
        <v>0</v>
      </c>
      <c r="X247">
        <v>1</v>
      </c>
      <c r="Y247">
        <v>0.1</v>
      </c>
      <c r="Z247">
        <v>12.4</v>
      </c>
      <c r="AA247">
        <v>21.2</v>
      </c>
      <c r="AB247">
        <v>283</v>
      </c>
      <c r="AC247">
        <v>78</v>
      </c>
      <c r="AD247">
        <v>12.9</v>
      </c>
      <c r="AE247">
        <v>5.9</v>
      </c>
      <c r="AF247">
        <v>79</v>
      </c>
      <c r="AG247">
        <v>47.13</v>
      </c>
      <c r="AH247">
        <v>20.8</v>
      </c>
      <c r="AI247">
        <v>36.481000000000002</v>
      </c>
      <c r="AJ247">
        <v>74.668000000000006</v>
      </c>
      <c r="AK247">
        <v>65.180999999999997</v>
      </c>
      <c r="AL247">
        <v>10.647</v>
      </c>
      <c r="AM247">
        <v>20.8</v>
      </c>
      <c r="AN247">
        <v>47.13</v>
      </c>
      <c r="AO247">
        <v>79</v>
      </c>
      <c r="AP247">
        <v>-10.647</v>
      </c>
      <c r="AQ247">
        <v>25.332000000000001</v>
      </c>
      <c r="AR247">
        <v>63.518999999999998</v>
      </c>
      <c r="AS247">
        <v>34.819000000000003</v>
      </c>
    </row>
    <row r="248" spans="1:45" x14ac:dyDescent="0.25">
      <c r="A248">
        <v>51</v>
      </c>
      <c r="B248">
        <v>3</v>
      </c>
      <c r="C248">
        <v>1</v>
      </c>
      <c r="D248">
        <v>2018</v>
      </c>
      <c r="E248">
        <v>17</v>
      </c>
      <c r="F248" t="str">
        <f>IFERROR(VLOOKUP(G248, Map!$A$1:$B$33, 2, FALSE),"WAS")</f>
        <v>SEA</v>
      </c>
      <c r="G248" t="s">
        <v>144</v>
      </c>
      <c r="H248" t="str">
        <f>IFERROR(VLOOKUP(I248, Map!$A$1:$B$33, 2, FALSE),"WAS")</f>
        <v>ARI</v>
      </c>
      <c r="I248" t="s">
        <v>156</v>
      </c>
      <c r="J248" t="s">
        <v>182</v>
      </c>
      <c r="K248" t="s">
        <v>190</v>
      </c>
      <c r="L248">
        <v>1</v>
      </c>
      <c r="M248">
        <v>0</v>
      </c>
      <c r="N248">
        <v>36.549999999999997</v>
      </c>
      <c r="O248">
        <v>-10.5</v>
      </c>
      <c r="P248">
        <v>0</v>
      </c>
      <c r="Q248">
        <v>38</v>
      </c>
      <c r="R248">
        <v>6.1</v>
      </c>
      <c r="S248">
        <v>9.6999999999999993</v>
      </c>
      <c r="T248">
        <v>2.9</v>
      </c>
      <c r="U248">
        <v>3.3</v>
      </c>
      <c r="V248">
        <v>8.9</v>
      </c>
      <c r="W248">
        <v>0</v>
      </c>
      <c r="X248">
        <v>11</v>
      </c>
      <c r="Y248">
        <v>8.9</v>
      </c>
      <c r="Z248">
        <v>27.9</v>
      </c>
      <c r="AA248">
        <v>49.7</v>
      </c>
      <c r="AB248">
        <v>190</v>
      </c>
      <c r="AC248">
        <v>90</v>
      </c>
      <c r="AD248">
        <v>25.3</v>
      </c>
      <c r="AE248">
        <v>10.6</v>
      </c>
      <c r="AF248">
        <v>94.3</v>
      </c>
      <c r="AG248">
        <v>47.689</v>
      </c>
      <c r="AH248">
        <v>5.7</v>
      </c>
      <c r="AI248">
        <v>96.358999999999995</v>
      </c>
      <c r="AJ248">
        <v>34.014000000000003</v>
      </c>
      <c r="AK248">
        <v>58.387999999999998</v>
      </c>
      <c r="AL248">
        <v>20.866</v>
      </c>
      <c r="AM248">
        <v>5.7</v>
      </c>
      <c r="AN248">
        <v>47.689</v>
      </c>
      <c r="AO248">
        <v>94.3</v>
      </c>
      <c r="AP248">
        <v>-20.866</v>
      </c>
      <c r="AQ248">
        <v>65.986000000000004</v>
      </c>
      <c r="AR248">
        <v>3.641</v>
      </c>
      <c r="AS248">
        <v>41.612000000000002</v>
      </c>
    </row>
    <row r="249" spans="1:45" x14ac:dyDescent="0.25">
      <c r="A249">
        <v>31</v>
      </c>
      <c r="B249">
        <v>-31</v>
      </c>
      <c r="C249">
        <v>0</v>
      </c>
      <c r="D249">
        <v>2018</v>
      </c>
      <c r="E249">
        <v>17</v>
      </c>
      <c r="F249" t="str">
        <f>IFERROR(VLOOKUP(G249, Map!$A$1:$B$33, 2, FALSE),"WAS")</f>
        <v>GB</v>
      </c>
      <c r="G249" t="s">
        <v>154</v>
      </c>
      <c r="H249" t="str">
        <f>IFERROR(VLOOKUP(I249, Map!$A$1:$B$33, 2, FALSE),"WAS")</f>
        <v>DET</v>
      </c>
      <c r="I249" t="s">
        <v>164</v>
      </c>
      <c r="J249" t="s">
        <v>200</v>
      </c>
      <c r="K249" t="s">
        <v>173</v>
      </c>
      <c r="L249">
        <v>0</v>
      </c>
      <c r="M249">
        <v>0</v>
      </c>
      <c r="N249">
        <v>40.772727272727302</v>
      </c>
      <c r="O249">
        <v>-5.5454545454545503</v>
      </c>
      <c r="P249">
        <v>0</v>
      </c>
      <c r="Q249">
        <v>44.5</v>
      </c>
      <c r="R249">
        <v>-4.8</v>
      </c>
      <c r="S249">
        <v>-0.4</v>
      </c>
      <c r="T249">
        <v>-7.9</v>
      </c>
      <c r="U249">
        <v>-10.4</v>
      </c>
      <c r="V249">
        <v>0</v>
      </c>
      <c r="W249">
        <v>0</v>
      </c>
      <c r="X249">
        <v>0</v>
      </c>
      <c r="Y249">
        <v>0</v>
      </c>
      <c r="Z249">
        <v>21</v>
      </c>
      <c r="AA249">
        <v>41.8</v>
      </c>
      <c r="AB249">
        <v>213</v>
      </c>
      <c r="AC249">
        <v>62</v>
      </c>
      <c r="AD249">
        <v>31.7</v>
      </c>
      <c r="AE249">
        <v>15.8</v>
      </c>
      <c r="AF249">
        <v>80.599999999999994</v>
      </c>
      <c r="AG249">
        <v>47.976999999999997</v>
      </c>
      <c r="AH249">
        <v>19.2</v>
      </c>
      <c r="AI249">
        <v>23.78</v>
      </c>
      <c r="AJ249">
        <v>3.1040000000000001</v>
      </c>
      <c r="AK249">
        <v>3.004</v>
      </c>
      <c r="AL249">
        <v>11.426</v>
      </c>
      <c r="AM249">
        <v>19.2</v>
      </c>
      <c r="AN249">
        <v>47.976999999999997</v>
      </c>
      <c r="AO249">
        <v>80.599999999999994</v>
      </c>
      <c r="AP249">
        <v>-11.426</v>
      </c>
      <c r="AQ249">
        <v>96.896000000000001</v>
      </c>
      <c r="AR249">
        <v>76.22</v>
      </c>
      <c r="AS249">
        <v>96.995999999999995</v>
      </c>
    </row>
    <row r="250" spans="1:45" x14ac:dyDescent="0.25">
      <c r="A250">
        <v>50</v>
      </c>
      <c r="B250">
        <v>-16</v>
      </c>
      <c r="C250">
        <v>0</v>
      </c>
      <c r="D250">
        <v>2018</v>
      </c>
      <c r="E250">
        <v>17</v>
      </c>
      <c r="F250" t="str">
        <f>IFERROR(VLOOKUP(G250, Map!$A$1:$B$33, 2, FALSE),"WAS")</f>
        <v>TEN</v>
      </c>
      <c r="G250" t="s">
        <v>140</v>
      </c>
      <c r="H250" t="str">
        <f>IFERROR(VLOOKUP(I250, Map!$A$1:$B$33, 2, FALSE),"WAS")</f>
        <v>IND</v>
      </c>
      <c r="I250" t="s">
        <v>138</v>
      </c>
      <c r="J250" t="s">
        <v>174</v>
      </c>
      <c r="K250" t="s">
        <v>177</v>
      </c>
      <c r="L250">
        <v>0</v>
      </c>
      <c r="M250">
        <v>0</v>
      </c>
      <c r="N250">
        <v>38.954545454545503</v>
      </c>
      <c r="O250">
        <v>4.3636363636363598</v>
      </c>
      <c r="P250">
        <v>3.5</v>
      </c>
      <c r="Q250">
        <v>42</v>
      </c>
      <c r="R250">
        <v>14.5</v>
      </c>
      <c r="S250">
        <v>19.2</v>
      </c>
      <c r="T250">
        <v>7.8</v>
      </c>
      <c r="U250">
        <v>13</v>
      </c>
      <c r="V250">
        <v>39.5</v>
      </c>
      <c r="W250">
        <v>0</v>
      </c>
      <c r="X250">
        <v>19</v>
      </c>
      <c r="Y250">
        <v>39.5</v>
      </c>
      <c r="Z250">
        <v>35.1</v>
      </c>
      <c r="AA250">
        <v>84.2</v>
      </c>
      <c r="AB250">
        <v>179</v>
      </c>
      <c r="AC250">
        <v>94</v>
      </c>
      <c r="AD250">
        <v>45.3</v>
      </c>
      <c r="AE250">
        <v>18.600000000000001</v>
      </c>
      <c r="AF250">
        <v>42.5</v>
      </c>
      <c r="AG250">
        <v>55.795000000000002</v>
      </c>
      <c r="AH250">
        <v>57.2</v>
      </c>
      <c r="AI250">
        <v>38.284999999999997</v>
      </c>
      <c r="AJ250">
        <v>11.121</v>
      </c>
      <c r="AK250">
        <v>12.077999999999999</v>
      </c>
      <c r="AL250">
        <v>-2.4449999999999998</v>
      </c>
      <c r="AM250">
        <v>57.2</v>
      </c>
      <c r="AN250">
        <v>55.795000000000002</v>
      </c>
      <c r="AO250">
        <v>42.5</v>
      </c>
      <c r="AP250">
        <v>2.4449999999999998</v>
      </c>
      <c r="AQ250">
        <v>88.879000000000005</v>
      </c>
      <c r="AR250">
        <v>61.715000000000003</v>
      </c>
      <c r="AS250">
        <v>87.921999999999997</v>
      </c>
    </row>
    <row r="251" spans="1:45" x14ac:dyDescent="0.25">
      <c r="A251">
        <v>32</v>
      </c>
      <c r="B251">
        <v>-14</v>
      </c>
      <c r="C251">
        <v>0</v>
      </c>
      <c r="D251">
        <v>2018</v>
      </c>
      <c r="E251">
        <v>17</v>
      </c>
      <c r="F251" t="str">
        <f>IFERROR(VLOOKUP(G251, Map!$A$1:$B$33, 2, FALSE),"WAS")</f>
        <v>DEN</v>
      </c>
      <c r="G251" t="s">
        <v>159</v>
      </c>
      <c r="H251" t="str">
        <f>IFERROR(VLOOKUP(I251, Map!$A$1:$B$33, 2, FALSE),"WAS")</f>
        <v>LAC</v>
      </c>
      <c r="I251" t="s">
        <v>160</v>
      </c>
      <c r="J251" t="s">
        <v>183</v>
      </c>
      <c r="K251" t="s">
        <v>210</v>
      </c>
      <c r="L251">
        <v>0</v>
      </c>
      <c r="M251">
        <v>0</v>
      </c>
      <c r="N251">
        <v>38.090909090909101</v>
      </c>
      <c r="O251">
        <v>6.2272727272727302</v>
      </c>
      <c r="P251">
        <v>0</v>
      </c>
      <c r="Q251">
        <v>31.5</v>
      </c>
      <c r="R251">
        <v>1.2</v>
      </c>
      <c r="S251">
        <v>10.7</v>
      </c>
      <c r="T251">
        <v>-2.9</v>
      </c>
      <c r="U251">
        <v>-3.9</v>
      </c>
      <c r="V251">
        <v>0</v>
      </c>
      <c r="W251">
        <v>0</v>
      </c>
      <c r="X251">
        <v>0</v>
      </c>
      <c r="Y251">
        <v>0</v>
      </c>
      <c r="Z251">
        <v>21.3</v>
      </c>
      <c r="AA251">
        <v>36</v>
      </c>
      <c r="AB251">
        <v>245</v>
      </c>
      <c r="AC251">
        <v>38</v>
      </c>
      <c r="AD251">
        <v>19.7</v>
      </c>
      <c r="AE251">
        <v>11.6</v>
      </c>
      <c r="AF251">
        <v>38.9</v>
      </c>
      <c r="AG251">
        <v>74.039000000000001</v>
      </c>
      <c r="AH251">
        <v>60.8</v>
      </c>
      <c r="AI251">
        <v>76.888999999999996</v>
      </c>
      <c r="AJ251">
        <v>8.1690000000000005</v>
      </c>
      <c r="AK251">
        <v>20.437999999999999</v>
      </c>
      <c r="AL251">
        <v>-3.6779999999999999</v>
      </c>
      <c r="AM251">
        <v>60.8</v>
      </c>
      <c r="AN251">
        <v>74.039000000000001</v>
      </c>
      <c r="AO251">
        <v>38.9</v>
      </c>
      <c r="AP251">
        <v>3.6779999999999999</v>
      </c>
      <c r="AQ251">
        <v>91.831000000000003</v>
      </c>
      <c r="AR251">
        <v>23.111000000000001</v>
      </c>
      <c r="AS251">
        <v>79.561999999999998</v>
      </c>
    </row>
    <row r="252" spans="1:45" x14ac:dyDescent="0.25">
      <c r="A252">
        <v>38</v>
      </c>
      <c r="B252">
        <v>32</v>
      </c>
      <c r="C252">
        <v>1</v>
      </c>
      <c r="D252">
        <v>2018</v>
      </c>
      <c r="E252">
        <v>17</v>
      </c>
      <c r="F252" t="str">
        <f>IFERROR(VLOOKUP(G252, Map!$A$1:$B$33, 2, FALSE),"WAS")</f>
        <v>KC</v>
      </c>
      <c r="G252" t="s">
        <v>158</v>
      </c>
      <c r="H252" t="str">
        <f>IFERROR(VLOOKUP(I252, Map!$A$1:$B$33, 2, FALSE),"WAS")</f>
        <v>LV</v>
      </c>
      <c r="I252" t="s">
        <v>157</v>
      </c>
      <c r="J252" t="s">
        <v>202</v>
      </c>
      <c r="K252" t="s">
        <v>179</v>
      </c>
      <c r="L252">
        <v>1</v>
      </c>
      <c r="M252">
        <v>0</v>
      </c>
      <c r="N252">
        <v>48.363636363636402</v>
      </c>
      <c r="O252">
        <v>-10.363636363636401</v>
      </c>
      <c r="P252">
        <v>0</v>
      </c>
      <c r="Q252">
        <v>52.5</v>
      </c>
      <c r="R252">
        <v>-2.2000000000000002</v>
      </c>
      <c r="S252">
        <v>7.1</v>
      </c>
      <c r="T252">
        <v>-6.1</v>
      </c>
      <c r="U252">
        <v>-7.2</v>
      </c>
      <c r="V252">
        <v>0</v>
      </c>
      <c r="W252">
        <v>0</v>
      </c>
      <c r="X252">
        <v>0</v>
      </c>
      <c r="Y252">
        <v>0</v>
      </c>
      <c r="Z252">
        <v>20.2</v>
      </c>
      <c r="AA252">
        <v>40.299999999999997</v>
      </c>
      <c r="AB252">
        <v>202</v>
      </c>
      <c r="AC252">
        <v>62</v>
      </c>
      <c r="AD252">
        <v>24.7</v>
      </c>
      <c r="AE252">
        <v>12.8</v>
      </c>
      <c r="AF252">
        <v>91.7</v>
      </c>
      <c r="AG252">
        <v>50.05</v>
      </c>
      <c r="AH252">
        <v>8.1999999999999993</v>
      </c>
      <c r="AI252">
        <v>99.417000000000002</v>
      </c>
      <c r="AJ252">
        <v>97.025000000000006</v>
      </c>
      <c r="AK252">
        <v>99.692999999999998</v>
      </c>
      <c r="AL252">
        <v>18.292999999999999</v>
      </c>
      <c r="AM252">
        <v>8.1999999999999993</v>
      </c>
      <c r="AN252">
        <v>50.05</v>
      </c>
      <c r="AO252">
        <v>91.7</v>
      </c>
      <c r="AP252">
        <v>-18.292999999999999</v>
      </c>
      <c r="AQ252">
        <v>2.9750000000000001</v>
      </c>
      <c r="AR252">
        <v>0.58299999999999996</v>
      </c>
      <c r="AS252">
        <v>0.307</v>
      </c>
    </row>
    <row r="253" spans="1:45" x14ac:dyDescent="0.25">
      <c r="A253">
        <v>24</v>
      </c>
      <c r="B253">
        <v>-24</v>
      </c>
      <c r="C253">
        <v>0</v>
      </c>
      <c r="D253">
        <v>2018</v>
      </c>
      <c r="E253">
        <v>17</v>
      </c>
      <c r="F253" t="str">
        <f>IFERROR(VLOOKUP(G253, Map!$A$1:$B$33, 2, FALSE),"WAS")</f>
        <v>WAS</v>
      </c>
      <c r="G253" t="s">
        <v>204</v>
      </c>
      <c r="H253" t="str">
        <f>IFERROR(VLOOKUP(I253, Map!$A$1:$B$33, 2, FALSE),"WAS")</f>
        <v>PHI</v>
      </c>
      <c r="I253" t="s">
        <v>147</v>
      </c>
      <c r="J253" t="s">
        <v>205</v>
      </c>
      <c r="K253" t="s">
        <v>206</v>
      </c>
      <c r="L253">
        <v>0</v>
      </c>
      <c r="M253">
        <v>0</v>
      </c>
      <c r="N253">
        <v>36.954545454545503</v>
      </c>
      <c r="O253">
        <v>6.6363636363636402</v>
      </c>
      <c r="P253">
        <v>0</v>
      </c>
      <c r="Q253">
        <v>24.5</v>
      </c>
      <c r="R253">
        <v>3.9</v>
      </c>
      <c r="S253">
        <v>7.9</v>
      </c>
      <c r="T253">
        <v>0.4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8.6</v>
      </c>
      <c r="AA253">
        <v>17.600000000000001</v>
      </c>
      <c r="AB253">
        <v>310</v>
      </c>
      <c r="AC253">
        <v>76</v>
      </c>
      <c r="AD253">
        <v>11.5</v>
      </c>
      <c r="AE253">
        <v>5.2</v>
      </c>
      <c r="AF253">
        <v>42.5</v>
      </c>
      <c r="AG253">
        <v>37.470999999999997</v>
      </c>
      <c r="AH253">
        <v>57.2</v>
      </c>
      <c r="AI253">
        <v>31.245999999999999</v>
      </c>
      <c r="AJ253">
        <v>0.71099999999999997</v>
      </c>
      <c r="AK253">
        <v>7.63</v>
      </c>
      <c r="AL253">
        <v>-2.448</v>
      </c>
      <c r="AM253">
        <v>57.2</v>
      </c>
      <c r="AN253">
        <v>37.470999999999997</v>
      </c>
      <c r="AO253">
        <v>42.5</v>
      </c>
      <c r="AP253">
        <v>2.448</v>
      </c>
      <c r="AQ253">
        <v>99.289000000000001</v>
      </c>
      <c r="AR253">
        <v>68.754000000000005</v>
      </c>
      <c r="AS253">
        <v>92.37</v>
      </c>
    </row>
    <row r="254" spans="1:45" x14ac:dyDescent="0.25">
      <c r="A254">
        <v>41</v>
      </c>
      <c r="B254">
        <v>35</v>
      </c>
      <c r="C254">
        <v>1</v>
      </c>
      <c r="D254">
        <v>2018</v>
      </c>
      <c r="E254">
        <v>17</v>
      </c>
      <c r="F254" t="str">
        <f>IFERROR(VLOOKUP(G254, Map!$A$1:$B$33, 2, FALSE),"WAS")</f>
        <v>NE</v>
      </c>
      <c r="G254" t="s">
        <v>151</v>
      </c>
      <c r="H254" t="str">
        <f>IFERROR(VLOOKUP(I254, Map!$A$1:$B$33, 2, FALSE),"WAS")</f>
        <v>NYJ</v>
      </c>
      <c r="I254" t="s">
        <v>166</v>
      </c>
      <c r="J254" t="s">
        <v>187</v>
      </c>
      <c r="K254" t="s">
        <v>172</v>
      </c>
      <c r="L254">
        <v>1</v>
      </c>
      <c r="M254">
        <v>0</v>
      </c>
      <c r="N254">
        <v>42.181818181818201</v>
      </c>
      <c r="O254">
        <v>-10.090909090909101</v>
      </c>
      <c r="P254">
        <v>0</v>
      </c>
      <c r="Q254">
        <v>45</v>
      </c>
      <c r="R254">
        <v>-1</v>
      </c>
      <c r="S254">
        <v>3.5</v>
      </c>
      <c r="T254">
        <v>-5.3</v>
      </c>
      <c r="U254">
        <v>-5.3</v>
      </c>
      <c r="V254">
        <v>0.1</v>
      </c>
      <c r="W254">
        <v>7.0000000000000007E-2</v>
      </c>
      <c r="X254">
        <v>1</v>
      </c>
      <c r="Y254">
        <v>0</v>
      </c>
      <c r="Z254">
        <v>17.399999999999999</v>
      </c>
      <c r="AA254">
        <v>38.9</v>
      </c>
      <c r="AB254">
        <v>322</v>
      </c>
      <c r="AC254">
        <v>56</v>
      </c>
      <c r="AD254">
        <v>21.3</v>
      </c>
      <c r="AE254">
        <v>8.1</v>
      </c>
      <c r="AF254">
        <v>88.9</v>
      </c>
      <c r="AG254">
        <v>49.615000000000002</v>
      </c>
      <c r="AH254">
        <v>11</v>
      </c>
      <c r="AI254">
        <v>99.168000000000006</v>
      </c>
      <c r="AJ254">
        <v>89.454999999999998</v>
      </c>
      <c r="AK254">
        <v>98.495000000000005</v>
      </c>
      <c r="AL254">
        <v>16.091999999999999</v>
      </c>
      <c r="AM254">
        <v>11</v>
      </c>
      <c r="AN254">
        <v>49.615000000000002</v>
      </c>
      <c r="AO254">
        <v>88.9</v>
      </c>
      <c r="AP254">
        <v>-16.091999999999999</v>
      </c>
      <c r="AQ254">
        <v>10.545</v>
      </c>
      <c r="AR254">
        <v>0.83199999999999996</v>
      </c>
      <c r="AS254">
        <v>1.5049999999999999</v>
      </c>
    </row>
    <row r="255" spans="1:45" x14ac:dyDescent="0.25">
      <c r="A255">
        <v>71</v>
      </c>
      <c r="B255">
        <v>-1</v>
      </c>
      <c r="C255">
        <v>0</v>
      </c>
      <c r="D255">
        <v>2018</v>
      </c>
      <c r="E255">
        <v>17</v>
      </c>
      <c r="F255" t="str">
        <f>IFERROR(VLOOKUP(G255, Map!$A$1:$B$33, 2, FALSE),"WAS")</f>
        <v>NYG</v>
      </c>
      <c r="G255" t="s">
        <v>149</v>
      </c>
      <c r="H255" t="str">
        <f>IFERROR(VLOOKUP(I255, Map!$A$1:$B$33, 2, FALSE),"WAS")</f>
        <v>DAL</v>
      </c>
      <c r="I255" t="s">
        <v>150</v>
      </c>
      <c r="J255" t="s">
        <v>219</v>
      </c>
      <c r="K255" t="s">
        <v>184</v>
      </c>
      <c r="L255">
        <v>0</v>
      </c>
      <c r="M255">
        <v>0</v>
      </c>
      <c r="N255">
        <v>34.6</v>
      </c>
      <c r="O255">
        <v>-5.05</v>
      </c>
      <c r="P255">
        <v>0</v>
      </c>
      <c r="Q255">
        <v>38</v>
      </c>
      <c r="R255">
        <v>2.1</v>
      </c>
      <c r="S255">
        <v>5.3</v>
      </c>
      <c r="T255">
        <v>-0.9</v>
      </c>
      <c r="U255">
        <v>-1.6</v>
      </c>
      <c r="V255">
        <v>0.5</v>
      </c>
      <c r="W255">
        <v>0.35</v>
      </c>
      <c r="X255">
        <v>2</v>
      </c>
      <c r="Y255">
        <v>0</v>
      </c>
      <c r="Z255">
        <v>12.3</v>
      </c>
      <c r="AA255">
        <v>26.6</v>
      </c>
      <c r="AB255">
        <v>306</v>
      </c>
      <c r="AC255">
        <v>67</v>
      </c>
      <c r="AD255">
        <v>17</v>
      </c>
      <c r="AE255">
        <v>7.5</v>
      </c>
      <c r="AF255">
        <v>52.7</v>
      </c>
      <c r="AG255">
        <v>55.856999999999999</v>
      </c>
      <c r="AH255">
        <v>46.9</v>
      </c>
      <c r="AI255">
        <v>17.530999999999999</v>
      </c>
      <c r="AJ255">
        <v>67.832999999999998</v>
      </c>
      <c r="AK255">
        <v>49.152000000000001</v>
      </c>
      <c r="AL255">
        <v>0.96399999999999997</v>
      </c>
      <c r="AM255">
        <v>46.9</v>
      </c>
      <c r="AN255">
        <v>55.856999999999999</v>
      </c>
      <c r="AO255">
        <v>52.7</v>
      </c>
      <c r="AP255">
        <v>-0.96399999999999997</v>
      </c>
      <c r="AQ255">
        <v>32.167000000000002</v>
      </c>
      <c r="AR255">
        <v>82.468999999999994</v>
      </c>
      <c r="AS255">
        <v>50.847999999999999</v>
      </c>
    </row>
    <row r="256" spans="1:45" x14ac:dyDescent="0.25">
      <c r="A256">
        <v>34</v>
      </c>
      <c r="B256">
        <v>-14</v>
      </c>
      <c r="C256">
        <v>0</v>
      </c>
      <c r="D256">
        <v>2018</v>
      </c>
      <c r="E256">
        <v>17</v>
      </c>
      <c r="F256" t="str">
        <f>IFERROR(VLOOKUP(G256, Map!$A$1:$B$33, 2, FALSE),"WAS")</f>
        <v>MIN</v>
      </c>
      <c r="G256" t="s">
        <v>153</v>
      </c>
      <c r="H256" t="str">
        <f>IFERROR(VLOOKUP(I256, Map!$A$1:$B$33, 2, FALSE),"WAS")</f>
        <v>CHI</v>
      </c>
      <c r="I256" t="s">
        <v>163</v>
      </c>
      <c r="J256" t="s">
        <v>214</v>
      </c>
      <c r="K256" t="s">
        <v>216</v>
      </c>
      <c r="L256">
        <v>0</v>
      </c>
      <c r="M256">
        <v>0</v>
      </c>
      <c r="N256">
        <v>36.363636363636402</v>
      </c>
      <c r="O256">
        <v>-2.9545454545454501</v>
      </c>
      <c r="P256">
        <v>0</v>
      </c>
      <c r="Q256">
        <v>39.5</v>
      </c>
      <c r="R256">
        <v>-6.3</v>
      </c>
      <c r="S256">
        <v>1.5</v>
      </c>
      <c r="T256">
        <v>-13</v>
      </c>
      <c r="U256">
        <v>-11.1</v>
      </c>
      <c r="V256">
        <v>0</v>
      </c>
      <c r="W256">
        <v>0</v>
      </c>
      <c r="X256">
        <v>0</v>
      </c>
      <c r="Y256">
        <v>0</v>
      </c>
      <c r="Z256">
        <v>13.8</v>
      </c>
      <c r="AA256">
        <v>25.6</v>
      </c>
      <c r="AB256">
        <v>180</v>
      </c>
      <c r="AC256">
        <v>68</v>
      </c>
      <c r="AD256">
        <v>20</v>
      </c>
      <c r="AE256">
        <v>10.3</v>
      </c>
      <c r="AF256">
        <v>57.6</v>
      </c>
      <c r="AG256">
        <v>78.495999999999995</v>
      </c>
      <c r="AH256">
        <v>42</v>
      </c>
      <c r="AI256">
        <v>17.291</v>
      </c>
      <c r="AJ256">
        <v>25.047999999999998</v>
      </c>
      <c r="AK256">
        <v>18.821999999999999</v>
      </c>
      <c r="AL256">
        <v>2.5910000000000002</v>
      </c>
      <c r="AM256">
        <v>42</v>
      </c>
      <c r="AN256">
        <v>78.495999999999995</v>
      </c>
      <c r="AO256">
        <v>57.6</v>
      </c>
      <c r="AP256">
        <v>-2.5910000000000002</v>
      </c>
      <c r="AQ256">
        <v>74.951999999999998</v>
      </c>
      <c r="AR256">
        <v>82.709000000000003</v>
      </c>
      <c r="AS256">
        <v>81.177999999999997</v>
      </c>
    </row>
    <row r="257" spans="1:45" x14ac:dyDescent="0.25">
      <c r="A257">
        <v>47</v>
      </c>
      <c r="B257">
        <v>-19</v>
      </c>
      <c r="C257">
        <v>0</v>
      </c>
      <c r="D257">
        <v>2018</v>
      </c>
      <c r="E257">
        <v>17</v>
      </c>
      <c r="F257" t="str">
        <f>IFERROR(VLOOKUP(G257, Map!$A$1:$B$33, 2, FALSE),"WAS")</f>
        <v>NO</v>
      </c>
      <c r="G257" t="s">
        <v>168</v>
      </c>
      <c r="H257" t="str">
        <f>IFERROR(VLOOKUP(I257, Map!$A$1:$B$33, 2, FALSE),"WAS")</f>
        <v>CAR</v>
      </c>
      <c r="I257" t="s">
        <v>142</v>
      </c>
      <c r="J257" t="s">
        <v>192</v>
      </c>
      <c r="K257" t="s">
        <v>185</v>
      </c>
      <c r="L257">
        <v>0</v>
      </c>
      <c r="M257">
        <v>0</v>
      </c>
      <c r="N257">
        <v>38.818181818181799</v>
      </c>
      <c r="O257">
        <v>-3.9090909090909101</v>
      </c>
      <c r="P257">
        <v>0</v>
      </c>
      <c r="Q257">
        <v>41.5</v>
      </c>
      <c r="R257">
        <v>16.8</v>
      </c>
      <c r="S257">
        <v>23.5</v>
      </c>
      <c r="T257">
        <v>13.4</v>
      </c>
      <c r="U257">
        <v>17.399999999999999</v>
      </c>
      <c r="V257">
        <v>5.3</v>
      </c>
      <c r="W257">
        <v>0</v>
      </c>
      <c r="X257">
        <v>8</v>
      </c>
      <c r="Y257">
        <v>5.3</v>
      </c>
      <c r="Z257">
        <v>17.899999999999999</v>
      </c>
      <c r="AA257">
        <v>37.799999999999997</v>
      </c>
      <c r="AB257">
        <v>84</v>
      </c>
      <c r="AC257">
        <v>95</v>
      </c>
      <c r="AD257">
        <v>20.9</v>
      </c>
      <c r="AE257">
        <v>9.6999999999999993</v>
      </c>
      <c r="AF257">
        <v>87.2</v>
      </c>
      <c r="AG257">
        <v>58.470999999999997</v>
      </c>
      <c r="AH257">
        <v>12.7</v>
      </c>
      <c r="AI257">
        <v>4.9470000000000001</v>
      </c>
      <c r="AJ257">
        <v>26.364999999999998</v>
      </c>
      <c r="AK257">
        <v>4.165</v>
      </c>
      <c r="AL257">
        <v>15.022</v>
      </c>
      <c r="AM257">
        <v>12.7</v>
      </c>
      <c r="AN257">
        <v>58.470999999999997</v>
      </c>
      <c r="AO257">
        <v>87.2</v>
      </c>
      <c r="AP257">
        <v>-15.022</v>
      </c>
      <c r="AQ257">
        <v>73.635000000000005</v>
      </c>
      <c r="AR257">
        <v>95.052999999999997</v>
      </c>
      <c r="AS257">
        <v>95.834999999999994</v>
      </c>
    </row>
    <row r="258" spans="1:45" x14ac:dyDescent="0.25">
      <c r="A258">
        <v>57</v>
      </c>
      <c r="B258">
        <v>-3</v>
      </c>
      <c r="C258">
        <v>0</v>
      </c>
      <c r="D258">
        <v>2019</v>
      </c>
      <c r="E258">
        <v>1</v>
      </c>
      <c r="F258" t="str">
        <f>IFERROR(VLOOKUP(G258, Map!$A$1:$B$33, 2, FALSE),"WAS")</f>
        <v>CAR</v>
      </c>
      <c r="G258" t="s">
        <v>142</v>
      </c>
      <c r="H258" t="str">
        <f>IFERROR(VLOOKUP(I258, Map!$A$1:$B$33, 2, FALSE),"WAS")</f>
        <v>LA</v>
      </c>
      <c r="I258" t="s">
        <v>155</v>
      </c>
      <c r="J258" t="s">
        <v>185</v>
      </c>
      <c r="K258" t="s">
        <v>178</v>
      </c>
      <c r="L258">
        <v>0</v>
      </c>
      <c r="M258">
        <v>0</v>
      </c>
      <c r="N258">
        <v>43.25</v>
      </c>
      <c r="O258">
        <v>1.3333333333333299</v>
      </c>
      <c r="P258">
        <v>1.5</v>
      </c>
      <c r="Q258">
        <v>42.5</v>
      </c>
      <c r="R258">
        <v>26.2</v>
      </c>
      <c r="S258">
        <v>32.5</v>
      </c>
      <c r="T258">
        <v>20.399999999999999</v>
      </c>
      <c r="U258">
        <v>27.5</v>
      </c>
      <c r="V258">
        <v>0</v>
      </c>
      <c r="W258">
        <v>0</v>
      </c>
      <c r="X258">
        <v>0</v>
      </c>
      <c r="Y258">
        <v>0</v>
      </c>
      <c r="Z258">
        <v>15.1</v>
      </c>
      <c r="AA258">
        <v>26.3</v>
      </c>
      <c r="AB258">
        <v>50</v>
      </c>
      <c r="AC258">
        <v>56</v>
      </c>
      <c r="AD258">
        <v>19.2</v>
      </c>
      <c r="AE258">
        <v>8.9</v>
      </c>
      <c r="AF258">
        <v>48.473999999999997</v>
      </c>
      <c r="AG258">
        <v>48.994999999999997</v>
      </c>
      <c r="AH258">
        <v>51.137</v>
      </c>
      <c r="AI258">
        <v>46.2</v>
      </c>
      <c r="AJ258">
        <v>18.718</v>
      </c>
      <c r="AK258">
        <v>27.05</v>
      </c>
      <c r="AL258">
        <v>-0.48</v>
      </c>
      <c r="AM258">
        <v>51.137</v>
      </c>
      <c r="AN258">
        <v>48.994999999999997</v>
      </c>
      <c r="AO258">
        <v>48.473999999999997</v>
      </c>
      <c r="AP258">
        <v>0.48</v>
      </c>
      <c r="AQ258">
        <v>81.281999999999996</v>
      </c>
      <c r="AR258">
        <v>53.8</v>
      </c>
      <c r="AS258">
        <v>72.95</v>
      </c>
    </row>
    <row r="259" spans="1:45" x14ac:dyDescent="0.25">
      <c r="A259">
        <v>54</v>
      </c>
      <c r="B259">
        <v>0</v>
      </c>
      <c r="C259">
        <v>0</v>
      </c>
      <c r="D259">
        <v>2019</v>
      </c>
      <c r="E259">
        <v>1</v>
      </c>
      <c r="F259" t="str">
        <f>IFERROR(VLOOKUP(G259, Map!$A$1:$B$33, 2, FALSE),"WAS")</f>
        <v>ARI</v>
      </c>
      <c r="G259" t="s">
        <v>156</v>
      </c>
      <c r="H259" t="str">
        <f>IFERROR(VLOOKUP(I259, Map!$A$1:$B$33, 2, FALSE),"WAS")</f>
        <v>DET</v>
      </c>
      <c r="I259" t="s">
        <v>164</v>
      </c>
      <c r="J259" t="s">
        <v>190</v>
      </c>
      <c r="K259" t="s">
        <v>173</v>
      </c>
      <c r="L259">
        <v>0</v>
      </c>
      <c r="M259">
        <v>0</v>
      </c>
      <c r="N259">
        <v>39.4166666666667</v>
      </c>
      <c r="O259">
        <v>2.2916666666666701</v>
      </c>
      <c r="P259">
        <v>2.5</v>
      </c>
      <c r="Q259">
        <v>41.5</v>
      </c>
      <c r="R259">
        <v>21.9</v>
      </c>
      <c r="S259">
        <v>29.1</v>
      </c>
      <c r="T259">
        <v>16.399999999999999</v>
      </c>
      <c r="U259">
        <v>22.1</v>
      </c>
      <c r="V259">
        <v>0</v>
      </c>
      <c r="W259">
        <v>0</v>
      </c>
      <c r="X259">
        <v>0</v>
      </c>
      <c r="Y259">
        <v>0</v>
      </c>
      <c r="Z259">
        <v>14</v>
      </c>
      <c r="AA259">
        <v>34.9</v>
      </c>
      <c r="AB259">
        <v>162</v>
      </c>
      <c r="AC259">
        <v>64</v>
      </c>
      <c r="AD259">
        <v>23.7</v>
      </c>
      <c r="AE259">
        <v>9.8000000000000007</v>
      </c>
      <c r="AF259">
        <v>48.744</v>
      </c>
      <c r="AG259">
        <v>27.498999999999999</v>
      </c>
      <c r="AH259">
        <v>50.863999999999997</v>
      </c>
      <c r="AI259">
        <v>42.878</v>
      </c>
      <c r="AJ259">
        <v>31.954999999999998</v>
      </c>
      <c r="AK259">
        <v>36.701000000000001</v>
      </c>
      <c r="AL259">
        <v>-0.38200000000000001</v>
      </c>
      <c r="AM259">
        <v>50.863999999999997</v>
      </c>
      <c r="AN259">
        <v>27.498999999999999</v>
      </c>
      <c r="AO259">
        <v>48.744</v>
      </c>
      <c r="AP259">
        <v>0.38200000000000001</v>
      </c>
      <c r="AQ259">
        <v>68.045000000000002</v>
      </c>
      <c r="AR259">
        <v>57.122</v>
      </c>
      <c r="AS259">
        <v>63.298999999999999</v>
      </c>
    </row>
    <row r="260" spans="1:45" x14ac:dyDescent="0.25">
      <c r="A260">
        <v>40</v>
      </c>
      <c r="B260">
        <v>8</v>
      </c>
      <c r="C260">
        <v>1</v>
      </c>
      <c r="D260">
        <v>2019</v>
      </c>
      <c r="E260">
        <v>1</v>
      </c>
      <c r="F260" t="str">
        <f>IFERROR(VLOOKUP(G260, Map!$A$1:$B$33, 2, FALSE),"WAS")</f>
        <v>LV</v>
      </c>
      <c r="G260" t="s">
        <v>157</v>
      </c>
      <c r="H260" t="str">
        <f>IFERROR(VLOOKUP(I260, Map!$A$1:$B$33, 2, FALSE),"WAS")</f>
        <v>DEN</v>
      </c>
      <c r="I260" t="s">
        <v>159</v>
      </c>
      <c r="J260" t="s">
        <v>179</v>
      </c>
      <c r="K260" t="s">
        <v>183</v>
      </c>
      <c r="L260">
        <v>1</v>
      </c>
      <c r="M260">
        <v>0</v>
      </c>
      <c r="N260">
        <v>36.625</v>
      </c>
      <c r="O260">
        <v>2.2083333333333299</v>
      </c>
      <c r="P260">
        <v>2.5</v>
      </c>
      <c r="Q260">
        <v>41.5</v>
      </c>
      <c r="R260">
        <v>17.5</v>
      </c>
      <c r="S260">
        <v>21.1</v>
      </c>
      <c r="T260">
        <v>14.4</v>
      </c>
      <c r="U260">
        <v>15.2</v>
      </c>
      <c r="V260">
        <v>0</v>
      </c>
      <c r="W260">
        <v>0</v>
      </c>
      <c r="X260">
        <v>0</v>
      </c>
      <c r="Y260">
        <v>0</v>
      </c>
      <c r="Z260">
        <v>35.700000000000003</v>
      </c>
      <c r="AA260">
        <v>63.7</v>
      </c>
      <c r="AB260">
        <v>265</v>
      </c>
      <c r="AC260">
        <v>77</v>
      </c>
      <c r="AD260">
        <v>41.3</v>
      </c>
      <c r="AE260">
        <v>24.2</v>
      </c>
      <c r="AF260">
        <v>51.674999999999997</v>
      </c>
      <c r="AG260">
        <v>29.228000000000002</v>
      </c>
      <c r="AH260">
        <v>47.94</v>
      </c>
      <c r="AI260">
        <v>59.9</v>
      </c>
      <c r="AJ260">
        <v>89.522000000000006</v>
      </c>
      <c r="AK260">
        <v>84.034000000000006</v>
      </c>
      <c r="AL260">
        <v>0.67400000000000004</v>
      </c>
      <c r="AM260">
        <v>47.94</v>
      </c>
      <c r="AN260">
        <v>29.228000000000002</v>
      </c>
      <c r="AO260">
        <v>51.674999999999997</v>
      </c>
      <c r="AP260">
        <v>-0.67400000000000004</v>
      </c>
      <c r="AQ260">
        <v>10.478</v>
      </c>
      <c r="AR260">
        <v>40.1</v>
      </c>
      <c r="AS260">
        <v>15.965999999999999</v>
      </c>
    </row>
    <row r="261" spans="1:45" x14ac:dyDescent="0.25">
      <c r="A261">
        <v>33</v>
      </c>
      <c r="B261">
        <v>-1</v>
      </c>
      <c r="C261">
        <v>0</v>
      </c>
      <c r="D261">
        <v>2019</v>
      </c>
      <c r="E261">
        <v>1</v>
      </c>
      <c r="F261" t="str">
        <f>IFERROR(VLOOKUP(G261, Map!$A$1:$B$33, 2, FALSE),"WAS")</f>
        <v>NYJ</v>
      </c>
      <c r="G261" t="s">
        <v>166</v>
      </c>
      <c r="H261" t="str">
        <f>IFERROR(VLOOKUP(I261, Map!$A$1:$B$33, 2, FALSE),"WAS")</f>
        <v>BUF</v>
      </c>
      <c r="I261" t="s">
        <v>165</v>
      </c>
      <c r="J261" t="s">
        <v>172</v>
      </c>
      <c r="K261" t="s">
        <v>180</v>
      </c>
      <c r="L261">
        <v>0</v>
      </c>
      <c r="M261">
        <v>0</v>
      </c>
      <c r="N261">
        <v>34.4166666666667</v>
      </c>
      <c r="O261">
        <v>-2.125</v>
      </c>
      <c r="P261">
        <v>-2.5</v>
      </c>
      <c r="Q261">
        <v>32</v>
      </c>
      <c r="R261">
        <v>19.7</v>
      </c>
      <c r="S261">
        <v>25.6</v>
      </c>
      <c r="T261">
        <v>15.3</v>
      </c>
      <c r="U261">
        <v>19.5</v>
      </c>
      <c r="V261">
        <v>0</v>
      </c>
      <c r="W261">
        <v>0</v>
      </c>
      <c r="X261">
        <v>0</v>
      </c>
      <c r="Y261">
        <v>0</v>
      </c>
      <c r="Z261">
        <v>13.2</v>
      </c>
      <c r="AA261">
        <v>28.8</v>
      </c>
      <c r="AB261">
        <v>290</v>
      </c>
      <c r="AC261">
        <v>68</v>
      </c>
      <c r="AD261">
        <v>19.399999999999999</v>
      </c>
      <c r="AE261">
        <v>8.9</v>
      </c>
      <c r="AF261">
        <v>59.277000000000001</v>
      </c>
      <c r="AG261">
        <v>20.843</v>
      </c>
      <c r="AH261">
        <v>40.398000000000003</v>
      </c>
      <c r="AI261">
        <v>77.313999999999993</v>
      </c>
      <c r="AJ261">
        <v>31.399000000000001</v>
      </c>
      <c r="AK261">
        <v>54.274000000000001</v>
      </c>
      <c r="AL261">
        <v>3.4350000000000001</v>
      </c>
      <c r="AM261">
        <v>40.398000000000003</v>
      </c>
      <c r="AN261">
        <v>20.843</v>
      </c>
      <c r="AO261">
        <v>59.277000000000001</v>
      </c>
      <c r="AP261">
        <v>-3.4350000000000001</v>
      </c>
      <c r="AQ261">
        <v>68.600999999999999</v>
      </c>
      <c r="AR261">
        <v>22.686</v>
      </c>
      <c r="AS261">
        <v>45.725999999999999</v>
      </c>
    </row>
    <row r="262" spans="1:45" x14ac:dyDescent="0.25">
      <c r="A262">
        <v>48</v>
      </c>
      <c r="B262">
        <v>-14</v>
      </c>
      <c r="C262">
        <v>0</v>
      </c>
      <c r="D262">
        <v>2019</v>
      </c>
      <c r="E262">
        <v>1</v>
      </c>
      <c r="F262" t="str">
        <f>IFERROR(VLOOKUP(G262, Map!$A$1:$B$33, 2, FALSE),"WAS")</f>
        <v>TB</v>
      </c>
      <c r="G262" t="s">
        <v>141</v>
      </c>
      <c r="H262" t="str">
        <f>IFERROR(VLOOKUP(I262, Map!$A$1:$B$33, 2, FALSE),"WAS")</f>
        <v>SF</v>
      </c>
      <c r="I262" t="s">
        <v>143</v>
      </c>
      <c r="J262" t="s">
        <v>186</v>
      </c>
      <c r="K262" t="s">
        <v>197</v>
      </c>
      <c r="L262">
        <v>0</v>
      </c>
      <c r="M262">
        <v>0</v>
      </c>
      <c r="N262">
        <v>46.6666666666667</v>
      </c>
      <c r="O262">
        <v>-1.125</v>
      </c>
      <c r="P262">
        <v>-1</v>
      </c>
      <c r="Q262">
        <v>49.5</v>
      </c>
      <c r="R262">
        <v>27.5</v>
      </c>
      <c r="S262">
        <v>32.200000000000003</v>
      </c>
      <c r="T262">
        <v>22.5</v>
      </c>
      <c r="U262">
        <v>32.6</v>
      </c>
      <c r="V262">
        <v>0.1</v>
      </c>
      <c r="W262">
        <v>0</v>
      </c>
      <c r="X262">
        <v>1</v>
      </c>
      <c r="Y262">
        <v>0.1</v>
      </c>
      <c r="Z262">
        <v>15.5</v>
      </c>
      <c r="AA262">
        <v>27.4</v>
      </c>
      <c r="AB262">
        <v>321</v>
      </c>
      <c r="AC262">
        <v>80</v>
      </c>
      <c r="AD262">
        <v>13.7</v>
      </c>
      <c r="AE262">
        <v>5.9</v>
      </c>
      <c r="AF262">
        <v>52.014000000000003</v>
      </c>
      <c r="AG262">
        <v>84.233999999999995</v>
      </c>
      <c r="AH262">
        <v>47.603999999999999</v>
      </c>
      <c r="AI262">
        <v>74.400999999999996</v>
      </c>
      <c r="AJ262">
        <v>3.2160000000000002</v>
      </c>
      <c r="AK262">
        <v>21.762</v>
      </c>
      <c r="AL262">
        <v>0.79500000000000004</v>
      </c>
      <c r="AM262">
        <v>47.603999999999999</v>
      </c>
      <c r="AN262">
        <v>84.233999999999995</v>
      </c>
      <c r="AO262">
        <v>52.014000000000003</v>
      </c>
      <c r="AP262">
        <v>-0.79500000000000004</v>
      </c>
      <c r="AQ262">
        <v>96.784000000000006</v>
      </c>
      <c r="AR262">
        <v>25.599</v>
      </c>
      <c r="AS262">
        <v>78.238</v>
      </c>
    </row>
    <row r="263" spans="1:45" x14ac:dyDescent="0.25">
      <c r="A263">
        <v>13</v>
      </c>
      <c r="B263">
        <v>-7</v>
      </c>
      <c r="C263">
        <v>0</v>
      </c>
      <c r="D263">
        <v>2019</v>
      </c>
      <c r="E263">
        <v>1</v>
      </c>
      <c r="F263" t="str">
        <f>IFERROR(VLOOKUP(G263, Map!$A$1:$B$33, 2, FALSE),"WAS")</f>
        <v>CHI</v>
      </c>
      <c r="G263" t="s">
        <v>163</v>
      </c>
      <c r="H263" t="str">
        <f>IFERROR(VLOOKUP(I263, Map!$A$1:$B$33, 2, FALSE),"WAS")</f>
        <v>GB</v>
      </c>
      <c r="I263" t="s">
        <v>154</v>
      </c>
      <c r="J263" t="s">
        <v>216</v>
      </c>
      <c r="K263" t="s">
        <v>200</v>
      </c>
      <c r="L263">
        <v>0</v>
      </c>
      <c r="M263">
        <v>0</v>
      </c>
      <c r="N263">
        <v>35.7083333333333</v>
      </c>
      <c r="O263">
        <v>-3.375</v>
      </c>
      <c r="P263">
        <v>-3</v>
      </c>
      <c r="Q263">
        <v>16.5</v>
      </c>
      <c r="R263">
        <v>19.399999999999999</v>
      </c>
      <c r="S263">
        <v>23.4</v>
      </c>
      <c r="T263">
        <v>16.8</v>
      </c>
      <c r="U263">
        <v>18.7</v>
      </c>
      <c r="V263">
        <v>1.2</v>
      </c>
      <c r="W263">
        <v>0</v>
      </c>
      <c r="X263">
        <v>5</v>
      </c>
      <c r="Y263">
        <v>1.2</v>
      </c>
      <c r="Z263">
        <v>26.3</v>
      </c>
      <c r="AA263">
        <v>42.8</v>
      </c>
      <c r="AB263">
        <v>273</v>
      </c>
      <c r="AC263">
        <v>79</v>
      </c>
      <c r="AD263">
        <v>28.5</v>
      </c>
      <c r="AE263">
        <v>17.8</v>
      </c>
      <c r="AF263">
        <v>57.645000000000003</v>
      </c>
      <c r="AG263">
        <v>61.207999999999998</v>
      </c>
      <c r="AH263">
        <v>42.017000000000003</v>
      </c>
      <c r="AI263">
        <v>77.234999999999999</v>
      </c>
      <c r="AJ263">
        <v>12.430999999999999</v>
      </c>
      <c r="AK263">
        <v>34.524999999999999</v>
      </c>
      <c r="AL263">
        <v>2.835</v>
      </c>
      <c r="AM263">
        <v>42.017000000000003</v>
      </c>
      <c r="AN263">
        <v>61.207999999999998</v>
      </c>
      <c r="AO263">
        <v>57.645000000000003</v>
      </c>
      <c r="AP263">
        <v>-2.835</v>
      </c>
      <c r="AQ263">
        <v>87.569000000000003</v>
      </c>
      <c r="AR263">
        <v>22.765000000000001</v>
      </c>
      <c r="AS263">
        <v>65.474999999999994</v>
      </c>
    </row>
    <row r="264" spans="1:45" x14ac:dyDescent="0.25">
      <c r="A264">
        <v>36</v>
      </c>
      <c r="B264">
        <v>30</v>
      </c>
      <c r="C264">
        <v>1</v>
      </c>
      <c r="D264">
        <v>2019</v>
      </c>
      <c r="E264">
        <v>1</v>
      </c>
      <c r="F264" t="str">
        <f>IFERROR(VLOOKUP(G264, Map!$A$1:$B$33, 2, FALSE),"WAS")</f>
        <v>NE</v>
      </c>
      <c r="G264" t="s">
        <v>151</v>
      </c>
      <c r="H264" t="str">
        <f>IFERROR(VLOOKUP(I264, Map!$A$1:$B$33, 2, FALSE),"WAS")</f>
        <v>PIT</v>
      </c>
      <c r="I264" t="s">
        <v>145</v>
      </c>
      <c r="J264" t="s">
        <v>187</v>
      </c>
      <c r="K264" t="s">
        <v>170</v>
      </c>
      <c r="L264">
        <v>1</v>
      </c>
      <c r="M264">
        <v>0</v>
      </c>
      <c r="N264">
        <v>41.2916666666667</v>
      </c>
      <c r="O264">
        <v>-4.5833333333333304</v>
      </c>
      <c r="P264">
        <v>-5.5</v>
      </c>
      <c r="Q264">
        <v>40</v>
      </c>
      <c r="R264">
        <v>17.2</v>
      </c>
      <c r="S264">
        <v>22.4</v>
      </c>
      <c r="T264">
        <v>12.1</v>
      </c>
      <c r="U264">
        <v>16.600000000000001</v>
      </c>
      <c r="V264">
        <v>0</v>
      </c>
      <c r="W264">
        <v>0</v>
      </c>
      <c r="X264">
        <v>0</v>
      </c>
      <c r="Y264">
        <v>0</v>
      </c>
      <c r="Z264">
        <v>11.8</v>
      </c>
      <c r="AA264">
        <v>30.2</v>
      </c>
      <c r="AB264">
        <v>18</v>
      </c>
      <c r="AC264">
        <v>70</v>
      </c>
      <c r="AD264">
        <v>18.399999999999999</v>
      </c>
      <c r="AE264">
        <v>7.6</v>
      </c>
      <c r="AF264">
        <v>65.061999999999998</v>
      </c>
      <c r="AG264">
        <v>59.969000000000001</v>
      </c>
      <c r="AH264">
        <v>34.658999999999999</v>
      </c>
      <c r="AI264">
        <v>89.762</v>
      </c>
      <c r="AJ264">
        <v>89.915000000000006</v>
      </c>
      <c r="AK264">
        <v>96.558999999999997</v>
      </c>
      <c r="AL264">
        <v>5.62</v>
      </c>
      <c r="AM264">
        <v>34.658999999999999</v>
      </c>
      <c r="AN264">
        <v>59.969000000000001</v>
      </c>
      <c r="AO264">
        <v>65.061999999999998</v>
      </c>
      <c r="AP264">
        <v>-5.62</v>
      </c>
      <c r="AQ264">
        <v>10.085000000000001</v>
      </c>
      <c r="AR264">
        <v>10.238</v>
      </c>
      <c r="AS264">
        <v>3.4409999999999998</v>
      </c>
    </row>
    <row r="265" spans="1:45" x14ac:dyDescent="0.25">
      <c r="A265">
        <v>59</v>
      </c>
      <c r="B265">
        <v>5</v>
      </c>
      <c r="C265">
        <v>1</v>
      </c>
      <c r="D265">
        <v>2019</v>
      </c>
      <c r="E265">
        <v>1</v>
      </c>
      <c r="F265" t="str">
        <f>IFERROR(VLOOKUP(G265, Map!$A$1:$B$33, 2, FALSE),"WAS")</f>
        <v>PHI</v>
      </c>
      <c r="G265" t="s">
        <v>147</v>
      </c>
      <c r="H265" t="str">
        <f>IFERROR(VLOOKUP(I265, Map!$A$1:$B$33, 2, FALSE),"WAS")</f>
        <v>WAS</v>
      </c>
      <c r="I265" t="s">
        <v>169</v>
      </c>
      <c r="J265" t="s">
        <v>206</v>
      </c>
      <c r="K265" t="s">
        <v>205</v>
      </c>
      <c r="L265">
        <v>1</v>
      </c>
      <c r="M265">
        <v>0</v>
      </c>
      <c r="N265">
        <v>39.625</v>
      </c>
      <c r="O265">
        <v>-8.625</v>
      </c>
      <c r="P265">
        <v>-10</v>
      </c>
      <c r="Q265">
        <v>43</v>
      </c>
      <c r="R265">
        <v>21.1</v>
      </c>
      <c r="S265">
        <v>27.9</v>
      </c>
      <c r="T265">
        <v>15.2</v>
      </c>
      <c r="U265">
        <v>21.1</v>
      </c>
      <c r="V265">
        <v>0</v>
      </c>
      <c r="W265">
        <v>0</v>
      </c>
      <c r="X265">
        <v>0</v>
      </c>
      <c r="Y265">
        <v>0</v>
      </c>
      <c r="Z265">
        <v>13.6</v>
      </c>
      <c r="AA265">
        <v>27</v>
      </c>
      <c r="AB265">
        <v>274</v>
      </c>
      <c r="AC265">
        <v>62</v>
      </c>
      <c r="AD265">
        <v>17.100000000000001</v>
      </c>
      <c r="AE265">
        <v>7.8</v>
      </c>
      <c r="AF265">
        <v>77.88</v>
      </c>
      <c r="AG265">
        <v>40.280999999999999</v>
      </c>
      <c r="AH265">
        <v>21.943999999999999</v>
      </c>
      <c r="AI265">
        <v>31.279</v>
      </c>
      <c r="AJ265">
        <v>88.225999999999999</v>
      </c>
      <c r="AK265">
        <v>72.043999999999997</v>
      </c>
      <c r="AL265">
        <v>11.089</v>
      </c>
      <c r="AM265">
        <v>21.943999999999999</v>
      </c>
      <c r="AN265">
        <v>40.280999999999999</v>
      </c>
      <c r="AO265">
        <v>77.88</v>
      </c>
      <c r="AP265">
        <v>-11.089</v>
      </c>
      <c r="AQ265">
        <v>11.773999999999999</v>
      </c>
      <c r="AR265">
        <v>68.721000000000004</v>
      </c>
      <c r="AS265">
        <v>27.956</v>
      </c>
    </row>
    <row r="266" spans="1:45" x14ac:dyDescent="0.25">
      <c r="A266">
        <v>52</v>
      </c>
      <c r="B266">
        <v>18</v>
      </c>
      <c r="C266">
        <v>1</v>
      </c>
      <c r="D266">
        <v>2019</v>
      </c>
      <c r="E266">
        <v>1</v>
      </c>
      <c r="F266" t="str">
        <f>IFERROR(VLOOKUP(G266, Map!$A$1:$B$33, 2, FALSE),"WAS")</f>
        <v>DAL</v>
      </c>
      <c r="G266" t="s">
        <v>150</v>
      </c>
      <c r="H266" t="str">
        <f>IFERROR(VLOOKUP(I266, Map!$A$1:$B$33, 2, FALSE),"WAS")</f>
        <v>NYG</v>
      </c>
      <c r="I266" t="s">
        <v>149</v>
      </c>
      <c r="J266" t="s">
        <v>184</v>
      </c>
      <c r="K266" t="s">
        <v>219</v>
      </c>
      <c r="L266">
        <v>1</v>
      </c>
      <c r="M266">
        <v>0</v>
      </c>
      <c r="N266">
        <v>39.5416666666667</v>
      </c>
      <c r="O266">
        <v>-5.9166666666666696</v>
      </c>
      <c r="P266">
        <v>-6.5</v>
      </c>
      <c r="Q266">
        <v>44</v>
      </c>
      <c r="R266">
        <v>31.2</v>
      </c>
      <c r="S266">
        <v>36.6</v>
      </c>
      <c r="T266">
        <v>25.3</v>
      </c>
      <c r="U266">
        <v>31.3</v>
      </c>
      <c r="V266">
        <v>0</v>
      </c>
      <c r="W266">
        <v>0</v>
      </c>
      <c r="X266">
        <v>0</v>
      </c>
      <c r="Y266">
        <v>0</v>
      </c>
      <c r="Z266">
        <v>23.3</v>
      </c>
      <c r="AA266">
        <v>42.1</v>
      </c>
      <c r="AB266">
        <v>190</v>
      </c>
      <c r="AC266">
        <v>42</v>
      </c>
      <c r="AD266">
        <v>29.1</v>
      </c>
      <c r="AE266">
        <v>16</v>
      </c>
      <c r="AF266">
        <v>75.325000000000003</v>
      </c>
      <c r="AG266">
        <v>49.567</v>
      </c>
      <c r="AH266">
        <v>24.478000000000002</v>
      </c>
      <c r="AI266">
        <v>35.204000000000001</v>
      </c>
      <c r="AJ266">
        <v>97.864999999999995</v>
      </c>
      <c r="AK266">
        <v>91.078999999999994</v>
      </c>
      <c r="AL266">
        <v>9.8919999999999995</v>
      </c>
      <c r="AM266">
        <v>24.478000000000002</v>
      </c>
      <c r="AN266">
        <v>49.567</v>
      </c>
      <c r="AO266">
        <v>75.325000000000003</v>
      </c>
      <c r="AP266">
        <v>-9.8919999999999995</v>
      </c>
      <c r="AQ266">
        <v>2.1349999999999998</v>
      </c>
      <c r="AR266">
        <v>64.796000000000006</v>
      </c>
      <c r="AS266">
        <v>8.9209999999999994</v>
      </c>
    </row>
    <row r="267" spans="1:45" x14ac:dyDescent="0.25">
      <c r="A267">
        <v>56</v>
      </c>
      <c r="B267">
        <v>-30</v>
      </c>
      <c r="C267">
        <v>0</v>
      </c>
      <c r="D267">
        <v>2019</v>
      </c>
      <c r="E267">
        <v>1</v>
      </c>
      <c r="F267" t="str">
        <f>IFERROR(VLOOKUP(G267, Map!$A$1:$B$33, 2, FALSE),"WAS")</f>
        <v>CLE</v>
      </c>
      <c r="G267" t="s">
        <v>162</v>
      </c>
      <c r="H267" t="str">
        <f>IFERROR(VLOOKUP(I267, Map!$A$1:$B$33, 2, FALSE),"WAS")</f>
        <v>TEN</v>
      </c>
      <c r="I267" t="s">
        <v>140</v>
      </c>
      <c r="J267" t="s">
        <v>171</v>
      </c>
      <c r="K267" t="s">
        <v>174</v>
      </c>
      <c r="L267">
        <v>0</v>
      </c>
      <c r="M267">
        <v>0</v>
      </c>
      <c r="N267">
        <v>39.0833333333333</v>
      </c>
      <c r="O267">
        <v>-5.0416666666666696</v>
      </c>
      <c r="P267">
        <v>-5.5</v>
      </c>
      <c r="Q267">
        <v>19.5</v>
      </c>
      <c r="R267">
        <v>18.8</v>
      </c>
      <c r="S267">
        <v>20.2</v>
      </c>
      <c r="T267">
        <v>17.3</v>
      </c>
      <c r="U267">
        <v>18.8</v>
      </c>
      <c r="V267">
        <v>0.4</v>
      </c>
      <c r="W267">
        <v>0</v>
      </c>
      <c r="X267">
        <v>3</v>
      </c>
      <c r="Y267">
        <v>0.4</v>
      </c>
      <c r="Z267">
        <v>18.100000000000001</v>
      </c>
      <c r="AA267">
        <v>32.4</v>
      </c>
      <c r="AB267">
        <v>10</v>
      </c>
      <c r="AC267">
        <v>77</v>
      </c>
      <c r="AD267">
        <v>21.4</v>
      </c>
      <c r="AE267">
        <v>11.7</v>
      </c>
      <c r="AF267">
        <v>56.606999999999999</v>
      </c>
      <c r="AG267">
        <v>65.376999999999995</v>
      </c>
      <c r="AH267">
        <v>43.048000000000002</v>
      </c>
      <c r="AI267">
        <v>25.34</v>
      </c>
      <c r="AJ267">
        <v>19.327000000000002</v>
      </c>
      <c r="AK267">
        <v>14.121</v>
      </c>
      <c r="AL267">
        <v>2.456</v>
      </c>
      <c r="AM267">
        <v>43.048000000000002</v>
      </c>
      <c r="AN267">
        <v>65.376999999999995</v>
      </c>
      <c r="AO267">
        <v>56.606999999999999</v>
      </c>
      <c r="AP267">
        <v>-2.456</v>
      </c>
      <c r="AQ267">
        <v>80.673000000000002</v>
      </c>
      <c r="AR267">
        <v>74.66</v>
      </c>
      <c r="AS267">
        <v>85.879000000000005</v>
      </c>
    </row>
    <row r="268" spans="1:45" x14ac:dyDescent="0.25">
      <c r="A268">
        <v>58</v>
      </c>
      <c r="B268">
        <v>2</v>
      </c>
      <c r="C268">
        <v>1</v>
      </c>
      <c r="D268">
        <v>2019</v>
      </c>
      <c r="E268">
        <v>1</v>
      </c>
      <c r="F268" t="str">
        <f>IFERROR(VLOOKUP(G268, Map!$A$1:$B$33, 2, FALSE),"WAS")</f>
        <v>NO</v>
      </c>
      <c r="G268" t="s">
        <v>168</v>
      </c>
      <c r="H268" t="str">
        <f>IFERROR(VLOOKUP(I268, Map!$A$1:$B$33, 2, FALSE),"WAS")</f>
        <v>HOU</v>
      </c>
      <c r="I268" t="s">
        <v>137</v>
      </c>
      <c r="J268" t="s">
        <v>192</v>
      </c>
      <c r="K268" t="s">
        <v>209</v>
      </c>
      <c r="L268">
        <v>1</v>
      </c>
      <c r="M268">
        <v>0</v>
      </c>
      <c r="N268">
        <v>44.846153846153797</v>
      </c>
      <c r="O268">
        <v>-6.1153846153846096</v>
      </c>
      <c r="P268">
        <v>-6.5</v>
      </c>
      <c r="Q268">
        <v>20.5</v>
      </c>
      <c r="R268">
        <v>29.1</v>
      </c>
      <c r="S268">
        <v>32.4</v>
      </c>
      <c r="T268">
        <v>26.4</v>
      </c>
      <c r="U268">
        <v>35</v>
      </c>
      <c r="V268">
        <v>0.4</v>
      </c>
      <c r="W268">
        <v>0</v>
      </c>
      <c r="X268">
        <v>3</v>
      </c>
      <c r="Y268">
        <v>0.4</v>
      </c>
      <c r="Z268">
        <v>12.3</v>
      </c>
      <c r="AA268">
        <v>21.2</v>
      </c>
      <c r="AB268">
        <v>232</v>
      </c>
      <c r="AC268">
        <v>79</v>
      </c>
      <c r="AD268">
        <v>12.3</v>
      </c>
      <c r="AE268">
        <v>5.7</v>
      </c>
      <c r="AF268">
        <v>65.292000000000002</v>
      </c>
      <c r="AG268">
        <v>74.340999999999994</v>
      </c>
      <c r="AH268">
        <v>34.430999999999997</v>
      </c>
      <c r="AI268">
        <v>11.731</v>
      </c>
      <c r="AJ268">
        <v>87.858999999999995</v>
      </c>
      <c r="AK268">
        <v>50.417999999999999</v>
      </c>
      <c r="AL268">
        <v>5.7089999999999996</v>
      </c>
      <c r="AM268">
        <v>34.430999999999997</v>
      </c>
      <c r="AN268">
        <v>74.340999999999994</v>
      </c>
      <c r="AO268">
        <v>65.292000000000002</v>
      </c>
      <c r="AP268">
        <v>-5.7089999999999996</v>
      </c>
      <c r="AQ268">
        <v>12.141</v>
      </c>
      <c r="AR268">
        <v>88.269000000000005</v>
      </c>
      <c r="AS268">
        <v>49.582000000000001</v>
      </c>
    </row>
    <row r="269" spans="1:45" x14ac:dyDescent="0.25">
      <c r="A269">
        <v>66</v>
      </c>
      <c r="B269">
        <v>-14</v>
      </c>
      <c r="C269">
        <v>0</v>
      </c>
      <c r="D269">
        <v>2019</v>
      </c>
      <c r="E269">
        <v>1</v>
      </c>
      <c r="F269" t="str">
        <f>IFERROR(VLOOKUP(G269, Map!$A$1:$B$33, 2, FALSE),"WAS")</f>
        <v>JAX</v>
      </c>
      <c r="G269" t="s">
        <v>139</v>
      </c>
      <c r="H269" t="str">
        <f>IFERROR(VLOOKUP(I269, Map!$A$1:$B$33, 2, FALSE),"WAS")</f>
        <v>KC</v>
      </c>
      <c r="I269" t="s">
        <v>158</v>
      </c>
      <c r="J269" t="s">
        <v>220</v>
      </c>
      <c r="K269" t="s">
        <v>202</v>
      </c>
      <c r="L269">
        <v>0</v>
      </c>
      <c r="M269">
        <v>0</v>
      </c>
      <c r="N269">
        <v>45.375</v>
      </c>
      <c r="O269">
        <v>2.9166666666666701</v>
      </c>
      <c r="P269">
        <v>3.5</v>
      </c>
      <c r="Q269">
        <v>49</v>
      </c>
      <c r="R269">
        <v>27.5</v>
      </c>
      <c r="S269">
        <v>33.799999999999997</v>
      </c>
      <c r="T269">
        <v>22.2</v>
      </c>
      <c r="U269">
        <v>31.9</v>
      </c>
      <c r="V269">
        <v>0</v>
      </c>
      <c r="W269">
        <v>0</v>
      </c>
      <c r="X269">
        <v>0</v>
      </c>
      <c r="Y269">
        <v>0</v>
      </c>
      <c r="Z269">
        <v>16.3</v>
      </c>
      <c r="AA269">
        <v>30.2</v>
      </c>
      <c r="AB269">
        <v>174</v>
      </c>
      <c r="AC269">
        <v>77</v>
      </c>
      <c r="AD269">
        <v>16.600000000000001</v>
      </c>
      <c r="AE269">
        <v>8.5</v>
      </c>
      <c r="AF269">
        <v>41.448999999999998</v>
      </c>
      <c r="AG269">
        <v>72.798000000000002</v>
      </c>
      <c r="AH269">
        <v>58.218000000000004</v>
      </c>
      <c r="AI269">
        <v>1.881</v>
      </c>
      <c r="AJ269">
        <v>56.704999999999998</v>
      </c>
      <c r="AK269">
        <v>8.4610000000000003</v>
      </c>
      <c r="AL269">
        <v>-3.0449999999999999</v>
      </c>
      <c r="AM269">
        <v>58.218000000000004</v>
      </c>
      <c r="AN269">
        <v>72.798000000000002</v>
      </c>
      <c r="AO269">
        <v>41.448999999999998</v>
      </c>
      <c r="AP269">
        <v>3.0449999999999999</v>
      </c>
      <c r="AQ269">
        <v>43.295000000000002</v>
      </c>
      <c r="AR269">
        <v>98.119</v>
      </c>
      <c r="AS269">
        <v>91.539000000000001</v>
      </c>
    </row>
    <row r="270" spans="1:45" x14ac:dyDescent="0.25">
      <c r="A270">
        <v>40</v>
      </c>
      <c r="B270">
        <v>16</v>
      </c>
      <c r="C270">
        <v>1</v>
      </c>
      <c r="D270">
        <v>2019</v>
      </c>
      <c r="E270">
        <v>1</v>
      </c>
      <c r="F270" t="str">
        <f>IFERROR(VLOOKUP(G270, Map!$A$1:$B$33, 2, FALSE),"WAS")</f>
        <v>MIN</v>
      </c>
      <c r="G270" t="s">
        <v>153</v>
      </c>
      <c r="H270" t="str">
        <f>IFERROR(VLOOKUP(I270, Map!$A$1:$B$33, 2, FALSE),"WAS")</f>
        <v>ATL</v>
      </c>
      <c r="I270" t="s">
        <v>167</v>
      </c>
      <c r="J270" t="s">
        <v>214</v>
      </c>
      <c r="K270" t="s">
        <v>188</v>
      </c>
      <c r="L270">
        <v>1</v>
      </c>
      <c r="M270">
        <v>0</v>
      </c>
      <c r="N270">
        <v>39.8333333333333</v>
      </c>
      <c r="O270">
        <v>-2.9166666666666701</v>
      </c>
      <c r="P270">
        <v>-3.5</v>
      </c>
      <c r="Q270">
        <v>39.5</v>
      </c>
      <c r="R270">
        <v>13.8</v>
      </c>
      <c r="S270">
        <v>16.8</v>
      </c>
      <c r="T270">
        <v>11.6</v>
      </c>
      <c r="U270">
        <v>12.5</v>
      </c>
      <c r="V270">
        <v>4.3</v>
      </c>
      <c r="W270">
        <v>0</v>
      </c>
      <c r="X270">
        <v>12</v>
      </c>
      <c r="Y270">
        <v>4.3</v>
      </c>
      <c r="Z270">
        <v>15.2</v>
      </c>
      <c r="AA270">
        <v>31.7</v>
      </c>
      <c r="AB270">
        <v>73</v>
      </c>
      <c r="AC270">
        <v>81</v>
      </c>
      <c r="AD270">
        <v>20.2</v>
      </c>
      <c r="AE270">
        <v>10.7</v>
      </c>
      <c r="AF270">
        <v>59.195</v>
      </c>
      <c r="AG270">
        <v>67.646000000000001</v>
      </c>
      <c r="AH270">
        <v>40.479999999999997</v>
      </c>
      <c r="AI270">
        <v>85.257000000000005</v>
      </c>
      <c r="AJ270">
        <v>92.186999999999998</v>
      </c>
      <c r="AK270">
        <v>96.86</v>
      </c>
      <c r="AL270">
        <v>3.4049999999999998</v>
      </c>
      <c r="AM270">
        <v>40.479999999999997</v>
      </c>
      <c r="AN270">
        <v>67.646000000000001</v>
      </c>
      <c r="AO270">
        <v>59.195</v>
      </c>
      <c r="AP270">
        <v>-3.4049999999999998</v>
      </c>
      <c r="AQ270">
        <v>7.8129999999999997</v>
      </c>
      <c r="AR270">
        <v>14.743</v>
      </c>
      <c r="AS270">
        <v>3.14</v>
      </c>
    </row>
    <row r="271" spans="1:45" x14ac:dyDescent="0.25">
      <c r="A271">
        <v>41</v>
      </c>
      <c r="B271">
        <v>1</v>
      </c>
      <c r="C271">
        <v>1</v>
      </c>
      <c r="D271">
        <v>2019</v>
      </c>
      <c r="E271">
        <v>1</v>
      </c>
      <c r="F271" t="str">
        <f>IFERROR(VLOOKUP(G271, Map!$A$1:$B$33, 2, FALSE),"WAS")</f>
        <v>SEA</v>
      </c>
      <c r="G271" t="s">
        <v>144</v>
      </c>
      <c r="H271" t="str">
        <f>IFERROR(VLOOKUP(I271, Map!$A$1:$B$33, 2, FALSE),"WAS")</f>
        <v>CIN</v>
      </c>
      <c r="I271" t="s">
        <v>161</v>
      </c>
      <c r="J271" t="s">
        <v>182</v>
      </c>
      <c r="K271" t="s">
        <v>176</v>
      </c>
      <c r="L271">
        <v>1</v>
      </c>
      <c r="M271">
        <v>0</v>
      </c>
      <c r="N271">
        <v>41.0416666666667</v>
      </c>
      <c r="O271">
        <v>-7.7083333333333304</v>
      </c>
      <c r="P271">
        <v>-8.5</v>
      </c>
      <c r="Q271">
        <v>42.5</v>
      </c>
      <c r="R271">
        <v>16.8</v>
      </c>
      <c r="S271">
        <v>19.899999999999999</v>
      </c>
      <c r="T271">
        <v>15.2</v>
      </c>
      <c r="U271">
        <v>15.9</v>
      </c>
      <c r="V271">
        <v>8.1999999999999993</v>
      </c>
      <c r="W271">
        <v>0</v>
      </c>
      <c r="X271">
        <v>18</v>
      </c>
      <c r="Y271">
        <v>8.1999999999999993</v>
      </c>
      <c r="Z271">
        <v>21.3</v>
      </c>
      <c r="AA271">
        <v>42.8</v>
      </c>
      <c r="AB271">
        <v>194</v>
      </c>
      <c r="AC271">
        <v>87</v>
      </c>
      <c r="AD271">
        <v>31.8</v>
      </c>
      <c r="AE271">
        <v>16.600000000000001</v>
      </c>
      <c r="AF271">
        <v>77.048000000000002</v>
      </c>
      <c r="AG271">
        <v>46.48</v>
      </c>
      <c r="AH271">
        <v>22.768999999999998</v>
      </c>
      <c r="AI271">
        <v>53.511000000000003</v>
      </c>
      <c r="AJ271">
        <v>32.588999999999999</v>
      </c>
      <c r="AK271">
        <v>52.604999999999997</v>
      </c>
      <c r="AL271">
        <v>10.691000000000001</v>
      </c>
      <c r="AM271">
        <v>22.768999999999998</v>
      </c>
      <c r="AN271">
        <v>46.48</v>
      </c>
      <c r="AO271">
        <v>77.048000000000002</v>
      </c>
      <c r="AP271">
        <v>-10.691000000000001</v>
      </c>
      <c r="AQ271">
        <v>67.411000000000001</v>
      </c>
      <c r="AR271">
        <v>46.488999999999997</v>
      </c>
      <c r="AS271">
        <v>47.395000000000003</v>
      </c>
    </row>
    <row r="272" spans="1:45" x14ac:dyDescent="0.25">
      <c r="A272">
        <v>69</v>
      </c>
      <c r="B272">
        <v>-49</v>
      </c>
      <c r="C272">
        <v>0</v>
      </c>
      <c r="D272">
        <v>2019</v>
      </c>
      <c r="E272">
        <v>1</v>
      </c>
      <c r="F272" t="str">
        <f>IFERROR(VLOOKUP(G272, Map!$A$1:$B$33, 2, FALSE),"WAS")</f>
        <v>MIA</v>
      </c>
      <c r="G272" t="s">
        <v>152</v>
      </c>
      <c r="H272" t="str">
        <f>IFERROR(VLOOKUP(I272, Map!$A$1:$B$33, 2, FALSE),"WAS")</f>
        <v>BAL</v>
      </c>
      <c r="I272" t="s">
        <v>146</v>
      </c>
      <c r="J272" t="s">
        <v>175</v>
      </c>
      <c r="K272" t="s">
        <v>181</v>
      </c>
      <c r="L272">
        <v>0</v>
      </c>
      <c r="M272">
        <v>0</v>
      </c>
      <c r="N272">
        <v>39.375</v>
      </c>
      <c r="O272">
        <v>5.625</v>
      </c>
      <c r="P272">
        <v>6.5</v>
      </c>
      <c r="Q272">
        <v>40.5</v>
      </c>
      <c r="R272">
        <v>28.2</v>
      </c>
      <c r="S272">
        <v>32.1</v>
      </c>
      <c r="T272">
        <v>23.8</v>
      </c>
      <c r="U272">
        <v>33.299999999999997</v>
      </c>
      <c r="V272">
        <v>1.7</v>
      </c>
      <c r="W272">
        <v>0</v>
      </c>
      <c r="X272">
        <v>10</v>
      </c>
      <c r="Y272">
        <v>1.7</v>
      </c>
      <c r="Z272">
        <v>11.6</v>
      </c>
      <c r="AA272">
        <v>22.7</v>
      </c>
      <c r="AB272">
        <v>179</v>
      </c>
      <c r="AC272">
        <v>78</v>
      </c>
      <c r="AD272">
        <v>16.100000000000001</v>
      </c>
      <c r="AE272">
        <v>7.7</v>
      </c>
      <c r="AF272">
        <v>36.561</v>
      </c>
      <c r="AG272">
        <v>49.701000000000001</v>
      </c>
      <c r="AH272">
        <v>63.146000000000001</v>
      </c>
      <c r="AI272">
        <v>0.114</v>
      </c>
      <c r="AJ272">
        <v>5.7850000000000001</v>
      </c>
      <c r="AK272">
        <v>4.9000000000000002E-2</v>
      </c>
      <c r="AL272">
        <v>-4.8840000000000003</v>
      </c>
      <c r="AM272">
        <v>63.146000000000001</v>
      </c>
      <c r="AN272">
        <v>49.701000000000001</v>
      </c>
      <c r="AO272">
        <v>36.561</v>
      </c>
      <c r="AP272">
        <v>4.8840000000000003</v>
      </c>
      <c r="AQ272">
        <v>94.215000000000003</v>
      </c>
      <c r="AR272">
        <v>99.885999999999996</v>
      </c>
      <c r="AS272">
        <v>99.950999999999993</v>
      </c>
    </row>
    <row r="273" spans="1:45" x14ac:dyDescent="0.25">
      <c r="A273">
        <v>54</v>
      </c>
      <c r="B273">
        <v>6</v>
      </c>
      <c r="C273">
        <v>1</v>
      </c>
      <c r="D273">
        <v>2019</v>
      </c>
      <c r="E273">
        <v>1</v>
      </c>
      <c r="F273" t="str">
        <f>IFERROR(VLOOKUP(G273, Map!$A$1:$B$33, 2, FALSE),"WAS")</f>
        <v>LAC</v>
      </c>
      <c r="G273" t="s">
        <v>160</v>
      </c>
      <c r="H273" t="str">
        <f>IFERROR(VLOOKUP(I273, Map!$A$1:$B$33, 2, FALSE),"WAS")</f>
        <v>IND</v>
      </c>
      <c r="I273" t="s">
        <v>138</v>
      </c>
      <c r="J273" t="s">
        <v>210</v>
      </c>
      <c r="K273" t="s">
        <v>177</v>
      </c>
      <c r="L273">
        <v>1</v>
      </c>
      <c r="M273">
        <v>0</v>
      </c>
      <c r="N273">
        <v>38.538461538461497</v>
      </c>
      <c r="O273">
        <v>-4.6538461538461497</v>
      </c>
      <c r="P273">
        <v>-4.5</v>
      </c>
      <c r="Q273">
        <v>-1</v>
      </c>
      <c r="R273">
        <v>21.7</v>
      </c>
      <c r="S273">
        <v>26.9</v>
      </c>
      <c r="T273">
        <v>17.100000000000001</v>
      </c>
      <c r="U273">
        <v>21.9</v>
      </c>
      <c r="V273">
        <v>0</v>
      </c>
      <c r="W273">
        <v>0</v>
      </c>
      <c r="X273">
        <v>0</v>
      </c>
      <c r="Y273">
        <v>0</v>
      </c>
      <c r="Z273">
        <v>23.8</v>
      </c>
      <c r="AA273">
        <v>46.1</v>
      </c>
      <c r="AB273">
        <v>225</v>
      </c>
      <c r="AC273">
        <v>68</v>
      </c>
      <c r="AD273">
        <v>23.6</v>
      </c>
      <c r="AE273">
        <v>11.9</v>
      </c>
      <c r="AF273">
        <v>67.849000000000004</v>
      </c>
      <c r="AG273">
        <v>52.893000000000001</v>
      </c>
      <c r="AH273">
        <v>31.893999999999998</v>
      </c>
      <c r="AI273">
        <v>23.388000000000002</v>
      </c>
      <c r="AJ273">
        <v>88.593999999999994</v>
      </c>
      <c r="AK273">
        <v>79.944000000000003</v>
      </c>
      <c r="AL273">
        <v>6.7169999999999996</v>
      </c>
      <c r="AM273">
        <v>31.893999999999998</v>
      </c>
      <c r="AN273">
        <v>52.893000000000001</v>
      </c>
      <c r="AO273">
        <v>67.849000000000004</v>
      </c>
      <c r="AP273">
        <v>-6.7169999999999996</v>
      </c>
      <c r="AQ273">
        <v>11.406000000000001</v>
      </c>
      <c r="AR273">
        <v>76.611999999999995</v>
      </c>
      <c r="AS273">
        <v>20.056000000000001</v>
      </c>
    </row>
    <row r="274" spans="1:45" x14ac:dyDescent="0.25">
      <c r="A274">
        <v>58</v>
      </c>
      <c r="B274">
        <v>-24</v>
      </c>
      <c r="C274">
        <v>0</v>
      </c>
      <c r="D274">
        <v>2019</v>
      </c>
      <c r="E274">
        <v>2</v>
      </c>
      <c r="F274" t="str">
        <f>IFERROR(VLOOKUP(G274, Map!$A$1:$B$33, 2, FALSE),"WAS")</f>
        <v>CIN</v>
      </c>
      <c r="G274" t="s">
        <v>161</v>
      </c>
      <c r="H274" t="str">
        <f>IFERROR(VLOOKUP(I274, Map!$A$1:$B$33, 2, FALSE),"WAS")</f>
        <v>SF</v>
      </c>
      <c r="I274" t="s">
        <v>143</v>
      </c>
      <c r="J274" t="s">
        <v>176</v>
      </c>
      <c r="K274" t="s">
        <v>197</v>
      </c>
      <c r="L274">
        <v>0</v>
      </c>
      <c r="M274">
        <v>0</v>
      </c>
      <c r="N274">
        <v>38.730769230769198</v>
      </c>
      <c r="O274">
        <v>-0.73076923076923095</v>
      </c>
      <c r="P274">
        <v>0</v>
      </c>
      <c r="Q274">
        <v>-1</v>
      </c>
      <c r="R274">
        <v>22.7</v>
      </c>
      <c r="S274">
        <v>30.5</v>
      </c>
      <c r="T274">
        <v>16.8</v>
      </c>
      <c r="U274">
        <v>22.6</v>
      </c>
      <c r="V274">
        <v>0</v>
      </c>
      <c r="W274">
        <v>0</v>
      </c>
      <c r="X274">
        <v>0</v>
      </c>
      <c r="Y274">
        <v>0</v>
      </c>
      <c r="Z274">
        <v>10.8</v>
      </c>
      <c r="AA274">
        <v>27</v>
      </c>
      <c r="AB274">
        <v>182</v>
      </c>
      <c r="AC274">
        <v>57</v>
      </c>
      <c r="AD274">
        <v>14.8</v>
      </c>
      <c r="AE274">
        <v>7.1</v>
      </c>
      <c r="AF274">
        <v>44.668999999999997</v>
      </c>
      <c r="AG274">
        <v>48.374000000000002</v>
      </c>
      <c r="AH274">
        <v>54.972000000000001</v>
      </c>
      <c r="AI274">
        <v>4.0289999999999999</v>
      </c>
      <c r="AJ274">
        <v>33.241</v>
      </c>
      <c r="AK274">
        <v>6.3310000000000004</v>
      </c>
      <c r="AL274">
        <v>-1.8320000000000001</v>
      </c>
      <c r="AM274">
        <v>54.972000000000001</v>
      </c>
      <c r="AN274">
        <v>48.374000000000002</v>
      </c>
      <c r="AO274">
        <v>44.668999999999997</v>
      </c>
      <c r="AP274">
        <v>1.8320000000000001</v>
      </c>
      <c r="AQ274">
        <v>66.759</v>
      </c>
      <c r="AR274">
        <v>95.971000000000004</v>
      </c>
      <c r="AS274">
        <v>93.668999999999997</v>
      </c>
    </row>
    <row r="275" spans="1:45" x14ac:dyDescent="0.25">
      <c r="A275">
        <v>37</v>
      </c>
      <c r="B275">
        <v>5</v>
      </c>
      <c r="C275">
        <v>1</v>
      </c>
      <c r="D275">
        <v>2019</v>
      </c>
      <c r="E275">
        <v>2</v>
      </c>
      <c r="F275" t="str">
        <f>IFERROR(VLOOKUP(G275, Map!$A$1:$B$33, 2, FALSE),"WAS")</f>
        <v>GB</v>
      </c>
      <c r="G275" t="s">
        <v>154</v>
      </c>
      <c r="H275" t="str">
        <f>IFERROR(VLOOKUP(I275, Map!$A$1:$B$33, 2, FALSE),"WAS")</f>
        <v>MIN</v>
      </c>
      <c r="I275" t="s">
        <v>153</v>
      </c>
      <c r="J275" t="s">
        <v>200</v>
      </c>
      <c r="K275" t="s">
        <v>214</v>
      </c>
      <c r="L275">
        <v>1</v>
      </c>
      <c r="M275">
        <v>0</v>
      </c>
      <c r="N275">
        <v>36.571428571428598</v>
      </c>
      <c r="O275">
        <v>-2.5714285714285698</v>
      </c>
      <c r="P275">
        <v>-2.5</v>
      </c>
      <c r="Q275">
        <v>-1</v>
      </c>
      <c r="R275">
        <v>20.100000000000001</v>
      </c>
      <c r="S275">
        <v>24.8</v>
      </c>
      <c r="T275">
        <v>16.8</v>
      </c>
      <c r="U275">
        <v>21.3</v>
      </c>
      <c r="V275">
        <v>1.6</v>
      </c>
      <c r="W275">
        <v>0</v>
      </c>
      <c r="X275">
        <v>5</v>
      </c>
      <c r="Y275">
        <v>1.6</v>
      </c>
      <c r="Z275">
        <v>12.7</v>
      </c>
      <c r="AA275">
        <v>27</v>
      </c>
      <c r="AB275">
        <v>188</v>
      </c>
      <c r="AC275">
        <v>81</v>
      </c>
      <c r="AD275">
        <v>18.7</v>
      </c>
      <c r="AE275">
        <v>7.6</v>
      </c>
      <c r="AF275">
        <v>54.94</v>
      </c>
      <c r="AG275">
        <v>83.974999999999994</v>
      </c>
      <c r="AH275">
        <v>44.701000000000001</v>
      </c>
      <c r="AI275">
        <v>83.477000000000004</v>
      </c>
      <c r="AJ275">
        <v>30.789000000000001</v>
      </c>
      <c r="AK275">
        <v>69.531000000000006</v>
      </c>
      <c r="AL275">
        <v>1.821</v>
      </c>
      <c r="AM275">
        <v>44.701000000000001</v>
      </c>
      <c r="AN275">
        <v>83.974999999999994</v>
      </c>
      <c r="AO275">
        <v>54.94</v>
      </c>
      <c r="AP275">
        <v>-1.821</v>
      </c>
      <c r="AQ275">
        <v>69.210999999999999</v>
      </c>
      <c r="AR275">
        <v>16.523</v>
      </c>
      <c r="AS275">
        <v>30.469000000000001</v>
      </c>
    </row>
    <row r="276" spans="1:45" x14ac:dyDescent="0.25">
      <c r="A276">
        <v>38</v>
      </c>
      <c r="B276">
        <v>-18</v>
      </c>
      <c r="C276">
        <v>0</v>
      </c>
      <c r="D276">
        <v>2019</v>
      </c>
      <c r="E276">
        <v>2</v>
      </c>
      <c r="F276" t="str">
        <f>IFERROR(VLOOKUP(G276, Map!$A$1:$B$33, 2, FALSE),"WAS")</f>
        <v>LV</v>
      </c>
      <c r="G276" t="s">
        <v>157</v>
      </c>
      <c r="H276" t="str">
        <f>IFERROR(VLOOKUP(I276, Map!$A$1:$B$33, 2, FALSE),"WAS")</f>
        <v>KC</v>
      </c>
      <c r="I276" t="s">
        <v>158</v>
      </c>
      <c r="J276" t="s">
        <v>179</v>
      </c>
      <c r="K276" t="s">
        <v>202</v>
      </c>
      <c r="L276">
        <v>0</v>
      </c>
      <c r="M276">
        <v>0</v>
      </c>
      <c r="N276">
        <v>46.769230769230802</v>
      </c>
      <c r="O276">
        <v>5.8076923076923102</v>
      </c>
      <c r="P276">
        <v>6.5</v>
      </c>
      <c r="Q276">
        <v>46.5</v>
      </c>
      <c r="R276">
        <v>16.5</v>
      </c>
      <c r="S276">
        <v>18.7</v>
      </c>
      <c r="T276">
        <v>14.8</v>
      </c>
      <c r="U276">
        <v>14.4</v>
      </c>
      <c r="V276">
        <v>0</v>
      </c>
      <c r="W276">
        <v>0</v>
      </c>
      <c r="X276">
        <v>0</v>
      </c>
      <c r="Y276">
        <v>0</v>
      </c>
      <c r="Z276">
        <v>36.1</v>
      </c>
      <c r="AA276">
        <v>59.8</v>
      </c>
      <c r="AB276">
        <v>252</v>
      </c>
      <c r="AC276">
        <v>83</v>
      </c>
      <c r="AD276">
        <v>39.200000000000003</v>
      </c>
      <c r="AE276">
        <v>23.7</v>
      </c>
      <c r="AF276">
        <v>29.731999999999999</v>
      </c>
      <c r="AG276">
        <v>71.555999999999997</v>
      </c>
      <c r="AH276">
        <v>70.028999999999996</v>
      </c>
      <c r="AI276">
        <v>3.7949999999999999</v>
      </c>
      <c r="AJ276">
        <v>40.094000000000001</v>
      </c>
      <c r="AK276">
        <v>9.9499999999999993</v>
      </c>
      <c r="AL276">
        <v>-7.48</v>
      </c>
      <c r="AM276">
        <v>70.028999999999996</v>
      </c>
      <c r="AN276">
        <v>71.555999999999997</v>
      </c>
      <c r="AO276">
        <v>29.731999999999999</v>
      </c>
      <c r="AP276">
        <v>7.48</v>
      </c>
      <c r="AQ276">
        <v>59.905999999999999</v>
      </c>
      <c r="AR276">
        <v>96.204999999999998</v>
      </c>
      <c r="AS276">
        <v>90.05</v>
      </c>
    </row>
    <row r="277" spans="1:45" x14ac:dyDescent="0.25">
      <c r="A277">
        <v>52</v>
      </c>
      <c r="B277">
        <v>-10</v>
      </c>
      <c r="C277">
        <v>0</v>
      </c>
      <c r="D277">
        <v>2019</v>
      </c>
      <c r="E277">
        <v>2</v>
      </c>
      <c r="F277" t="str">
        <f>IFERROR(VLOOKUP(G277, Map!$A$1:$B$33, 2, FALSE),"WAS")</f>
        <v>WAS</v>
      </c>
      <c r="G277" t="s">
        <v>169</v>
      </c>
      <c r="H277" t="str">
        <f>IFERROR(VLOOKUP(I277, Map!$A$1:$B$33, 2, FALSE),"WAS")</f>
        <v>DAL</v>
      </c>
      <c r="I277" t="s">
        <v>150</v>
      </c>
      <c r="J277" t="s">
        <v>205</v>
      </c>
      <c r="K277" t="s">
        <v>184</v>
      </c>
      <c r="L277">
        <v>0</v>
      </c>
      <c r="M277">
        <v>0</v>
      </c>
      <c r="N277">
        <v>40.692307692307701</v>
      </c>
      <c r="O277">
        <v>4.7692307692307701</v>
      </c>
      <c r="P277">
        <v>6</v>
      </c>
      <c r="Q277">
        <v>46</v>
      </c>
      <c r="R277">
        <v>25.1</v>
      </c>
      <c r="S277">
        <v>30.9</v>
      </c>
      <c r="T277">
        <v>21</v>
      </c>
      <c r="U277">
        <v>27.5</v>
      </c>
      <c r="V277">
        <v>0.7</v>
      </c>
      <c r="W277">
        <v>0</v>
      </c>
      <c r="X277">
        <v>4</v>
      </c>
      <c r="Y277">
        <v>0.7</v>
      </c>
      <c r="Z277">
        <v>9.8000000000000007</v>
      </c>
      <c r="AA277">
        <v>23.8</v>
      </c>
      <c r="AB277">
        <v>286</v>
      </c>
      <c r="AC277">
        <v>70</v>
      </c>
      <c r="AD277">
        <v>15.2</v>
      </c>
      <c r="AE277">
        <v>6</v>
      </c>
      <c r="AF277">
        <v>39.021999999999998</v>
      </c>
      <c r="AG277">
        <v>39.847000000000001</v>
      </c>
      <c r="AH277">
        <v>60.664000000000001</v>
      </c>
      <c r="AI277">
        <v>10.856999999999999</v>
      </c>
      <c r="AJ277">
        <v>48.289000000000001</v>
      </c>
      <c r="AK277">
        <v>19.173999999999999</v>
      </c>
      <c r="AL277">
        <v>-3.8860000000000001</v>
      </c>
      <c r="AM277">
        <v>60.664000000000001</v>
      </c>
      <c r="AN277">
        <v>39.847000000000001</v>
      </c>
      <c r="AO277">
        <v>39.021999999999998</v>
      </c>
      <c r="AP277">
        <v>3.8860000000000001</v>
      </c>
      <c r="AQ277">
        <v>51.710999999999999</v>
      </c>
      <c r="AR277">
        <v>89.143000000000001</v>
      </c>
      <c r="AS277">
        <v>80.825999999999993</v>
      </c>
    </row>
    <row r="278" spans="1:45" x14ac:dyDescent="0.25">
      <c r="A278">
        <v>25</v>
      </c>
      <c r="B278">
        <v>1</v>
      </c>
      <c r="C278">
        <v>1</v>
      </c>
      <c r="D278">
        <v>2019</v>
      </c>
      <c r="E278">
        <v>2</v>
      </c>
      <c r="F278" t="str">
        <f>IFERROR(VLOOKUP(G278, Map!$A$1:$B$33, 2, FALSE),"WAS")</f>
        <v>HOU</v>
      </c>
      <c r="G278" t="s">
        <v>137</v>
      </c>
      <c r="H278" t="str">
        <f>IFERROR(VLOOKUP(I278, Map!$A$1:$B$33, 2, FALSE),"WAS")</f>
        <v>JAX</v>
      </c>
      <c r="I278" t="s">
        <v>139</v>
      </c>
      <c r="J278" t="s">
        <v>209</v>
      </c>
      <c r="K278" t="s">
        <v>220</v>
      </c>
      <c r="L278">
        <v>1</v>
      </c>
      <c r="M278">
        <v>0</v>
      </c>
      <c r="N278">
        <v>35.615384615384599</v>
      </c>
      <c r="O278">
        <v>-5.5769230769230802</v>
      </c>
      <c r="P278">
        <v>-7</v>
      </c>
      <c r="Q278">
        <v>23.5</v>
      </c>
      <c r="R278">
        <v>28.9</v>
      </c>
      <c r="S278">
        <v>34.1</v>
      </c>
      <c r="T278">
        <v>24.3</v>
      </c>
      <c r="U278">
        <v>32.1</v>
      </c>
      <c r="V278">
        <v>0.7</v>
      </c>
      <c r="W278">
        <v>0</v>
      </c>
      <c r="X278">
        <v>3</v>
      </c>
      <c r="Y278">
        <v>0.7</v>
      </c>
      <c r="Z278">
        <v>18.600000000000001</v>
      </c>
      <c r="AA278">
        <v>41</v>
      </c>
      <c r="AB278">
        <v>89</v>
      </c>
      <c r="AC278">
        <v>66</v>
      </c>
      <c r="AD278">
        <v>21.3</v>
      </c>
      <c r="AE278">
        <v>10.5</v>
      </c>
      <c r="AF278">
        <v>73.671000000000006</v>
      </c>
      <c r="AG278">
        <v>44.383000000000003</v>
      </c>
      <c r="AH278">
        <v>26.119</v>
      </c>
      <c r="AI278">
        <v>83.212000000000003</v>
      </c>
      <c r="AJ278">
        <v>33.634</v>
      </c>
      <c r="AK278">
        <v>59.183999999999997</v>
      </c>
      <c r="AL278">
        <v>9.0060000000000002</v>
      </c>
      <c r="AM278">
        <v>26.119</v>
      </c>
      <c r="AN278">
        <v>44.383000000000003</v>
      </c>
      <c r="AO278">
        <v>73.671000000000006</v>
      </c>
      <c r="AP278">
        <v>-9.0060000000000002</v>
      </c>
      <c r="AQ278">
        <v>66.366</v>
      </c>
      <c r="AR278">
        <v>16.788</v>
      </c>
      <c r="AS278">
        <v>40.816000000000003</v>
      </c>
    </row>
    <row r="279" spans="1:45" x14ac:dyDescent="0.25">
      <c r="A279">
        <v>36</v>
      </c>
      <c r="B279">
        <v>18</v>
      </c>
      <c r="C279">
        <v>1</v>
      </c>
      <c r="D279">
        <v>2019</v>
      </c>
      <c r="E279">
        <v>2</v>
      </c>
      <c r="F279" t="str">
        <f>IFERROR(VLOOKUP(G279, Map!$A$1:$B$33, 2, FALSE),"WAS")</f>
        <v>LA</v>
      </c>
      <c r="G279" t="s">
        <v>155</v>
      </c>
      <c r="H279" t="str">
        <f>IFERROR(VLOOKUP(I279, Map!$A$1:$B$33, 2, FALSE),"WAS")</f>
        <v>NO</v>
      </c>
      <c r="I279" t="s">
        <v>168</v>
      </c>
      <c r="J279" t="s">
        <v>178</v>
      </c>
      <c r="K279" t="s">
        <v>192</v>
      </c>
      <c r="L279">
        <v>1</v>
      </c>
      <c r="M279">
        <v>0</v>
      </c>
      <c r="N279">
        <v>43.269230769230802</v>
      </c>
      <c r="O279">
        <v>-1.5384615384615401</v>
      </c>
      <c r="P279">
        <v>-1.5</v>
      </c>
      <c r="Q279">
        <v>36.5</v>
      </c>
      <c r="R279">
        <v>24.2</v>
      </c>
      <c r="S279">
        <v>32.6</v>
      </c>
      <c r="T279">
        <v>17.100000000000001</v>
      </c>
      <c r="U279">
        <v>25.1</v>
      </c>
      <c r="V279">
        <v>0</v>
      </c>
      <c r="W279">
        <v>0</v>
      </c>
      <c r="X279">
        <v>0</v>
      </c>
      <c r="Y279">
        <v>0</v>
      </c>
      <c r="Z279">
        <v>17.100000000000001</v>
      </c>
      <c r="AA279">
        <v>34.200000000000003</v>
      </c>
      <c r="AB279">
        <v>189</v>
      </c>
      <c r="AC279">
        <v>62</v>
      </c>
      <c r="AD279">
        <v>15.9</v>
      </c>
      <c r="AE279">
        <v>7.1</v>
      </c>
      <c r="AF279">
        <v>58.47</v>
      </c>
      <c r="AG279">
        <v>88.4</v>
      </c>
      <c r="AH279">
        <v>41.198999999999998</v>
      </c>
      <c r="AI279">
        <v>90.834000000000003</v>
      </c>
      <c r="AJ279">
        <v>60.746000000000002</v>
      </c>
      <c r="AK279">
        <v>81.834000000000003</v>
      </c>
      <c r="AL279">
        <v>3.0870000000000002</v>
      </c>
      <c r="AM279">
        <v>41.198999999999998</v>
      </c>
      <c r="AN279">
        <v>88.4</v>
      </c>
      <c r="AO279">
        <v>58.47</v>
      </c>
      <c r="AP279">
        <v>-3.0870000000000002</v>
      </c>
      <c r="AQ279">
        <v>39.253999999999998</v>
      </c>
      <c r="AR279">
        <v>9.1660000000000004</v>
      </c>
      <c r="AS279">
        <v>18.166</v>
      </c>
    </row>
    <row r="280" spans="1:45" x14ac:dyDescent="0.25">
      <c r="A280">
        <v>30</v>
      </c>
      <c r="B280">
        <v>-2</v>
      </c>
      <c r="C280">
        <v>0</v>
      </c>
      <c r="D280">
        <v>2019</v>
      </c>
      <c r="E280">
        <v>2</v>
      </c>
      <c r="F280" t="str">
        <f>IFERROR(VLOOKUP(G280, Map!$A$1:$B$33, 2, FALSE),"WAS")</f>
        <v>DEN</v>
      </c>
      <c r="G280" t="s">
        <v>159</v>
      </c>
      <c r="H280" t="str">
        <f>IFERROR(VLOOKUP(I280, Map!$A$1:$B$33, 2, FALSE),"WAS")</f>
        <v>CHI</v>
      </c>
      <c r="I280" t="s">
        <v>163</v>
      </c>
      <c r="J280" t="s">
        <v>183</v>
      </c>
      <c r="K280" t="s">
        <v>216</v>
      </c>
      <c r="L280">
        <v>0</v>
      </c>
      <c r="M280">
        <v>0</v>
      </c>
      <c r="N280">
        <v>32.076923076923102</v>
      </c>
      <c r="O280">
        <v>2.0769230769230802</v>
      </c>
      <c r="P280">
        <v>2.5</v>
      </c>
      <c r="Q280">
        <v>20.5</v>
      </c>
      <c r="R280">
        <v>20.8</v>
      </c>
      <c r="S280">
        <v>32.6</v>
      </c>
      <c r="T280">
        <v>11.1</v>
      </c>
      <c r="U280">
        <v>17.7</v>
      </c>
      <c r="V280">
        <v>0</v>
      </c>
      <c r="W280">
        <v>0</v>
      </c>
      <c r="X280">
        <v>0</v>
      </c>
      <c r="Y280">
        <v>0</v>
      </c>
      <c r="Z280">
        <v>20.399999999999999</v>
      </c>
      <c r="AA280">
        <v>37.799999999999997</v>
      </c>
      <c r="AB280">
        <v>136</v>
      </c>
      <c r="AC280">
        <v>28</v>
      </c>
      <c r="AD280">
        <v>16.3</v>
      </c>
      <c r="AE280">
        <v>8</v>
      </c>
      <c r="AF280">
        <v>48.831000000000003</v>
      </c>
      <c r="AG280">
        <v>39.898000000000003</v>
      </c>
      <c r="AH280">
        <v>50.777000000000001</v>
      </c>
      <c r="AI280">
        <v>51.716999999999999</v>
      </c>
      <c r="AJ280">
        <v>49.399000000000001</v>
      </c>
      <c r="AK280">
        <v>42.555</v>
      </c>
      <c r="AL280">
        <v>-0.34499999999999997</v>
      </c>
      <c r="AM280">
        <v>50.777000000000001</v>
      </c>
      <c r="AN280">
        <v>39.898000000000003</v>
      </c>
      <c r="AO280">
        <v>48.831000000000003</v>
      </c>
      <c r="AP280">
        <v>0.34499999999999997</v>
      </c>
      <c r="AQ280">
        <v>50.600999999999999</v>
      </c>
      <c r="AR280">
        <v>48.283000000000001</v>
      </c>
      <c r="AS280">
        <v>57.445</v>
      </c>
    </row>
    <row r="281" spans="1:45" x14ac:dyDescent="0.25">
      <c r="A281">
        <v>23</v>
      </c>
      <c r="B281">
        <v>3</v>
      </c>
      <c r="C281">
        <v>1</v>
      </c>
      <c r="D281">
        <v>2019</v>
      </c>
      <c r="E281">
        <v>2</v>
      </c>
      <c r="F281" t="str">
        <f>IFERROR(VLOOKUP(G281, Map!$A$1:$B$33, 2, FALSE),"WAS")</f>
        <v>DET</v>
      </c>
      <c r="G281" t="s">
        <v>164</v>
      </c>
      <c r="H281" t="str">
        <f>IFERROR(VLOOKUP(I281, Map!$A$1:$B$33, 2, FALSE),"WAS")</f>
        <v>LAC</v>
      </c>
      <c r="I281" t="s">
        <v>160</v>
      </c>
      <c r="J281" t="s">
        <v>173</v>
      </c>
      <c r="K281" t="s">
        <v>210</v>
      </c>
      <c r="L281">
        <v>1</v>
      </c>
      <c r="M281">
        <v>0</v>
      </c>
      <c r="N281">
        <v>38.5</v>
      </c>
      <c r="O281">
        <v>0.88461538461538503</v>
      </c>
      <c r="P281">
        <v>0</v>
      </c>
      <c r="Q281">
        <v>29.5</v>
      </c>
      <c r="R281">
        <v>19.100000000000001</v>
      </c>
      <c r="S281">
        <v>24.3</v>
      </c>
      <c r="T281">
        <v>15.1</v>
      </c>
      <c r="U281">
        <v>19.100000000000001</v>
      </c>
      <c r="V281">
        <v>5.5</v>
      </c>
      <c r="W281">
        <v>0</v>
      </c>
      <c r="X281">
        <v>4</v>
      </c>
      <c r="Y281">
        <v>5.5</v>
      </c>
      <c r="Z281">
        <v>21.8</v>
      </c>
      <c r="AA281">
        <v>38.5</v>
      </c>
      <c r="AB281">
        <v>229</v>
      </c>
      <c r="AC281">
        <v>77</v>
      </c>
      <c r="AD281">
        <v>19.8</v>
      </c>
      <c r="AE281">
        <v>10.5</v>
      </c>
      <c r="AF281">
        <v>49.683</v>
      </c>
      <c r="AG281">
        <v>41.298000000000002</v>
      </c>
      <c r="AH281">
        <v>49.917999999999999</v>
      </c>
      <c r="AI281">
        <v>45.9</v>
      </c>
      <c r="AJ281">
        <v>57.881999999999998</v>
      </c>
      <c r="AK281">
        <v>54.014000000000003</v>
      </c>
      <c r="AL281">
        <v>-4.2000000000000003E-2</v>
      </c>
      <c r="AM281">
        <v>49.917999999999999</v>
      </c>
      <c r="AN281">
        <v>41.298000000000002</v>
      </c>
      <c r="AO281">
        <v>49.683</v>
      </c>
      <c r="AP281">
        <v>4.2000000000000003E-2</v>
      </c>
      <c r="AQ281">
        <v>42.118000000000002</v>
      </c>
      <c r="AR281">
        <v>54.1</v>
      </c>
      <c r="AS281">
        <v>45.985999999999997</v>
      </c>
    </row>
    <row r="282" spans="1:45" x14ac:dyDescent="0.25">
      <c r="A282">
        <v>54</v>
      </c>
      <c r="B282">
        <v>-2</v>
      </c>
      <c r="C282">
        <v>0</v>
      </c>
      <c r="D282">
        <v>2019</v>
      </c>
      <c r="E282">
        <v>2</v>
      </c>
      <c r="F282" t="str">
        <f>IFERROR(VLOOKUP(G282, Map!$A$1:$B$33, 2, FALSE),"WAS")</f>
        <v>PIT</v>
      </c>
      <c r="G282" t="s">
        <v>145</v>
      </c>
      <c r="H282" t="str">
        <f>IFERROR(VLOOKUP(I282, Map!$A$1:$B$33, 2, FALSE),"WAS")</f>
        <v>SEA</v>
      </c>
      <c r="I282" t="s">
        <v>144</v>
      </c>
      <c r="J282" t="s">
        <v>170</v>
      </c>
      <c r="K282" t="s">
        <v>182</v>
      </c>
      <c r="L282">
        <v>0</v>
      </c>
      <c r="M282">
        <v>0</v>
      </c>
      <c r="N282">
        <v>41.3333333333333</v>
      </c>
      <c r="O282">
        <v>-3.375</v>
      </c>
      <c r="P282">
        <v>-4</v>
      </c>
      <c r="Q282">
        <v>45.5</v>
      </c>
      <c r="R282">
        <v>20</v>
      </c>
      <c r="S282">
        <v>27.4</v>
      </c>
      <c r="T282">
        <v>13.6</v>
      </c>
      <c r="U282">
        <v>20.8</v>
      </c>
      <c r="V282">
        <v>0</v>
      </c>
      <c r="W282">
        <v>0</v>
      </c>
      <c r="X282">
        <v>0</v>
      </c>
      <c r="Y282">
        <v>0</v>
      </c>
      <c r="Z282">
        <v>9.1999999999999993</v>
      </c>
      <c r="AA282">
        <v>18.399999999999999</v>
      </c>
      <c r="AB282">
        <v>268</v>
      </c>
      <c r="AC282">
        <v>71</v>
      </c>
      <c r="AD282">
        <v>11.5</v>
      </c>
      <c r="AE282">
        <v>4.5999999999999996</v>
      </c>
      <c r="AF282">
        <v>53.548999999999999</v>
      </c>
      <c r="AG282">
        <v>56.658000000000001</v>
      </c>
      <c r="AH282">
        <v>46.081000000000003</v>
      </c>
      <c r="AI282">
        <v>40.557000000000002</v>
      </c>
      <c r="AJ282">
        <v>43.043999999999997</v>
      </c>
      <c r="AK282">
        <v>37.072000000000003</v>
      </c>
      <c r="AL282">
        <v>1.3260000000000001</v>
      </c>
      <c r="AM282">
        <v>46.081000000000003</v>
      </c>
      <c r="AN282">
        <v>56.658000000000001</v>
      </c>
      <c r="AO282">
        <v>53.548999999999999</v>
      </c>
      <c r="AP282">
        <v>-1.3260000000000001</v>
      </c>
      <c r="AQ282">
        <v>56.956000000000003</v>
      </c>
      <c r="AR282">
        <v>59.442999999999998</v>
      </c>
      <c r="AS282">
        <v>62.927999999999997</v>
      </c>
    </row>
    <row r="283" spans="1:45" x14ac:dyDescent="0.25">
      <c r="A283">
        <v>42</v>
      </c>
      <c r="B283">
        <v>-14</v>
      </c>
      <c r="C283">
        <v>0</v>
      </c>
      <c r="D283">
        <v>2019</v>
      </c>
      <c r="E283">
        <v>2</v>
      </c>
      <c r="F283" t="str">
        <f>IFERROR(VLOOKUP(G283, Map!$A$1:$B$33, 2, FALSE),"WAS")</f>
        <v>NYG</v>
      </c>
      <c r="G283" t="s">
        <v>149</v>
      </c>
      <c r="H283" t="str">
        <f>IFERROR(VLOOKUP(I283, Map!$A$1:$B$33, 2, FALSE),"WAS")</f>
        <v>BUF</v>
      </c>
      <c r="I283" t="s">
        <v>165</v>
      </c>
      <c r="J283" t="s">
        <v>219</v>
      </c>
      <c r="K283" t="s">
        <v>180</v>
      </c>
      <c r="L283">
        <v>0</v>
      </c>
      <c r="M283">
        <v>0</v>
      </c>
      <c r="N283">
        <v>39.884615384615401</v>
      </c>
      <c r="O283">
        <v>1.07692307692308</v>
      </c>
      <c r="P283">
        <v>1</v>
      </c>
      <c r="Q283">
        <v>42.5</v>
      </c>
      <c r="R283">
        <v>22.2</v>
      </c>
      <c r="S283">
        <v>27</v>
      </c>
      <c r="T283">
        <v>18.899999999999999</v>
      </c>
      <c r="U283">
        <v>24.1</v>
      </c>
      <c r="V283">
        <v>0.3</v>
      </c>
      <c r="W283">
        <v>0</v>
      </c>
      <c r="X283">
        <v>2</v>
      </c>
      <c r="Y283">
        <v>0.3</v>
      </c>
      <c r="Z283">
        <v>9.8000000000000007</v>
      </c>
      <c r="AA283">
        <v>22.3</v>
      </c>
      <c r="AB283">
        <v>280</v>
      </c>
      <c r="AC283">
        <v>77</v>
      </c>
      <c r="AD283">
        <v>14.3</v>
      </c>
      <c r="AE283">
        <v>5.9</v>
      </c>
      <c r="AF283">
        <v>49.256999999999998</v>
      </c>
      <c r="AG283">
        <v>16.632000000000001</v>
      </c>
      <c r="AH283">
        <v>50.347000000000001</v>
      </c>
      <c r="AI283">
        <v>11.962</v>
      </c>
      <c r="AJ283">
        <v>36.973999999999997</v>
      </c>
      <c r="AK283">
        <v>12.419</v>
      </c>
      <c r="AL283">
        <v>-0.193</v>
      </c>
      <c r="AM283">
        <v>50.347000000000001</v>
      </c>
      <c r="AN283">
        <v>16.632000000000001</v>
      </c>
      <c r="AO283">
        <v>49.256999999999998</v>
      </c>
      <c r="AP283">
        <v>0.193</v>
      </c>
      <c r="AQ283">
        <v>63.026000000000003</v>
      </c>
      <c r="AR283">
        <v>88.037999999999997</v>
      </c>
      <c r="AS283">
        <v>87.581000000000003</v>
      </c>
    </row>
    <row r="284" spans="1:45" x14ac:dyDescent="0.25">
      <c r="A284">
        <v>26</v>
      </c>
      <c r="B284">
        <v>-20</v>
      </c>
      <c r="C284">
        <v>0</v>
      </c>
      <c r="D284">
        <v>2019</v>
      </c>
      <c r="E284">
        <v>2</v>
      </c>
      <c r="F284" t="str">
        <f>IFERROR(VLOOKUP(G284, Map!$A$1:$B$33, 2, FALSE),"WAS")</f>
        <v>NYJ</v>
      </c>
      <c r="G284" t="s">
        <v>166</v>
      </c>
      <c r="H284" t="str">
        <f>IFERROR(VLOOKUP(I284, Map!$A$1:$B$33, 2, FALSE),"WAS")</f>
        <v>CLE</v>
      </c>
      <c r="I284" t="s">
        <v>162</v>
      </c>
      <c r="J284" t="s">
        <v>172</v>
      </c>
      <c r="K284" t="s">
        <v>171</v>
      </c>
      <c r="L284">
        <v>0</v>
      </c>
      <c r="M284">
        <v>0</v>
      </c>
      <c r="N284">
        <v>39.038461538461497</v>
      </c>
      <c r="O284">
        <v>5.1923076923076898</v>
      </c>
      <c r="P284">
        <v>2.5</v>
      </c>
      <c r="Q284">
        <v>28.5</v>
      </c>
      <c r="R284">
        <v>19.3</v>
      </c>
      <c r="S284">
        <v>23.4</v>
      </c>
      <c r="T284">
        <v>14.3</v>
      </c>
      <c r="U284">
        <v>19.2</v>
      </c>
      <c r="V284">
        <v>0.1</v>
      </c>
      <c r="W284">
        <v>0</v>
      </c>
      <c r="X284">
        <v>1</v>
      </c>
      <c r="Y284">
        <v>0.1</v>
      </c>
      <c r="Z284">
        <v>13.7</v>
      </c>
      <c r="AA284">
        <v>29.5</v>
      </c>
      <c r="AB284">
        <v>22</v>
      </c>
      <c r="AC284">
        <v>70</v>
      </c>
      <c r="AD284">
        <v>19.600000000000001</v>
      </c>
      <c r="AE284">
        <v>9</v>
      </c>
      <c r="AF284">
        <v>58.673000000000002</v>
      </c>
      <c r="AG284">
        <v>12.978999999999999</v>
      </c>
      <c r="AH284">
        <v>40.997</v>
      </c>
      <c r="AI284">
        <v>33.640999999999998</v>
      </c>
      <c r="AJ284">
        <v>7.2350000000000003</v>
      </c>
      <c r="AK284">
        <v>9.0969999999999995</v>
      </c>
      <c r="AL284">
        <v>3.161</v>
      </c>
      <c r="AM284">
        <v>40.997</v>
      </c>
      <c r="AN284">
        <v>12.978999999999999</v>
      </c>
      <c r="AO284">
        <v>58.673000000000002</v>
      </c>
      <c r="AP284">
        <v>-3.161</v>
      </c>
      <c r="AQ284">
        <v>92.765000000000001</v>
      </c>
      <c r="AR284">
        <v>66.358999999999995</v>
      </c>
      <c r="AS284">
        <v>90.903000000000006</v>
      </c>
    </row>
    <row r="285" spans="1:45" x14ac:dyDescent="0.25">
      <c r="A285">
        <v>40</v>
      </c>
      <c r="B285">
        <v>6</v>
      </c>
      <c r="C285">
        <v>1</v>
      </c>
      <c r="D285">
        <v>2019</v>
      </c>
      <c r="E285">
        <v>2</v>
      </c>
      <c r="F285" t="str">
        <f>IFERROR(VLOOKUP(G285, Map!$A$1:$B$33, 2, FALSE),"WAS")</f>
        <v>BAL</v>
      </c>
      <c r="G285" t="s">
        <v>146</v>
      </c>
      <c r="H285" t="str">
        <f>IFERROR(VLOOKUP(I285, Map!$A$1:$B$33, 2, FALSE),"WAS")</f>
        <v>ARI</v>
      </c>
      <c r="I285" t="s">
        <v>156</v>
      </c>
      <c r="J285" t="s">
        <v>181</v>
      </c>
      <c r="K285" t="s">
        <v>190</v>
      </c>
      <c r="L285">
        <v>1</v>
      </c>
      <c r="M285">
        <v>0</v>
      </c>
      <c r="N285">
        <v>40</v>
      </c>
      <c r="O285">
        <v>-10.884615384615399</v>
      </c>
      <c r="P285">
        <v>-12.5</v>
      </c>
      <c r="Q285">
        <v>24.5</v>
      </c>
      <c r="R285">
        <v>24.5</v>
      </c>
      <c r="S285">
        <v>29.8</v>
      </c>
      <c r="T285">
        <v>21</v>
      </c>
      <c r="U285">
        <v>27.1</v>
      </c>
      <c r="V285">
        <v>2</v>
      </c>
      <c r="W285">
        <v>0</v>
      </c>
      <c r="X285">
        <v>7</v>
      </c>
      <c r="Y285">
        <v>2</v>
      </c>
      <c r="Z285">
        <v>10.1</v>
      </c>
      <c r="AA285">
        <v>25.6</v>
      </c>
      <c r="AB285">
        <v>319</v>
      </c>
      <c r="AC285">
        <v>73</v>
      </c>
      <c r="AD285">
        <v>13.2</v>
      </c>
      <c r="AE285">
        <v>5.2</v>
      </c>
      <c r="AF285">
        <v>85.683999999999997</v>
      </c>
      <c r="AG285">
        <v>52.095999999999997</v>
      </c>
      <c r="AH285">
        <v>14.202</v>
      </c>
      <c r="AI285">
        <v>45.08</v>
      </c>
      <c r="AJ285">
        <v>76.858999999999995</v>
      </c>
      <c r="AK285">
        <v>76.176000000000002</v>
      </c>
      <c r="AL285">
        <v>15.122</v>
      </c>
      <c r="AM285">
        <v>14.202</v>
      </c>
      <c r="AN285">
        <v>52.095999999999997</v>
      </c>
      <c r="AO285">
        <v>85.683999999999997</v>
      </c>
      <c r="AP285">
        <v>-15.122</v>
      </c>
      <c r="AQ285">
        <v>23.140999999999998</v>
      </c>
      <c r="AR285">
        <v>54.92</v>
      </c>
      <c r="AS285">
        <v>23.824000000000002</v>
      </c>
    </row>
    <row r="286" spans="1:45" x14ac:dyDescent="0.25">
      <c r="A286">
        <v>44</v>
      </c>
      <c r="B286">
        <v>4</v>
      </c>
      <c r="C286">
        <v>1</v>
      </c>
      <c r="D286">
        <v>2019</v>
      </c>
      <c r="E286">
        <v>2</v>
      </c>
      <c r="F286" t="str">
        <f>IFERROR(VLOOKUP(G286, Map!$A$1:$B$33, 2, FALSE),"WAS")</f>
        <v>ATL</v>
      </c>
      <c r="G286" t="s">
        <v>167</v>
      </c>
      <c r="H286" t="str">
        <f>IFERROR(VLOOKUP(I286, Map!$A$1:$B$33, 2, FALSE),"WAS")</f>
        <v>PHI</v>
      </c>
      <c r="I286" t="s">
        <v>147</v>
      </c>
      <c r="J286" t="s">
        <v>188</v>
      </c>
      <c r="K286" t="s">
        <v>206</v>
      </c>
      <c r="L286">
        <v>1</v>
      </c>
      <c r="M286">
        <v>0</v>
      </c>
      <c r="N286">
        <v>44.576923076923102</v>
      </c>
      <c r="O286">
        <v>1</v>
      </c>
      <c r="P286">
        <v>0.5</v>
      </c>
      <c r="Q286">
        <v>15.5</v>
      </c>
      <c r="R286">
        <v>27</v>
      </c>
      <c r="S286">
        <v>33.1</v>
      </c>
      <c r="T286">
        <v>20.6</v>
      </c>
      <c r="U286">
        <v>29.5</v>
      </c>
      <c r="V286">
        <v>0</v>
      </c>
      <c r="W286">
        <v>0</v>
      </c>
      <c r="X286">
        <v>0</v>
      </c>
      <c r="Y286">
        <v>0</v>
      </c>
      <c r="Z286">
        <v>9.1999999999999993</v>
      </c>
      <c r="AA286">
        <v>24.8</v>
      </c>
      <c r="AB286">
        <v>46</v>
      </c>
      <c r="AC286">
        <v>63</v>
      </c>
      <c r="AD286">
        <v>14.1</v>
      </c>
      <c r="AE286">
        <v>5.9</v>
      </c>
      <c r="AF286">
        <v>50.139000000000003</v>
      </c>
      <c r="AG286">
        <v>60.445</v>
      </c>
      <c r="AH286">
        <v>49.463999999999999</v>
      </c>
      <c r="AI286">
        <v>70.186999999999998</v>
      </c>
      <c r="AJ286">
        <v>60.665999999999997</v>
      </c>
      <c r="AK286">
        <v>65.350999999999999</v>
      </c>
      <c r="AL286">
        <v>0.12</v>
      </c>
      <c r="AM286">
        <v>49.463999999999999</v>
      </c>
      <c r="AN286">
        <v>60.445</v>
      </c>
      <c r="AO286">
        <v>50.139000000000003</v>
      </c>
      <c r="AP286">
        <v>-0.12</v>
      </c>
      <c r="AQ286">
        <v>39.334000000000003</v>
      </c>
      <c r="AR286">
        <v>29.812999999999999</v>
      </c>
      <c r="AS286">
        <v>34.649000000000001</v>
      </c>
    </row>
    <row r="287" spans="1:45" x14ac:dyDescent="0.25">
      <c r="A287">
        <v>34</v>
      </c>
      <c r="B287">
        <v>-6</v>
      </c>
      <c r="C287">
        <v>0</v>
      </c>
      <c r="D287">
        <v>2019</v>
      </c>
      <c r="E287">
        <v>2</v>
      </c>
      <c r="F287" t="str">
        <f>IFERROR(VLOOKUP(G287, Map!$A$1:$B$33, 2, FALSE),"WAS")</f>
        <v>CAR</v>
      </c>
      <c r="G287" t="s">
        <v>142</v>
      </c>
      <c r="H287" t="str">
        <f>IFERROR(VLOOKUP(I287, Map!$A$1:$B$33, 2, FALSE),"WAS")</f>
        <v>TB</v>
      </c>
      <c r="I287" t="s">
        <v>141</v>
      </c>
      <c r="J287" t="s">
        <v>185</v>
      </c>
      <c r="K287" t="s">
        <v>186</v>
      </c>
      <c r="L287">
        <v>0</v>
      </c>
      <c r="M287">
        <v>0</v>
      </c>
      <c r="N287">
        <v>40.038461538461497</v>
      </c>
      <c r="O287">
        <v>-6.0384615384615401</v>
      </c>
      <c r="P287">
        <v>-6.5</v>
      </c>
      <c r="Q287">
        <v>0</v>
      </c>
      <c r="R287">
        <v>26.2</v>
      </c>
      <c r="S287">
        <v>31</v>
      </c>
      <c r="T287">
        <v>22.4</v>
      </c>
      <c r="U287">
        <v>29.8</v>
      </c>
      <c r="V287">
        <v>4.3</v>
      </c>
      <c r="W287">
        <v>0</v>
      </c>
      <c r="X287">
        <v>10</v>
      </c>
      <c r="Y287">
        <v>4.3</v>
      </c>
      <c r="Z287">
        <v>18.8</v>
      </c>
      <c r="AA287">
        <v>38.200000000000003</v>
      </c>
      <c r="AB287">
        <v>91</v>
      </c>
      <c r="AC287">
        <v>77</v>
      </c>
      <c r="AD287">
        <v>19.2</v>
      </c>
      <c r="AE287">
        <v>8.6999999999999993</v>
      </c>
      <c r="AF287">
        <v>69.125</v>
      </c>
      <c r="AG287">
        <v>42.341000000000001</v>
      </c>
      <c r="AH287">
        <v>30.629000000000001</v>
      </c>
      <c r="AI287">
        <v>59.929000000000002</v>
      </c>
      <c r="AJ287">
        <v>10.46</v>
      </c>
      <c r="AK287">
        <v>38.302</v>
      </c>
      <c r="AL287">
        <v>7.1159999999999997</v>
      </c>
      <c r="AM287">
        <v>30.629000000000001</v>
      </c>
      <c r="AN287">
        <v>42.341000000000001</v>
      </c>
      <c r="AO287">
        <v>69.125</v>
      </c>
      <c r="AP287">
        <v>-7.1159999999999997</v>
      </c>
      <c r="AQ287">
        <v>89.54</v>
      </c>
      <c r="AR287">
        <v>40.070999999999998</v>
      </c>
      <c r="AS287">
        <v>61.698</v>
      </c>
    </row>
    <row r="288" spans="1:45" x14ac:dyDescent="0.25">
      <c r="A288">
        <v>43</v>
      </c>
      <c r="B288">
        <v>-43</v>
      </c>
      <c r="C288">
        <v>0</v>
      </c>
      <c r="D288">
        <v>2019</v>
      </c>
      <c r="E288">
        <v>2</v>
      </c>
      <c r="F288" t="str">
        <f>IFERROR(VLOOKUP(G288, Map!$A$1:$B$33, 2, FALSE),"WAS")</f>
        <v>MIA</v>
      </c>
      <c r="G288" t="s">
        <v>152</v>
      </c>
      <c r="H288" t="str">
        <f>IFERROR(VLOOKUP(I288, Map!$A$1:$B$33, 2, FALSE),"WAS")</f>
        <v>NE</v>
      </c>
      <c r="I288" t="s">
        <v>151</v>
      </c>
      <c r="J288" t="s">
        <v>175</v>
      </c>
      <c r="K288" t="s">
        <v>187</v>
      </c>
      <c r="L288">
        <v>0</v>
      </c>
      <c r="M288">
        <v>0</v>
      </c>
      <c r="N288">
        <v>41.730769230769198</v>
      </c>
      <c r="O288">
        <v>13.846153846153801</v>
      </c>
      <c r="P288">
        <v>17.5</v>
      </c>
      <c r="Q288">
        <v>44.5</v>
      </c>
      <c r="R288">
        <v>27.5</v>
      </c>
      <c r="S288">
        <v>31.9</v>
      </c>
      <c r="T288">
        <v>24.3</v>
      </c>
      <c r="U288">
        <v>33</v>
      </c>
      <c r="V288">
        <v>4.3</v>
      </c>
      <c r="W288">
        <v>0</v>
      </c>
      <c r="X288">
        <v>10</v>
      </c>
      <c r="Y288">
        <v>4.3</v>
      </c>
      <c r="Z288">
        <v>15</v>
      </c>
      <c r="AA288">
        <v>36.4</v>
      </c>
      <c r="AB288">
        <v>276</v>
      </c>
      <c r="AC288">
        <v>85</v>
      </c>
      <c r="AD288">
        <v>19.7</v>
      </c>
      <c r="AE288">
        <v>8.3000000000000007</v>
      </c>
      <c r="AF288">
        <v>14.143000000000001</v>
      </c>
      <c r="AG288">
        <v>44.735999999999997</v>
      </c>
      <c r="AH288">
        <v>85.744</v>
      </c>
      <c r="AI288">
        <v>17.085999999999999</v>
      </c>
      <c r="AJ288">
        <v>0.18099999999999999</v>
      </c>
      <c r="AK288">
        <v>1.984</v>
      </c>
      <c r="AL288">
        <v>-15.16</v>
      </c>
      <c r="AM288">
        <v>85.744</v>
      </c>
      <c r="AN288">
        <v>44.735999999999997</v>
      </c>
      <c r="AO288">
        <v>14.143000000000001</v>
      </c>
      <c r="AP288">
        <v>15.16</v>
      </c>
      <c r="AQ288">
        <v>99.819000000000003</v>
      </c>
      <c r="AR288">
        <v>82.914000000000001</v>
      </c>
      <c r="AS288">
        <v>98.016000000000005</v>
      </c>
    </row>
    <row r="289" spans="1:45" x14ac:dyDescent="0.25">
      <c r="A289">
        <v>36</v>
      </c>
      <c r="B289">
        <v>-2</v>
      </c>
      <c r="C289">
        <v>0</v>
      </c>
      <c r="D289">
        <v>2019</v>
      </c>
      <c r="E289">
        <v>2</v>
      </c>
      <c r="F289" t="str">
        <f>IFERROR(VLOOKUP(G289, Map!$A$1:$B$33, 2, FALSE),"WAS")</f>
        <v>TEN</v>
      </c>
      <c r="G289" t="s">
        <v>140</v>
      </c>
      <c r="H289" t="str">
        <f>IFERROR(VLOOKUP(I289, Map!$A$1:$B$33, 2, FALSE),"WAS")</f>
        <v>IND</v>
      </c>
      <c r="I289" t="s">
        <v>138</v>
      </c>
      <c r="J289" t="s">
        <v>174</v>
      </c>
      <c r="K289" t="s">
        <v>177</v>
      </c>
      <c r="L289">
        <v>0</v>
      </c>
      <c r="M289">
        <v>0</v>
      </c>
      <c r="N289">
        <v>37.461538461538503</v>
      </c>
      <c r="O289">
        <v>-2.9230769230769198</v>
      </c>
      <c r="P289">
        <v>-3</v>
      </c>
      <c r="Q289">
        <v>21.5</v>
      </c>
      <c r="R289">
        <v>27.2</v>
      </c>
      <c r="S289">
        <v>34.9</v>
      </c>
      <c r="T289">
        <v>20.5</v>
      </c>
      <c r="U289">
        <v>28.9</v>
      </c>
      <c r="V289">
        <v>0</v>
      </c>
      <c r="W289">
        <v>0</v>
      </c>
      <c r="X289">
        <v>0</v>
      </c>
      <c r="Y289">
        <v>0</v>
      </c>
      <c r="Z289">
        <v>9.3000000000000007</v>
      </c>
      <c r="AA289">
        <v>17.3</v>
      </c>
      <c r="AB289">
        <v>59</v>
      </c>
      <c r="AC289">
        <v>52</v>
      </c>
      <c r="AD289">
        <v>12.2</v>
      </c>
      <c r="AE289">
        <v>4.5999999999999996</v>
      </c>
      <c r="AF289">
        <v>65.656000000000006</v>
      </c>
      <c r="AG289">
        <v>65.19</v>
      </c>
      <c r="AH289">
        <v>34.07</v>
      </c>
      <c r="AI289">
        <v>52.197000000000003</v>
      </c>
      <c r="AJ289">
        <v>39.146999999999998</v>
      </c>
      <c r="AK289">
        <v>46.045000000000002</v>
      </c>
      <c r="AL289">
        <v>5.7560000000000002</v>
      </c>
      <c r="AM289">
        <v>34.07</v>
      </c>
      <c r="AN289">
        <v>65.19</v>
      </c>
      <c r="AO289">
        <v>65.656000000000006</v>
      </c>
      <c r="AP289">
        <v>-5.7560000000000002</v>
      </c>
      <c r="AQ289">
        <v>60.853000000000002</v>
      </c>
      <c r="AR289">
        <v>47.802999999999997</v>
      </c>
      <c r="AS289">
        <v>53.954999999999998</v>
      </c>
    </row>
    <row r="290" spans="1:45" x14ac:dyDescent="0.25">
      <c r="A290">
        <v>44</v>
      </c>
      <c r="B290">
        <v>4</v>
      </c>
      <c r="C290">
        <v>1</v>
      </c>
      <c r="D290">
        <v>2019</v>
      </c>
      <c r="E290">
        <v>3</v>
      </c>
      <c r="F290" t="str">
        <f>IFERROR(VLOOKUP(G290, Map!$A$1:$B$33, 2, FALSE),"WAS")</f>
        <v>SF</v>
      </c>
      <c r="G290" t="s">
        <v>143</v>
      </c>
      <c r="H290" t="str">
        <f>IFERROR(VLOOKUP(I290, Map!$A$1:$B$33, 2, FALSE),"WAS")</f>
        <v>PIT</v>
      </c>
      <c r="I290" t="s">
        <v>145</v>
      </c>
      <c r="J290" t="s">
        <v>197</v>
      </c>
      <c r="K290" t="s">
        <v>170</v>
      </c>
      <c r="L290">
        <v>1</v>
      </c>
      <c r="M290">
        <v>0</v>
      </c>
      <c r="N290">
        <v>35.307692307692299</v>
      </c>
      <c r="O290">
        <v>-5.2307692307692299</v>
      </c>
      <c r="P290">
        <v>-5.5</v>
      </c>
      <c r="Q290">
        <v>-1</v>
      </c>
      <c r="R290">
        <v>22.1</v>
      </c>
      <c r="S290">
        <v>30.4</v>
      </c>
      <c r="T290">
        <v>16.5</v>
      </c>
      <c r="U290">
        <v>20.6</v>
      </c>
      <c r="V290">
        <v>0</v>
      </c>
      <c r="W290">
        <v>0</v>
      </c>
      <c r="X290">
        <v>0</v>
      </c>
      <c r="Y290">
        <v>0</v>
      </c>
      <c r="Z290">
        <v>24.8</v>
      </c>
      <c r="AA290">
        <v>45.4</v>
      </c>
      <c r="AB290">
        <v>350</v>
      </c>
      <c r="AC290">
        <v>44</v>
      </c>
      <c r="AD290">
        <v>18.3</v>
      </c>
      <c r="AE290">
        <v>9</v>
      </c>
      <c r="AF290">
        <v>79.811000000000007</v>
      </c>
      <c r="AG290">
        <v>51.856999999999999</v>
      </c>
      <c r="AH290">
        <v>20.027999999999999</v>
      </c>
      <c r="AI290">
        <v>82.364000000000004</v>
      </c>
      <c r="AJ290">
        <v>28.341999999999999</v>
      </c>
      <c r="AK290">
        <v>57.176000000000002</v>
      </c>
      <c r="AL290">
        <v>11.699</v>
      </c>
      <c r="AM290">
        <v>20.027999999999999</v>
      </c>
      <c r="AN290">
        <v>51.856999999999999</v>
      </c>
      <c r="AO290">
        <v>79.811000000000007</v>
      </c>
      <c r="AP290">
        <v>-11.699</v>
      </c>
      <c r="AQ290">
        <v>71.658000000000001</v>
      </c>
      <c r="AR290">
        <v>17.635999999999999</v>
      </c>
      <c r="AS290">
        <v>42.823999999999998</v>
      </c>
    </row>
    <row r="291" spans="1:45" x14ac:dyDescent="0.25">
      <c r="A291">
        <v>44</v>
      </c>
      <c r="B291">
        <v>16</v>
      </c>
      <c r="C291">
        <v>1</v>
      </c>
      <c r="D291">
        <v>2019</v>
      </c>
      <c r="E291">
        <v>3</v>
      </c>
      <c r="F291" t="str">
        <f>IFERROR(VLOOKUP(G291, Map!$A$1:$B$33, 2, FALSE),"WAS")</f>
        <v>NE</v>
      </c>
      <c r="G291" t="s">
        <v>151</v>
      </c>
      <c r="H291" t="str">
        <f>IFERROR(VLOOKUP(I291, Map!$A$1:$B$33, 2, FALSE),"WAS")</f>
        <v>NYJ</v>
      </c>
      <c r="I291" t="s">
        <v>166</v>
      </c>
      <c r="J291" t="s">
        <v>187</v>
      </c>
      <c r="K291" t="s">
        <v>172</v>
      </c>
      <c r="L291">
        <v>1</v>
      </c>
      <c r="M291">
        <v>0</v>
      </c>
      <c r="N291">
        <v>39.307692307692299</v>
      </c>
      <c r="O291">
        <v>-17.538461538461501</v>
      </c>
      <c r="P291">
        <v>-20.5</v>
      </c>
      <c r="Q291">
        <v>43</v>
      </c>
      <c r="R291">
        <v>20.7</v>
      </c>
      <c r="S291">
        <v>29.2</v>
      </c>
      <c r="T291">
        <v>14.6</v>
      </c>
      <c r="U291">
        <v>20.8</v>
      </c>
      <c r="V291">
        <v>0</v>
      </c>
      <c r="W291">
        <v>0</v>
      </c>
      <c r="X291">
        <v>0</v>
      </c>
      <c r="Y291">
        <v>0</v>
      </c>
      <c r="Z291">
        <v>15.7</v>
      </c>
      <c r="AA291">
        <v>38.200000000000003</v>
      </c>
      <c r="AB291">
        <v>209</v>
      </c>
      <c r="AC291">
        <v>72</v>
      </c>
      <c r="AD291">
        <v>24.2</v>
      </c>
      <c r="AE291">
        <v>10.9</v>
      </c>
      <c r="AF291">
        <v>90.216999999999999</v>
      </c>
      <c r="AG291">
        <v>49.926000000000002</v>
      </c>
      <c r="AH291">
        <v>9.7050000000000001</v>
      </c>
      <c r="AI291">
        <v>99.305999999999997</v>
      </c>
      <c r="AJ291">
        <v>78.793999999999997</v>
      </c>
      <c r="AK291">
        <v>95.478999999999999</v>
      </c>
      <c r="AL291">
        <v>18.103000000000002</v>
      </c>
      <c r="AM291">
        <v>9.7050000000000001</v>
      </c>
      <c r="AN291">
        <v>49.926000000000002</v>
      </c>
      <c r="AO291">
        <v>90.216999999999999</v>
      </c>
      <c r="AP291">
        <v>-18.103000000000002</v>
      </c>
      <c r="AQ291">
        <v>21.206</v>
      </c>
      <c r="AR291">
        <v>0.69399999999999995</v>
      </c>
      <c r="AS291">
        <v>4.5209999999999999</v>
      </c>
    </row>
    <row r="292" spans="1:45" x14ac:dyDescent="0.25">
      <c r="A292">
        <v>38</v>
      </c>
      <c r="B292">
        <v>4</v>
      </c>
      <c r="C292">
        <v>1</v>
      </c>
      <c r="D292">
        <v>2019</v>
      </c>
      <c r="E292">
        <v>3</v>
      </c>
      <c r="F292" t="str">
        <f>IFERROR(VLOOKUP(G292, Map!$A$1:$B$33, 2, FALSE),"WAS")</f>
        <v>BUF</v>
      </c>
      <c r="G292" t="s">
        <v>165</v>
      </c>
      <c r="H292" t="str">
        <f>IFERROR(VLOOKUP(I292, Map!$A$1:$B$33, 2, FALSE),"WAS")</f>
        <v>CIN</v>
      </c>
      <c r="I292" t="s">
        <v>161</v>
      </c>
      <c r="J292" t="s">
        <v>180</v>
      </c>
      <c r="K292" t="s">
        <v>176</v>
      </c>
      <c r="L292">
        <v>1</v>
      </c>
      <c r="M292">
        <v>0</v>
      </c>
      <c r="N292">
        <v>38.038461538461497</v>
      </c>
      <c r="O292">
        <v>-4.8846153846153904</v>
      </c>
      <c r="P292">
        <v>-5.5</v>
      </c>
      <c r="Q292">
        <v>39</v>
      </c>
      <c r="R292">
        <v>24.1</v>
      </c>
      <c r="S292">
        <v>30.5</v>
      </c>
      <c r="T292">
        <v>17.7</v>
      </c>
      <c r="U292">
        <v>24.7</v>
      </c>
      <c r="V292">
        <v>0</v>
      </c>
      <c r="W292">
        <v>0</v>
      </c>
      <c r="X292">
        <v>0</v>
      </c>
      <c r="Y292">
        <v>0</v>
      </c>
      <c r="Z292">
        <v>10.9</v>
      </c>
      <c r="AA292">
        <v>20.2</v>
      </c>
      <c r="AB292">
        <v>205</v>
      </c>
      <c r="AC292">
        <v>57</v>
      </c>
      <c r="AD292">
        <v>16.899999999999999</v>
      </c>
      <c r="AE292">
        <v>7.7</v>
      </c>
      <c r="AF292">
        <v>67.838999999999999</v>
      </c>
      <c r="AG292">
        <v>31.568000000000001</v>
      </c>
      <c r="AH292">
        <v>31.905000000000001</v>
      </c>
      <c r="AI292">
        <v>71.638999999999996</v>
      </c>
      <c r="AJ292">
        <v>59.572000000000003</v>
      </c>
      <c r="AK292">
        <v>66.046000000000006</v>
      </c>
      <c r="AL292">
        <v>6.5190000000000001</v>
      </c>
      <c r="AM292">
        <v>31.905000000000001</v>
      </c>
      <c r="AN292">
        <v>31.568000000000001</v>
      </c>
      <c r="AO292">
        <v>67.838999999999999</v>
      </c>
      <c r="AP292">
        <v>-6.5190000000000001</v>
      </c>
      <c r="AQ292">
        <v>40.427999999999997</v>
      </c>
      <c r="AR292">
        <v>28.361000000000001</v>
      </c>
      <c r="AS292">
        <v>33.954000000000001</v>
      </c>
    </row>
    <row r="293" spans="1:45" x14ac:dyDescent="0.25">
      <c r="A293">
        <v>63</v>
      </c>
      <c r="B293">
        <v>-1</v>
      </c>
      <c r="C293">
        <v>0</v>
      </c>
      <c r="D293">
        <v>2019</v>
      </c>
      <c r="E293">
        <v>3</v>
      </c>
      <c r="F293" t="str">
        <f>IFERROR(VLOOKUP(G293, Map!$A$1:$B$33, 2, FALSE),"WAS")</f>
        <v>TB</v>
      </c>
      <c r="G293" t="s">
        <v>141</v>
      </c>
      <c r="H293" t="str">
        <f>IFERROR(VLOOKUP(I293, Map!$A$1:$B$33, 2, FALSE),"WAS")</f>
        <v>NYG</v>
      </c>
      <c r="I293" t="s">
        <v>149</v>
      </c>
      <c r="J293" t="s">
        <v>186</v>
      </c>
      <c r="K293" t="s">
        <v>219</v>
      </c>
      <c r="L293">
        <v>0</v>
      </c>
      <c r="M293">
        <v>0</v>
      </c>
      <c r="N293">
        <v>45.307692307692299</v>
      </c>
      <c r="O293">
        <v>-4.4615384615384599</v>
      </c>
      <c r="P293">
        <v>-4.5</v>
      </c>
      <c r="Q293">
        <v>47.5</v>
      </c>
      <c r="R293">
        <v>26.2</v>
      </c>
      <c r="S293">
        <v>31.3</v>
      </c>
      <c r="T293">
        <v>22.2</v>
      </c>
      <c r="U293">
        <v>27.1</v>
      </c>
      <c r="V293">
        <v>0</v>
      </c>
      <c r="W293">
        <v>0</v>
      </c>
      <c r="X293">
        <v>0</v>
      </c>
      <c r="Y293">
        <v>0</v>
      </c>
      <c r="Z293">
        <v>24.7</v>
      </c>
      <c r="AA293">
        <v>46.8</v>
      </c>
      <c r="AB293">
        <v>68</v>
      </c>
      <c r="AC293">
        <v>66</v>
      </c>
      <c r="AD293">
        <v>34</v>
      </c>
      <c r="AE293">
        <v>19.100000000000001</v>
      </c>
      <c r="AF293">
        <v>74.066999999999993</v>
      </c>
      <c r="AG293">
        <v>44.448</v>
      </c>
      <c r="AH293">
        <v>25.725999999999999</v>
      </c>
      <c r="AI293">
        <v>44.881999999999998</v>
      </c>
      <c r="AJ293">
        <v>74.957999999999998</v>
      </c>
      <c r="AK293">
        <v>54.536999999999999</v>
      </c>
      <c r="AL293">
        <v>9.0579999999999998</v>
      </c>
      <c r="AM293">
        <v>25.725999999999999</v>
      </c>
      <c r="AN293">
        <v>44.448</v>
      </c>
      <c r="AO293">
        <v>74.066999999999993</v>
      </c>
      <c r="AP293">
        <v>-9.0579999999999998</v>
      </c>
      <c r="AQ293">
        <v>25.042000000000002</v>
      </c>
      <c r="AR293">
        <v>55.118000000000002</v>
      </c>
      <c r="AS293">
        <v>45.463000000000001</v>
      </c>
    </row>
    <row r="294" spans="1:45" x14ac:dyDescent="0.25">
      <c r="A294">
        <v>37</v>
      </c>
      <c r="B294">
        <v>25</v>
      </c>
      <c r="C294">
        <v>1</v>
      </c>
      <c r="D294">
        <v>2019</v>
      </c>
      <c r="E294">
        <v>3</v>
      </c>
      <c r="F294" t="str">
        <f>IFERROR(VLOOKUP(G294, Map!$A$1:$B$33, 2, FALSE),"WAS")</f>
        <v>DAL</v>
      </c>
      <c r="G294" t="s">
        <v>150</v>
      </c>
      <c r="H294" t="str">
        <f>IFERROR(VLOOKUP(I294, Map!$A$1:$B$33, 2, FALSE),"WAS")</f>
        <v>MIA</v>
      </c>
      <c r="I294" t="s">
        <v>152</v>
      </c>
      <c r="J294" t="s">
        <v>184</v>
      </c>
      <c r="K294" t="s">
        <v>175</v>
      </c>
      <c r="L294">
        <v>1</v>
      </c>
      <c r="M294">
        <v>0</v>
      </c>
      <c r="N294">
        <v>40.769230769230802</v>
      </c>
      <c r="O294">
        <v>-18.615384615384599</v>
      </c>
      <c r="P294">
        <v>-21.5</v>
      </c>
      <c r="Q294">
        <v>38.5</v>
      </c>
      <c r="R294">
        <v>28.7</v>
      </c>
      <c r="S294">
        <v>34.1</v>
      </c>
      <c r="T294">
        <v>24.4</v>
      </c>
      <c r="U294">
        <v>29.9</v>
      </c>
      <c r="V294">
        <v>0</v>
      </c>
      <c r="W294">
        <v>0</v>
      </c>
      <c r="X294">
        <v>0</v>
      </c>
      <c r="Y294">
        <v>0</v>
      </c>
      <c r="Z294">
        <v>26.9</v>
      </c>
      <c r="AA294">
        <v>43.9</v>
      </c>
      <c r="AB294">
        <v>174</v>
      </c>
      <c r="AC294">
        <v>64</v>
      </c>
      <c r="AD294">
        <v>38.5</v>
      </c>
      <c r="AE294">
        <v>21.2</v>
      </c>
      <c r="AF294">
        <v>96.070999999999998</v>
      </c>
      <c r="AG294">
        <v>49.444000000000003</v>
      </c>
      <c r="AH294">
        <v>3.8969999999999998</v>
      </c>
      <c r="AI294">
        <v>78.453000000000003</v>
      </c>
      <c r="AJ294">
        <v>79.471000000000004</v>
      </c>
      <c r="AK294">
        <v>87.79</v>
      </c>
      <c r="AL294">
        <v>24.59</v>
      </c>
      <c r="AM294">
        <v>3.8969999999999998</v>
      </c>
      <c r="AN294">
        <v>49.444000000000003</v>
      </c>
      <c r="AO294">
        <v>96.070999999999998</v>
      </c>
      <c r="AP294">
        <v>-24.59</v>
      </c>
      <c r="AQ294">
        <v>20.529</v>
      </c>
      <c r="AR294">
        <v>21.547000000000001</v>
      </c>
      <c r="AS294">
        <v>12.21</v>
      </c>
    </row>
    <row r="295" spans="1:45" x14ac:dyDescent="0.25">
      <c r="A295">
        <v>58</v>
      </c>
      <c r="B295">
        <v>-18</v>
      </c>
      <c r="C295">
        <v>0</v>
      </c>
      <c r="D295">
        <v>2019</v>
      </c>
      <c r="E295">
        <v>3</v>
      </c>
      <c r="F295" t="str">
        <f>IFERROR(VLOOKUP(G295, Map!$A$1:$B$33, 2, FALSE),"WAS")</f>
        <v>ARI</v>
      </c>
      <c r="G295" t="s">
        <v>156</v>
      </c>
      <c r="H295" t="str">
        <f>IFERROR(VLOOKUP(I295, Map!$A$1:$B$33, 2, FALSE),"WAS")</f>
        <v>CAR</v>
      </c>
      <c r="I295" t="s">
        <v>142</v>
      </c>
      <c r="J295" t="s">
        <v>190</v>
      </c>
      <c r="K295" t="s">
        <v>185</v>
      </c>
      <c r="L295">
        <v>0</v>
      </c>
      <c r="M295">
        <v>0</v>
      </c>
      <c r="N295">
        <v>42.615384615384599</v>
      </c>
      <c r="O295">
        <v>-1.9615384615384599</v>
      </c>
      <c r="P295">
        <v>-1.5</v>
      </c>
      <c r="Q295">
        <v>43.5</v>
      </c>
      <c r="R295">
        <v>25.7</v>
      </c>
      <c r="S295">
        <v>33.700000000000003</v>
      </c>
      <c r="T295">
        <v>19.2</v>
      </c>
      <c r="U295">
        <v>24</v>
      </c>
      <c r="V295">
        <v>0</v>
      </c>
      <c r="W295">
        <v>0</v>
      </c>
      <c r="X295">
        <v>0</v>
      </c>
      <c r="Y295">
        <v>0</v>
      </c>
      <c r="Z295">
        <v>11.9</v>
      </c>
      <c r="AA295">
        <v>29.9</v>
      </c>
      <c r="AB295">
        <v>148</v>
      </c>
      <c r="AC295">
        <v>29</v>
      </c>
      <c r="AD295">
        <v>16.2</v>
      </c>
      <c r="AE295">
        <v>6.1</v>
      </c>
      <c r="AF295">
        <v>59.548999999999999</v>
      </c>
      <c r="AG295">
        <v>21.501000000000001</v>
      </c>
      <c r="AH295">
        <v>40.128999999999998</v>
      </c>
      <c r="AI295">
        <v>1.415</v>
      </c>
      <c r="AJ295">
        <v>53.664000000000001</v>
      </c>
      <c r="AK295">
        <v>18.396999999999998</v>
      </c>
      <c r="AL295">
        <v>3.4329999999999998</v>
      </c>
      <c r="AM295">
        <v>40.128999999999998</v>
      </c>
      <c r="AN295">
        <v>21.501000000000001</v>
      </c>
      <c r="AO295">
        <v>59.548999999999999</v>
      </c>
      <c r="AP295">
        <v>-3.4329999999999998</v>
      </c>
      <c r="AQ295">
        <v>46.335999999999999</v>
      </c>
      <c r="AR295">
        <v>98.584999999999994</v>
      </c>
      <c r="AS295">
        <v>81.602999999999994</v>
      </c>
    </row>
    <row r="296" spans="1:45" x14ac:dyDescent="0.25">
      <c r="A296">
        <v>47</v>
      </c>
      <c r="B296">
        <v>-7</v>
      </c>
      <c r="C296">
        <v>0</v>
      </c>
      <c r="D296">
        <v>2019</v>
      </c>
      <c r="E296">
        <v>3</v>
      </c>
      <c r="F296" t="str">
        <f>IFERROR(VLOOKUP(G296, Map!$A$1:$B$33, 2, FALSE),"WAS")</f>
        <v>LAC</v>
      </c>
      <c r="G296" t="s">
        <v>160</v>
      </c>
      <c r="H296" t="str">
        <f>IFERROR(VLOOKUP(I296, Map!$A$1:$B$33, 2, FALSE),"WAS")</f>
        <v>HOU</v>
      </c>
      <c r="I296" t="s">
        <v>137</v>
      </c>
      <c r="J296" t="s">
        <v>210</v>
      </c>
      <c r="K296" t="s">
        <v>209</v>
      </c>
      <c r="L296">
        <v>0</v>
      </c>
      <c r="M296">
        <v>0</v>
      </c>
      <c r="N296">
        <v>40.285714285714299</v>
      </c>
      <c r="O296">
        <v>-2.75</v>
      </c>
      <c r="P296">
        <v>-0.5</v>
      </c>
      <c r="Q296">
        <v>0</v>
      </c>
      <c r="R296">
        <v>22.8</v>
      </c>
      <c r="S296">
        <v>31.3</v>
      </c>
      <c r="T296">
        <v>16.7</v>
      </c>
      <c r="U296">
        <v>23.7</v>
      </c>
      <c r="V296">
        <v>0</v>
      </c>
      <c r="W296">
        <v>0</v>
      </c>
      <c r="X296">
        <v>0</v>
      </c>
      <c r="Y296">
        <v>0</v>
      </c>
      <c r="Z296">
        <v>24.5</v>
      </c>
      <c r="AA296">
        <v>42.1</v>
      </c>
      <c r="AB296">
        <v>208</v>
      </c>
      <c r="AC296">
        <v>69</v>
      </c>
      <c r="AD296">
        <v>17.2</v>
      </c>
      <c r="AE296">
        <v>8</v>
      </c>
      <c r="AF296">
        <v>56.101999999999997</v>
      </c>
      <c r="AG296">
        <v>61.26</v>
      </c>
      <c r="AH296">
        <v>43.548000000000002</v>
      </c>
      <c r="AI296">
        <v>14.787000000000001</v>
      </c>
      <c r="AJ296">
        <v>49.341999999999999</v>
      </c>
      <c r="AK296">
        <v>29.555</v>
      </c>
      <c r="AL296">
        <v>2.206</v>
      </c>
      <c r="AM296">
        <v>43.548000000000002</v>
      </c>
      <c r="AN296">
        <v>61.26</v>
      </c>
      <c r="AO296">
        <v>56.101999999999997</v>
      </c>
      <c r="AP296">
        <v>-2.206</v>
      </c>
      <c r="AQ296">
        <v>50.658000000000001</v>
      </c>
      <c r="AR296">
        <v>85.212999999999994</v>
      </c>
      <c r="AS296">
        <v>70.444999999999993</v>
      </c>
    </row>
    <row r="297" spans="1:45" x14ac:dyDescent="0.25">
      <c r="A297">
        <v>48</v>
      </c>
      <c r="B297">
        <v>20</v>
      </c>
      <c r="C297">
        <v>1</v>
      </c>
      <c r="D297">
        <v>2019</v>
      </c>
      <c r="E297">
        <v>3</v>
      </c>
      <c r="F297" t="str">
        <f>IFERROR(VLOOKUP(G297, Map!$A$1:$B$33, 2, FALSE),"WAS")</f>
        <v>MIN</v>
      </c>
      <c r="G297" t="s">
        <v>153</v>
      </c>
      <c r="H297" t="str">
        <f>IFERROR(VLOOKUP(I297, Map!$A$1:$B$33, 2, FALSE),"WAS")</f>
        <v>LV</v>
      </c>
      <c r="I297" t="s">
        <v>157</v>
      </c>
      <c r="J297" t="s">
        <v>214</v>
      </c>
      <c r="K297" t="s">
        <v>179</v>
      </c>
      <c r="L297">
        <v>1</v>
      </c>
      <c r="M297">
        <v>0</v>
      </c>
      <c r="N297">
        <v>39.615384615384599</v>
      </c>
      <c r="O297">
        <v>-7.4230769230769198</v>
      </c>
      <c r="P297">
        <v>-8.5</v>
      </c>
      <c r="Q297">
        <v>42</v>
      </c>
      <c r="R297">
        <v>18.8</v>
      </c>
      <c r="S297">
        <v>23.9</v>
      </c>
      <c r="T297">
        <v>15.4</v>
      </c>
      <c r="U297">
        <v>18.600000000000001</v>
      </c>
      <c r="V297">
        <v>1.7</v>
      </c>
      <c r="W297">
        <v>0</v>
      </c>
      <c r="X297">
        <v>5</v>
      </c>
      <c r="Y297">
        <v>1.7</v>
      </c>
      <c r="Z297">
        <v>16.3</v>
      </c>
      <c r="AA297">
        <v>33.1</v>
      </c>
      <c r="AB297">
        <v>278</v>
      </c>
      <c r="AC297">
        <v>73</v>
      </c>
      <c r="AD297">
        <v>22.1</v>
      </c>
      <c r="AE297">
        <v>10.5</v>
      </c>
      <c r="AF297">
        <v>77.903000000000006</v>
      </c>
      <c r="AG297">
        <v>52.253999999999998</v>
      </c>
      <c r="AH297">
        <v>21.92</v>
      </c>
      <c r="AI297">
        <v>79.831999999999994</v>
      </c>
      <c r="AJ297">
        <v>94.956999999999994</v>
      </c>
      <c r="AK297">
        <v>95.706999999999994</v>
      </c>
      <c r="AL297">
        <v>10.78</v>
      </c>
      <c r="AM297">
        <v>21.92</v>
      </c>
      <c r="AN297">
        <v>52.253999999999998</v>
      </c>
      <c r="AO297">
        <v>77.903000000000006</v>
      </c>
      <c r="AP297">
        <v>-10.78</v>
      </c>
      <c r="AQ297">
        <v>5.0430000000000001</v>
      </c>
      <c r="AR297">
        <v>20.167999999999999</v>
      </c>
      <c r="AS297">
        <v>4.2930000000000001</v>
      </c>
    </row>
    <row r="298" spans="1:45" x14ac:dyDescent="0.25">
      <c r="A298">
        <v>43</v>
      </c>
      <c r="B298">
        <v>11</v>
      </c>
      <c r="C298">
        <v>1</v>
      </c>
      <c r="D298">
        <v>2019</v>
      </c>
      <c r="E298">
        <v>3</v>
      </c>
      <c r="F298" t="str">
        <f>IFERROR(VLOOKUP(G298, Map!$A$1:$B$33, 2, FALSE),"WAS")</f>
        <v>GB</v>
      </c>
      <c r="G298" t="s">
        <v>154</v>
      </c>
      <c r="H298" t="str">
        <f>IFERROR(VLOOKUP(I298, Map!$A$1:$B$33, 2, FALSE),"WAS")</f>
        <v>DEN</v>
      </c>
      <c r="I298" t="s">
        <v>159</v>
      </c>
      <c r="J298" t="s">
        <v>200</v>
      </c>
      <c r="K298" t="s">
        <v>183</v>
      </c>
      <c r="L298">
        <v>1</v>
      </c>
      <c r="M298">
        <v>0</v>
      </c>
      <c r="N298">
        <v>38.153846153846203</v>
      </c>
      <c r="O298">
        <v>-6</v>
      </c>
      <c r="P298">
        <v>-6.5</v>
      </c>
      <c r="Q298">
        <v>41</v>
      </c>
      <c r="R298">
        <v>21.4</v>
      </c>
      <c r="S298">
        <v>23.4</v>
      </c>
      <c r="T298">
        <v>18.2</v>
      </c>
      <c r="U298">
        <v>22.3</v>
      </c>
      <c r="V298">
        <v>35.200000000000003</v>
      </c>
      <c r="W298">
        <v>0</v>
      </c>
      <c r="X298">
        <v>10</v>
      </c>
      <c r="Y298">
        <v>35.200000000000003</v>
      </c>
      <c r="Z298">
        <v>25.6</v>
      </c>
      <c r="AA298">
        <v>49.7</v>
      </c>
      <c r="AB298">
        <v>222</v>
      </c>
      <c r="AC298">
        <v>87</v>
      </c>
      <c r="AD298">
        <v>36.4</v>
      </c>
      <c r="AE298">
        <v>17.5</v>
      </c>
      <c r="AF298">
        <v>67.802999999999997</v>
      </c>
      <c r="AG298">
        <v>53.457000000000001</v>
      </c>
      <c r="AH298">
        <v>31.94</v>
      </c>
      <c r="AI298">
        <v>77.768000000000001</v>
      </c>
      <c r="AJ298">
        <v>76.700999999999993</v>
      </c>
      <c r="AK298">
        <v>81.400999999999996</v>
      </c>
      <c r="AL298">
        <v>6.5049999999999999</v>
      </c>
      <c r="AM298">
        <v>31.94</v>
      </c>
      <c r="AN298">
        <v>53.457000000000001</v>
      </c>
      <c r="AO298">
        <v>67.802999999999997</v>
      </c>
      <c r="AP298">
        <v>-6.5049999999999999</v>
      </c>
      <c r="AQ298">
        <v>23.298999999999999</v>
      </c>
      <c r="AR298">
        <v>22.231999999999999</v>
      </c>
      <c r="AS298">
        <v>18.599</v>
      </c>
    </row>
    <row r="299" spans="1:45" x14ac:dyDescent="0.25">
      <c r="A299">
        <v>46</v>
      </c>
      <c r="B299">
        <v>-16</v>
      </c>
      <c r="C299">
        <v>0</v>
      </c>
      <c r="D299">
        <v>2019</v>
      </c>
      <c r="E299">
        <v>3</v>
      </c>
      <c r="F299" t="str">
        <f>IFERROR(VLOOKUP(G299, Map!$A$1:$B$33, 2, FALSE),"WAS")</f>
        <v>WAS</v>
      </c>
      <c r="G299" t="s">
        <v>169</v>
      </c>
      <c r="H299" t="str">
        <f>IFERROR(VLOOKUP(I299, Map!$A$1:$B$33, 2, FALSE),"WAS")</f>
        <v>CHI</v>
      </c>
      <c r="I299" t="s">
        <v>163</v>
      </c>
      <c r="J299" t="s">
        <v>205</v>
      </c>
      <c r="K299" t="s">
        <v>216</v>
      </c>
      <c r="L299">
        <v>0</v>
      </c>
      <c r="M299">
        <v>0</v>
      </c>
      <c r="N299">
        <v>37.769230769230802</v>
      </c>
      <c r="O299">
        <v>4.6923076923076898</v>
      </c>
      <c r="P299">
        <v>4.5</v>
      </c>
      <c r="Q299">
        <v>35.5</v>
      </c>
      <c r="R299">
        <v>24.4</v>
      </c>
      <c r="S299">
        <v>27.7</v>
      </c>
      <c r="T299">
        <v>18.899999999999999</v>
      </c>
      <c r="U299">
        <v>23.6</v>
      </c>
      <c r="V299">
        <v>0.2</v>
      </c>
      <c r="W299">
        <v>0</v>
      </c>
      <c r="X299">
        <v>2</v>
      </c>
      <c r="Y299">
        <v>0.2</v>
      </c>
      <c r="Z299">
        <v>20.3</v>
      </c>
      <c r="AA299">
        <v>42.8</v>
      </c>
      <c r="AB299">
        <v>303</v>
      </c>
      <c r="AC299">
        <v>53</v>
      </c>
      <c r="AD299">
        <v>29.1</v>
      </c>
      <c r="AE299">
        <v>14</v>
      </c>
      <c r="AF299">
        <v>42.2</v>
      </c>
      <c r="AG299">
        <v>14.045</v>
      </c>
      <c r="AH299">
        <v>57.460999999999999</v>
      </c>
      <c r="AI299">
        <v>35.253999999999998</v>
      </c>
      <c r="AJ299">
        <v>3.9249999999999998</v>
      </c>
      <c r="AK299">
        <v>6.9130000000000003</v>
      </c>
      <c r="AL299">
        <v>-2.6880000000000002</v>
      </c>
      <c r="AM299">
        <v>57.460999999999999</v>
      </c>
      <c r="AN299">
        <v>14.045</v>
      </c>
      <c r="AO299">
        <v>42.2</v>
      </c>
      <c r="AP299">
        <v>2.6880000000000002</v>
      </c>
      <c r="AQ299">
        <v>96.075000000000003</v>
      </c>
      <c r="AR299">
        <v>64.745999999999995</v>
      </c>
      <c r="AS299">
        <v>93.087000000000003</v>
      </c>
    </row>
    <row r="300" spans="1:45" x14ac:dyDescent="0.25">
      <c r="A300">
        <v>27</v>
      </c>
      <c r="B300">
        <v>13</v>
      </c>
      <c r="C300">
        <v>1</v>
      </c>
      <c r="D300">
        <v>2019</v>
      </c>
      <c r="E300">
        <v>3</v>
      </c>
      <c r="F300" t="str">
        <f>IFERROR(VLOOKUP(G300, Map!$A$1:$B$33, 2, FALSE),"WAS")</f>
        <v>JAX</v>
      </c>
      <c r="G300" t="s">
        <v>139</v>
      </c>
      <c r="H300" t="str">
        <f>IFERROR(VLOOKUP(I300, Map!$A$1:$B$33, 2, FALSE),"WAS")</f>
        <v>TEN</v>
      </c>
      <c r="I300" t="s">
        <v>140</v>
      </c>
      <c r="J300" t="s">
        <v>220</v>
      </c>
      <c r="K300" t="s">
        <v>174</v>
      </c>
      <c r="L300">
        <v>1</v>
      </c>
      <c r="M300">
        <v>0</v>
      </c>
      <c r="N300">
        <v>33.615384615384599</v>
      </c>
      <c r="O300">
        <v>1.34615384615385</v>
      </c>
      <c r="P300">
        <v>1.5</v>
      </c>
      <c r="Q300">
        <v>34.5</v>
      </c>
      <c r="R300">
        <v>25.3</v>
      </c>
      <c r="S300">
        <v>28.7</v>
      </c>
      <c r="T300">
        <v>23.2</v>
      </c>
      <c r="U300">
        <v>26.1</v>
      </c>
      <c r="V300">
        <v>0.9</v>
      </c>
      <c r="W300">
        <v>0</v>
      </c>
      <c r="X300">
        <v>6</v>
      </c>
      <c r="Y300">
        <v>0.9</v>
      </c>
      <c r="Z300">
        <v>23.4</v>
      </c>
      <c r="AA300">
        <v>41</v>
      </c>
      <c r="AB300">
        <v>63</v>
      </c>
      <c r="AC300">
        <v>69</v>
      </c>
      <c r="AD300">
        <v>32.4</v>
      </c>
      <c r="AE300">
        <v>18.100000000000001</v>
      </c>
      <c r="AF300">
        <v>38.186999999999998</v>
      </c>
      <c r="AG300">
        <v>51.658000000000001</v>
      </c>
      <c r="AH300">
        <v>61.506</v>
      </c>
      <c r="AI300">
        <v>84.260999999999996</v>
      </c>
      <c r="AJ300">
        <v>52.771000000000001</v>
      </c>
      <c r="AK300">
        <v>89.712999999999994</v>
      </c>
      <c r="AL300">
        <v>-4.141</v>
      </c>
      <c r="AM300">
        <v>61.506</v>
      </c>
      <c r="AN300">
        <v>51.658000000000001</v>
      </c>
      <c r="AO300">
        <v>38.186999999999998</v>
      </c>
      <c r="AP300">
        <v>4.141</v>
      </c>
      <c r="AQ300">
        <v>47.228999999999999</v>
      </c>
      <c r="AR300">
        <v>15.739000000000001</v>
      </c>
      <c r="AS300">
        <v>10.287000000000001</v>
      </c>
    </row>
    <row r="301" spans="1:45" x14ac:dyDescent="0.25">
      <c r="A301">
        <v>33</v>
      </c>
      <c r="B301">
        <v>-7</v>
      </c>
      <c r="C301">
        <v>0</v>
      </c>
      <c r="D301">
        <v>2019</v>
      </c>
      <c r="E301">
        <v>3</v>
      </c>
      <c r="F301" t="str">
        <f>IFERROR(VLOOKUP(G301, Map!$A$1:$B$33, 2, FALSE),"WAS")</f>
        <v>CLE</v>
      </c>
      <c r="G301" t="s">
        <v>162</v>
      </c>
      <c r="H301" t="str">
        <f>IFERROR(VLOOKUP(I301, Map!$A$1:$B$33, 2, FALSE),"WAS")</f>
        <v>LA</v>
      </c>
      <c r="I301" t="s">
        <v>155</v>
      </c>
      <c r="J301" t="s">
        <v>171</v>
      </c>
      <c r="K301" t="s">
        <v>178</v>
      </c>
      <c r="L301">
        <v>0</v>
      </c>
      <c r="M301">
        <v>0</v>
      </c>
      <c r="N301">
        <v>41.038461538461497</v>
      </c>
      <c r="O301">
        <v>3.8461538461538498</v>
      </c>
      <c r="P301">
        <v>3</v>
      </c>
      <c r="Q301">
        <v>18.5</v>
      </c>
      <c r="R301">
        <v>22.5</v>
      </c>
      <c r="S301">
        <v>25.7</v>
      </c>
      <c r="T301">
        <v>19.100000000000001</v>
      </c>
      <c r="U301">
        <v>21.2</v>
      </c>
      <c r="V301">
        <v>4.2</v>
      </c>
      <c r="W301">
        <v>0</v>
      </c>
      <c r="X301">
        <v>7</v>
      </c>
      <c r="Y301">
        <v>4.2</v>
      </c>
      <c r="Z301">
        <v>27.8</v>
      </c>
      <c r="AA301">
        <v>45</v>
      </c>
      <c r="AB301">
        <v>239</v>
      </c>
      <c r="AC301">
        <v>68</v>
      </c>
      <c r="AD301">
        <v>38.200000000000003</v>
      </c>
      <c r="AE301">
        <v>23.7</v>
      </c>
      <c r="AF301">
        <v>38.482999999999997</v>
      </c>
      <c r="AG301">
        <v>55.448</v>
      </c>
      <c r="AH301">
        <v>61.207000000000001</v>
      </c>
      <c r="AI301">
        <v>48.189</v>
      </c>
      <c r="AJ301">
        <v>22.495999999999999</v>
      </c>
      <c r="AK301">
        <v>31.760999999999999</v>
      </c>
      <c r="AL301">
        <v>-4.0330000000000004</v>
      </c>
      <c r="AM301">
        <v>61.207000000000001</v>
      </c>
      <c r="AN301">
        <v>55.448</v>
      </c>
      <c r="AO301">
        <v>38.482999999999997</v>
      </c>
      <c r="AP301">
        <v>4.0330000000000004</v>
      </c>
      <c r="AQ301">
        <v>77.504000000000005</v>
      </c>
      <c r="AR301">
        <v>51.811</v>
      </c>
      <c r="AS301">
        <v>68.239000000000004</v>
      </c>
    </row>
    <row r="302" spans="1:45" x14ac:dyDescent="0.25">
      <c r="A302">
        <v>61</v>
      </c>
      <c r="B302">
        <v>5</v>
      </c>
      <c r="C302">
        <v>1</v>
      </c>
      <c r="D302">
        <v>2019</v>
      </c>
      <c r="E302">
        <v>3</v>
      </c>
      <c r="F302" t="str">
        <f>IFERROR(VLOOKUP(G302, Map!$A$1:$B$33, 2, FALSE),"WAS")</f>
        <v>KC</v>
      </c>
      <c r="G302" t="s">
        <v>158</v>
      </c>
      <c r="H302" t="str">
        <f>IFERROR(VLOOKUP(I302, Map!$A$1:$B$33, 2, FALSE),"WAS")</f>
        <v>BAL</v>
      </c>
      <c r="I302" t="s">
        <v>146</v>
      </c>
      <c r="J302" t="s">
        <v>202</v>
      </c>
      <c r="K302" t="s">
        <v>181</v>
      </c>
      <c r="L302">
        <v>1</v>
      </c>
      <c r="M302">
        <v>0</v>
      </c>
      <c r="N302">
        <v>48</v>
      </c>
      <c r="O302">
        <v>-3.8846153846153801</v>
      </c>
      <c r="P302">
        <v>-4.5</v>
      </c>
      <c r="Q302">
        <v>52</v>
      </c>
      <c r="R302">
        <v>23.6</v>
      </c>
      <c r="S302">
        <v>25.4</v>
      </c>
      <c r="T302">
        <v>20.399999999999999</v>
      </c>
      <c r="U302">
        <v>25.1</v>
      </c>
      <c r="V302">
        <v>32.200000000000003</v>
      </c>
      <c r="W302">
        <v>0</v>
      </c>
      <c r="X302">
        <v>16</v>
      </c>
      <c r="Y302">
        <v>32.200000000000003</v>
      </c>
      <c r="Z302">
        <v>23.8</v>
      </c>
      <c r="AA302">
        <v>52.2</v>
      </c>
      <c r="AB302">
        <v>200</v>
      </c>
      <c r="AC302">
        <v>82</v>
      </c>
      <c r="AD302">
        <v>38.200000000000003</v>
      </c>
      <c r="AE302">
        <v>16.2</v>
      </c>
      <c r="AF302">
        <v>72.054000000000002</v>
      </c>
      <c r="AG302">
        <v>96.921000000000006</v>
      </c>
      <c r="AH302">
        <v>27.724</v>
      </c>
      <c r="AI302">
        <v>44.835999999999999</v>
      </c>
      <c r="AJ302">
        <v>96.619</v>
      </c>
      <c r="AK302">
        <v>81.754000000000005</v>
      </c>
      <c r="AL302">
        <v>8.2080000000000002</v>
      </c>
      <c r="AM302">
        <v>27.724</v>
      </c>
      <c r="AN302">
        <v>96.921000000000006</v>
      </c>
      <c r="AO302">
        <v>72.054000000000002</v>
      </c>
      <c r="AP302">
        <v>-8.2080000000000002</v>
      </c>
      <c r="AQ302">
        <v>3.3809999999999998</v>
      </c>
      <c r="AR302">
        <v>55.164000000000001</v>
      </c>
      <c r="AS302">
        <v>18.245999999999999</v>
      </c>
    </row>
    <row r="303" spans="1:45" x14ac:dyDescent="0.25">
      <c r="A303">
        <v>60</v>
      </c>
      <c r="B303">
        <v>-6</v>
      </c>
      <c r="C303">
        <v>0</v>
      </c>
      <c r="D303">
        <v>2019</v>
      </c>
      <c r="E303">
        <v>3</v>
      </c>
      <c r="F303" t="str">
        <f>IFERROR(VLOOKUP(G303, Map!$A$1:$B$33, 2, FALSE),"WAS")</f>
        <v>SEA</v>
      </c>
      <c r="G303" t="s">
        <v>144</v>
      </c>
      <c r="H303" t="str">
        <f>IFERROR(VLOOKUP(I303, Map!$A$1:$B$33, 2, FALSE),"WAS")</f>
        <v>NO</v>
      </c>
      <c r="I303" t="s">
        <v>168</v>
      </c>
      <c r="J303" t="s">
        <v>182</v>
      </c>
      <c r="K303" t="s">
        <v>192</v>
      </c>
      <c r="L303">
        <v>0</v>
      </c>
      <c r="M303">
        <v>0</v>
      </c>
      <c r="N303">
        <v>40.884615384615401</v>
      </c>
      <c r="O303">
        <v>-4.3076923076923102</v>
      </c>
      <c r="P303">
        <v>-4.5</v>
      </c>
      <c r="Q303">
        <v>35.5</v>
      </c>
      <c r="R303">
        <v>16.600000000000001</v>
      </c>
      <c r="S303">
        <v>18.399999999999999</v>
      </c>
      <c r="T303">
        <v>15.4</v>
      </c>
      <c r="U303">
        <v>16.5</v>
      </c>
      <c r="V303">
        <v>6.6</v>
      </c>
      <c r="W303">
        <v>0</v>
      </c>
      <c r="X303">
        <v>11</v>
      </c>
      <c r="Y303">
        <v>6.6</v>
      </c>
      <c r="Z303">
        <v>14</v>
      </c>
      <c r="AA303">
        <v>30.2</v>
      </c>
      <c r="AB303">
        <v>167</v>
      </c>
      <c r="AC303">
        <v>87</v>
      </c>
      <c r="AD303">
        <v>21.3</v>
      </c>
      <c r="AE303">
        <v>10.199999999999999</v>
      </c>
      <c r="AF303">
        <v>55.393999999999998</v>
      </c>
      <c r="AG303">
        <v>85.861999999999995</v>
      </c>
      <c r="AH303">
        <v>44.25</v>
      </c>
      <c r="AI303">
        <v>45.883000000000003</v>
      </c>
      <c r="AJ303">
        <v>18.352</v>
      </c>
      <c r="AK303">
        <v>14.106999999999999</v>
      </c>
      <c r="AL303">
        <v>1.9570000000000001</v>
      </c>
      <c r="AM303">
        <v>44.25</v>
      </c>
      <c r="AN303">
        <v>85.861999999999995</v>
      </c>
      <c r="AO303">
        <v>55.393999999999998</v>
      </c>
      <c r="AP303">
        <v>-1.9570000000000001</v>
      </c>
      <c r="AQ303">
        <v>81.647999999999996</v>
      </c>
      <c r="AR303">
        <v>54.116999999999997</v>
      </c>
      <c r="AS303">
        <v>85.893000000000001</v>
      </c>
    </row>
    <row r="304" spans="1:45" x14ac:dyDescent="0.25">
      <c r="A304">
        <v>51</v>
      </c>
      <c r="B304">
        <v>-3</v>
      </c>
      <c r="C304">
        <v>0</v>
      </c>
      <c r="D304">
        <v>2019</v>
      </c>
      <c r="E304">
        <v>3</v>
      </c>
      <c r="F304" t="str">
        <f>IFERROR(VLOOKUP(G304, Map!$A$1:$B$33, 2, FALSE),"WAS")</f>
        <v>PHI</v>
      </c>
      <c r="G304" t="s">
        <v>147</v>
      </c>
      <c r="H304" t="str">
        <f>IFERROR(VLOOKUP(I304, Map!$A$1:$B$33, 2, FALSE),"WAS")</f>
        <v>DET</v>
      </c>
      <c r="I304" t="s">
        <v>164</v>
      </c>
      <c r="J304" t="s">
        <v>206</v>
      </c>
      <c r="K304" t="s">
        <v>173</v>
      </c>
      <c r="L304">
        <v>0</v>
      </c>
      <c r="M304">
        <v>0</v>
      </c>
      <c r="N304">
        <v>41.769230769230802</v>
      </c>
      <c r="O304">
        <v>-3.5</v>
      </c>
      <c r="P304">
        <v>-3.5</v>
      </c>
      <c r="Q304">
        <v>44.5</v>
      </c>
      <c r="R304">
        <v>22.8</v>
      </c>
      <c r="S304">
        <v>30.7</v>
      </c>
      <c r="T304">
        <v>16.7</v>
      </c>
      <c r="U304">
        <v>24.2</v>
      </c>
      <c r="V304">
        <v>0</v>
      </c>
      <c r="W304">
        <v>0</v>
      </c>
      <c r="X304">
        <v>0</v>
      </c>
      <c r="Y304">
        <v>0</v>
      </c>
      <c r="Z304">
        <v>12</v>
      </c>
      <c r="AA304">
        <v>25.6</v>
      </c>
      <c r="AB304">
        <v>212</v>
      </c>
      <c r="AC304">
        <v>71</v>
      </c>
      <c r="AD304">
        <v>14.9</v>
      </c>
      <c r="AE304">
        <v>7.5</v>
      </c>
      <c r="AF304">
        <v>65.108000000000004</v>
      </c>
      <c r="AG304">
        <v>46.662999999999997</v>
      </c>
      <c r="AH304">
        <v>34.613999999999997</v>
      </c>
      <c r="AI304">
        <v>39.840000000000003</v>
      </c>
      <c r="AJ304">
        <v>42.908999999999999</v>
      </c>
      <c r="AK304">
        <v>36.369</v>
      </c>
      <c r="AL304">
        <v>5.4740000000000002</v>
      </c>
      <c r="AM304">
        <v>34.613999999999997</v>
      </c>
      <c r="AN304">
        <v>46.662999999999997</v>
      </c>
      <c r="AO304">
        <v>65.108000000000004</v>
      </c>
      <c r="AP304">
        <v>-5.4740000000000002</v>
      </c>
      <c r="AQ304">
        <v>57.091000000000001</v>
      </c>
      <c r="AR304">
        <v>60.16</v>
      </c>
      <c r="AS304">
        <v>63.631</v>
      </c>
    </row>
    <row r="305" spans="1:45" x14ac:dyDescent="0.25">
      <c r="A305">
        <v>51</v>
      </c>
      <c r="B305">
        <v>3</v>
      </c>
      <c r="C305">
        <v>1</v>
      </c>
      <c r="D305">
        <v>2019</v>
      </c>
      <c r="E305">
        <v>3</v>
      </c>
      <c r="F305" t="str">
        <f>IFERROR(VLOOKUP(G305, Map!$A$1:$B$33, 2, FALSE),"WAS")</f>
        <v>IND</v>
      </c>
      <c r="G305" t="s">
        <v>138</v>
      </c>
      <c r="H305" t="str">
        <f>IFERROR(VLOOKUP(I305, Map!$A$1:$B$33, 2, FALSE),"WAS")</f>
        <v>ATL</v>
      </c>
      <c r="I305" t="s">
        <v>167</v>
      </c>
      <c r="J305" t="s">
        <v>177</v>
      </c>
      <c r="K305" t="s">
        <v>188</v>
      </c>
      <c r="L305">
        <v>1</v>
      </c>
      <c r="M305">
        <v>0</v>
      </c>
      <c r="N305">
        <v>43.423076923076898</v>
      </c>
      <c r="O305">
        <v>-1.3846153846153799</v>
      </c>
      <c r="P305">
        <v>-1</v>
      </c>
      <c r="Q305">
        <v>33.5</v>
      </c>
      <c r="R305">
        <v>25.1</v>
      </c>
      <c r="S305">
        <v>30.6</v>
      </c>
      <c r="T305">
        <v>20.8</v>
      </c>
      <c r="U305">
        <v>24.6</v>
      </c>
      <c r="V305">
        <v>0</v>
      </c>
      <c r="W305">
        <v>0</v>
      </c>
      <c r="X305">
        <v>0</v>
      </c>
      <c r="Y305">
        <v>0</v>
      </c>
      <c r="Z305">
        <v>27</v>
      </c>
      <c r="AA305">
        <v>52.2</v>
      </c>
      <c r="AB305">
        <v>203</v>
      </c>
      <c r="AC305">
        <v>54</v>
      </c>
      <c r="AD305">
        <v>29.1</v>
      </c>
      <c r="AE305">
        <v>15.3</v>
      </c>
      <c r="AF305">
        <v>55.600999999999999</v>
      </c>
      <c r="AG305">
        <v>56.006</v>
      </c>
      <c r="AH305">
        <v>44.045000000000002</v>
      </c>
      <c r="AI305">
        <v>17.565999999999999</v>
      </c>
      <c r="AJ305">
        <v>92.274000000000001</v>
      </c>
      <c r="AK305">
        <v>74.936000000000007</v>
      </c>
      <c r="AL305">
        <v>2.0299999999999998</v>
      </c>
      <c r="AM305">
        <v>44.045000000000002</v>
      </c>
      <c r="AN305">
        <v>56.006</v>
      </c>
      <c r="AO305">
        <v>55.600999999999999</v>
      </c>
      <c r="AP305">
        <v>-2.0299999999999998</v>
      </c>
      <c r="AQ305">
        <v>7.726</v>
      </c>
      <c r="AR305">
        <v>82.433999999999997</v>
      </c>
      <c r="AS305">
        <v>25.064</v>
      </c>
    </row>
    <row r="306" spans="1:45" x14ac:dyDescent="0.25">
      <c r="A306">
        <v>95</v>
      </c>
      <c r="B306">
        <v>-15</v>
      </c>
      <c r="C306">
        <v>0</v>
      </c>
      <c r="D306">
        <v>2019</v>
      </c>
      <c r="E306">
        <v>4</v>
      </c>
      <c r="F306" t="str">
        <f>IFERROR(VLOOKUP(G306, Map!$A$1:$B$33, 2, FALSE),"WAS")</f>
        <v>LA</v>
      </c>
      <c r="G306" t="s">
        <v>155</v>
      </c>
      <c r="H306" t="str">
        <f>IFERROR(VLOOKUP(I306, Map!$A$1:$B$33, 2, FALSE),"WAS")</f>
        <v>TB</v>
      </c>
      <c r="I306" t="s">
        <v>141</v>
      </c>
      <c r="J306" t="s">
        <v>178</v>
      </c>
      <c r="K306" t="s">
        <v>186</v>
      </c>
      <c r="L306">
        <v>0</v>
      </c>
      <c r="M306">
        <v>0</v>
      </c>
      <c r="N306">
        <v>48.307692307692299</v>
      </c>
      <c r="O306">
        <v>-7.7307692307692299</v>
      </c>
      <c r="P306">
        <v>-9</v>
      </c>
      <c r="Q306">
        <v>48.5</v>
      </c>
      <c r="R306">
        <v>18</v>
      </c>
      <c r="S306">
        <v>23.8</v>
      </c>
      <c r="T306">
        <v>13.2</v>
      </c>
      <c r="U306">
        <v>17.8</v>
      </c>
      <c r="V306">
        <v>1.3</v>
      </c>
      <c r="W306">
        <v>0</v>
      </c>
      <c r="X306">
        <v>5</v>
      </c>
      <c r="Y306">
        <v>1.3</v>
      </c>
      <c r="Z306">
        <v>20.399999999999999</v>
      </c>
      <c r="AA306">
        <v>39.200000000000003</v>
      </c>
      <c r="AB306">
        <v>188</v>
      </c>
      <c r="AC306">
        <v>72</v>
      </c>
      <c r="AD306">
        <v>17.899999999999999</v>
      </c>
      <c r="AE306">
        <v>8.3000000000000007</v>
      </c>
      <c r="AF306">
        <v>80.709999999999994</v>
      </c>
      <c r="AG306">
        <v>65.673000000000002</v>
      </c>
      <c r="AH306">
        <v>19.135999999999999</v>
      </c>
      <c r="AI306">
        <v>10.475</v>
      </c>
      <c r="AJ306">
        <v>22.062000000000001</v>
      </c>
      <c r="AK306">
        <v>12.669</v>
      </c>
      <c r="AL306">
        <v>12.018000000000001</v>
      </c>
      <c r="AM306">
        <v>19.135999999999999</v>
      </c>
      <c r="AN306">
        <v>65.673000000000002</v>
      </c>
      <c r="AO306">
        <v>80.709999999999994</v>
      </c>
      <c r="AP306">
        <v>-12.018000000000001</v>
      </c>
      <c r="AQ306">
        <v>77.938000000000002</v>
      </c>
      <c r="AR306">
        <v>89.525000000000006</v>
      </c>
      <c r="AS306">
        <v>87.331000000000003</v>
      </c>
    </row>
    <row r="307" spans="1:45" x14ac:dyDescent="0.25">
      <c r="A307">
        <v>40</v>
      </c>
      <c r="B307">
        <v>-20</v>
      </c>
      <c r="C307">
        <v>0</v>
      </c>
      <c r="D307">
        <v>2019</v>
      </c>
      <c r="E307">
        <v>4</v>
      </c>
      <c r="F307" t="str">
        <f>IFERROR(VLOOKUP(G307, Map!$A$1:$B$33, 2, FALSE),"WAS")</f>
        <v>MIA</v>
      </c>
      <c r="G307" t="s">
        <v>152</v>
      </c>
      <c r="H307" t="str">
        <f>IFERROR(VLOOKUP(I307, Map!$A$1:$B$33, 2, FALSE),"WAS")</f>
        <v>LAC</v>
      </c>
      <c r="I307" t="s">
        <v>160</v>
      </c>
      <c r="J307" t="s">
        <v>175</v>
      </c>
      <c r="K307" t="s">
        <v>210</v>
      </c>
      <c r="L307">
        <v>0</v>
      </c>
      <c r="M307">
        <v>0</v>
      </c>
      <c r="N307">
        <v>39.730769230769198</v>
      </c>
      <c r="O307">
        <v>12.384615384615399</v>
      </c>
      <c r="P307">
        <v>14.5</v>
      </c>
      <c r="Q307">
        <v>41.5</v>
      </c>
      <c r="R307">
        <v>27.2</v>
      </c>
      <c r="S307">
        <v>30.8</v>
      </c>
      <c r="T307">
        <v>24.6</v>
      </c>
      <c r="U307">
        <v>30.1</v>
      </c>
      <c r="V307">
        <v>1</v>
      </c>
      <c r="W307">
        <v>0</v>
      </c>
      <c r="X307">
        <v>6</v>
      </c>
      <c r="Y307">
        <v>1</v>
      </c>
      <c r="Z307">
        <v>25.6</v>
      </c>
      <c r="AA307">
        <v>51.5</v>
      </c>
      <c r="AB307">
        <v>54</v>
      </c>
      <c r="AC307">
        <v>74</v>
      </c>
      <c r="AD307">
        <v>30</v>
      </c>
      <c r="AE307">
        <v>14.9</v>
      </c>
      <c r="AF307">
        <v>13.691000000000001</v>
      </c>
      <c r="AG307">
        <v>12.561999999999999</v>
      </c>
      <c r="AH307">
        <v>86.198999999999998</v>
      </c>
      <c r="AI307">
        <v>14.965</v>
      </c>
      <c r="AJ307">
        <v>57.935000000000002</v>
      </c>
      <c r="AK307">
        <v>15.929</v>
      </c>
      <c r="AL307">
        <v>-15.081</v>
      </c>
      <c r="AM307">
        <v>86.198999999999998</v>
      </c>
      <c r="AN307">
        <v>12.561999999999999</v>
      </c>
      <c r="AO307">
        <v>13.691000000000001</v>
      </c>
      <c r="AP307">
        <v>15.081</v>
      </c>
      <c r="AQ307">
        <v>42.064999999999998</v>
      </c>
      <c r="AR307">
        <v>85.034999999999997</v>
      </c>
      <c r="AS307">
        <v>84.070999999999998</v>
      </c>
    </row>
    <row r="308" spans="1:45" x14ac:dyDescent="0.25">
      <c r="A308">
        <v>55</v>
      </c>
      <c r="B308">
        <v>-7</v>
      </c>
      <c r="C308">
        <v>0</v>
      </c>
      <c r="D308">
        <v>2019</v>
      </c>
      <c r="E308">
        <v>4</v>
      </c>
      <c r="F308" t="str">
        <f>IFERROR(VLOOKUP(G308, Map!$A$1:$B$33, 2, FALSE),"WAS")</f>
        <v>IND</v>
      </c>
      <c r="G308" t="s">
        <v>138</v>
      </c>
      <c r="H308" t="str">
        <f>IFERROR(VLOOKUP(I308, Map!$A$1:$B$33, 2, FALSE),"WAS")</f>
        <v>LV</v>
      </c>
      <c r="I308" t="s">
        <v>157</v>
      </c>
      <c r="J308" t="s">
        <v>177</v>
      </c>
      <c r="K308" t="s">
        <v>179</v>
      </c>
      <c r="L308">
        <v>0</v>
      </c>
      <c r="M308">
        <v>0</v>
      </c>
      <c r="N308">
        <v>42.153846153846203</v>
      </c>
      <c r="O308">
        <v>-4.7692307692307701</v>
      </c>
      <c r="P308">
        <v>-5</v>
      </c>
      <c r="Q308">
        <v>43.5</v>
      </c>
      <c r="R308">
        <v>24.4</v>
      </c>
      <c r="S308">
        <v>30.9</v>
      </c>
      <c r="T308">
        <v>20.7</v>
      </c>
      <c r="U308">
        <v>25.3</v>
      </c>
      <c r="V308">
        <v>0</v>
      </c>
      <c r="W308">
        <v>0</v>
      </c>
      <c r="X308">
        <v>0</v>
      </c>
      <c r="Y308">
        <v>0</v>
      </c>
      <c r="Z308">
        <v>17.100000000000001</v>
      </c>
      <c r="AA308">
        <v>46.1</v>
      </c>
      <c r="AB308">
        <v>129</v>
      </c>
      <c r="AC308">
        <v>66</v>
      </c>
      <c r="AD308">
        <v>26.8</v>
      </c>
      <c r="AE308">
        <v>12.4</v>
      </c>
      <c r="AF308">
        <v>75.144000000000005</v>
      </c>
      <c r="AG308">
        <v>42.173000000000002</v>
      </c>
      <c r="AH308">
        <v>24.658000000000001</v>
      </c>
      <c r="AI308">
        <v>19.45</v>
      </c>
      <c r="AJ308">
        <v>22.388999999999999</v>
      </c>
      <c r="AK308">
        <v>13.805999999999999</v>
      </c>
      <c r="AL308">
        <v>9.4220000000000006</v>
      </c>
      <c r="AM308">
        <v>24.658000000000001</v>
      </c>
      <c r="AN308">
        <v>42.173000000000002</v>
      </c>
      <c r="AO308">
        <v>75.144000000000005</v>
      </c>
      <c r="AP308">
        <v>-9.4220000000000006</v>
      </c>
      <c r="AQ308">
        <v>77.611000000000004</v>
      </c>
      <c r="AR308">
        <v>80.55</v>
      </c>
      <c r="AS308">
        <v>86.194000000000003</v>
      </c>
    </row>
    <row r="309" spans="1:45" x14ac:dyDescent="0.25">
      <c r="A309">
        <v>27</v>
      </c>
      <c r="B309">
        <v>21</v>
      </c>
      <c r="C309">
        <v>1</v>
      </c>
      <c r="D309">
        <v>2019</v>
      </c>
      <c r="E309">
        <v>4</v>
      </c>
      <c r="F309" t="str">
        <f>IFERROR(VLOOKUP(G309, Map!$A$1:$B$33, 2, FALSE),"WAS")</f>
        <v>NYG</v>
      </c>
      <c r="G309" t="s">
        <v>149</v>
      </c>
      <c r="H309" t="str">
        <f>IFERROR(VLOOKUP(I309, Map!$A$1:$B$33, 2, FALSE),"WAS")</f>
        <v>WAS</v>
      </c>
      <c r="I309" t="s">
        <v>169</v>
      </c>
      <c r="J309" t="s">
        <v>219</v>
      </c>
      <c r="K309" t="s">
        <v>205</v>
      </c>
      <c r="L309">
        <v>1</v>
      </c>
      <c r="M309">
        <v>0</v>
      </c>
      <c r="N309">
        <v>40.615384615384599</v>
      </c>
      <c r="O309">
        <v>-2.9230769230769198</v>
      </c>
      <c r="P309">
        <v>-3</v>
      </c>
      <c r="Q309">
        <v>28.5</v>
      </c>
      <c r="R309">
        <v>21.5</v>
      </c>
      <c r="S309">
        <v>24.5</v>
      </c>
      <c r="T309">
        <v>18.5</v>
      </c>
      <c r="U309">
        <v>22.3</v>
      </c>
      <c r="V309">
        <v>0</v>
      </c>
      <c r="W309">
        <v>0</v>
      </c>
      <c r="X309">
        <v>0</v>
      </c>
      <c r="Y309">
        <v>0</v>
      </c>
      <c r="Z309">
        <v>16.399999999999999</v>
      </c>
      <c r="AA309">
        <v>34.6</v>
      </c>
      <c r="AB309">
        <v>3</v>
      </c>
      <c r="AC309">
        <v>75</v>
      </c>
      <c r="AD309">
        <v>24</v>
      </c>
      <c r="AE309">
        <v>11.5</v>
      </c>
      <c r="AF309">
        <v>55.081000000000003</v>
      </c>
      <c r="AG309">
        <v>4.3440000000000003</v>
      </c>
      <c r="AH309">
        <v>44.561</v>
      </c>
      <c r="AI309">
        <v>99.66</v>
      </c>
      <c r="AJ309">
        <v>58.470999999999997</v>
      </c>
      <c r="AK309">
        <v>95.153999999999996</v>
      </c>
      <c r="AL309">
        <v>1.8260000000000001</v>
      </c>
      <c r="AM309">
        <v>44.561</v>
      </c>
      <c r="AN309">
        <v>4.3440000000000003</v>
      </c>
      <c r="AO309">
        <v>55.081000000000003</v>
      </c>
      <c r="AP309">
        <v>-1.8260000000000001</v>
      </c>
      <c r="AQ309">
        <v>41.529000000000003</v>
      </c>
      <c r="AR309">
        <v>0.34</v>
      </c>
      <c r="AS309">
        <v>4.8460000000000001</v>
      </c>
    </row>
    <row r="310" spans="1:45" x14ac:dyDescent="0.25">
      <c r="A310">
        <v>50</v>
      </c>
      <c r="B310">
        <v>-2</v>
      </c>
      <c r="C310">
        <v>0</v>
      </c>
      <c r="D310">
        <v>2019</v>
      </c>
      <c r="E310">
        <v>4</v>
      </c>
      <c r="F310" t="str">
        <f>IFERROR(VLOOKUP(G310, Map!$A$1:$B$33, 2, FALSE),"WAS")</f>
        <v>DEN</v>
      </c>
      <c r="G310" t="s">
        <v>159</v>
      </c>
      <c r="H310" t="str">
        <f>IFERROR(VLOOKUP(I310, Map!$A$1:$B$33, 2, FALSE),"WAS")</f>
        <v>JAX</v>
      </c>
      <c r="I310" t="s">
        <v>139</v>
      </c>
      <c r="J310" t="s">
        <v>183</v>
      </c>
      <c r="K310" t="s">
        <v>220</v>
      </c>
      <c r="L310">
        <v>0</v>
      </c>
      <c r="M310">
        <v>0</v>
      </c>
      <c r="N310">
        <v>34.5</v>
      </c>
      <c r="O310">
        <v>-2.1538461538461502</v>
      </c>
      <c r="P310">
        <v>-2.5</v>
      </c>
      <c r="Q310">
        <v>37</v>
      </c>
      <c r="R310">
        <v>18.8</v>
      </c>
      <c r="S310">
        <v>30.4</v>
      </c>
      <c r="T310">
        <v>10.199999999999999</v>
      </c>
      <c r="U310">
        <v>15.7</v>
      </c>
      <c r="V310">
        <v>0</v>
      </c>
      <c r="W310">
        <v>0</v>
      </c>
      <c r="X310">
        <v>0</v>
      </c>
      <c r="Y310">
        <v>0</v>
      </c>
      <c r="Z310">
        <v>29.5</v>
      </c>
      <c r="AA310">
        <v>60.5</v>
      </c>
      <c r="AB310">
        <v>202</v>
      </c>
      <c r="AC310">
        <v>49</v>
      </c>
      <c r="AD310">
        <v>27</v>
      </c>
      <c r="AE310">
        <v>13.7</v>
      </c>
      <c r="AF310">
        <v>58.664999999999999</v>
      </c>
      <c r="AG310">
        <v>29.341999999999999</v>
      </c>
      <c r="AH310">
        <v>41.006</v>
      </c>
      <c r="AI310">
        <v>35.49</v>
      </c>
      <c r="AJ310">
        <v>76.667000000000002</v>
      </c>
      <c r="AK310">
        <v>49.420999999999999</v>
      </c>
      <c r="AL310">
        <v>3.0819999999999999</v>
      </c>
      <c r="AM310">
        <v>41.006</v>
      </c>
      <c r="AN310">
        <v>29.341999999999999</v>
      </c>
      <c r="AO310">
        <v>58.664999999999999</v>
      </c>
      <c r="AP310">
        <v>-3.0819999999999999</v>
      </c>
      <c r="AQ310">
        <v>23.332999999999998</v>
      </c>
      <c r="AR310">
        <v>64.510000000000005</v>
      </c>
      <c r="AS310">
        <v>50.579000000000001</v>
      </c>
    </row>
    <row r="311" spans="1:45" x14ac:dyDescent="0.25">
      <c r="A311">
        <v>61</v>
      </c>
      <c r="B311">
        <v>-7</v>
      </c>
      <c r="C311">
        <v>0</v>
      </c>
      <c r="D311">
        <v>2019</v>
      </c>
      <c r="E311">
        <v>4</v>
      </c>
      <c r="F311" t="str">
        <f>IFERROR(VLOOKUP(G311, Map!$A$1:$B$33, 2, FALSE),"WAS")</f>
        <v>GB</v>
      </c>
      <c r="G311" t="s">
        <v>154</v>
      </c>
      <c r="H311" t="str">
        <f>IFERROR(VLOOKUP(I311, Map!$A$1:$B$33, 2, FALSE),"WAS")</f>
        <v>PHI</v>
      </c>
      <c r="I311" t="s">
        <v>147</v>
      </c>
      <c r="J311" t="s">
        <v>200</v>
      </c>
      <c r="K311" t="s">
        <v>206</v>
      </c>
      <c r="L311">
        <v>0</v>
      </c>
      <c r="M311">
        <v>0</v>
      </c>
      <c r="N311">
        <v>43.7083333333333</v>
      </c>
      <c r="O311">
        <v>-2.9166666666666701</v>
      </c>
      <c r="P311">
        <v>-3.5</v>
      </c>
      <c r="Q311">
        <v>46</v>
      </c>
      <c r="R311">
        <v>17</v>
      </c>
      <c r="S311">
        <v>19.8</v>
      </c>
      <c r="T311">
        <v>14.4</v>
      </c>
      <c r="U311">
        <v>15.1</v>
      </c>
      <c r="V311">
        <v>3.6</v>
      </c>
      <c r="W311">
        <v>0</v>
      </c>
      <c r="X311">
        <v>10</v>
      </c>
      <c r="Y311">
        <v>3.6</v>
      </c>
      <c r="Z311">
        <v>25.5</v>
      </c>
      <c r="AA311">
        <v>50</v>
      </c>
      <c r="AB311">
        <v>201</v>
      </c>
      <c r="AC311">
        <v>67</v>
      </c>
      <c r="AD311">
        <v>30.9</v>
      </c>
      <c r="AE311">
        <v>14.8</v>
      </c>
      <c r="AF311">
        <v>64.343999999999994</v>
      </c>
      <c r="AG311">
        <v>65.882999999999996</v>
      </c>
      <c r="AH311">
        <v>35.372</v>
      </c>
      <c r="AI311">
        <v>6.0510000000000002</v>
      </c>
      <c r="AJ311">
        <v>76.679000000000002</v>
      </c>
      <c r="AK311">
        <v>32.921999999999997</v>
      </c>
      <c r="AL311">
        <v>5.1310000000000002</v>
      </c>
      <c r="AM311">
        <v>35.372</v>
      </c>
      <c r="AN311">
        <v>65.882999999999996</v>
      </c>
      <c r="AO311">
        <v>64.343999999999994</v>
      </c>
      <c r="AP311">
        <v>-5.1310000000000002</v>
      </c>
      <c r="AQ311">
        <v>23.321000000000002</v>
      </c>
      <c r="AR311">
        <v>93.948999999999998</v>
      </c>
      <c r="AS311">
        <v>67.078000000000003</v>
      </c>
    </row>
    <row r="312" spans="1:45" x14ac:dyDescent="0.25">
      <c r="A312">
        <v>65</v>
      </c>
      <c r="B312">
        <v>-15</v>
      </c>
      <c r="C312">
        <v>0</v>
      </c>
      <c r="D312">
        <v>2019</v>
      </c>
      <c r="E312">
        <v>4</v>
      </c>
      <c r="F312" t="str">
        <f>IFERROR(VLOOKUP(G312, Map!$A$1:$B$33, 2, FALSE),"WAS")</f>
        <v>BAL</v>
      </c>
      <c r="G312" t="s">
        <v>146</v>
      </c>
      <c r="H312" t="str">
        <f>IFERROR(VLOOKUP(I312, Map!$A$1:$B$33, 2, FALSE),"WAS")</f>
        <v>CLE</v>
      </c>
      <c r="I312" t="s">
        <v>162</v>
      </c>
      <c r="J312" t="s">
        <v>181</v>
      </c>
      <c r="K312" t="s">
        <v>171</v>
      </c>
      <c r="L312">
        <v>0</v>
      </c>
      <c r="M312">
        <v>0</v>
      </c>
      <c r="N312">
        <v>42.192307692307701</v>
      </c>
      <c r="O312">
        <v>-5.9230769230769198</v>
      </c>
      <c r="P312">
        <v>-6.5</v>
      </c>
      <c r="Q312">
        <v>42</v>
      </c>
      <c r="R312">
        <v>25</v>
      </c>
      <c r="S312">
        <v>29.3</v>
      </c>
      <c r="T312">
        <v>20.6</v>
      </c>
      <c r="U312">
        <v>27.6</v>
      </c>
      <c r="V312">
        <v>0.2</v>
      </c>
      <c r="W312">
        <v>0</v>
      </c>
      <c r="X312">
        <v>2</v>
      </c>
      <c r="Y312">
        <v>0.2</v>
      </c>
      <c r="Z312">
        <v>13</v>
      </c>
      <c r="AA312">
        <v>40.700000000000003</v>
      </c>
      <c r="AB312">
        <v>18</v>
      </c>
      <c r="AC312">
        <v>76</v>
      </c>
      <c r="AD312">
        <v>19.899999999999999</v>
      </c>
      <c r="AE312">
        <v>9.1</v>
      </c>
      <c r="AF312">
        <v>72.736999999999995</v>
      </c>
      <c r="AG312">
        <v>57.241999999999997</v>
      </c>
      <c r="AH312">
        <v>27.045999999999999</v>
      </c>
      <c r="AI312">
        <v>4.63</v>
      </c>
      <c r="AJ312">
        <v>51.372</v>
      </c>
      <c r="AK312">
        <v>14.891999999999999</v>
      </c>
      <c r="AL312">
        <v>8.4</v>
      </c>
      <c r="AM312">
        <v>27.045999999999999</v>
      </c>
      <c r="AN312">
        <v>57.241999999999997</v>
      </c>
      <c r="AO312">
        <v>72.736999999999995</v>
      </c>
      <c r="AP312">
        <v>-8.4</v>
      </c>
      <c r="AQ312">
        <v>48.628</v>
      </c>
      <c r="AR312">
        <v>95.37</v>
      </c>
      <c r="AS312">
        <v>85.108000000000004</v>
      </c>
    </row>
    <row r="313" spans="1:45" x14ac:dyDescent="0.25">
      <c r="A313">
        <v>37</v>
      </c>
      <c r="B313">
        <v>-17</v>
      </c>
      <c r="C313">
        <v>0</v>
      </c>
      <c r="D313">
        <v>2019</v>
      </c>
      <c r="E313">
        <v>4</v>
      </c>
      <c r="F313" t="str">
        <f>IFERROR(VLOOKUP(G313, Map!$A$1:$B$33, 2, FALSE),"WAS")</f>
        <v>ARI</v>
      </c>
      <c r="G313" t="s">
        <v>156</v>
      </c>
      <c r="H313" t="str">
        <f>IFERROR(VLOOKUP(I313, Map!$A$1:$B$33, 2, FALSE),"WAS")</f>
        <v>SEA</v>
      </c>
      <c r="I313" t="s">
        <v>144</v>
      </c>
      <c r="J313" t="s">
        <v>190</v>
      </c>
      <c r="K313" t="s">
        <v>182</v>
      </c>
      <c r="L313">
        <v>0</v>
      </c>
      <c r="M313">
        <v>0</v>
      </c>
      <c r="N313">
        <v>43.269230769230802</v>
      </c>
      <c r="O313">
        <v>4.6538461538461497</v>
      </c>
      <c r="P313">
        <v>5.5</v>
      </c>
      <c r="Q313">
        <v>42.5</v>
      </c>
      <c r="R313">
        <v>17.2</v>
      </c>
      <c r="S313">
        <v>23</v>
      </c>
      <c r="T313">
        <v>12.2</v>
      </c>
      <c r="U313">
        <v>17.2</v>
      </c>
      <c r="V313">
        <v>2.6</v>
      </c>
      <c r="W313">
        <v>0</v>
      </c>
      <c r="X313">
        <v>7</v>
      </c>
      <c r="Y313">
        <v>2.6</v>
      </c>
      <c r="Z313">
        <v>17.3</v>
      </c>
      <c r="AA313">
        <v>41</v>
      </c>
      <c r="AB313">
        <v>171</v>
      </c>
      <c r="AC313">
        <v>78</v>
      </c>
      <c r="AD313">
        <v>18.7</v>
      </c>
      <c r="AE313">
        <v>7.4</v>
      </c>
      <c r="AF313">
        <v>39.197000000000003</v>
      </c>
      <c r="AG313">
        <v>46.34</v>
      </c>
      <c r="AH313">
        <v>60.488</v>
      </c>
      <c r="AI313">
        <v>23.664000000000001</v>
      </c>
      <c r="AJ313">
        <v>13.778</v>
      </c>
      <c r="AK313">
        <v>6.0720000000000001</v>
      </c>
      <c r="AL313">
        <v>-3.7309999999999999</v>
      </c>
      <c r="AM313">
        <v>60.488</v>
      </c>
      <c r="AN313">
        <v>46.34</v>
      </c>
      <c r="AO313">
        <v>39.197000000000003</v>
      </c>
      <c r="AP313">
        <v>3.7309999999999999</v>
      </c>
      <c r="AQ313">
        <v>86.221999999999994</v>
      </c>
      <c r="AR313">
        <v>76.335999999999999</v>
      </c>
      <c r="AS313">
        <v>93.927999999999997</v>
      </c>
    </row>
    <row r="314" spans="1:45" x14ac:dyDescent="0.25">
      <c r="A314">
        <v>34</v>
      </c>
      <c r="B314">
        <v>-14</v>
      </c>
      <c r="C314">
        <v>0</v>
      </c>
      <c r="D314">
        <v>2019</v>
      </c>
      <c r="E314">
        <v>4</v>
      </c>
      <c r="F314" t="str">
        <f>IFERROR(VLOOKUP(G314, Map!$A$1:$B$33, 2, FALSE),"WAS")</f>
        <v>ATL</v>
      </c>
      <c r="G314" t="s">
        <v>167</v>
      </c>
      <c r="H314" t="str">
        <f>IFERROR(VLOOKUP(I314, Map!$A$1:$B$33, 2, FALSE),"WAS")</f>
        <v>TEN</v>
      </c>
      <c r="I314" t="s">
        <v>140</v>
      </c>
      <c r="J314" t="s">
        <v>188</v>
      </c>
      <c r="K314" t="s">
        <v>174</v>
      </c>
      <c r="L314">
        <v>0</v>
      </c>
      <c r="M314">
        <v>0</v>
      </c>
      <c r="N314">
        <v>41.730769230769198</v>
      </c>
      <c r="O314">
        <v>-2.8846153846153899</v>
      </c>
      <c r="P314">
        <v>-3</v>
      </c>
      <c r="Q314">
        <v>38.5</v>
      </c>
      <c r="R314">
        <v>25.9</v>
      </c>
      <c r="S314">
        <v>31.9</v>
      </c>
      <c r="T314">
        <v>21.2</v>
      </c>
      <c r="U314">
        <v>29.6</v>
      </c>
      <c r="V314">
        <v>0.1</v>
      </c>
      <c r="W314">
        <v>0</v>
      </c>
      <c r="X314">
        <v>1</v>
      </c>
      <c r="Y314">
        <v>0.1</v>
      </c>
      <c r="Z314">
        <v>10.9</v>
      </c>
      <c r="AA314">
        <v>24.8</v>
      </c>
      <c r="AB314">
        <v>117</v>
      </c>
      <c r="AC314">
        <v>78</v>
      </c>
      <c r="AD314">
        <v>14.6</v>
      </c>
      <c r="AE314">
        <v>5.7</v>
      </c>
      <c r="AF314">
        <v>54.36</v>
      </c>
      <c r="AG314">
        <v>78.489999999999995</v>
      </c>
      <c r="AH314">
        <v>45.276000000000003</v>
      </c>
      <c r="AI314">
        <v>17.562000000000001</v>
      </c>
      <c r="AJ314">
        <v>26.061</v>
      </c>
      <c r="AK314">
        <v>11.404999999999999</v>
      </c>
      <c r="AL314">
        <v>1.5760000000000001</v>
      </c>
      <c r="AM314">
        <v>45.276000000000003</v>
      </c>
      <c r="AN314">
        <v>78.489999999999995</v>
      </c>
      <c r="AO314">
        <v>54.36</v>
      </c>
      <c r="AP314">
        <v>-1.5760000000000001</v>
      </c>
      <c r="AQ314">
        <v>73.938999999999993</v>
      </c>
      <c r="AR314">
        <v>82.438000000000002</v>
      </c>
      <c r="AS314">
        <v>88.594999999999999</v>
      </c>
    </row>
    <row r="315" spans="1:45" x14ac:dyDescent="0.25">
      <c r="A315">
        <v>22</v>
      </c>
      <c r="B315">
        <v>2</v>
      </c>
      <c r="C315">
        <v>1</v>
      </c>
      <c r="D315">
        <v>2019</v>
      </c>
      <c r="E315">
        <v>4</v>
      </c>
      <c r="F315" t="str">
        <f>IFERROR(VLOOKUP(G315, Map!$A$1:$B$33, 2, FALSE),"WAS")</f>
        <v>NO</v>
      </c>
      <c r="G315" t="s">
        <v>168</v>
      </c>
      <c r="H315" t="str">
        <f>IFERROR(VLOOKUP(I315, Map!$A$1:$B$33, 2, FALSE),"WAS")</f>
        <v>DAL</v>
      </c>
      <c r="I315" t="s">
        <v>150</v>
      </c>
      <c r="J315" t="s">
        <v>192</v>
      </c>
      <c r="K315" t="s">
        <v>184</v>
      </c>
      <c r="L315">
        <v>1</v>
      </c>
      <c r="M315">
        <v>0</v>
      </c>
      <c r="N315">
        <v>39.230769230769198</v>
      </c>
      <c r="O315">
        <v>2.1153846153846199</v>
      </c>
      <c r="P315">
        <v>2.5</v>
      </c>
      <c r="Q315">
        <v>31.5</v>
      </c>
      <c r="R315">
        <v>27.7</v>
      </c>
      <c r="S315">
        <v>32.4</v>
      </c>
      <c r="T315">
        <v>24.3</v>
      </c>
      <c r="U315">
        <v>31.3</v>
      </c>
      <c r="V315">
        <v>0</v>
      </c>
      <c r="W315">
        <v>0</v>
      </c>
      <c r="X315">
        <v>0</v>
      </c>
      <c r="Y315">
        <v>0</v>
      </c>
      <c r="Z315">
        <v>17.5</v>
      </c>
      <c r="AA315">
        <v>34.9</v>
      </c>
      <c r="AB315">
        <v>115</v>
      </c>
      <c r="AC315">
        <v>74</v>
      </c>
      <c r="AD315">
        <v>21.7</v>
      </c>
      <c r="AE315">
        <v>11</v>
      </c>
      <c r="AF315">
        <v>54.988999999999997</v>
      </c>
      <c r="AG315">
        <v>88.519000000000005</v>
      </c>
      <c r="AH315">
        <v>44.652999999999999</v>
      </c>
      <c r="AI315">
        <v>72.655000000000001</v>
      </c>
      <c r="AJ315">
        <v>28.763000000000002</v>
      </c>
      <c r="AK315">
        <v>57.033999999999999</v>
      </c>
      <c r="AL315">
        <v>1.794</v>
      </c>
      <c r="AM315">
        <v>44.652999999999999</v>
      </c>
      <c r="AN315">
        <v>88.519000000000005</v>
      </c>
      <c r="AO315">
        <v>54.988999999999997</v>
      </c>
      <c r="AP315">
        <v>-1.794</v>
      </c>
      <c r="AQ315">
        <v>71.236999999999995</v>
      </c>
      <c r="AR315">
        <v>27.344999999999999</v>
      </c>
      <c r="AS315">
        <v>42.966000000000001</v>
      </c>
    </row>
    <row r="316" spans="1:45" x14ac:dyDescent="0.25">
      <c r="A316">
        <v>26</v>
      </c>
      <c r="B316">
        <v>-6</v>
      </c>
      <c r="C316">
        <v>0</v>
      </c>
      <c r="D316">
        <v>2019</v>
      </c>
      <c r="E316">
        <v>4</v>
      </c>
      <c r="F316" t="str">
        <f>IFERROR(VLOOKUP(G316, Map!$A$1:$B$33, 2, FALSE),"WAS")</f>
        <v>BUF</v>
      </c>
      <c r="G316" t="s">
        <v>165</v>
      </c>
      <c r="H316" t="str">
        <f>IFERROR(VLOOKUP(I316, Map!$A$1:$B$33, 2, FALSE),"WAS")</f>
        <v>NE</v>
      </c>
      <c r="I316" t="s">
        <v>151</v>
      </c>
      <c r="J316" t="s">
        <v>180</v>
      </c>
      <c r="K316" t="s">
        <v>187</v>
      </c>
      <c r="L316">
        <v>0</v>
      </c>
      <c r="M316">
        <v>0</v>
      </c>
      <c r="N316">
        <v>35.423076923076898</v>
      </c>
      <c r="O316">
        <v>5.8846153846153904</v>
      </c>
      <c r="P316">
        <v>6.5</v>
      </c>
      <c r="Q316">
        <v>27.5</v>
      </c>
      <c r="R316">
        <v>27.2</v>
      </c>
      <c r="S316">
        <v>33.6</v>
      </c>
      <c r="T316">
        <v>21.7</v>
      </c>
      <c r="U316">
        <v>30.1</v>
      </c>
      <c r="V316">
        <v>0</v>
      </c>
      <c r="W316">
        <v>0</v>
      </c>
      <c r="X316">
        <v>0</v>
      </c>
      <c r="Y316">
        <v>0</v>
      </c>
      <c r="Z316">
        <v>10.1</v>
      </c>
      <c r="AA316">
        <v>20.5</v>
      </c>
      <c r="AB316">
        <v>250</v>
      </c>
      <c r="AC316">
        <v>65</v>
      </c>
      <c r="AD316">
        <v>14</v>
      </c>
      <c r="AE316">
        <v>5.9</v>
      </c>
      <c r="AF316">
        <v>24.547999999999998</v>
      </c>
      <c r="AG316">
        <v>74.599999999999994</v>
      </c>
      <c r="AH316">
        <v>75.254999999999995</v>
      </c>
      <c r="AI316">
        <v>84.722999999999999</v>
      </c>
      <c r="AJ316">
        <v>12.853</v>
      </c>
      <c r="AK316">
        <v>29.786000000000001</v>
      </c>
      <c r="AL316">
        <v>-9.4710000000000001</v>
      </c>
      <c r="AM316">
        <v>75.254999999999995</v>
      </c>
      <c r="AN316">
        <v>74.599999999999994</v>
      </c>
      <c r="AO316">
        <v>24.547999999999998</v>
      </c>
      <c r="AP316">
        <v>9.4710000000000001</v>
      </c>
      <c r="AQ316">
        <v>87.147000000000006</v>
      </c>
      <c r="AR316">
        <v>15.276999999999999</v>
      </c>
      <c r="AS316">
        <v>70.213999999999999</v>
      </c>
    </row>
    <row r="317" spans="1:45" x14ac:dyDescent="0.25">
      <c r="A317">
        <v>30</v>
      </c>
      <c r="B317">
        <v>24</v>
      </c>
      <c r="C317">
        <v>1</v>
      </c>
      <c r="D317">
        <v>2019</v>
      </c>
      <c r="E317">
        <v>4</v>
      </c>
      <c r="F317" t="str">
        <f>IFERROR(VLOOKUP(G317, Map!$A$1:$B$33, 2, FALSE),"WAS")</f>
        <v>PIT</v>
      </c>
      <c r="G317" t="s">
        <v>145</v>
      </c>
      <c r="H317" t="str">
        <f>IFERROR(VLOOKUP(I317, Map!$A$1:$B$33, 2, FALSE),"WAS")</f>
        <v>CIN</v>
      </c>
      <c r="I317" t="s">
        <v>161</v>
      </c>
      <c r="J317" t="s">
        <v>170</v>
      </c>
      <c r="K317" t="s">
        <v>176</v>
      </c>
      <c r="L317">
        <v>1</v>
      </c>
      <c r="M317">
        <v>0</v>
      </c>
      <c r="N317">
        <v>39.153846153846203</v>
      </c>
      <c r="O317">
        <v>-3.2307692307692299</v>
      </c>
      <c r="P317">
        <v>-3.5</v>
      </c>
      <c r="Q317">
        <v>22.5</v>
      </c>
      <c r="R317">
        <v>24.5</v>
      </c>
      <c r="S317">
        <v>31.4</v>
      </c>
      <c r="T317">
        <v>20</v>
      </c>
      <c r="U317">
        <v>26.7</v>
      </c>
      <c r="V317">
        <v>0</v>
      </c>
      <c r="W317">
        <v>0</v>
      </c>
      <c r="X317">
        <v>0</v>
      </c>
      <c r="Y317">
        <v>0</v>
      </c>
      <c r="Z317">
        <v>15.5</v>
      </c>
      <c r="AA317">
        <v>34.200000000000003</v>
      </c>
      <c r="AB317">
        <v>215</v>
      </c>
      <c r="AC317">
        <v>76</v>
      </c>
      <c r="AD317">
        <v>19.7</v>
      </c>
      <c r="AE317">
        <v>9.1999999999999993</v>
      </c>
      <c r="AF317">
        <v>65.039000000000001</v>
      </c>
      <c r="AG317">
        <v>19.640999999999998</v>
      </c>
      <c r="AH317">
        <v>34.682000000000002</v>
      </c>
      <c r="AI317">
        <v>95.32</v>
      </c>
      <c r="AJ317">
        <v>58.225999999999999</v>
      </c>
      <c r="AK317">
        <v>91.2</v>
      </c>
      <c r="AL317">
        <v>5.3890000000000002</v>
      </c>
      <c r="AM317">
        <v>34.682000000000002</v>
      </c>
      <c r="AN317">
        <v>19.640999999999998</v>
      </c>
      <c r="AO317">
        <v>65.039000000000001</v>
      </c>
      <c r="AP317">
        <v>-5.3890000000000002</v>
      </c>
      <c r="AQ317">
        <v>41.774000000000001</v>
      </c>
      <c r="AR317">
        <v>4.68</v>
      </c>
      <c r="AS317">
        <v>8.8000000000000007</v>
      </c>
    </row>
    <row r="318" spans="1:45" x14ac:dyDescent="0.25">
      <c r="A318">
        <v>64</v>
      </c>
      <c r="B318">
        <v>-4</v>
      </c>
      <c r="C318">
        <v>0</v>
      </c>
      <c r="D318">
        <v>2019</v>
      </c>
      <c r="E318">
        <v>4</v>
      </c>
      <c r="F318" t="str">
        <f>IFERROR(VLOOKUP(G318, Map!$A$1:$B$33, 2, FALSE),"WAS")</f>
        <v>DET</v>
      </c>
      <c r="G318" t="s">
        <v>164</v>
      </c>
      <c r="H318" t="str">
        <f>IFERROR(VLOOKUP(I318, Map!$A$1:$B$33, 2, FALSE),"WAS")</f>
        <v>KC</v>
      </c>
      <c r="I318" t="s">
        <v>158</v>
      </c>
      <c r="J318" t="s">
        <v>173</v>
      </c>
      <c r="K318" t="s">
        <v>202</v>
      </c>
      <c r="L318">
        <v>0</v>
      </c>
      <c r="M318">
        <v>0</v>
      </c>
      <c r="N318">
        <v>49.576923076923102</v>
      </c>
      <c r="O318">
        <v>6.6153846153846096</v>
      </c>
      <c r="P318">
        <v>7</v>
      </c>
      <c r="Q318">
        <v>39.5</v>
      </c>
      <c r="R318">
        <v>15.3</v>
      </c>
      <c r="S318">
        <v>17</v>
      </c>
      <c r="T318">
        <v>13.9</v>
      </c>
      <c r="U318">
        <v>13.4</v>
      </c>
      <c r="V318">
        <v>10.199999999999999</v>
      </c>
      <c r="W318">
        <v>0</v>
      </c>
      <c r="X318">
        <v>8</v>
      </c>
      <c r="Y318">
        <v>10.199999999999999</v>
      </c>
      <c r="Z318">
        <v>25.3</v>
      </c>
      <c r="AA318">
        <v>43.2</v>
      </c>
      <c r="AB318">
        <v>62</v>
      </c>
      <c r="AC318">
        <v>86</v>
      </c>
      <c r="AD318">
        <v>32.700000000000003</v>
      </c>
      <c r="AE318">
        <v>19.399999999999999</v>
      </c>
      <c r="AF318">
        <v>29.800999999999998</v>
      </c>
      <c r="AG318">
        <v>74.424999999999997</v>
      </c>
      <c r="AH318">
        <v>69.959999999999994</v>
      </c>
      <c r="AI318">
        <v>23.552</v>
      </c>
      <c r="AJ318">
        <v>39.466999999999999</v>
      </c>
      <c r="AK318">
        <v>43.537999999999997</v>
      </c>
      <c r="AL318">
        <v>-7.2750000000000004</v>
      </c>
      <c r="AM318">
        <v>69.959999999999994</v>
      </c>
      <c r="AN318">
        <v>74.424999999999997</v>
      </c>
      <c r="AO318">
        <v>29.800999999999998</v>
      </c>
      <c r="AP318">
        <v>7.2750000000000004</v>
      </c>
      <c r="AQ318">
        <v>60.533000000000001</v>
      </c>
      <c r="AR318">
        <v>76.447999999999993</v>
      </c>
      <c r="AS318">
        <v>56.462000000000003</v>
      </c>
    </row>
    <row r="319" spans="1:45" x14ac:dyDescent="0.25">
      <c r="A319">
        <v>26</v>
      </c>
      <c r="B319">
        <v>-6</v>
      </c>
      <c r="C319">
        <v>0</v>
      </c>
      <c r="D319">
        <v>2019</v>
      </c>
      <c r="E319">
        <v>4</v>
      </c>
      <c r="F319" t="str">
        <f>IFERROR(VLOOKUP(G319, Map!$A$1:$B$33, 2, FALSE),"WAS")</f>
        <v>HOU</v>
      </c>
      <c r="G319" t="s">
        <v>137</v>
      </c>
      <c r="H319" t="str">
        <f>IFERROR(VLOOKUP(I319, Map!$A$1:$B$33, 2, FALSE),"WAS")</f>
        <v>CAR</v>
      </c>
      <c r="I319" t="s">
        <v>142</v>
      </c>
      <c r="J319" t="s">
        <v>209</v>
      </c>
      <c r="K319" t="s">
        <v>185</v>
      </c>
      <c r="L319">
        <v>0</v>
      </c>
      <c r="M319">
        <v>0</v>
      </c>
      <c r="N319">
        <v>39</v>
      </c>
      <c r="O319">
        <v>-4.5384615384615401</v>
      </c>
      <c r="P319">
        <v>-4.5</v>
      </c>
      <c r="Q319">
        <v>27</v>
      </c>
      <c r="R319">
        <v>27.6</v>
      </c>
      <c r="S319">
        <v>30.5</v>
      </c>
      <c r="T319">
        <v>25.4</v>
      </c>
      <c r="U319">
        <v>31.5</v>
      </c>
      <c r="V319">
        <v>2.8</v>
      </c>
      <c r="W319">
        <v>0</v>
      </c>
      <c r="X319">
        <v>11</v>
      </c>
      <c r="Y319">
        <v>2.8</v>
      </c>
      <c r="Z319">
        <v>21.1</v>
      </c>
      <c r="AA319">
        <v>36</v>
      </c>
      <c r="AB319">
        <v>133</v>
      </c>
      <c r="AC319">
        <v>83</v>
      </c>
      <c r="AD319">
        <v>29.2</v>
      </c>
      <c r="AE319">
        <v>16.7</v>
      </c>
      <c r="AF319">
        <v>75.394999999999996</v>
      </c>
      <c r="AG319">
        <v>44.34</v>
      </c>
      <c r="AH319">
        <v>24.408999999999999</v>
      </c>
      <c r="AI319">
        <v>74.638999999999996</v>
      </c>
      <c r="AJ319">
        <v>15.679</v>
      </c>
      <c r="AK319">
        <v>35.247</v>
      </c>
      <c r="AL319">
        <v>9.532</v>
      </c>
      <c r="AM319">
        <v>24.408999999999999</v>
      </c>
      <c r="AN319">
        <v>44.34</v>
      </c>
      <c r="AO319">
        <v>75.394999999999996</v>
      </c>
      <c r="AP319">
        <v>-9.532</v>
      </c>
      <c r="AQ319">
        <v>84.320999999999998</v>
      </c>
      <c r="AR319">
        <v>25.361000000000001</v>
      </c>
      <c r="AS319">
        <v>64.753</v>
      </c>
    </row>
    <row r="320" spans="1:45" x14ac:dyDescent="0.25">
      <c r="A320">
        <v>22</v>
      </c>
      <c r="B320">
        <v>10</v>
      </c>
      <c r="C320">
        <v>1</v>
      </c>
      <c r="D320">
        <v>2019</v>
      </c>
      <c r="E320">
        <v>4</v>
      </c>
      <c r="F320" t="str">
        <f>IFERROR(VLOOKUP(G320, Map!$A$1:$B$33, 2, FALSE),"WAS")</f>
        <v>CHI</v>
      </c>
      <c r="G320" t="s">
        <v>163</v>
      </c>
      <c r="H320" t="str">
        <f>IFERROR(VLOOKUP(I320, Map!$A$1:$B$33, 2, FALSE),"WAS")</f>
        <v>MIN</v>
      </c>
      <c r="I320" t="s">
        <v>153</v>
      </c>
      <c r="J320" t="s">
        <v>216</v>
      </c>
      <c r="K320" t="s">
        <v>214</v>
      </c>
      <c r="L320">
        <v>1</v>
      </c>
      <c r="M320">
        <v>0</v>
      </c>
      <c r="N320">
        <v>32.769230769230802</v>
      </c>
      <c r="O320">
        <v>-0.115384615384615</v>
      </c>
      <c r="P320">
        <v>0</v>
      </c>
      <c r="Q320">
        <v>24.5</v>
      </c>
      <c r="R320">
        <v>16.600000000000001</v>
      </c>
      <c r="S320">
        <v>19</v>
      </c>
      <c r="T320">
        <v>14.8</v>
      </c>
      <c r="U320">
        <v>15.5</v>
      </c>
      <c r="V320">
        <v>13.2</v>
      </c>
      <c r="W320">
        <v>0</v>
      </c>
      <c r="X320">
        <v>11</v>
      </c>
      <c r="Y320">
        <v>13.2</v>
      </c>
      <c r="Z320">
        <v>25.3</v>
      </c>
      <c r="AA320">
        <v>39.6</v>
      </c>
      <c r="AB320">
        <v>76</v>
      </c>
      <c r="AC320">
        <v>91</v>
      </c>
      <c r="AD320">
        <v>30.9</v>
      </c>
      <c r="AE320">
        <v>19.3</v>
      </c>
      <c r="AF320">
        <v>47.238999999999997</v>
      </c>
      <c r="AG320">
        <v>71.947999999999993</v>
      </c>
      <c r="AH320">
        <v>52.381</v>
      </c>
      <c r="AI320">
        <v>90.887</v>
      </c>
      <c r="AJ320">
        <v>62.003</v>
      </c>
      <c r="AK320">
        <v>86.293000000000006</v>
      </c>
      <c r="AL320">
        <v>-0.89100000000000001</v>
      </c>
      <c r="AM320">
        <v>52.381</v>
      </c>
      <c r="AN320">
        <v>71.947999999999993</v>
      </c>
      <c r="AO320">
        <v>47.238999999999997</v>
      </c>
      <c r="AP320">
        <v>0.89100000000000001</v>
      </c>
      <c r="AQ320">
        <v>37.997</v>
      </c>
      <c r="AR320">
        <v>9.1129999999999995</v>
      </c>
      <c r="AS320">
        <v>13.707000000000001</v>
      </c>
    </row>
    <row r="321" spans="1:45" x14ac:dyDescent="0.25">
      <c r="A321">
        <v>38</v>
      </c>
      <c r="B321">
        <v>-18</v>
      </c>
      <c r="C321">
        <v>0</v>
      </c>
      <c r="D321">
        <v>2019</v>
      </c>
      <c r="E321">
        <v>5</v>
      </c>
      <c r="F321" t="str">
        <f>IFERROR(VLOOKUP(G321, Map!$A$1:$B$33, 2, FALSE),"WAS")</f>
        <v>NYG</v>
      </c>
      <c r="G321" t="s">
        <v>149</v>
      </c>
      <c r="H321" t="str">
        <f>IFERROR(VLOOKUP(I321, Map!$A$1:$B$33, 2, FALSE),"WAS")</f>
        <v>MIN</v>
      </c>
      <c r="I321" t="s">
        <v>153</v>
      </c>
      <c r="J321" t="s">
        <v>219</v>
      </c>
      <c r="K321" t="s">
        <v>214</v>
      </c>
      <c r="L321">
        <v>0</v>
      </c>
      <c r="M321">
        <v>0</v>
      </c>
      <c r="N321">
        <v>36.785714285714299</v>
      </c>
      <c r="O321">
        <v>5.1071428571428603</v>
      </c>
      <c r="P321">
        <v>4.5</v>
      </c>
      <c r="Q321">
        <v>0</v>
      </c>
      <c r="R321">
        <v>15.7</v>
      </c>
      <c r="S321">
        <v>20.6</v>
      </c>
      <c r="T321">
        <v>9.1</v>
      </c>
      <c r="U321">
        <v>14.6</v>
      </c>
      <c r="V321">
        <v>1.3</v>
      </c>
      <c r="W321">
        <v>0</v>
      </c>
      <c r="X321">
        <v>8</v>
      </c>
      <c r="Y321">
        <v>1.3</v>
      </c>
      <c r="Z321">
        <v>18.399999999999999</v>
      </c>
      <c r="AA321">
        <v>36.4</v>
      </c>
      <c r="AB321">
        <v>174</v>
      </c>
      <c r="AC321">
        <v>76</v>
      </c>
      <c r="AD321">
        <v>21.9</v>
      </c>
      <c r="AE321">
        <v>11.5</v>
      </c>
      <c r="AF321">
        <v>28.186</v>
      </c>
      <c r="AG321">
        <v>42.76</v>
      </c>
      <c r="AH321">
        <v>71.587999999999994</v>
      </c>
      <c r="AI321">
        <v>15.945</v>
      </c>
      <c r="AJ321">
        <v>21.388999999999999</v>
      </c>
      <c r="AK321">
        <v>12.346</v>
      </c>
      <c r="AL321">
        <v>-7.8739999999999997</v>
      </c>
      <c r="AM321">
        <v>71.587999999999994</v>
      </c>
      <c r="AN321">
        <v>42.76</v>
      </c>
      <c r="AO321">
        <v>28.186</v>
      </c>
      <c r="AP321">
        <v>7.8739999999999997</v>
      </c>
      <c r="AQ321">
        <v>78.611000000000004</v>
      </c>
      <c r="AR321">
        <v>84.055000000000007</v>
      </c>
      <c r="AS321">
        <v>87.653999999999996</v>
      </c>
    </row>
    <row r="322" spans="1:45" x14ac:dyDescent="0.25">
      <c r="A322">
        <v>37</v>
      </c>
      <c r="B322">
        <v>25</v>
      </c>
      <c r="C322">
        <v>1</v>
      </c>
      <c r="D322">
        <v>2019</v>
      </c>
      <c r="E322">
        <v>5</v>
      </c>
      <c r="F322" t="str">
        <f>IFERROR(VLOOKUP(G322, Map!$A$1:$B$33, 2, FALSE),"WAS")</f>
        <v>PHI</v>
      </c>
      <c r="G322" t="s">
        <v>147</v>
      </c>
      <c r="H322" t="str">
        <f>IFERROR(VLOOKUP(I322, Map!$A$1:$B$33, 2, FALSE),"WAS")</f>
        <v>NYJ</v>
      </c>
      <c r="I322" t="s">
        <v>166</v>
      </c>
      <c r="J322" t="s">
        <v>206</v>
      </c>
      <c r="K322" t="s">
        <v>172</v>
      </c>
      <c r="L322">
        <v>1</v>
      </c>
      <c r="M322">
        <v>0</v>
      </c>
      <c r="N322">
        <v>38</v>
      </c>
      <c r="O322">
        <v>-12.884615384615399</v>
      </c>
      <c r="P322">
        <v>-13.5</v>
      </c>
      <c r="Q322">
        <v>27.5</v>
      </c>
      <c r="R322">
        <v>17.5</v>
      </c>
      <c r="S322">
        <v>23.6</v>
      </c>
      <c r="T322">
        <v>11.4</v>
      </c>
      <c r="U322">
        <v>15.9</v>
      </c>
      <c r="V322">
        <v>0</v>
      </c>
      <c r="W322">
        <v>0</v>
      </c>
      <c r="X322">
        <v>0</v>
      </c>
      <c r="Y322">
        <v>0</v>
      </c>
      <c r="Z322">
        <v>27.3</v>
      </c>
      <c r="AA322">
        <v>51.8</v>
      </c>
      <c r="AB322">
        <v>167</v>
      </c>
      <c r="AC322">
        <v>66</v>
      </c>
      <c r="AD322">
        <v>26.8</v>
      </c>
      <c r="AE322">
        <v>13.9</v>
      </c>
      <c r="AF322">
        <v>76.590999999999994</v>
      </c>
      <c r="AG322">
        <v>37.46</v>
      </c>
      <c r="AH322">
        <v>23.222000000000001</v>
      </c>
      <c r="AI322">
        <v>99.951999999999998</v>
      </c>
      <c r="AJ322">
        <v>44.697000000000003</v>
      </c>
      <c r="AK322">
        <v>97.606999999999999</v>
      </c>
      <c r="AL322">
        <v>9.9939999999999998</v>
      </c>
      <c r="AM322">
        <v>23.222000000000001</v>
      </c>
      <c r="AN322">
        <v>37.46</v>
      </c>
      <c r="AO322">
        <v>76.590999999999994</v>
      </c>
      <c r="AP322">
        <v>-9.9939999999999998</v>
      </c>
      <c r="AQ322">
        <v>55.302999999999997</v>
      </c>
      <c r="AR322">
        <v>4.8000000000000001E-2</v>
      </c>
      <c r="AS322">
        <v>2.3929999999999998</v>
      </c>
    </row>
    <row r="323" spans="1:45" x14ac:dyDescent="0.25">
      <c r="A323">
        <v>32</v>
      </c>
      <c r="B323">
        <v>-6</v>
      </c>
      <c r="C323">
        <v>0</v>
      </c>
      <c r="D323">
        <v>2019</v>
      </c>
      <c r="E323">
        <v>5</v>
      </c>
      <c r="F323" t="str">
        <f>IFERROR(VLOOKUP(G323, Map!$A$1:$B$33, 2, FALSE),"WAS")</f>
        <v>KC</v>
      </c>
      <c r="G323" t="s">
        <v>158</v>
      </c>
      <c r="H323" t="str">
        <f>IFERROR(VLOOKUP(I323, Map!$A$1:$B$33, 2, FALSE),"WAS")</f>
        <v>IND</v>
      </c>
      <c r="I323" t="s">
        <v>138</v>
      </c>
      <c r="J323" t="s">
        <v>202</v>
      </c>
      <c r="K323" t="s">
        <v>177</v>
      </c>
      <c r="L323">
        <v>0</v>
      </c>
      <c r="M323">
        <v>0</v>
      </c>
      <c r="N323">
        <v>47.538461538461497</v>
      </c>
      <c r="O323">
        <v>-9.7692307692307701</v>
      </c>
      <c r="P323">
        <v>-10.5</v>
      </c>
      <c r="Q323">
        <v>35.5</v>
      </c>
      <c r="R323">
        <v>13.6</v>
      </c>
      <c r="S323">
        <v>20.7</v>
      </c>
      <c r="T323">
        <v>8.1999999999999993</v>
      </c>
      <c r="U323">
        <v>12.3</v>
      </c>
      <c r="V323">
        <v>0</v>
      </c>
      <c r="W323">
        <v>0</v>
      </c>
      <c r="X323">
        <v>0</v>
      </c>
      <c r="Y323">
        <v>0</v>
      </c>
      <c r="Z323">
        <v>8.8000000000000007</v>
      </c>
      <c r="AA323">
        <v>17.3</v>
      </c>
      <c r="AB323">
        <v>274</v>
      </c>
      <c r="AC323">
        <v>71</v>
      </c>
      <c r="AD323">
        <v>12.7</v>
      </c>
      <c r="AE323">
        <v>6</v>
      </c>
      <c r="AF323">
        <v>80.927000000000007</v>
      </c>
      <c r="AG323">
        <v>65.677000000000007</v>
      </c>
      <c r="AH323">
        <v>18.920999999999999</v>
      </c>
      <c r="AI323">
        <v>48.765000000000001</v>
      </c>
      <c r="AJ323">
        <v>25.24</v>
      </c>
      <c r="AK323">
        <v>30.928999999999998</v>
      </c>
      <c r="AL323">
        <v>12.045</v>
      </c>
      <c r="AM323">
        <v>18.920999999999999</v>
      </c>
      <c r="AN323">
        <v>65.677000000000007</v>
      </c>
      <c r="AO323">
        <v>80.927000000000007</v>
      </c>
      <c r="AP323">
        <v>-12.045</v>
      </c>
      <c r="AQ323">
        <v>74.760000000000005</v>
      </c>
      <c r="AR323">
        <v>51.234999999999999</v>
      </c>
      <c r="AS323">
        <v>69.070999999999998</v>
      </c>
    </row>
    <row r="324" spans="1:45" x14ac:dyDescent="0.25">
      <c r="A324">
        <v>59</v>
      </c>
      <c r="B324">
        <v>1</v>
      </c>
      <c r="C324">
        <v>1</v>
      </c>
      <c r="D324">
        <v>2019</v>
      </c>
      <c r="E324">
        <v>5</v>
      </c>
      <c r="F324" t="str">
        <f>IFERROR(VLOOKUP(G324, Map!$A$1:$B$33, 2, FALSE),"WAS")</f>
        <v>SEA</v>
      </c>
      <c r="G324" t="s">
        <v>144</v>
      </c>
      <c r="H324" t="str">
        <f>IFERROR(VLOOKUP(I324, Map!$A$1:$B$33, 2, FALSE),"WAS")</f>
        <v>LA</v>
      </c>
      <c r="I324" t="s">
        <v>155</v>
      </c>
      <c r="J324" t="s">
        <v>182</v>
      </c>
      <c r="K324" t="s">
        <v>178</v>
      </c>
      <c r="L324">
        <v>1</v>
      </c>
      <c r="M324">
        <v>0</v>
      </c>
      <c r="N324">
        <v>41.464285714285701</v>
      </c>
      <c r="O324">
        <v>-1.28571428571429</v>
      </c>
      <c r="P324">
        <v>-1.5</v>
      </c>
      <c r="Q324">
        <v>33.5</v>
      </c>
      <c r="R324">
        <v>11.3</v>
      </c>
      <c r="S324">
        <v>14.5</v>
      </c>
      <c r="T324">
        <v>9.4</v>
      </c>
      <c r="U324">
        <v>8.4</v>
      </c>
      <c r="V324">
        <v>2</v>
      </c>
      <c r="W324">
        <v>0</v>
      </c>
      <c r="X324">
        <v>15</v>
      </c>
      <c r="Y324">
        <v>2</v>
      </c>
      <c r="Z324">
        <v>30.2</v>
      </c>
      <c r="AA324">
        <v>56.2</v>
      </c>
      <c r="AB324">
        <v>184</v>
      </c>
      <c r="AC324">
        <v>83</v>
      </c>
      <c r="AD324">
        <v>32.5</v>
      </c>
      <c r="AE324">
        <v>16.899999999999999</v>
      </c>
      <c r="AF324">
        <v>50.01</v>
      </c>
      <c r="AG324">
        <v>72.733999999999995</v>
      </c>
      <c r="AH324">
        <v>49.591999999999999</v>
      </c>
      <c r="AI324">
        <v>27.719000000000001</v>
      </c>
      <c r="AJ324">
        <v>78.408000000000001</v>
      </c>
      <c r="AK324">
        <v>53.947000000000003</v>
      </c>
      <c r="AL324">
        <v>7.1999999999999995E-2</v>
      </c>
      <c r="AM324">
        <v>49.591999999999999</v>
      </c>
      <c r="AN324">
        <v>72.733999999999995</v>
      </c>
      <c r="AO324">
        <v>50.01</v>
      </c>
      <c r="AP324">
        <v>-7.1999999999999995E-2</v>
      </c>
      <c r="AQ324">
        <v>21.591999999999999</v>
      </c>
      <c r="AR324">
        <v>72.281000000000006</v>
      </c>
      <c r="AS324">
        <v>46.052999999999997</v>
      </c>
    </row>
    <row r="325" spans="1:45" x14ac:dyDescent="0.25">
      <c r="A325">
        <v>49</v>
      </c>
      <c r="B325">
        <v>-3</v>
      </c>
      <c r="C325">
        <v>0</v>
      </c>
      <c r="D325">
        <v>2019</v>
      </c>
      <c r="E325">
        <v>5</v>
      </c>
      <c r="F325" t="str">
        <f>IFERROR(VLOOKUP(G325, Map!$A$1:$B$33, 2, FALSE),"WAS")</f>
        <v>PIT</v>
      </c>
      <c r="G325" t="s">
        <v>145</v>
      </c>
      <c r="H325" t="str">
        <f>IFERROR(VLOOKUP(I325, Map!$A$1:$B$33, 2, FALSE),"WAS")</f>
        <v>BAL</v>
      </c>
      <c r="I325" t="s">
        <v>146</v>
      </c>
      <c r="J325" t="s">
        <v>170</v>
      </c>
      <c r="K325" t="s">
        <v>181</v>
      </c>
      <c r="L325">
        <v>0</v>
      </c>
      <c r="M325">
        <v>0</v>
      </c>
      <c r="N325">
        <v>40.384615384615401</v>
      </c>
      <c r="O325">
        <v>3.0769230769230802</v>
      </c>
      <c r="P325">
        <v>3</v>
      </c>
      <c r="Q325">
        <v>37.5</v>
      </c>
      <c r="R325">
        <v>17.600000000000001</v>
      </c>
      <c r="S325">
        <v>22.6</v>
      </c>
      <c r="T325">
        <v>13.5</v>
      </c>
      <c r="U325">
        <v>16.600000000000001</v>
      </c>
      <c r="V325">
        <v>0.2</v>
      </c>
      <c r="W325">
        <v>0</v>
      </c>
      <c r="X325">
        <v>1</v>
      </c>
      <c r="Y325">
        <v>0.2</v>
      </c>
      <c r="Z325">
        <v>18.399999999999999</v>
      </c>
      <c r="AA325">
        <v>38.9</v>
      </c>
      <c r="AB325">
        <v>176</v>
      </c>
      <c r="AC325">
        <v>71</v>
      </c>
      <c r="AD325">
        <v>28</v>
      </c>
      <c r="AE325">
        <v>12.8</v>
      </c>
      <c r="AF325">
        <v>44.418999999999997</v>
      </c>
      <c r="AG325">
        <v>66.308999999999997</v>
      </c>
      <c r="AH325">
        <v>55.223999999999997</v>
      </c>
      <c r="AI325">
        <v>69.343000000000004</v>
      </c>
      <c r="AJ325">
        <v>26.602</v>
      </c>
      <c r="AK325">
        <v>42.125999999999998</v>
      </c>
      <c r="AL325">
        <v>-1.863</v>
      </c>
      <c r="AM325">
        <v>55.223999999999997</v>
      </c>
      <c r="AN325">
        <v>66.308999999999997</v>
      </c>
      <c r="AO325">
        <v>44.418999999999997</v>
      </c>
      <c r="AP325">
        <v>1.863</v>
      </c>
      <c r="AQ325">
        <v>73.397999999999996</v>
      </c>
      <c r="AR325">
        <v>30.657</v>
      </c>
      <c r="AS325">
        <v>57.874000000000002</v>
      </c>
    </row>
    <row r="326" spans="1:45" x14ac:dyDescent="0.25">
      <c r="A326">
        <v>61</v>
      </c>
      <c r="B326">
        <v>7</v>
      </c>
      <c r="C326">
        <v>1</v>
      </c>
      <c r="D326">
        <v>2019</v>
      </c>
      <c r="E326">
        <v>5</v>
      </c>
      <c r="F326" t="str">
        <f>IFERROR(VLOOKUP(G326, Map!$A$1:$B$33, 2, FALSE),"WAS")</f>
        <v>CAR</v>
      </c>
      <c r="G326" t="s">
        <v>142</v>
      </c>
      <c r="H326" t="str">
        <f>IFERROR(VLOOKUP(I326, Map!$A$1:$B$33, 2, FALSE),"WAS")</f>
        <v>JAX</v>
      </c>
      <c r="I326" t="s">
        <v>139</v>
      </c>
      <c r="J326" t="s">
        <v>185</v>
      </c>
      <c r="K326" t="s">
        <v>220</v>
      </c>
      <c r="L326">
        <v>1</v>
      </c>
      <c r="M326">
        <v>0</v>
      </c>
      <c r="N326">
        <v>40.461538461538503</v>
      </c>
      <c r="O326">
        <v>-3.0384615384615401</v>
      </c>
      <c r="P326">
        <v>-3</v>
      </c>
      <c r="Q326">
        <v>40</v>
      </c>
      <c r="R326">
        <v>18.7</v>
      </c>
      <c r="S326">
        <v>25.2</v>
      </c>
      <c r="T326">
        <v>14.1</v>
      </c>
      <c r="U326">
        <v>18.600000000000001</v>
      </c>
      <c r="V326">
        <v>2.6</v>
      </c>
      <c r="W326">
        <v>0</v>
      </c>
      <c r="X326">
        <v>7</v>
      </c>
      <c r="Y326">
        <v>2.6</v>
      </c>
      <c r="Z326">
        <v>12.8</v>
      </c>
      <c r="AA326">
        <v>27.4</v>
      </c>
      <c r="AB326">
        <v>66</v>
      </c>
      <c r="AC326">
        <v>73</v>
      </c>
      <c r="AD326">
        <v>20.2</v>
      </c>
      <c r="AE326">
        <v>9.1999999999999993</v>
      </c>
      <c r="AF326">
        <v>57.805</v>
      </c>
      <c r="AG326">
        <v>9.6379999999999999</v>
      </c>
      <c r="AH326">
        <v>41.859000000000002</v>
      </c>
      <c r="AI326">
        <v>68.314999999999998</v>
      </c>
      <c r="AJ326">
        <v>87.739000000000004</v>
      </c>
      <c r="AK326">
        <v>75.317999999999998</v>
      </c>
      <c r="AL326">
        <v>2.76</v>
      </c>
      <c r="AM326">
        <v>41.859000000000002</v>
      </c>
      <c r="AN326">
        <v>9.6379999999999999</v>
      </c>
      <c r="AO326">
        <v>57.805</v>
      </c>
      <c r="AP326">
        <v>-2.76</v>
      </c>
      <c r="AQ326">
        <v>12.260999999999999</v>
      </c>
      <c r="AR326">
        <v>31.684999999999999</v>
      </c>
      <c r="AS326">
        <v>24.681999999999999</v>
      </c>
    </row>
    <row r="327" spans="1:45" x14ac:dyDescent="0.25">
      <c r="A327">
        <v>55</v>
      </c>
      <c r="B327">
        <v>7</v>
      </c>
      <c r="C327">
        <v>1</v>
      </c>
      <c r="D327">
        <v>2019</v>
      </c>
      <c r="E327">
        <v>5</v>
      </c>
      <c r="F327" t="str">
        <f>IFERROR(VLOOKUP(G327, Map!$A$1:$B$33, 2, FALSE),"WAS")</f>
        <v>NO</v>
      </c>
      <c r="G327" t="s">
        <v>168</v>
      </c>
      <c r="H327" t="str">
        <f>IFERROR(VLOOKUP(I327, Map!$A$1:$B$33, 2, FALSE),"WAS")</f>
        <v>TB</v>
      </c>
      <c r="I327" t="s">
        <v>141</v>
      </c>
      <c r="J327" t="s">
        <v>192</v>
      </c>
      <c r="K327" t="s">
        <v>186</v>
      </c>
      <c r="L327">
        <v>1</v>
      </c>
      <c r="M327">
        <v>0</v>
      </c>
      <c r="N327">
        <v>42.730769230769198</v>
      </c>
      <c r="O327">
        <v>-2.7307692307692299</v>
      </c>
      <c r="P327">
        <v>-2.5</v>
      </c>
      <c r="Q327">
        <v>41.5</v>
      </c>
      <c r="R327">
        <v>27.4</v>
      </c>
      <c r="S327">
        <v>31.2</v>
      </c>
      <c r="T327">
        <v>25</v>
      </c>
      <c r="U327">
        <v>30.7</v>
      </c>
      <c r="V327">
        <v>1.2</v>
      </c>
      <c r="W327">
        <v>0</v>
      </c>
      <c r="X327">
        <v>8</v>
      </c>
      <c r="Y327">
        <v>1.2</v>
      </c>
      <c r="Z327">
        <v>25.3</v>
      </c>
      <c r="AA327">
        <v>47.9</v>
      </c>
      <c r="AB327">
        <v>104</v>
      </c>
      <c r="AC327">
        <v>75</v>
      </c>
      <c r="AD327">
        <v>25.7</v>
      </c>
      <c r="AE327">
        <v>12.8</v>
      </c>
      <c r="AF327">
        <v>59.33</v>
      </c>
      <c r="AG327">
        <v>71.988</v>
      </c>
      <c r="AH327">
        <v>40.345999999999997</v>
      </c>
      <c r="AI327">
        <v>51.581000000000003</v>
      </c>
      <c r="AJ327">
        <v>87.192999999999998</v>
      </c>
      <c r="AK327">
        <v>79.363</v>
      </c>
      <c r="AL327">
        <v>3.2949999999999999</v>
      </c>
      <c r="AM327">
        <v>40.345999999999997</v>
      </c>
      <c r="AN327">
        <v>71.988</v>
      </c>
      <c r="AO327">
        <v>59.33</v>
      </c>
      <c r="AP327">
        <v>-3.2949999999999999</v>
      </c>
      <c r="AQ327">
        <v>12.807</v>
      </c>
      <c r="AR327">
        <v>48.418999999999997</v>
      </c>
      <c r="AS327">
        <v>20.637</v>
      </c>
    </row>
    <row r="328" spans="1:45" x14ac:dyDescent="0.25">
      <c r="A328">
        <v>33</v>
      </c>
      <c r="B328">
        <v>-7</v>
      </c>
      <c r="C328">
        <v>0</v>
      </c>
      <c r="D328">
        <v>2019</v>
      </c>
      <c r="E328">
        <v>5</v>
      </c>
      <c r="F328" t="str">
        <f>IFERROR(VLOOKUP(G328, Map!$A$1:$B$33, 2, FALSE),"WAS")</f>
        <v>LAC</v>
      </c>
      <c r="G328" t="s">
        <v>160</v>
      </c>
      <c r="H328" t="str">
        <f>IFERROR(VLOOKUP(I328, Map!$A$1:$B$33, 2, FALSE),"WAS")</f>
        <v>DEN</v>
      </c>
      <c r="I328" t="s">
        <v>159</v>
      </c>
      <c r="J328" t="s">
        <v>210</v>
      </c>
      <c r="K328" t="s">
        <v>183</v>
      </c>
      <c r="L328">
        <v>0</v>
      </c>
      <c r="M328">
        <v>0</v>
      </c>
      <c r="N328">
        <v>39.076923076923102</v>
      </c>
      <c r="O328">
        <v>-4.1153846153846203</v>
      </c>
      <c r="P328">
        <v>-4</v>
      </c>
      <c r="Q328">
        <v>26.5</v>
      </c>
      <c r="R328">
        <v>19.399999999999999</v>
      </c>
      <c r="S328">
        <v>29.8</v>
      </c>
      <c r="T328">
        <v>13</v>
      </c>
      <c r="U328">
        <v>19.8</v>
      </c>
      <c r="V328">
        <v>0</v>
      </c>
      <c r="W328">
        <v>0</v>
      </c>
      <c r="X328">
        <v>0</v>
      </c>
      <c r="Y328">
        <v>0</v>
      </c>
      <c r="Z328">
        <v>17.3</v>
      </c>
      <c r="AA328">
        <v>32.4</v>
      </c>
      <c r="AB328">
        <v>271</v>
      </c>
      <c r="AC328">
        <v>74</v>
      </c>
      <c r="AD328">
        <v>14.6</v>
      </c>
      <c r="AE328">
        <v>6.9</v>
      </c>
      <c r="AF328">
        <v>65.128</v>
      </c>
      <c r="AG328">
        <v>45.85</v>
      </c>
      <c r="AH328">
        <v>34.594000000000001</v>
      </c>
      <c r="AI328">
        <v>36.539000000000001</v>
      </c>
      <c r="AJ328">
        <v>7.7</v>
      </c>
      <c r="AK328">
        <v>13.491</v>
      </c>
      <c r="AL328">
        <v>5.3849999999999998</v>
      </c>
      <c r="AM328">
        <v>34.594000000000001</v>
      </c>
      <c r="AN328">
        <v>45.85</v>
      </c>
      <c r="AO328">
        <v>65.128</v>
      </c>
      <c r="AP328">
        <v>-5.3849999999999998</v>
      </c>
      <c r="AQ328">
        <v>92.3</v>
      </c>
      <c r="AR328">
        <v>63.460999999999999</v>
      </c>
      <c r="AS328">
        <v>86.509</v>
      </c>
    </row>
    <row r="329" spans="1:45" x14ac:dyDescent="0.25">
      <c r="A329">
        <v>45</v>
      </c>
      <c r="B329">
        <v>3</v>
      </c>
      <c r="C329">
        <v>1</v>
      </c>
      <c r="D329">
        <v>2019</v>
      </c>
      <c r="E329">
        <v>5</v>
      </c>
      <c r="F329" t="str">
        <f>IFERROR(VLOOKUP(G329, Map!$A$1:$B$33, 2, FALSE),"WAS")</f>
        <v>LV</v>
      </c>
      <c r="G329" t="s">
        <v>157</v>
      </c>
      <c r="H329" t="str">
        <f>IFERROR(VLOOKUP(I329, Map!$A$1:$B$33, 2, FALSE),"WAS")</f>
        <v>CHI</v>
      </c>
      <c r="I329" t="s">
        <v>163</v>
      </c>
      <c r="J329" t="s">
        <v>179</v>
      </c>
      <c r="K329" t="s">
        <v>216</v>
      </c>
      <c r="L329">
        <v>1</v>
      </c>
      <c r="M329">
        <v>0</v>
      </c>
      <c r="N329">
        <v>36.346153846153797</v>
      </c>
      <c r="O329">
        <v>5.8461538461538503</v>
      </c>
      <c r="P329">
        <v>4.5</v>
      </c>
      <c r="Q329">
        <v>24.5</v>
      </c>
      <c r="R329">
        <v>13.7</v>
      </c>
      <c r="S329">
        <v>16.2</v>
      </c>
      <c r="T329">
        <v>11.9</v>
      </c>
      <c r="U329">
        <v>10.9</v>
      </c>
      <c r="V329">
        <v>12.1</v>
      </c>
      <c r="W329">
        <v>0</v>
      </c>
      <c r="X329">
        <v>11</v>
      </c>
      <c r="Y329">
        <v>12.1</v>
      </c>
      <c r="Z329">
        <v>28.4</v>
      </c>
      <c r="AA329">
        <v>54.4</v>
      </c>
      <c r="AB329">
        <v>292</v>
      </c>
      <c r="AC329">
        <v>80</v>
      </c>
      <c r="AD329">
        <v>35</v>
      </c>
      <c r="AE329">
        <v>19.600000000000001</v>
      </c>
      <c r="AF329">
        <v>41.207999999999998</v>
      </c>
      <c r="AG329">
        <v>21.928000000000001</v>
      </c>
      <c r="AH329">
        <v>58.460999999999999</v>
      </c>
      <c r="AI329">
        <v>50.384999999999998</v>
      </c>
      <c r="AJ329">
        <v>60.970999999999997</v>
      </c>
      <c r="AK329">
        <v>59.735999999999997</v>
      </c>
      <c r="AL329">
        <v>-2.99</v>
      </c>
      <c r="AM329">
        <v>58.460999999999999</v>
      </c>
      <c r="AN329">
        <v>21.928000000000001</v>
      </c>
      <c r="AO329">
        <v>41.207999999999998</v>
      </c>
      <c r="AP329">
        <v>2.99</v>
      </c>
      <c r="AQ329">
        <v>39.029000000000003</v>
      </c>
      <c r="AR329">
        <v>49.615000000000002</v>
      </c>
      <c r="AS329">
        <v>40.264000000000003</v>
      </c>
    </row>
    <row r="330" spans="1:45" x14ac:dyDescent="0.25">
      <c r="A330">
        <v>58</v>
      </c>
      <c r="B330">
        <v>-10</v>
      </c>
      <c r="C330">
        <v>0</v>
      </c>
      <c r="D330">
        <v>2019</v>
      </c>
      <c r="E330">
        <v>5</v>
      </c>
      <c r="F330" t="str">
        <f>IFERROR(VLOOKUP(G330, Map!$A$1:$B$33, 2, FALSE),"WAS")</f>
        <v>DAL</v>
      </c>
      <c r="G330" t="s">
        <v>150</v>
      </c>
      <c r="H330" t="str">
        <f>IFERROR(VLOOKUP(I330, Map!$A$1:$B$33, 2, FALSE),"WAS")</f>
        <v>GB</v>
      </c>
      <c r="I330" t="s">
        <v>154</v>
      </c>
      <c r="J330" t="s">
        <v>184</v>
      </c>
      <c r="K330" t="s">
        <v>200</v>
      </c>
      <c r="L330">
        <v>0</v>
      </c>
      <c r="M330">
        <v>0</v>
      </c>
      <c r="N330">
        <v>39.75</v>
      </c>
      <c r="O330">
        <v>-2.96428571428571</v>
      </c>
      <c r="P330">
        <v>-3</v>
      </c>
      <c r="Q330">
        <v>27.5</v>
      </c>
      <c r="R330">
        <v>29.8</v>
      </c>
      <c r="S330">
        <v>34.9</v>
      </c>
      <c r="T330">
        <v>24.8</v>
      </c>
      <c r="U330">
        <v>30.5</v>
      </c>
      <c r="V330">
        <v>0.4</v>
      </c>
      <c r="W330">
        <v>0</v>
      </c>
      <c r="X330">
        <v>3</v>
      </c>
      <c r="Y330">
        <v>0.4</v>
      </c>
      <c r="Z330">
        <v>20.9</v>
      </c>
      <c r="AA330">
        <v>35.299999999999997</v>
      </c>
      <c r="AB330">
        <v>175</v>
      </c>
      <c r="AC330">
        <v>49</v>
      </c>
      <c r="AD330">
        <v>25.7</v>
      </c>
      <c r="AE330">
        <v>13.4</v>
      </c>
      <c r="AF330">
        <v>60.430999999999997</v>
      </c>
      <c r="AG330">
        <v>78.525000000000006</v>
      </c>
      <c r="AH330">
        <v>39.253999999999998</v>
      </c>
      <c r="AI330">
        <v>18.222999999999999</v>
      </c>
      <c r="AJ330">
        <v>29.97</v>
      </c>
      <c r="AK330">
        <v>11.016</v>
      </c>
      <c r="AL330">
        <v>3.6850000000000001</v>
      </c>
      <c r="AM330">
        <v>39.253999999999998</v>
      </c>
      <c r="AN330">
        <v>78.525000000000006</v>
      </c>
      <c r="AO330">
        <v>60.430999999999997</v>
      </c>
      <c r="AP330">
        <v>-3.6850000000000001</v>
      </c>
      <c r="AQ330">
        <v>70.03</v>
      </c>
      <c r="AR330">
        <v>81.777000000000001</v>
      </c>
      <c r="AS330">
        <v>88.983999999999995</v>
      </c>
    </row>
    <row r="331" spans="1:45" x14ac:dyDescent="0.25">
      <c r="A331">
        <v>21</v>
      </c>
      <c r="B331">
        <v>-7</v>
      </c>
      <c r="C331">
        <v>0</v>
      </c>
      <c r="D331">
        <v>2019</v>
      </c>
      <c r="E331">
        <v>5</v>
      </c>
      <c r="F331" t="str">
        <f>IFERROR(VLOOKUP(G331, Map!$A$1:$B$33, 2, FALSE),"WAS")</f>
        <v>TEN</v>
      </c>
      <c r="G331" t="s">
        <v>140</v>
      </c>
      <c r="H331" t="str">
        <f>IFERROR(VLOOKUP(I331, Map!$A$1:$B$33, 2, FALSE),"WAS")</f>
        <v>BUF</v>
      </c>
      <c r="I331" t="s">
        <v>165</v>
      </c>
      <c r="J331" t="s">
        <v>174</v>
      </c>
      <c r="K331" t="s">
        <v>180</v>
      </c>
      <c r="L331">
        <v>0</v>
      </c>
      <c r="M331">
        <v>0</v>
      </c>
      <c r="N331">
        <v>32.769230769230802</v>
      </c>
      <c r="O331">
        <v>-3.0384615384615401</v>
      </c>
      <c r="P331">
        <v>-3</v>
      </c>
      <c r="Q331">
        <v>14.5</v>
      </c>
      <c r="R331">
        <v>23.7</v>
      </c>
      <c r="S331">
        <v>27.4</v>
      </c>
      <c r="T331">
        <v>20.8</v>
      </c>
      <c r="U331">
        <v>25.3</v>
      </c>
      <c r="V331">
        <v>8.8000000000000007</v>
      </c>
      <c r="W331">
        <v>0</v>
      </c>
      <c r="X331">
        <v>12</v>
      </c>
      <c r="Y331">
        <v>8.8000000000000007</v>
      </c>
      <c r="Z331">
        <v>22.5</v>
      </c>
      <c r="AA331">
        <v>41.4</v>
      </c>
      <c r="AB331">
        <v>179</v>
      </c>
      <c r="AC331">
        <v>75</v>
      </c>
      <c r="AD331">
        <v>25.9</v>
      </c>
      <c r="AE331">
        <v>12.4</v>
      </c>
      <c r="AF331">
        <v>73.231999999999999</v>
      </c>
      <c r="AG331">
        <v>59.801000000000002</v>
      </c>
      <c r="AH331">
        <v>26.555</v>
      </c>
      <c r="AI331">
        <v>70</v>
      </c>
      <c r="AJ331">
        <v>31.504999999999999</v>
      </c>
      <c r="AK331">
        <v>30.960999999999999</v>
      </c>
      <c r="AL331">
        <v>8.548</v>
      </c>
      <c r="AM331">
        <v>26.555</v>
      </c>
      <c r="AN331">
        <v>59.801000000000002</v>
      </c>
      <c r="AO331">
        <v>73.231999999999999</v>
      </c>
      <c r="AP331">
        <v>-8.548</v>
      </c>
      <c r="AQ331">
        <v>68.495000000000005</v>
      </c>
      <c r="AR331">
        <v>30</v>
      </c>
      <c r="AS331">
        <v>69.039000000000001</v>
      </c>
    </row>
    <row r="332" spans="1:45" x14ac:dyDescent="0.25">
      <c r="A332">
        <v>34</v>
      </c>
      <c r="B332">
        <v>28</v>
      </c>
      <c r="C332">
        <v>1</v>
      </c>
      <c r="D332">
        <v>2019</v>
      </c>
      <c r="E332">
        <v>5</v>
      </c>
      <c r="F332" t="str">
        <f>IFERROR(VLOOKUP(G332, Map!$A$1:$B$33, 2, FALSE),"WAS")</f>
        <v>SF</v>
      </c>
      <c r="G332" t="s">
        <v>143</v>
      </c>
      <c r="H332" t="str">
        <f>IFERROR(VLOOKUP(I332, Map!$A$1:$B$33, 2, FALSE),"WAS")</f>
        <v>CLE</v>
      </c>
      <c r="I332" t="s">
        <v>162</v>
      </c>
      <c r="J332" t="s">
        <v>197</v>
      </c>
      <c r="K332" t="s">
        <v>171</v>
      </c>
      <c r="L332">
        <v>1</v>
      </c>
      <c r="M332">
        <v>0</v>
      </c>
      <c r="N332">
        <v>42.576923076923102</v>
      </c>
      <c r="O332">
        <v>-4.3846153846153904</v>
      </c>
      <c r="P332">
        <v>-4.5</v>
      </c>
      <c r="Q332">
        <v>34.5</v>
      </c>
      <c r="R332">
        <v>21.6</v>
      </c>
      <c r="S332">
        <v>30.8</v>
      </c>
      <c r="T332">
        <v>16.600000000000001</v>
      </c>
      <c r="U332">
        <v>19.899999999999999</v>
      </c>
      <c r="V332">
        <v>0</v>
      </c>
      <c r="W332">
        <v>0</v>
      </c>
      <c r="X332">
        <v>0</v>
      </c>
      <c r="Y332">
        <v>0</v>
      </c>
      <c r="Z332">
        <v>15.8</v>
      </c>
      <c r="AA332">
        <v>30.2</v>
      </c>
      <c r="AB332">
        <v>328</v>
      </c>
      <c r="AC332">
        <v>40</v>
      </c>
      <c r="AD332">
        <v>13.7</v>
      </c>
      <c r="AE332">
        <v>6.7</v>
      </c>
      <c r="AF332">
        <v>72.945999999999998</v>
      </c>
      <c r="AG332">
        <v>52.084000000000003</v>
      </c>
      <c r="AH332">
        <v>26.838999999999999</v>
      </c>
      <c r="AI332">
        <v>99.492999999999995</v>
      </c>
      <c r="AJ332">
        <v>93.36</v>
      </c>
      <c r="AK332">
        <v>98.484999999999999</v>
      </c>
      <c r="AL332">
        <v>8.4290000000000003</v>
      </c>
      <c r="AM332">
        <v>26.838999999999999</v>
      </c>
      <c r="AN332">
        <v>52.084000000000003</v>
      </c>
      <c r="AO332">
        <v>72.945999999999998</v>
      </c>
      <c r="AP332">
        <v>-8.4290000000000003</v>
      </c>
      <c r="AQ332">
        <v>6.64</v>
      </c>
      <c r="AR332">
        <v>0.50700000000000001</v>
      </c>
      <c r="AS332">
        <v>1.5149999999999999</v>
      </c>
    </row>
    <row r="333" spans="1:45" x14ac:dyDescent="0.25">
      <c r="A333">
        <v>49</v>
      </c>
      <c r="B333">
        <v>-3</v>
      </c>
      <c r="C333">
        <v>0</v>
      </c>
      <c r="D333">
        <v>2019</v>
      </c>
      <c r="E333">
        <v>5</v>
      </c>
      <c r="F333" t="str">
        <f>IFERROR(VLOOKUP(G333, Map!$A$1:$B$33, 2, FALSE),"WAS")</f>
        <v>CIN</v>
      </c>
      <c r="G333" t="s">
        <v>161</v>
      </c>
      <c r="H333" t="str">
        <f>IFERROR(VLOOKUP(I333, Map!$A$1:$B$33, 2, FALSE),"WAS")</f>
        <v>ARI</v>
      </c>
      <c r="I333" t="s">
        <v>156</v>
      </c>
      <c r="J333" t="s">
        <v>176</v>
      </c>
      <c r="K333" t="s">
        <v>190</v>
      </c>
      <c r="L333">
        <v>0</v>
      </c>
      <c r="M333">
        <v>0</v>
      </c>
      <c r="N333">
        <v>41.076923076923102</v>
      </c>
      <c r="O333">
        <v>-2.8076923076923102</v>
      </c>
      <c r="P333">
        <v>-3</v>
      </c>
      <c r="Q333">
        <v>29.5</v>
      </c>
      <c r="R333">
        <v>21.2</v>
      </c>
      <c r="S333">
        <v>26.5</v>
      </c>
      <c r="T333">
        <v>18.8</v>
      </c>
      <c r="U333">
        <v>21.3</v>
      </c>
      <c r="V333">
        <v>2.5</v>
      </c>
      <c r="W333">
        <v>0</v>
      </c>
      <c r="X333">
        <v>10</v>
      </c>
      <c r="Y333">
        <v>2.5</v>
      </c>
      <c r="Z333">
        <v>14.1</v>
      </c>
      <c r="AA333">
        <v>46.8</v>
      </c>
      <c r="AB333">
        <v>214</v>
      </c>
      <c r="AC333">
        <v>66</v>
      </c>
      <c r="AD333">
        <v>24.5</v>
      </c>
      <c r="AE333">
        <v>9.9</v>
      </c>
      <c r="AF333">
        <v>56.082999999999998</v>
      </c>
      <c r="AG333">
        <v>9.8640000000000008</v>
      </c>
      <c r="AH333">
        <v>43.567</v>
      </c>
      <c r="AI333">
        <v>22.503</v>
      </c>
      <c r="AJ333">
        <v>52.435000000000002</v>
      </c>
      <c r="AK333">
        <v>38.118000000000002</v>
      </c>
      <c r="AL333">
        <v>2.161</v>
      </c>
      <c r="AM333">
        <v>43.567</v>
      </c>
      <c r="AN333">
        <v>9.8640000000000008</v>
      </c>
      <c r="AO333">
        <v>56.082999999999998</v>
      </c>
      <c r="AP333">
        <v>-2.161</v>
      </c>
      <c r="AQ333">
        <v>47.564999999999998</v>
      </c>
      <c r="AR333">
        <v>77.497</v>
      </c>
      <c r="AS333">
        <v>61.881999999999998</v>
      </c>
    </row>
    <row r="334" spans="1:45" x14ac:dyDescent="0.25">
      <c r="A334">
        <v>40</v>
      </c>
      <c r="B334">
        <v>-26</v>
      </c>
      <c r="C334">
        <v>0</v>
      </c>
      <c r="D334">
        <v>2019</v>
      </c>
      <c r="E334">
        <v>5</v>
      </c>
      <c r="F334" t="str">
        <f>IFERROR(VLOOKUP(G334, Map!$A$1:$B$33, 2, FALSE),"WAS")</f>
        <v>WAS</v>
      </c>
      <c r="G334" t="s">
        <v>169</v>
      </c>
      <c r="H334" t="str">
        <f>IFERROR(VLOOKUP(I334, Map!$A$1:$B$33, 2, FALSE),"WAS")</f>
        <v>NE</v>
      </c>
      <c r="I334" t="s">
        <v>151</v>
      </c>
      <c r="J334" t="s">
        <v>205</v>
      </c>
      <c r="K334" t="s">
        <v>187</v>
      </c>
      <c r="L334">
        <v>0</v>
      </c>
      <c r="M334">
        <v>0</v>
      </c>
      <c r="N334">
        <v>37.653846153846203</v>
      </c>
      <c r="O334">
        <v>15.038461538461499</v>
      </c>
      <c r="P334">
        <v>15</v>
      </c>
      <c r="Q334">
        <v>28.5</v>
      </c>
      <c r="R334">
        <v>19</v>
      </c>
      <c r="S334">
        <v>23.9</v>
      </c>
      <c r="T334">
        <v>15.6</v>
      </c>
      <c r="U334">
        <v>18.5</v>
      </c>
      <c r="V334">
        <v>2.5</v>
      </c>
      <c r="W334">
        <v>0</v>
      </c>
      <c r="X334">
        <v>8</v>
      </c>
      <c r="Y334">
        <v>2.5</v>
      </c>
      <c r="Z334">
        <v>24.7</v>
      </c>
      <c r="AA334">
        <v>47.9</v>
      </c>
      <c r="AB334">
        <v>171</v>
      </c>
      <c r="AC334">
        <v>72</v>
      </c>
      <c r="AD334">
        <v>25</v>
      </c>
      <c r="AE334">
        <v>11.9</v>
      </c>
      <c r="AF334">
        <v>13.228999999999999</v>
      </c>
      <c r="AG334">
        <v>43.765999999999998</v>
      </c>
      <c r="AH334">
        <v>86.665000000000006</v>
      </c>
      <c r="AI334">
        <v>39.572000000000003</v>
      </c>
      <c r="AJ334">
        <v>2.7490000000000001</v>
      </c>
      <c r="AK334">
        <v>13.361000000000001</v>
      </c>
      <c r="AL334">
        <v>-15.27</v>
      </c>
      <c r="AM334">
        <v>86.665000000000006</v>
      </c>
      <c r="AN334">
        <v>43.765999999999998</v>
      </c>
      <c r="AO334">
        <v>13.228999999999999</v>
      </c>
      <c r="AP334">
        <v>15.27</v>
      </c>
      <c r="AQ334">
        <v>97.251000000000005</v>
      </c>
      <c r="AR334">
        <v>60.427999999999997</v>
      </c>
      <c r="AS334">
        <v>86.638999999999996</v>
      </c>
    </row>
    <row r="335" spans="1:45" x14ac:dyDescent="0.25">
      <c r="A335">
        <v>85</v>
      </c>
      <c r="B335">
        <v>21</v>
      </c>
      <c r="C335">
        <v>1</v>
      </c>
      <c r="D335">
        <v>2019</v>
      </c>
      <c r="E335">
        <v>5</v>
      </c>
      <c r="F335" t="str">
        <f>IFERROR(VLOOKUP(G335, Map!$A$1:$B$33, 2, FALSE),"WAS")</f>
        <v>HOU</v>
      </c>
      <c r="G335" t="s">
        <v>137</v>
      </c>
      <c r="H335" t="str">
        <f>IFERROR(VLOOKUP(I335, Map!$A$1:$B$33, 2, FALSE),"WAS")</f>
        <v>ATL</v>
      </c>
      <c r="I335" t="s">
        <v>167</v>
      </c>
      <c r="J335" t="s">
        <v>209</v>
      </c>
      <c r="K335" t="s">
        <v>188</v>
      </c>
      <c r="L335">
        <v>1</v>
      </c>
      <c r="M335">
        <v>0</v>
      </c>
      <c r="N335">
        <v>47.884615384615401</v>
      </c>
      <c r="O335">
        <v>-3.8076923076923102</v>
      </c>
      <c r="P335">
        <v>-4</v>
      </c>
      <c r="Q335">
        <v>47.5</v>
      </c>
      <c r="R335">
        <v>26.3</v>
      </c>
      <c r="S335">
        <v>29.8</v>
      </c>
      <c r="T335">
        <v>22.4</v>
      </c>
      <c r="U335">
        <v>31.1</v>
      </c>
      <c r="V335">
        <v>1.6</v>
      </c>
      <c r="W335">
        <v>0</v>
      </c>
      <c r="X335">
        <v>7</v>
      </c>
      <c r="Y335">
        <v>1.6</v>
      </c>
      <c r="Z335">
        <v>15.8</v>
      </c>
      <c r="AA335">
        <v>30.2</v>
      </c>
      <c r="AB335">
        <v>120</v>
      </c>
      <c r="AC335">
        <v>88</v>
      </c>
      <c r="AD335">
        <v>16.600000000000001</v>
      </c>
      <c r="AE335">
        <v>8.6999999999999993</v>
      </c>
      <c r="AF335">
        <v>64.057000000000002</v>
      </c>
      <c r="AG335">
        <v>62.433</v>
      </c>
      <c r="AH335">
        <v>35.655999999999999</v>
      </c>
      <c r="AI335">
        <v>32.427999999999997</v>
      </c>
      <c r="AJ335">
        <v>98.253</v>
      </c>
      <c r="AK335">
        <v>84.284999999999997</v>
      </c>
      <c r="AL335">
        <v>4.9909999999999997</v>
      </c>
      <c r="AM335">
        <v>35.655999999999999</v>
      </c>
      <c r="AN335">
        <v>62.433</v>
      </c>
      <c r="AO335">
        <v>64.057000000000002</v>
      </c>
      <c r="AP335">
        <v>-4.9909999999999997</v>
      </c>
      <c r="AQ335">
        <v>1.7470000000000001</v>
      </c>
      <c r="AR335">
        <v>67.572000000000003</v>
      </c>
      <c r="AS335">
        <v>15.715</v>
      </c>
    </row>
    <row r="336" spans="1:45" x14ac:dyDescent="0.25">
      <c r="A336">
        <v>55</v>
      </c>
      <c r="B336">
        <v>-7</v>
      </c>
      <c r="C336">
        <v>0</v>
      </c>
      <c r="D336">
        <v>2019</v>
      </c>
      <c r="E336">
        <v>6</v>
      </c>
      <c r="F336" t="str">
        <f>IFERROR(VLOOKUP(G336, Map!$A$1:$B$33, 2, FALSE),"WAS")</f>
        <v>KC</v>
      </c>
      <c r="G336" t="s">
        <v>158</v>
      </c>
      <c r="H336" t="str">
        <f>IFERROR(VLOOKUP(I336, Map!$A$1:$B$33, 2, FALSE),"WAS")</f>
        <v>HOU</v>
      </c>
      <c r="I336" t="s">
        <v>137</v>
      </c>
      <c r="J336" t="s">
        <v>202</v>
      </c>
      <c r="K336" t="s">
        <v>209</v>
      </c>
      <c r="L336">
        <v>0</v>
      </c>
      <c r="M336">
        <v>0</v>
      </c>
      <c r="N336">
        <v>50.384615384615401</v>
      </c>
      <c r="O336">
        <v>-3.3076923076923102</v>
      </c>
      <c r="P336">
        <v>-3.5</v>
      </c>
      <c r="Q336">
        <v>51.5</v>
      </c>
      <c r="R336">
        <v>11.5</v>
      </c>
      <c r="S336">
        <v>16.399999999999999</v>
      </c>
      <c r="T336">
        <v>5</v>
      </c>
      <c r="U336">
        <v>8.1999999999999993</v>
      </c>
      <c r="V336">
        <v>0</v>
      </c>
      <c r="W336">
        <v>0</v>
      </c>
      <c r="X336">
        <v>0</v>
      </c>
      <c r="Y336">
        <v>0</v>
      </c>
      <c r="Z336">
        <v>23.1</v>
      </c>
      <c r="AA336">
        <v>42.5</v>
      </c>
      <c r="AB336">
        <v>242</v>
      </c>
      <c r="AC336">
        <v>52</v>
      </c>
      <c r="AD336">
        <v>23.5</v>
      </c>
      <c r="AE336">
        <v>10.8</v>
      </c>
      <c r="AF336">
        <v>66.747</v>
      </c>
      <c r="AG336">
        <v>73.942999999999998</v>
      </c>
      <c r="AH336">
        <v>32.988</v>
      </c>
      <c r="AI336">
        <v>18.43</v>
      </c>
      <c r="AJ336">
        <v>72.421999999999997</v>
      </c>
      <c r="AK336">
        <v>33.436</v>
      </c>
      <c r="AL336">
        <v>5.9589999999999996</v>
      </c>
      <c r="AM336">
        <v>32.988</v>
      </c>
      <c r="AN336">
        <v>73.942999999999998</v>
      </c>
      <c r="AO336">
        <v>66.747</v>
      </c>
      <c r="AP336">
        <v>-5.9589999999999996</v>
      </c>
      <c r="AQ336">
        <v>27.577999999999999</v>
      </c>
      <c r="AR336">
        <v>81.569999999999993</v>
      </c>
      <c r="AS336">
        <v>66.563999999999993</v>
      </c>
    </row>
    <row r="337" spans="1:45" x14ac:dyDescent="0.25">
      <c r="A337">
        <v>27</v>
      </c>
      <c r="B337">
        <v>-13</v>
      </c>
      <c r="C337">
        <v>0</v>
      </c>
      <c r="D337">
        <v>2019</v>
      </c>
      <c r="E337">
        <v>6</v>
      </c>
      <c r="F337" t="str">
        <f>IFERROR(VLOOKUP(G337, Map!$A$1:$B$33, 2, FALSE),"WAS")</f>
        <v>LA</v>
      </c>
      <c r="G337" t="s">
        <v>155</v>
      </c>
      <c r="H337" t="str">
        <f>IFERROR(VLOOKUP(I337, Map!$A$1:$B$33, 2, FALSE),"WAS")</f>
        <v>SF</v>
      </c>
      <c r="I337" t="s">
        <v>143</v>
      </c>
      <c r="J337" t="s">
        <v>178</v>
      </c>
      <c r="K337" t="s">
        <v>197</v>
      </c>
      <c r="L337">
        <v>0</v>
      </c>
      <c r="M337">
        <v>0</v>
      </c>
      <c r="N337">
        <v>43.428571428571402</v>
      </c>
      <c r="O337">
        <v>-2.96428571428571</v>
      </c>
      <c r="P337">
        <v>-2.5</v>
      </c>
      <c r="Q337">
        <v>24.5</v>
      </c>
      <c r="R337">
        <v>18.7</v>
      </c>
      <c r="S337">
        <v>25.2</v>
      </c>
      <c r="T337">
        <v>13.1</v>
      </c>
      <c r="U337">
        <v>17.8</v>
      </c>
      <c r="V337">
        <v>0</v>
      </c>
      <c r="W337">
        <v>0</v>
      </c>
      <c r="X337">
        <v>0</v>
      </c>
      <c r="Y337">
        <v>0</v>
      </c>
      <c r="Z337">
        <v>17.3</v>
      </c>
      <c r="AA337">
        <v>33.799999999999997</v>
      </c>
      <c r="AB337">
        <v>215</v>
      </c>
      <c r="AC337">
        <v>58</v>
      </c>
      <c r="AD337">
        <v>14.4</v>
      </c>
      <c r="AE337">
        <v>6.5</v>
      </c>
      <c r="AF337">
        <v>56.197000000000003</v>
      </c>
      <c r="AG337">
        <v>87.787000000000006</v>
      </c>
      <c r="AH337">
        <v>43.454000000000001</v>
      </c>
      <c r="AI337">
        <v>53.65</v>
      </c>
      <c r="AJ337">
        <v>0.76600000000000001</v>
      </c>
      <c r="AK337">
        <v>16.64</v>
      </c>
      <c r="AL337">
        <v>2.1890000000000001</v>
      </c>
      <c r="AM337">
        <v>43.454000000000001</v>
      </c>
      <c r="AN337">
        <v>87.787000000000006</v>
      </c>
      <c r="AO337">
        <v>56.197000000000003</v>
      </c>
      <c r="AP337">
        <v>-2.1890000000000001</v>
      </c>
      <c r="AQ337">
        <v>99.233999999999995</v>
      </c>
      <c r="AR337">
        <v>46.35</v>
      </c>
      <c r="AS337">
        <v>83.36</v>
      </c>
    </row>
    <row r="338" spans="1:45" x14ac:dyDescent="0.25">
      <c r="A338">
        <v>58</v>
      </c>
      <c r="B338">
        <v>18</v>
      </c>
      <c r="C338">
        <v>1</v>
      </c>
      <c r="D338">
        <v>2019</v>
      </c>
      <c r="E338">
        <v>6</v>
      </c>
      <c r="F338" t="str">
        <f>IFERROR(VLOOKUP(G338, Map!$A$1:$B$33, 2, FALSE),"WAS")</f>
        <v>MIN</v>
      </c>
      <c r="G338" t="s">
        <v>153</v>
      </c>
      <c r="H338" t="str">
        <f>IFERROR(VLOOKUP(I338, Map!$A$1:$B$33, 2, FALSE),"WAS")</f>
        <v>PHI</v>
      </c>
      <c r="I338" t="s">
        <v>147</v>
      </c>
      <c r="J338" t="s">
        <v>214</v>
      </c>
      <c r="K338" t="s">
        <v>206</v>
      </c>
      <c r="L338">
        <v>1</v>
      </c>
      <c r="M338">
        <v>0</v>
      </c>
      <c r="N338">
        <v>42.192307692307701</v>
      </c>
      <c r="O338">
        <v>-3.2307692307692299</v>
      </c>
      <c r="P338">
        <v>-3.5</v>
      </c>
      <c r="Q338">
        <v>43.5</v>
      </c>
      <c r="R338">
        <v>3.3</v>
      </c>
      <c r="S338">
        <v>5.9</v>
      </c>
      <c r="T338">
        <v>1.7</v>
      </c>
      <c r="U338">
        <v>-1.5</v>
      </c>
      <c r="V338">
        <v>3.3</v>
      </c>
      <c r="W338">
        <v>0.35</v>
      </c>
      <c r="X338">
        <v>19</v>
      </c>
      <c r="Y338">
        <v>2.8</v>
      </c>
      <c r="Z338">
        <v>22.5</v>
      </c>
      <c r="AA338">
        <v>46.8</v>
      </c>
      <c r="AB338">
        <v>270</v>
      </c>
      <c r="AC338">
        <v>80</v>
      </c>
      <c r="AD338">
        <v>37.200000000000003</v>
      </c>
      <c r="AE338">
        <v>18.399999999999999</v>
      </c>
      <c r="AF338">
        <v>65.316999999999993</v>
      </c>
      <c r="AG338">
        <v>68.808999999999997</v>
      </c>
      <c r="AH338">
        <v>34.406999999999996</v>
      </c>
      <c r="AI338">
        <v>57.707000000000001</v>
      </c>
      <c r="AJ338">
        <v>93.497</v>
      </c>
      <c r="AK338">
        <v>88.888000000000005</v>
      </c>
      <c r="AL338">
        <v>5.4269999999999996</v>
      </c>
      <c r="AM338">
        <v>34.406999999999996</v>
      </c>
      <c r="AN338">
        <v>68.808999999999997</v>
      </c>
      <c r="AO338">
        <v>65.316999999999993</v>
      </c>
      <c r="AP338">
        <v>-5.4269999999999996</v>
      </c>
      <c r="AQ338">
        <v>6.5030000000000001</v>
      </c>
      <c r="AR338">
        <v>42.292999999999999</v>
      </c>
      <c r="AS338">
        <v>11.112</v>
      </c>
    </row>
    <row r="339" spans="1:45" x14ac:dyDescent="0.25">
      <c r="A339">
        <v>46</v>
      </c>
      <c r="B339">
        <v>2</v>
      </c>
      <c r="C339">
        <v>1</v>
      </c>
      <c r="D339">
        <v>2019</v>
      </c>
      <c r="E339">
        <v>6</v>
      </c>
      <c r="F339" t="str">
        <f>IFERROR(VLOOKUP(G339, Map!$A$1:$B$33, 2, FALSE),"WAS")</f>
        <v>NYJ</v>
      </c>
      <c r="G339" t="s">
        <v>166</v>
      </c>
      <c r="H339" t="str">
        <f>IFERROR(VLOOKUP(I339, Map!$A$1:$B$33, 2, FALSE),"WAS")</f>
        <v>DAL</v>
      </c>
      <c r="I339" t="s">
        <v>150</v>
      </c>
      <c r="J339" t="s">
        <v>172</v>
      </c>
      <c r="K339" t="s">
        <v>184</v>
      </c>
      <c r="L339">
        <v>1</v>
      </c>
      <c r="M339">
        <v>0</v>
      </c>
      <c r="N339">
        <v>38.846153846153797</v>
      </c>
      <c r="O339">
        <v>6.5384615384615401</v>
      </c>
      <c r="P339">
        <v>6.5</v>
      </c>
      <c r="Q339">
        <v>34.5</v>
      </c>
      <c r="R339">
        <v>14.2</v>
      </c>
      <c r="S339">
        <v>17.399999999999999</v>
      </c>
      <c r="T339">
        <v>9.6999999999999993</v>
      </c>
      <c r="U339">
        <v>12.8</v>
      </c>
      <c r="V339">
        <v>0</v>
      </c>
      <c r="W339">
        <v>0</v>
      </c>
      <c r="X339">
        <v>0</v>
      </c>
      <c r="Y339">
        <v>0</v>
      </c>
      <c r="Z339">
        <v>14.3</v>
      </c>
      <c r="AA339">
        <v>26.6</v>
      </c>
      <c r="AB339">
        <v>311</v>
      </c>
      <c r="AC339">
        <v>73</v>
      </c>
      <c r="AD339">
        <v>19.600000000000001</v>
      </c>
      <c r="AE339">
        <v>8.8000000000000007</v>
      </c>
      <c r="AF339">
        <v>26.771000000000001</v>
      </c>
      <c r="AG339">
        <v>48.540999999999997</v>
      </c>
      <c r="AH339">
        <v>73.013999999999996</v>
      </c>
      <c r="AI339">
        <v>45.942</v>
      </c>
      <c r="AJ339">
        <v>87.332999999999998</v>
      </c>
      <c r="AK339">
        <v>69.468999999999994</v>
      </c>
      <c r="AL339">
        <v>-8.4139999999999997</v>
      </c>
      <c r="AM339">
        <v>73.013999999999996</v>
      </c>
      <c r="AN339">
        <v>48.540999999999997</v>
      </c>
      <c r="AO339">
        <v>26.771000000000001</v>
      </c>
      <c r="AP339">
        <v>8.4139999999999997</v>
      </c>
      <c r="AQ339">
        <v>12.667</v>
      </c>
      <c r="AR339">
        <v>54.058</v>
      </c>
      <c r="AS339">
        <v>30.530999999999999</v>
      </c>
    </row>
    <row r="340" spans="1:45" x14ac:dyDescent="0.25">
      <c r="A340">
        <v>40</v>
      </c>
      <c r="B340">
        <v>6</v>
      </c>
      <c r="C340">
        <v>1</v>
      </c>
      <c r="D340">
        <v>2019</v>
      </c>
      <c r="E340">
        <v>6</v>
      </c>
      <c r="F340" t="str">
        <f>IFERROR(VLOOKUP(G340, Map!$A$1:$B$33, 2, FALSE),"WAS")</f>
        <v>BAL</v>
      </c>
      <c r="G340" t="s">
        <v>146</v>
      </c>
      <c r="H340" t="str">
        <f>IFERROR(VLOOKUP(I340, Map!$A$1:$B$33, 2, FALSE),"WAS")</f>
        <v>CIN</v>
      </c>
      <c r="I340" t="s">
        <v>161</v>
      </c>
      <c r="J340" t="s">
        <v>181</v>
      </c>
      <c r="K340" t="s">
        <v>176</v>
      </c>
      <c r="L340">
        <v>1</v>
      </c>
      <c r="M340">
        <v>0</v>
      </c>
      <c r="N340">
        <v>41.653846153846203</v>
      </c>
      <c r="O340">
        <v>-9.7307692307692299</v>
      </c>
      <c r="P340">
        <v>-10.5</v>
      </c>
      <c r="Q340">
        <v>34.5</v>
      </c>
      <c r="R340">
        <v>14.7</v>
      </c>
      <c r="S340">
        <v>17.7</v>
      </c>
      <c r="T340">
        <v>12.1</v>
      </c>
      <c r="U340">
        <v>12.4</v>
      </c>
      <c r="V340">
        <v>1.8</v>
      </c>
      <c r="W340">
        <v>0</v>
      </c>
      <c r="X340">
        <v>3</v>
      </c>
      <c r="Y340">
        <v>1.8</v>
      </c>
      <c r="Z340">
        <v>14.9</v>
      </c>
      <c r="AA340">
        <v>25.6</v>
      </c>
      <c r="AB340">
        <v>3</v>
      </c>
      <c r="AC340">
        <v>57</v>
      </c>
      <c r="AD340">
        <v>19.2</v>
      </c>
      <c r="AE340">
        <v>9.1999999999999993</v>
      </c>
      <c r="AF340">
        <v>80.966999999999999</v>
      </c>
      <c r="AG340">
        <v>50.110999999999997</v>
      </c>
      <c r="AH340">
        <v>18.881</v>
      </c>
      <c r="AI340">
        <v>75.244</v>
      </c>
      <c r="AJ340">
        <v>77.373000000000005</v>
      </c>
      <c r="AK340">
        <v>76.376999999999995</v>
      </c>
      <c r="AL340">
        <v>12.003</v>
      </c>
      <c r="AM340">
        <v>18.881</v>
      </c>
      <c r="AN340">
        <v>50.110999999999997</v>
      </c>
      <c r="AO340">
        <v>80.966999999999999</v>
      </c>
      <c r="AP340">
        <v>-12.003</v>
      </c>
      <c r="AQ340">
        <v>22.626999999999999</v>
      </c>
      <c r="AR340">
        <v>24.756</v>
      </c>
      <c r="AS340">
        <v>23.623000000000001</v>
      </c>
    </row>
    <row r="341" spans="1:45" x14ac:dyDescent="0.25">
      <c r="A341">
        <v>67</v>
      </c>
      <c r="B341">
        <v>1</v>
      </c>
      <c r="C341">
        <v>1</v>
      </c>
      <c r="D341">
        <v>2019</v>
      </c>
      <c r="E341">
        <v>6</v>
      </c>
      <c r="F341" t="str">
        <f>IFERROR(VLOOKUP(G341, Map!$A$1:$B$33, 2, FALSE),"WAS")</f>
        <v>ARI</v>
      </c>
      <c r="G341" t="s">
        <v>156</v>
      </c>
      <c r="H341" t="str">
        <f>IFERROR(VLOOKUP(I341, Map!$A$1:$B$33, 2, FALSE),"WAS")</f>
        <v>ATL</v>
      </c>
      <c r="I341" t="s">
        <v>167</v>
      </c>
      <c r="J341" t="s">
        <v>190</v>
      </c>
      <c r="K341" t="s">
        <v>188</v>
      </c>
      <c r="L341">
        <v>1</v>
      </c>
      <c r="M341">
        <v>0</v>
      </c>
      <c r="N341">
        <v>48.730769230769198</v>
      </c>
      <c r="O341">
        <v>2.7307692307692299</v>
      </c>
      <c r="P341">
        <v>2</v>
      </c>
      <c r="Q341">
        <v>42.5</v>
      </c>
      <c r="R341">
        <v>19.399999999999999</v>
      </c>
      <c r="S341">
        <v>25.4</v>
      </c>
      <c r="T341">
        <v>14.6</v>
      </c>
      <c r="U341">
        <v>18</v>
      </c>
      <c r="V341">
        <v>0</v>
      </c>
      <c r="W341">
        <v>0</v>
      </c>
      <c r="X341">
        <v>0</v>
      </c>
      <c r="Y341">
        <v>0</v>
      </c>
      <c r="Z341">
        <v>13.5</v>
      </c>
      <c r="AA341">
        <v>31.3</v>
      </c>
      <c r="AB341">
        <v>181</v>
      </c>
      <c r="AC341">
        <v>45</v>
      </c>
      <c r="AD341">
        <v>13.8</v>
      </c>
      <c r="AE341">
        <v>5.3</v>
      </c>
      <c r="AF341">
        <v>44.085000000000001</v>
      </c>
      <c r="AG341">
        <v>39.682000000000002</v>
      </c>
      <c r="AH341">
        <v>55.56</v>
      </c>
      <c r="AI341">
        <v>9.609</v>
      </c>
      <c r="AJ341">
        <v>92.563999999999993</v>
      </c>
      <c r="AK341">
        <v>58.536000000000001</v>
      </c>
      <c r="AL341">
        <v>-1.97</v>
      </c>
      <c r="AM341">
        <v>55.56</v>
      </c>
      <c r="AN341">
        <v>39.682000000000002</v>
      </c>
      <c r="AO341">
        <v>44.085000000000001</v>
      </c>
      <c r="AP341">
        <v>1.97</v>
      </c>
      <c r="AQ341">
        <v>7.4359999999999999</v>
      </c>
      <c r="AR341">
        <v>90.391000000000005</v>
      </c>
      <c r="AS341">
        <v>41.463999999999999</v>
      </c>
    </row>
    <row r="342" spans="1:45" x14ac:dyDescent="0.25">
      <c r="A342">
        <v>33</v>
      </c>
      <c r="B342">
        <v>-1</v>
      </c>
      <c r="C342">
        <v>0</v>
      </c>
      <c r="D342">
        <v>2019</v>
      </c>
      <c r="E342">
        <v>6</v>
      </c>
      <c r="F342" t="str">
        <f>IFERROR(VLOOKUP(G342, Map!$A$1:$B$33, 2, FALSE),"WAS")</f>
        <v>MIA</v>
      </c>
      <c r="G342" t="s">
        <v>152</v>
      </c>
      <c r="H342" t="str">
        <f>IFERROR(VLOOKUP(I342, Map!$A$1:$B$33, 2, FALSE),"WAS")</f>
        <v>WAS</v>
      </c>
      <c r="I342" t="s">
        <v>169</v>
      </c>
      <c r="J342" t="s">
        <v>175</v>
      </c>
      <c r="K342" t="s">
        <v>205</v>
      </c>
      <c r="L342">
        <v>0</v>
      </c>
      <c r="M342">
        <v>0</v>
      </c>
      <c r="N342">
        <v>36.076923076923102</v>
      </c>
      <c r="O342">
        <v>5.1538461538461497</v>
      </c>
      <c r="P342">
        <v>3.5</v>
      </c>
      <c r="Q342">
        <v>17.5</v>
      </c>
      <c r="R342">
        <v>26.1</v>
      </c>
      <c r="S342">
        <v>28.4</v>
      </c>
      <c r="T342">
        <v>24.4</v>
      </c>
      <c r="U342">
        <v>29</v>
      </c>
      <c r="V342">
        <v>2.5</v>
      </c>
      <c r="W342">
        <v>0</v>
      </c>
      <c r="X342">
        <v>11</v>
      </c>
      <c r="Y342">
        <v>2.5</v>
      </c>
      <c r="Z342">
        <v>16.2</v>
      </c>
      <c r="AA342">
        <v>32.799999999999997</v>
      </c>
      <c r="AB342">
        <v>88</v>
      </c>
      <c r="AC342">
        <v>77</v>
      </c>
      <c r="AD342">
        <v>25.1</v>
      </c>
      <c r="AE342">
        <v>12.7</v>
      </c>
      <c r="AF342">
        <v>34.518000000000001</v>
      </c>
      <c r="AG342">
        <v>0.72699999999999998</v>
      </c>
      <c r="AH342">
        <v>65.204999999999998</v>
      </c>
      <c r="AI342">
        <v>41.988999999999997</v>
      </c>
      <c r="AJ342">
        <v>24.620999999999999</v>
      </c>
      <c r="AK342">
        <v>38.500999999999998</v>
      </c>
      <c r="AL342">
        <v>-5.3860000000000001</v>
      </c>
      <c r="AM342">
        <v>65.204999999999998</v>
      </c>
      <c r="AN342">
        <v>0.72699999999999998</v>
      </c>
      <c r="AO342">
        <v>34.518000000000001</v>
      </c>
      <c r="AP342">
        <v>5.3860000000000001</v>
      </c>
      <c r="AQ342">
        <v>75.379000000000005</v>
      </c>
      <c r="AR342">
        <v>58.011000000000003</v>
      </c>
      <c r="AS342">
        <v>61.499000000000002</v>
      </c>
    </row>
    <row r="343" spans="1:45" x14ac:dyDescent="0.25">
      <c r="A343">
        <v>60</v>
      </c>
      <c r="B343">
        <v>-4</v>
      </c>
      <c r="C343">
        <v>0</v>
      </c>
      <c r="D343">
        <v>2019</v>
      </c>
      <c r="E343">
        <v>6</v>
      </c>
      <c r="F343" t="str">
        <f>IFERROR(VLOOKUP(G343, Map!$A$1:$B$33, 2, FALSE),"WAS")</f>
        <v>CLE</v>
      </c>
      <c r="G343" t="s">
        <v>162</v>
      </c>
      <c r="H343" t="str">
        <f>IFERROR(VLOOKUP(I343, Map!$A$1:$B$33, 2, FALSE),"WAS")</f>
        <v>SEA</v>
      </c>
      <c r="I343" t="s">
        <v>144</v>
      </c>
      <c r="J343" t="s">
        <v>171</v>
      </c>
      <c r="K343" t="s">
        <v>182</v>
      </c>
      <c r="L343">
        <v>0</v>
      </c>
      <c r="M343">
        <v>0</v>
      </c>
      <c r="N343">
        <v>43.653846153846203</v>
      </c>
      <c r="O343">
        <v>-0.65384615384615397</v>
      </c>
      <c r="P343">
        <v>0</v>
      </c>
      <c r="Q343">
        <v>45</v>
      </c>
      <c r="R343">
        <v>11.4</v>
      </c>
      <c r="S343">
        <v>18.2</v>
      </c>
      <c r="T343">
        <v>7.2</v>
      </c>
      <c r="U343">
        <v>6.5</v>
      </c>
      <c r="V343">
        <v>0</v>
      </c>
      <c r="W343">
        <v>0</v>
      </c>
      <c r="X343">
        <v>0</v>
      </c>
      <c r="Y343">
        <v>0</v>
      </c>
      <c r="Z343">
        <v>27.8</v>
      </c>
      <c r="AA343">
        <v>44.3</v>
      </c>
      <c r="AB343">
        <v>193</v>
      </c>
      <c r="AC343">
        <v>51</v>
      </c>
      <c r="AD343">
        <v>35.1</v>
      </c>
      <c r="AE343">
        <v>21.5</v>
      </c>
      <c r="AF343">
        <v>45.73</v>
      </c>
      <c r="AG343">
        <v>52.756</v>
      </c>
      <c r="AH343">
        <v>53.902999999999999</v>
      </c>
      <c r="AI343">
        <v>30.219000000000001</v>
      </c>
      <c r="AJ343">
        <v>46.420999999999999</v>
      </c>
      <c r="AK343">
        <v>43.261000000000003</v>
      </c>
      <c r="AL343">
        <v>-1.4</v>
      </c>
      <c r="AM343">
        <v>53.902999999999999</v>
      </c>
      <c r="AN343">
        <v>52.756</v>
      </c>
      <c r="AO343">
        <v>45.73</v>
      </c>
      <c r="AP343">
        <v>1.4</v>
      </c>
      <c r="AQ343">
        <v>53.579000000000001</v>
      </c>
      <c r="AR343">
        <v>69.781000000000006</v>
      </c>
      <c r="AS343">
        <v>56.738999999999997</v>
      </c>
    </row>
    <row r="344" spans="1:45" x14ac:dyDescent="0.25">
      <c r="A344">
        <v>45</v>
      </c>
      <c r="B344">
        <v>1</v>
      </c>
      <c r="C344">
        <v>1</v>
      </c>
      <c r="D344">
        <v>2019</v>
      </c>
      <c r="E344">
        <v>6</v>
      </c>
      <c r="F344" t="str">
        <f>IFERROR(VLOOKUP(G344, Map!$A$1:$B$33, 2, FALSE),"WAS")</f>
        <v>GB</v>
      </c>
      <c r="G344" t="s">
        <v>154</v>
      </c>
      <c r="H344" t="str">
        <f>IFERROR(VLOOKUP(I344, Map!$A$1:$B$33, 2, FALSE),"WAS")</f>
        <v>DET</v>
      </c>
      <c r="I344" t="s">
        <v>164</v>
      </c>
      <c r="J344" t="s">
        <v>200</v>
      </c>
      <c r="K344" t="s">
        <v>173</v>
      </c>
      <c r="L344">
        <v>1</v>
      </c>
      <c r="M344">
        <v>0</v>
      </c>
      <c r="N344">
        <v>41.5</v>
      </c>
      <c r="O344">
        <v>-3.2083333333333299</v>
      </c>
      <c r="P344">
        <v>-3.5</v>
      </c>
      <c r="Q344">
        <v>32.5</v>
      </c>
      <c r="R344">
        <v>7.5</v>
      </c>
      <c r="S344">
        <v>13.8</v>
      </c>
      <c r="T344">
        <v>3.4</v>
      </c>
      <c r="U344">
        <v>4.8</v>
      </c>
      <c r="V344">
        <v>5</v>
      </c>
      <c r="W344">
        <v>0</v>
      </c>
      <c r="X344">
        <v>8</v>
      </c>
      <c r="Y344">
        <v>5</v>
      </c>
      <c r="Z344">
        <v>17.899999999999999</v>
      </c>
      <c r="AA344">
        <v>37.4</v>
      </c>
      <c r="AB344">
        <v>163</v>
      </c>
      <c r="AC344">
        <v>79</v>
      </c>
      <c r="AD344">
        <v>20.7</v>
      </c>
      <c r="AE344">
        <v>9.9</v>
      </c>
      <c r="AF344">
        <v>66.100999999999999</v>
      </c>
      <c r="AG344">
        <v>51.868000000000002</v>
      </c>
      <c r="AH344">
        <v>33.628999999999998</v>
      </c>
      <c r="AI344">
        <v>65.721000000000004</v>
      </c>
      <c r="AJ344">
        <v>53.152000000000001</v>
      </c>
      <c r="AK344">
        <v>49.15</v>
      </c>
      <c r="AL344">
        <v>5.7169999999999996</v>
      </c>
      <c r="AM344">
        <v>33.628999999999998</v>
      </c>
      <c r="AN344">
        <v>51.868000000000002</v>
      </c>
      <c r="AO344">
        <v>66.100999999999999</v>
      </c>
      <c r="AP344">
        <v>-5.7169999999999996</v>
      </c>
      <c r="AQ344">
        <v>46.847999999999999</v>
      </c>
      <c r="AR344">
        <v>34.279000000000003</v>
      </c>
      <c r="AS344">
        <v>50.85</v>
      </c>
    </row>
    <row r="345" spans="1:45" x14ac:dyDescent="0.25">
      <c r="A345">
        <v>49</v>
      </c>
      <c r="B345">
        <v>21</v>
      </c>
      <c r="C345">
        <v>1</v>
      </c>
      <c r="D345">
        <v>2019</v>
      </c>
      <c r="E345">
        <v>6</v>
      </c>
      <c r="F345" t="str">
        <f>IFERROR(VLOOKUP(G345, Map!$A$1:$B$33, 2, FALSE),"WAS")</f>
        <v>NE</v>
      </c>
      <c r="G345" t="s">
        <v>151</v>
      </c>
      <c r="H345" t="str">
        <f>IFERROR(VLOOKUP(I345, Map!$A$1:$B$33, 2, FALSE),"WAS")</f>
        <v>NYG</v>
      </c>
      <c r="I345" t="s">
        <v>149</v>
      </c>
      <c r="J345" t="s">
        <v>187</v>
      </c>
      <c r="K345" t="s">
        <v>219</v>
      </c>
      <c r="L345">
        <v>1</v>
      </c>
      <c r="M345">
        <v>0</v>
      </c>
      <c r="N345">
        <v>41.269230769230802</v>
      </c>
      <c r="O345">
        <v>-15.4230769230769</v>
      </c>
      <c r="P345">
        <v>-16.5</v>
      </c>
      <c r="Q345">
        <v>41.5</v>
      </c>
      <c r="R345">
        <v>11.7</v>
      </c>
      <c r="S345">
        <v>12.8</v>
      </c>
      <c r="T345">
        <v>9.9</v>
      </c>
      <c r="U345">
        <v>7.3</v>
      </c>
      <c r="V345">
        <v>3.8</v>
      </c>
      <c r="W345">
        <v>0</v>
      </c>
      <c r="X345">
        <v>12</v>
      </c>
      <c r="Y345">
        <v>3.8</v>
      </c>
      <c r="Z345">
        <v>31.7</v>
      </c>
      <c r="AA345">
        <v>72.400000000000006</v>
      </c>
      <c r="AB345">
        <v>28</v>
      </c>
      <c r="AC345">
        <v>80</v>
      </c>
      <c r="AD345">
        <v>60.1</v>
      </c>
      <c r="AE345">
        <v>26.7</v>
      </c>
      <c r="AF345">
        <v>92.876000000000005</v>
      </c>
      <c r="AG345">
        <v>49.814</v>
      </c>
      <c r="AH345">
        <v>7.0670000000000002</v>
      </c>
      <c r="AI345">
        <v>99.861000000000004</v>
      </c>
      <c r="AJ345">
        <v>27.332000000000001</v>
      </c>
      <c r="AK345">
        <v>90.674999999999997</v>
      </c>
      <c r="AL345">
        <v>20.045000000000002</v>
      </c>
      <c r="AM345">
        <v>7.0670000000000002</v>
      </c>
      <c r="AN345">
        <v>49.814</v>
      </c>
      <c r="AO345">
        <v>92.876000000000005</v>
      </c>
      <c r="AP345">
        <v>-20.045000000000002</v>
      </c>
      <c r="AQ345">
        <v>72.668000000000006</v>
      </c>
      <c r="AR345">
        <v>0.13900000000000001</v>
      </c>
      <c r="AS345">
        <v>9.3249999999999993</v>
      </c>
    </row>
    <row r="346" spans="1:45" x14ac:dyDescent="0.25">
      <c r="A346">
        <v>41</v>
      </c>
      <c r="B346">
        <v>-7</v>
      </c>
      <c r="C346">
        <v>0</v>
      </c>
      <c r="D346">
        <v>2019</v>
      </c>
      <c r="E346">
        <v>6</v>
      </c>
      <c r="F346" t="str">
        <f>IFERROR(VLOOKUP(G346, Map!$A$1:$B$33, 2, FALSE),"WAS")</f>
        <v>LAC</v>
      </c>
      <c r="G346" t="s">
        <v>160</v>
      </c>
      <c r="H346" t="str">
        <f>IFERROR(VLOOKUP(I346, Map!$A$1:$B$33, 2, FALSE),"WAS")</f>
        <v>PIT</v>
      </c>
      <c r="I346" t="s">
        <v>145</v>
      </c>
      <c r="J346" t="s">
        <v>210</v>
      </c>
      <c r="K346" t="s">
        <v>170</v>
      </c>
      <c r="L346">
        <v>0</v>
      </c>
      <c r="M346">
        <v>0</v>
      </c>
      <c r="N346">
        <v>37</v>
      </c>
      <c r="O346">
        <v>-5.1538461538461497</v>
      </c>
      <c r="P346">
        <v>-6</v>
      </c>
      <c r="Q346">
        <v>29.5</v>
      </c>
      <c r="R346">
        <v>18.5</v>
      </c>
      <c r="S346">
        <v>22.9</v>
      </c>
      <c r="T346">
        <v>15.9</v>
      </c>
      <c r="U346">
        <v>19</v>
      </c>
      <c r="V346">
        <v>0.1</v>
      </c>
      <c r="W346">
        <v>0</v>
      </c>
      <c r="X346">
        <v>1</v>
      </c>
      <c r="Y346">
        <v>0.1</v>
      </c>
      <c r="Z346">
        <v>18.8</v>
      </c>
      <c r="AA346">
        <v>34.200000000000003</v>
      </c>
      <c r="AB346">
        <v>226</v>
      </c>
      <c r="AC346">
        <v>80</v>
      </c>
      <c r="AD346">
        <v>14.7</v>
      </c>
      <c r="AE346">
        <v>7.1</v>
      </c>
      <c r="AF346">
        <v>64.305999999999997</v>
      </c>
      <c r="AG346">
        <v>42.886000000000003</v>
      </c>
      <c r="AH346">
        <v>35.409999999999997</v>
      </c>
      <c r="AI346">
        <v>36.923000000000002</v>
      </c>
      <c r="AJ346">
        <v>2.7570000000000001</v>
      </c>
      <c r="AK346">
        <v>5.8710000000000004</v>
      </c>
      <c r="AL346">
        <v>5.056</v>
      </c>
      <c r="AM346">
        <v>35.409999999999997</v>
      </c>
      <c r="AN346">
        <v>42.886000000000003</v>
      </c>
      <c r="AO346">
        <v>64.305999999999997</v>
      </c>
      <c r="AP346">
        <v>-5.056</v>
      </c>
      <c r="AQ346">
        <v>97.242999999999995</v>
      </c>
      <c r="AR346">
        <v>63.076999999999998</v>
      </c>
      <c r="AS346">
        <v>94.129000000000005</v>
      </c>
    </row>
    <row r="347" spans="1:45" x14ac:dyDescent="0.25">
      <c r="A347">
        <v>16</v>
      </c>
      <c r="B347">
        <v>16</v>
      </c>
      <c r="C347">
        <v>1</v>
      </c>
      <c r="D347">
        <v>2019</v>
      </c>
      <c r="E347">
        <v>6</v>
      </c>
      <c r="F347" t="str">
        <f>IFERROR(VLOOKUP(G347, Map!$A$1:$B$33, 2, FALSE),"WAS")</f>
        <v>DEN</v>
      </c>
      <c r="G347" t="s">
        <v>159</v>
      </c>
      <c r="H347" t="str">
        <f>IFERROR(VLOOKUP(I347, Map!$A$1:$B$33, 2, FALSE),"WAS")</f>
        <v>TEN</v>
      </c>
      <c r="I347" t="s">
        <v>140</v>
      </c>
      <c r="J347" t="s">
        <v>183</v>
      </c>
      <c r="K347" t="s">
        <v>174</v>
      </c>
      <c r="L347">
        <v>1</v>
      </c>
      <c r="M347">
        <v>0</v>
      </c>
      <c r="N347">
        <v>33.730769230769198</v>
      </c>
      <c r="O347">
        <v>-1.2307692307692299</v>
      </c>
      <c r="P347">
        <v>-1</v>
      </c>
      <c r="Q347">
        <v>13.5</v>
      </c>
      <c r="R347">
        <v>6.8</v>
      </c>
      <c r="S347">
        <v>20.7</v>
      </c>
      <c r="T347">
        <v>-4</v>
      </c>
      <c r="U347">
        <v>2.6</v>
      </c>
      <c r="V347">
        <v>0</v>
      </c>
      <c r="W347">
        <v>0</v>
      </c>
      <c r="X347">
        <v>0</v>
      </c>
      <c r="Y347">
        <v>0</v>
      </c>
      <c r="Z347">
        <v>12.6</v>
      </c>
      <c r="AA347">
        <v>24.1</v>
      </c>
      <c r="AB347">
        <v>221</v>
      </c>
      <c r="AC347">
        <v>40</v>
      </c>
      <c r="AD347">
        <v>16.100000000000001</v>
      </c>
      <c r="AE347">
        <v>7.9</v>
      </c>
      <c r="AF347">
        <v>48.793999999999997</v>
      </c>
      <c r="AG347">
        <v>67.028000000000006</v>
      </c>
      <c r="AH347">
        <v>50.814</v>
      </c>
      <c r="AI347">
        <v>96.89</v>
      </c>
      <c r="AJ347">
        <v>19.891999999999999</v>
      </c>
      <c r="AK347">
        <v>81.221000000000004</v>
      </c>
      <c r="AL347">
        <v>-0.34599999999999997</v>
      </c>
      <c r="AM347">
        <v>50.814</v>
      </c>
      <c r="AN347">
        <v>67.028000000000006</v>
      </c>
      <c r="AO347">
        <v>48.793999999999997</v>
      </c>
      <c r="AP347">
        <v>0.34599999999999997</v>
      </c>
      <c r="AQ347">
        <v>80.108000000000004</v>
      </c>
      <c r="AR347">
        <v>3.11</v>
      </c>
      <c r="AS347">
        <v>18.779</v>
      </c>
    </row>
    <row r="348" spans="1:45" x14ac:dyDescent="0.25">
      <c r="A348">
        <v>63</v>
      </c>
      <c r="B348">
        <v>-11</v>
      </c>
      <c r="C348">
        <v>0</v>
      </c>
      <c r="D348">
        <v>2019</v>
      </c>
      <c r="E348">
        <v>6</v>
      </c>
      <c r="F348" t="str">
        <f>IFERROR(VLOOKUP(G348, Map!$A$1:$B$33, 2, FALSE),"WAS")</f>
        <v>TB</v>
      </c>
      <c r="G348" t="s">
        <v>141</v>
      </c>
      <c r="H348" t="str">
        <f>IFERROR(VLOOKUP(I348, Map!$A$1:$B$33, 2, FALSE),"WAS")</f>
        <v>CAR</v>
      </c>
      <c r="I348" t="s">
        <v>142</v>
      </c>
      <c r="J348" t="s">
        <v>186</v>
      </c>
      <c r="K348" t="s">
        <v>185</v>
      </c>
      <c r="L348">
        <v>0</v>
      </c>
      <c r="M348">
        <v>0</v>
      </c>
      <c r="N348">
        <v>44.461538461538503</v>
      </c>
      <c r="O348">
        <v>1.5384615384615401</v>
      </c>
      <c r="P348">
        <v>1.5</v>
      </c>
      <c r="Q348">
        <v>46.5</v>
      </c>
      <c r="R348">
        <v>13.2</v>
      </c>
      <c r="S348">
        <v>16.8</v>
      </c>
      <c r="T348">
        <v>9.6</v>
      </c>
      <c r="U348">
        <v>10.9</v>
      </c>
      <c r="V348">
        <v>6.5</v>
      </c>
      <c r="W348">
        <v>0</v>
      </c>
      <c r="X348">
        <v>14</v>
      </c>
      <c r="Y348">
        <v>6.5</v>
      </c>
      <c r="Z348">
        <v>32.700000000000003</v>
      </c>
      <c r="AA348">
        <v>56.2</v>
      </c>
      <c r="AB348">
        <v>206</v>
      </c>
      <c r="AC348">
        <v>88</v>
      </c>
      <c r="AD348">
        <v>31.9</v>
      </c>
      <c r="AE348">
        <v>18.2</v>
      </c>
      <c r="AF348">
        <v>55.070999999999998</v>
      </c>
      <c r="AG348">
        <v>34.948</v>
      </c>
      <c r="AH348">
        <v>44.570999999999998</v>
      </c>
      <c r="AI348">
        <v>44.551000000000002</v>
      </c>
      <c r="AJ348">
        <v>4.8959999999999999</v>
      </c>
      <c r="AK348">
        <v>12.731999999999999</v>
      </c>
      <c r="AL348">
        <v>1.8009999999999999</v>
      </c>
      <c r="AM348">
        <v>44.570999999999998</v>
      </c>
      <c r="AN348">
        <v>34.948</v>
      </c>
      <c r="AO348">
        <v>55.070999999999998</v>
      </c>
      <c r="AP348">
        <v>-1.8009999999999999</v>
      </c>
      <c r="AQ348">
        <v>95.103999999999999</v>
      </c>
      <c r="AR348">
        <v>55.448999999999998</v>
      </c>
      <c r="AS348">
        <v>87.268000000000001</v>
      </c>
    </row>
    <row r="349" spans="1:45" x14ac:dyDescent="0.25">
      <c r="A349">
        <v>19</v>
      </c>
      <c r="B349">
        <v>-7</v>
      </c>
      <c r="C349">
        <v>0</v>
      </c>
      <c r="D349">
        <v>2019</v>
      </c>
      <c r="E349">
        <v>6</v>
      </c>
      <c r="F349" t="str">
        <f>IFERROR(VLOOKUP(G349, Map!$A$1:$B$33, 2, FALSE),"WAS")</f>
        <v>JAX</v>
      </c>
      <c r="G349" t="s">
        <v>139</v>
      </c>
      <c r="H349" t="str">
        <f>IFERROR(VLOOKUP(I349, Map!$A$1:$B$33, 2, FALSE),"WAS")</f>
        <v>NO</v>
      </c>
      <c r="I349" t="s">
        <v>168</v>
      </c>
      <c r="J349" t="s">
        <v>220</v>
      </c>
      <c r="K349" t="s">
        <v>192</v>
      </c>
      <c r="L349">
        <v>0</v>
      </c>
      <c r="M349">
        <v>0</v>
      </c>
      <c r="N349">
        <v>35.307692307692299</v>
      </c>
      <c r="O349">
        <v>-2.3461538461538498</v>
      </c>
      <c r="P349">
        <v>-2.5</v>
      </c>
      <c r="Q349">
        <v>13.5</v>
      </c>
      <c r="R349">
        <v>24</v>
      </c>
      <c r="S349">
        <v>28.2</v>
      </c>
      <c r="T349">
        <v>20.2</v>
      </c>
      <c r="U349">
        <v>26.6</v>
      </c>
      <c r="V349">
        <v>0</v>
      </c>
      <c r="W349">
        <v>0</v>
      </c>
      <c r="X349">
        <v>0</v>
      </c>
      <c r="Y349">
        <v>0</v>
      </c>
      <c r="Z349">
        <v>19.8</v>
      </c>
      <c r="AA349">
        <v>33.799999999999997</v>
      </c>
      <c r="AB349">
        <v>159</v>
      </c>
      <c r="AC349">
        <v>80</v>
      </c>
      <c r="AD349">
        <v>17.8</v>
      </c>
      <c r="AE349">
        <v>9.1</v>
      </c>
      <c r="AF349">
        <v>41.994</v>
      </c>
      <c r="AG349">
        <v>55.365000000000002</v>
      </c>
      <c r="AH349">
        <v>57.668999999999997</v>
      </c>
      <c r="AI349">
        <v>59.473999999999997</v>
      </c>
      <c r="AJ349">
        <v>15.803000000000001</v>
      </c>
      <c r="AK349">
        <v>31.358000000000001</v>
      </c>
      <c r="AL349">
        <v>-2.6989999999999998</v>
      </c>
      <c r="AM349">
        <v>57.668999999999997</v>
      </c>
      <c r="AN349">
        <v>55.365000000000002</v>
      </c>
      <c r="AO349">
        <v>41.994</v>
      </c>
      <c r="AP349">
        <v>2.6989999999999998</v>
      </c>
      <c r="AQ349">
        <v>84.197000000000003</v>
      </c>
      <c r="AR349">
        <v>40.526000000000003</v>
      </c>
      <c r="AS349">
        <v>68.641999999999996</v>
      </c>
    </row>
    <row r="350" spans="1:45" x14ac:dyDescent="0.25">
      <c r="A350">
        <v>33</v>
      </c>
      <c r="B350">
        <v>-33</v>
      </c>
      <c r="C350">
        <v>0</v>
      </c>
      <c r="D350">
        <v>2019</v>
      </c>
      <c r="E350">
        <v>7</v>
      </c>
      <c r="F350" t="str">
        <f>IFERROR(VLOOKUP(G350, Map!$A$1:$B$33, 2, FALSE),"WAS")</f>
        <v>NYJ</v>
      </c>
      <c r="G350" t="s">
        <v>166</v>
      </c>
      <c r="H350" t="str">
        <f>IFERROR(VLOOKUP(I350, Map!$A$1:$B$33, 2, FALSE),"WAS")</f>
        <v>NE</v>
      </c>
      <c r="I350" t="s">
        <v>151</v>
      </c>
      <c r="J350" t="s">
        <v>172</v>
      </c>
      <c r="K350" t="s">
        <v>187</v>
      </c>
      <c r="L350">
        <v>0</v>
      </c>
      <c r="M350">
        <v>0</v>
      </c>
      <c r="N350">
        <v>38.307692307692299</v>
      </c>
      <c r="O350">
        <v>8.8846153846153797</v>
      </c>
      <c r="P350">
        <v>9.5</v>
      </c>
      <c r="Q350">
        <v>31.5</v>
      </c>
      <c r="R350">
        <v>13</v>
      </c>
      <c r="S350">
        <v>16.100000000000001</v>
      </c>
      <c r="T350">
        <v>9.6</v>
      </c>
      <c r="U350">
        <v>11.6</v>
      </c>
      <c r="V350">
        <v>1.3</v>
      </c>
      <c r="W350">
        <v>0</v>
      </c>
      <c r="X350">
        <v>8</v>
      </c>
      <c r="Y350">
        <v>1.3</v>
      </c>
      <c r="Z350">
        <v>24.3</v>
      </c>
      <c r="AA350">
        <v>45.7</v>
      </c>
      <c r="AB350">
        <v>103</v>
      </c>
      <c r="AC350">
        <v>88</v>
      </c>
      <c r="AD350">
        <v>22.9</v>
      </c>
      <c r="AE350">
        <v>11.9</v>
      </c>
      <c r="AF350">
        <v>14.568</v>
      </c>
      <c r="AG350">
        <v>52.582999999999998</v>
      </c>
      <c r="AH350">
        <v>85.314999999999998</v>
      </c>
      <c r="AI350">
        <v>24.684000000000001</v>
      </c>
      <c r="AJ350">
        <v>6.9000000000000006E-2</v>
      </c>
      <c r="AK350">
        <v>1.089</v>
      </c>
      <c r="AL350">
        <v>-14.297000000000001</v>
      </c>
      <c r="AM350">
        <v>85.314999999999998</v>
      </c>
      <c r="AN350">
        <v>52.582999999999998</v>
      </c>
      <c r="AO350">
        <v>14.568</v>
      </c>
      <c r="AP350">
        <v>14.297000000000001</v>
      </c>
      <c r="AQ350">
        <v>99.930999999999997</v>
      </c>
      <c r="AR350">
        <v>75.316000000000003</v>
      </c>
      <c r="AS350">
        <v>98.911000000000001</v>
      </c>
    </row>
    <row r="351" spans="1:45" x14ac:dyDescent="0.25">
      <c r="A351">
        <v>47</v>
      </c>
      <c r="B351">
        <v>-27</v>
      </c>
      <c r="C351">
        <v>0</v>
      </c>
      <c r="D351">
        <v>2019</v>
      </c>
      <c r="E351">
        <v>7</v>
      </c>
      <c r="F351" t="str">
        <f>IFERROR(VLOOKUP(G351, Map!$A$1:$B$33, 2, FALSE),"WAS")</f>
        <v>ATL</v>
      </c>
      <c r="G351" t="s">
        <v>167</v>
      </c>
      <c r="H351" t="str">
        <f>IFERROR(VLOOKUP(I351, Map!$A$1:$B$33, 2, FALSE),"WAS")</f>
        <v>LA</v>
      </c>
      <c r="I351" t="s">
        <v>155</v>
      </c>
      <c r="J351" t="s">
        <v>188</v>
      </c>
      <c r="K351" t="s">
        <v>178</v>
      </c>
      <c r="L351">
        <v>0</v>
      </c>
      <c r="M351">
        <v>0</v>
      </c>
      <c r="N351">
        <v>47.461538461538503</v>
      </c>
      <c r="O351">
        <v>2.8076923076923102</v>
      </c>
      <c r="P351">
        <v>3</v>
      </c>
      <c r="Q351">
        <v>30.5</v>
      </c>
      <c r="R351">
        <v>16</v>
      </c>
      <c r="S351">
        <v>22.5</v>
      </c>
      <c r="T351">
        <v>11.7</v>
      </c>
      <c r="U351">
        <v>14.7</v>
      </c>
      <c r="V351">
        <v>0.9</v>
      </c>
      <c r="W351">
        <v>0</v>
      </c>
      <c r="X351">
        <v>4</v>
      </c>
      <c r="Y351">
        <v>0.9</v>
      </c>
      <c r="Z351">
        <v>23.5</v>
      </c>
      <c r="AA351">
        <v>48.2</v>
      </c>
      <c r="AB351">
        <v>338</v>
      </c>
      <c r="AC351">
        <v>84</v>
      </c>
      <c r="AD351">
        <v>31.4</v>
      </c>
      <c r="AE351">
        <v>16.2</v>
      </c>
      <c r="AF351">
        <v>50.406999999999996</v>
      </c>
      <c r="AG351">
        <v>67.656000000000006</v>
      </c>
      <c r="AH351">
        <v>49.197000000000003</v>
      </c>
      <c r="AI351">
        <v>25.611999999999998</v>
      </c>
      <c r="AJ351">
        <v>13.164999999999999</v>
      </c>
      <c r="AK351">
        <v>8.0549999999999997</v>
      </c>
      <c r="AL351">
        <v>0.20599999999999999</v>
      </c>
      <c r="AM351">
        <v>49.197000000000003</v>
      </c>
      <c r="AN351">
        <v>67.656000000000006</v>
      </c>
      <c r="AO351">
        <v>50.406999999999996</v>
      </c>
      <c r="AP351">
        <v>-0.20599999999999999</v>
      </c>
      <c r="AQ351">
        <v>86.834999999999994</v>
      </c>
      <c r="AR351">
        <v>74.388000000000005</v>
      </c>
      <c r="AS351">
        <v>91.944999999999993</v>
      </c>
    </row>
    <row r="352" spans="1:45" x14ac:dyDescent="0.25">
      <c r="A352">
        <v>72</v>
      </c>
      <c r="B352">
        <v>-12</v>
      </c>
      <c r="C352">
        <v>0</v>
      </c>
      <c r="D352">
        <v>2019</v>
      </c>
      <c r="E352">
        <v>7</v>
      </c>
      <c r="F352" t="str">
        <f>IFERROR(VLOOKUP(G352, Map!$A$1:$B$33, 2, FALSE),"WAS")</f>
        <v>DET</v>
      </c>
      <c r="G352" t="s">
        <v>164</v>
      </c>
      <c r="H352" t="str">
        <f>IFERROR(VLOOKUP(I352, Map!$A$1:$B$33, 2, FALSE),"WAS")</f>
        <v>MIN</v>
      </c>
      <c r="I352" t="s">
        <v>153</v>
      </c>
      <c r="J352" t="s">
        <v>173</v>
      </c>
      <c r="K352" t="s">
        <v>214</v>
      </c>
      <c r="L352">
        <v>0</v>
      </c>
      <c r="M352">
        <v>0</v>
      </c>
      <c r="N352">
        <v>44.115384615384599</v>
      </c>
      <c r="O352">
        <v>2.1923076923076898</v>
      </c>
      <c r="P352">
        <v>1</v>
      </c>
      <c r="Q352">
        <v>43</v>
      </c>
      <c r="R352">
        <v>11.8</v>
      </c>
      <c r="S352">
        <v>18.899999999999999</v>
      </c>
      <c r="T352">
        <v>7.4</v>
      </c>
      <c r="U352">
        <v>10.5</v>
      </c>
      <c r="V352">
        <v>0</v>
      </c>
      <c r="W352">
        <v>0</v>
      </c>
      <c r="X352">
        <v>0</v>
      </c>
      <c r="Y352">
        <v>0</v>
      </c>
      <c r="Z352">
        <v>12</v>
      </c>
      <c r="AA352">
        <v>19.100000000000001</v>
      </c>
      <c r="AB352">
        <v>153</v>
      </c>
      <c r="AC352">
        <v>81</v>
      </c>
      <c r="AD352">
        <v>12.4</v>
      </c>
      <c r="AE352">
        <v>6.2</v>
      </c>
      <c r="AF352">
        <v>36.789000000000001</v>
      </c>
      <c r="AG352">
        <v>63.276000000000003</v>
      </c>
      <c r="AH352">
        <v>62.914999999999999</v>
      </c>
      <c r="AI352">
        <v>2.0070000000000001</v>
      </c>
      <c r="AJ352">
        <v>80.525999999999996</v>
      </c>
      <c r="AK352">
        <v>27.603999999999999</v>
      </c>
      <c r="AL352">
        <v>-4.53</v>
      </c>
      <c r="AM352">
        <v>62.914999999999999</v>
      </c>
      <c r="AN352">
        <v>63.276000000000003</v>
      </c>
      <c r="AO352">
        <v>36.789000000000001</v>
      </c>
      <c r="AP352">
        <v>4.53</v>
      </c>
      <c r="AQ352">
        <v>19.474</v>
      </c>
      <c r="AR352">
        <v>97.992999999999995</v>
      </c>
      <c r="AS352">
        <v>72.396000000000001</v>
      </c>
    </row>
    <row r="353" spans="1:45" x14ac:dyDescent="0.25">
      <c r="A353">
        <v>47</v>
      </c>
      <c r="B353">
        <v>27</v>
      </c>
      <c r="C353">
        <v>1</v>
      </c>
      <c r="D353">
        <v>2019</v>
      </c>
      <c r="E353">
        <v>7</v>
      </c>
      <c r="F353" t="str">
        <f>IFERROR(VLOOKUP(G353, Map!$A$1:$B$33, 2, FALSE),"WAS")</f>
        <v>DAL</v>
      </c>
      <c r="G353" t="s">
        <v>150</v>
      </c>
      <c r="H353" t="str">
        <f>IFERROR(VLOOKUP(I353, Map!$A$1:$B$33, 2, FALSE),"WAS")</f>
        <v>PHI</v>
      </c>
      <c r="I353" t="s">
        <v>147</v>
      </c>
      <c r="J353" t="s">
        <v>184</v>
      </c>
      <c r="K353" t="s">
        <v>206</v>
      </c>
      <c r="L353">
        <v>1</v>
      </c>
      <c r="M353">
        <v>0</v>
      </c>
      <c r="N353">
        <v>45.5</v>
      </c>
      <c r="O353">
        <v>-2.5769230769230802</v>
      </c>
      <c r="P353">
        <v>-3</v>
      </c>
      <c r="Q353">
        <v>41.5</v>
      </c>
      <c r="R353">
        <v>20.399999999999999</v>
      </c>
      <c r="S353">
        <v>26.7</v>
      </c>
      <c r="T353">
        <v>13.1</v>
      </c>
      <c r="U353">
        <v>18.3</v>
      </c>
      <c r="V353">
        <v>15.4</v>
      </c>
      <c r="W353">
        <v>0</v>
      </c>
      <c r="X353">
        <v>4</v>
      </c>
      <c r="Y353">
        <v>15.4</v>
      </c>
      <c r="Z353">
        <v>35.9</v>
      </c>
      <c r="AA353">
        <v>66.2</v>
      </c>
      <c r="AB353">
        <v>272</v>
      </c>
      <c r="AC353">
        <v>52</v>
      </c>
      <c r="AD353">
        <v>37.700000000000003</v>
      </c>
      <c r="AE353">
        <v>19</v>
      </c>
      <c r="AF353">
        <v>62.744999999999997</v>
      </c>
      <c r="AG353">
        <v>68.168999999999997</v>
      </c>
      <c r="AH353">
        <v>36.957999999999998</v>
      </c>
      <c r="AI353">
        <v>94.542000000000002</v>
      </c>
      <c r="AJ353">
        <v>86.456000000000003</v>
      </c>
      <c r="AK353">
        <v>96.713999999999999</v>
      </c>
      <c r="AL353">
        <v>4.4690000000000003</v>
      </c>
      <c r="AM353">
        <v>36.957999999999998</v>
      </c>
      <c r="AN353">
        <v>68.168999999999997</v>
      </c>
      <c r="AO353">
        <v>62.744999999999997</v>
      </c>
      <c r="AP353">
        <v>-4.4690000000000003</v>
      </c>
      <c r="AQ353">
        <v>13.544</v>
      </c>
      <c r="AR353">
        <v>5.4580000000000002</v>
      </c>
      <c r="AS353">
        <v>3.286</v>
      </c>
    </row>
    <row r="354" spans="1:45" x14ac:dyDescent="0.25">
      <c r="A354">
        <v>9</v>
      </c>
      <c r="B354">
        <v>-9</v>
      </c>
      <c r="C354">
        <v>0</v>
      </c>
      <c r="D354">
        <v>2019</v>
      </c>
      <c r="E354">
        <v>7</v>
      </c>
      <c r="F354" t="str">
        <f>IFERROR(VLOOKUP(G354, Map!$A$1:$B$33, 2, FALSE),"WAS")</f>
        <v>WAS</v>
      </c>
      <c r="G354" t="s">
        <v>169</v>
      </c>
      <c r="H354" t="str">
        <f>IFERROR(VLOOKUP(I354, Map!$A$1:$B$33, 2, FALSE),"WAS")</f>
        <v>SF</v>
      </c>
      <c r="I354" t="s">
        <v>143</v>
      </c>
      <c r="J354" t="s">
        <v>205</v>
      </c>
      <c r="K354" t="s">
        <v>197</v>
      </c>
      <c r="L354">
        <v>0</v>
      </c>
      <c r="M354">
        <v>0</v>
      </c>
      <c r="N354">
        <v>31.153846153846199</v>
      </c>
      <c r="O354">
        <v>9.0384615384615401</v>
      </c>
      <c r="P354">
        <v>9.5</v>
      </c>
      <c r="Q354">
        <v>3.5</v>
      </c>
      <c r="R354">
        <v>12.6</v>
      </c>
      <c r="S354">
        <v>14</v>
      </c>
      <c r="T354">
        <v>10.4</v>
      </c>
      <c r="U354">
        <v>10.9</v>
      </c>
      <c r="V354">
        <v>30.9</v>
      </c>
      <c r="W354">
        <v>0</v>
      </c>
      <c r="X354">
        <v>14</v>
      </c>
      <c r="Y354">
        <v>30.9</v>
      </c>
      <c r="Z354">
        <v>23.2</v>
      </c>
      <c r="AA354">
        <v>45.7</v>
      </c>
      <c r="AB354">
        <v>48</v>
      </c>
      <c r="AC354">
        <v>86</v>
      </c>
      <c r="AD354">
        <v>22.9</v>
      </c>
      <c r="AE354">
        <v>12.5</v>
      </c>
      <c r="AF354">
        <v>21.739000000000001</v>
      </c>
      <c r="AG354">
        <v>43.23</v>
      </c>
      <c r="AH354">
        <v>78.085999999999999</v>
      </c>
      <c r="AI354">
        <v>65.647000000000006</v>
      </c>
      <c r="AJ354">
        <v>7.1459999999999999</v>
      </c>
      <c r="AK354">
        <v>27.111999999999998</v>
      </c>
      <c r="AL354">
        <v>-10.569000000000001</v>
      </c>
      <c r="AM354">
        <v>78.085999999999999</v>
      </c>
      <c r="AN354">
        <v>43.23</v>
      </c>
      <c r="AO354">
        <v>21.739000000000001</v>
      </c>
      <c r="AP354">
        <v>10.569000000000001</v>
      </c>
      <c r="AQ354">
        <v>92.853999999999999</v>
      </c>
      <c r="AR354">
        <v>34.353000000000002</v>
      </c>
      <c r="AS354">
        <v>72.888000000000005</v>
      </c>
    </row>
    <row r="355" spans="1:45" x14ac:dyDescent="0.25">
      <c r="A355">
        <v>43</v>
      </c>
      <c r="B355">
        <v>3</v>
      </c>
      <c r="C355">
        <v>1</v>
      </c>
      <c r="D355">
        <v>2019</v>
      </c>
      <c r="E355">
        <v>7</v>
      </c>
      <c r="F355" t="str">
        <f>IFERROR(VLOOKUP(G355, Map!$A$1:$B$33, 2, FALSE),"WAS")</f>
        <v>TEN</v>
      </c>
      <c r="G355" t="s">
        <v>140</v>
      </c>
      <c r="H355" t="str">
        <f>IFERROR(VLOOKUP(I355, Map!$A$1:$B$33, 2, FALSE),"WAS")</f>
        <v>LAC</v>
      </c>
      <c r="I355" t="s">
        <v>160</v>
      </c>
      <c r="J355" t="s">
        <v>174</v>
      </c>
      <c r="K355" t="s">
        <v>210</v>
      </c>
      <c r="L355">
        <v>1</v>
      </c>
      <c r="M355">
        <v>0</v>
      </c>
      <c r="N355">
        <v>37.653846153846203</v>
      </c>
      <c r="O355">
        <v>-2.5769230769230802</v>
      </c>
      <c r="P355">
        <v>-2.5</v>
      </c>
      <c r="Q355">
        <v>25.5</v>
      </c>
      <c r="R355">
        <v>17.100000000000001</v>
      </c>
      <c r="S355">
        <v>22.4</v>
      </c>
      <c r="T355">
        <v>13.8</v>
      </c>
      <c r="U355">
        <v>17.8</v>
      </c>
      <c r="V355">
        <v>0.2</v>
      </c>
      <c r="W355">
        <v>0</v>
      </c>
      <c r="X355">
        <v>2</v>
      </c>
      <c r="Y355">
        <v>0.2</v>
      </c>
      <c r="Z355">
        <v>8.5</v>
      </c>
      <c r="AA355">
        <v>17.600000000000001</v>
      </c>
      <c r="AB355">
        <v>116</v>
      </c>
      <c r="AC355">
        <v>85</v>
      </c>
      <c r="AD355">
        <v>11.1</v>
      </c>
      <c r="AE355">
        <v>4.5999999999999996</v>
      </c>
      <c r="AF355">
        <v>60.177</v>
      </c>
      <c r="AG355">
        <v>62.094999999999999</v>
      </c>
      <c r="AH355">
        <v>39.505000000000003</v>
      </c>
      <c r="AI355">
        <v>44.134999999999998</v>
      </c>
      <c r="AJ355">
        <v>69.375</v>
      </c>
      <c r="AK355">
        <v>62.01</v>
      </c>
      <c r="AL355">
        <v>3.56</v>
      </c>
      <c r="AM355">
        <v>39.505000000000003</v>
      </c>
      <c r="AN355">
        <v>62.094999999999999</v>
      </c>
      <c r="AO355">
        <v>60.177</v>
      </c>
      <c r="AP355">
        <v>-3.56</v>
      </c>
      <c r="AQ355">
        <v>30.625</v>
      </c>
      <c r="AR355">
        <v>55.865000000000002</v>
      </c>
      <c r="AS355">
        <v>37.99</v>
      </c>
    </row>
    <row r="356" spans="1:45" x14ac:dyDescent="0.25">
      <c r="A356">
        <v>48</v>
      </c>
      <c r="B356">
        <v>-6</v>
      </c>
      <c r="C356">
        <v>0</v>
      </c>
      <c r="D356">
        <v>2019</v>
      </c>
      <c r="E356">
        <v>7</v>
      </c>
      <c r="F356" t="str">
        <f>IFERROR(VLOOKUP(G356, Map!$A$1:$B$33, 2, FALSE),"WAS")</f>
        <v>NYG</v>
      </c>
      <c r="G356" t="s">
        <v>149</v>
      </c>
      <c r="H356" t="str">
        <f>IFERROR(VLOOKUP(I356, Map!$A$1:$B$33, 2, FALSE),"WAS")</f>
        <v>ARI</v>
      </c>
      <c r="I356" t="s">
        <v>156</v>
      </c>
      <c r="J356" t="s">
        <v>219</v>
      </c>
      <c r="K356" t="s">
        <v>190</v>
      </c>
      <c r="L356">
        <v>0</v>
      </c>
      <c r="M356">
        <v>0</v>
      </c>
      <c r="N356">
        <v>45.269230769230802</v>
      </c>
      <c r="O356">
        <v>-3.2307692307692299</v>
      </c>
      <c r="P356">
        <v>-3.5</v>
      </c>
      <c r="Q356">
        <v>41.5</v>
      </c>
      <c r="R356">
        <v>10.5</v>
      </c>
      <c r="S356">
        <v>14.7</v>
      </c>
      <c r="T356">
        <v>5.4</v>
      </c>
      <c r="U356">
        <v>9</v>
      </c>
      <c r="V356">
        <v>8.6</v>
      </c>
      <c r="W356">
        <v>0</v>
      </c>
      <c r="X356">
        <v>8</v>
      </c>
      <c r="Y356">
        <v>8.6</v>
      </c>
      <c r="Z356">
        <v>10.1</v>
      </c>
      <c r="AA356">
        <v>19.100000000000001</v>
      </c>
      <c r="AB356">
        <v>96</v>
      </c>
      <c r="AC356">
        <v>82</v>
      </c>
      <c r="AD356">
        <v>12.5</v>
      </c>
      <c r="AE356">
        <v>6.6</v>
      </c>
      <c r="AF356">
        <v>54.649000000000001</v>
      </c>
      <c r="AG356">
        <v>9.5850000000000009</v>
      </c>
      <c r="AH356">
        <v>44.99</v>
      </c>
      <c r="AI356">
        <v>41.515000000000001</v>
      </c>
      <c r="AJ356">
        <v>19.059000000000001</v>
      </c>
      <c r="AK356">
        <v>27.434999999999999</v>
      </c>
      <c r="AL356">
        <v>1.6479999999999999</v>
      </c>
      <c r="AM356">
        <v>44.99</v>
      </c>
      <c r="AN356">
        <v>9.5850000000000009</v>
      </c>
      <c r="AO356">
        <v>54.649000000000001</v>
      </c>
      <c r="AP356">
        <v>-1.6479999999999999</v>
      </c>
      <c r="AQ356">
        <v>80.941000000000003</v>
      </c>
      <c r="AR356">
        <v>58.484999999999999</v>
      </c>
      <c r="AS356">
        <v>72.564999999999998</v>
      </c>
    </row>
    <row r="357" spans="1:45" x14ac:dyDescent="0.25">
      <c r="A357">
        <v>53</v>
      </c>
      <c r="B357">
        <v>7</v>
      </c>
      <c r="C357">
        <v>1</v>
      </c>
      <c r="D357">
        <v>2019</v>
      </c>
      <c r="E357">
        <v>7</v>
      </c>
      <c r="F357" t="str">
        <f>IFERROR(VLOOKUP(G357, Map!$A$1:$B$33, 2, FALSE),"WAS")</f>
        <v>IND</v>
      </c>
      <c r="G357" t="s">
        <v>138</v>
      </c>
      <c r="H357" t="str">
        <f>IFERROR(VLOOKUP(I357, Map!$A$1:$B$33, 2, FALSE),"WAS")</f>
        <v>HOU</v>
      </c>
      <c r="I357" t="s">
        <v>137</v>
      </c>
      <c r="J357" t="s">
        <v>177</v>
      </c>
      <c r="K357" t="s">
        <v>209</v>
      </c>
      <c r="L357">
        <v>1</v>
      </c>
      <c r="M357">
        <v>0</v>
      </c>
      <c r="N357">
        <v>42.923076923076898</v>
      </c>
      <c r="O357">
        <v>-1.34615384615385</v>
      </c>
      <c r="P357">
        <v>-1</v>
      </c>
      <c r="Q357">
        <v>36.5</v>
      </c>
      <c r="R357">
        <v>14.8</v>
      </c>
      <c r="S357">
        <v>21.3</v>
      </c>
      <c r="T357">
        <v>9.4</v>
      </c>
      <c r="U357">
        <v>13.8</v>
      </c>
      <c r="V357">
        <v>0.5</v>
      </c>
      <c r="W357">
        <v>0</v>
      </c>
      <c r="X357">
        <v>1</v>
      </c>
      <c r="Y357">
        <v>0.5</v>
      </c>
      <c r="Z357">
        <v>8.5</v>
      </c>
      <c r="AA357">
        <v>26.6</v>
      </c>
      <c r="AB357">
        <v>203</v>
      </c>
      <c r="AC357">
        <v>70</v>
      </c>
      <c r="AD357">
        <v>12.4</v>
      </c>
      <c r="AE357">
        <v>5.7</v>
      </c>
      <c r="AF357">
        <v>46.093000000000004</v>
      </c>
      <c r="AG357">
        <v>59.44</v>
      </c>
      <c r="AH357">
        <v>53.536999999999999</v>
      </c>
      <c r="AI357">
        <v>63.064</v>
      </c>
      <c r="AJ357">
        <v>75.076999999999998</v>
      </c>
      <c r="AK357">
        <v>74.665000000000006</v>
      </c>
      <c r="AL357">
        <v>-1.2689999999999999</v>
      </c>
      <c r="AM357">
        <v>53.536999999999999</v>
      </c>
      <c r="AN357">
        <v>59.44</v>
      </c>
      <c r="AO357">
        <v>46.093000000000004</v>
      </c>
      <c r="AP357">
        <v>1.2689999999999999</v>
      </c>
      <c r="AQ357">
        <v>24.922999999999998</v>
      </c>
      <c r="AR357">
        <v>36.936</v>
      </c>
      <c r="AS357">
        <v>25.335000000000001</v>
      </c>
    </row>
    <row r="358" spans="1:45" x14ac:dyDescent="0.25">
      <c r="A358">
        <v>52</v>
      </c>
      <c r="B358">
        <v>10</v>
      </c>
      <c r="C358">
        <v>1</v>
      </c>
      <c r="D358">
        <v>2019</v>
      </c>
      <c r="E358">
        <v>7</v>
      </c>
      <c r="F358" t="str">
        <f>IFERROR(VLOOKUP(G358, Map!$A$1:$B$33, 2, FALSE),"WAS")</f>
        <v>BUF</v>
      </c>
      <c r="G358" t="s">
        <v>165</v>
      </c>
      <c r="H358" t="str">
        <f>IFERROR(VLOOKUP(I358, Map!$A$1:$B$33, 2, FALSE),"WAS")</f>
        <v>MIA</v>
      </c>
      <c r="I358" t="s">
        <v>152</v>
      </c>
      <c r="J358" t="s">
        <v>180</v>
      </c>
      <c r="K358" t="s">
        <v>175</v>
      </c>
      <c r="L358">
        <v>1</v>
      </c>
      <c r="M358">
        <v>0</v>
      </c>
      <c r="N358">
        <v>38</v>
      </c>
      <c r="O358">
        <v>-15.7692307692308</v>
      </c>
      <c r="P358">
        <v>-17</v>
      </c>
      <c r="Q358">
        <v>32.5</v>
      </c>
      <c r="R358">
        <v>15.8</v>
      </c>
      <c r="S358">
        <v>22.3</v>
      </c>
      <c r="T358">
        <v>11.8</v>
      </c>
      <c r="U358">
        <v>14.4</v>
      </c>
      <c r="V358">
        <v>34.799999999999997</v>
      </c>
      <c r="W358">
        <v>0</v>
      </c>
      <c r="X358">
        <v>10</v>
      </c>
      <c r="Y358">
        <v>34.799999999999997</v>
      </c>
      <c r="Z358">
        <v>22.4</v>
      </c>
      <c r="AA358">
        <v>53.3</v>
      </c>
      <c r="AB358">
        <v>13</v>
      </c>
      <c r="AC358">
        <v>86</v>
      </c>
      <c r="AD358">
        <v>36.299999999999997</v>
      </c>
      <c r="AE358">
        <v>16.899999999999999</v>
      </c>
      <c r="AF358">
        <v>91.052999999999997</v>
      </c>
      <c r="AG358">
        <v>38.892000000000003</v>
      </c>
      <c r="AH358">
        <v>8.8759999999999994</v>
      </c>
      <c r="AI358">
        <v>52.335000000000001</v>
      </c>
      <c r="AJ358">
        <v>73.522999999999996</v>
      </c>
      <c r="AK358">
        <v>70.781999999999996</v>
      </c>
      <c r="AL358">
        <v>18.286999999999999</v>
      </c>
      <c r="AM358">
        <v>8.8759999999999994</v>
      </c>
      <c r="AN358">
        <v>38.892000000000003</v>
      </c>
      <c r="AO358">
        <v>91.052999999999997</v>
      </c>
      <c r="AP358">
        <v>-18.286999999999999</v>
      </c>
      <c r="AQ358">
        <v>26.477</v>
      </c>
      <c r="AR358">
        <v>47.664999999999999</v>
      </c>
      <c r="AS358">
        <v>29.218</v>
      </c>
    </row>
    <row r="359" spans="1:45" x14ac:dyDescent="0.25">
      <c r="A359">
        <v>44</v>
      </c>
      <c r="B359">
        <v>-10</v>
      </c>
      <c r="C359">
        <v>0</v>
      </c>
      <c r="D359">
        <v>2019</v>
      </c>
      <c r="E359">
        <v>7</v>
      </c>
      <c r="F359" t="str">
        <f>IFERROR(VLOOKUP(G359, Map!$A$1:$B$33, 2, FALSE),"WAS")</f>
        <v>CIN</v>
      </c>
      <c r="G359" t="s">
        <v>161</v>
      </c>
      <c r="H359" t="str">
        <f>IFERROR(VLOOKUP(I359, Map!$A$1:$B$33, 2, FALSE),"WAS")</f>
        <v>JAX</v>
      </c>
      <c r="I359" t="s">
        <v>139</v>
      </c>
      <c r="J359" t="s">
        <v>176</v>
      </c>
      <c r="K359" t="s">
        <v>220</v>
      </c>
      <c r="L359">
        <v>0</v>
      </c>
      <c r="M359">
        <v>0</v>
      </c>
      <c r="N359">
        <v>38.346153846153797</v>
      </c>
      <c r="O359">
        <v>4.0384615384615401</v>
      </c>
      <c r="P359">
        <v>4</v>
      </c>
      <c r="Q359">
        <v>20.5</v>
      </c>
      <c r="R359">
        <v>16.600000000000001</v>
      </c>
      <c r="S359">
        <v>22.6</v>
      </c>
      <c r="T359">
        <v>11.9</v>
      </c>
      <c r="U359">
        <v>15.9</v>
      </c>
      <c r="V359">
        <v>0</v>
      </c>
      <c r="W359">
        <v>0</v>
      </c>
      <c r="X359">
        <v>0</v>
      </c>
      <c r="Y359">
        <v>0</v>
      </c>
      <c r="Z359">
        <v>13.3</v>
      </c>
      <c r="AA359">
        <v>25.9</v>
      </c>
      <c r="AB359">
        <v>180</v>
      </c>
      <c r="AC359">
        <v>68</v>
      </c>
      <c r="AD359">
        <v>15.2</v>
      </c>
      <c r="AE359">
        <v>6.1</v>
      </c>
      <c r="AF359">
        <v>42.545000000000002</v>
      </c>
      <c r="AG359">
        <v>7.1539999999999999</v>
      </c>
      <c r="AH359">
        <v>57.113999999999997</v>
      </c>
      <c r="AI359">
        <v>48.884999999999998</v>
      </c>
      <c r="AJ359">
        <v>9.3659999999999997</v>
      </c>
      <c r="AK359">
        <v>26.356000000000002</v>
      </c>
      <c r="AL359">
        <v>-2.4940000000000002</v>
      </c>
      <c r="AM359">
        <v>57.113999999999997</v>
      </c>
      <c r="AN359">
        <v>7.1539999999999999</v>
      </c>
      <c r="AO359">
        <v>42.545000000000002</v>
      </c>
      <c r="AP359">
        <v>2.4940000000000002</v>
      </c>
      <c r="AQ359">
        <v>90.634</v>
      </c>
      <c r="AR359">
        <v>51.115000000000002</v>
      </c>
      <c r="AS359">
        <v>73.644000000000005</v>
      </c>
    </row>
    <row r="360" spans="1:45" x14ac:dyDescent="0.25">
      <c r="A360">
        <v>36</v>
      </c>
      <c r="B360">
        <v>-24</v>
      </c>
      <c r="C360">
        <v>0</v>
      </c>
      <c r="D360">
        <v>2019</v>
      </c>
      <c r="E360">
        <v>7</v>
      </c>
      <c r="F360" t="str">
        <f>IFERROR(VLOOKUP(G360, Map!$A$1:$B$33, 2, FALSE),"WAS")</f>
        <v>DEN</v>
      </c>
      <c r="G360" t="s">
        <v>159</v>
      </c>
      <c r="H360" t="str">
        <f>IFERROR(VLOOKUP(I360, Map!$A$1:$B$33, 2, FALSE),"WAS")</f>
        <v>KC</v>
      </c>
      <c r="I360" t="s">
        <v>158</v>
      </c>
      <c r="J360" t="s">
        <v>183</v>
      </c>
      <c r="K360" t="s">
        <v>202</v>
      </c>
      <c r="L360">
        <v>0</v>
      </c>
      <c r="M360">
        <v>0</v>
      </c>
      <c r="N360">
        <v>41.307692307692299</v>
      </c>
      <c r="O360">
        <v>2.8846153846153899</v>
      </c>
      <c r="P360">
        <v>2.5</v>
      </c>
      <c r="Q360">
        <v>0</v>
      </c>
      <c r="R360">
        <v>11.7</v>
      </c>
      <c r="S360">
        <v>18.100000000000001</v>
      </c>
      <c r="T360">
        <v>5.9</v>
      </c>
      <c r="U360">
        <v>7.3</v>
      </c>
      <c r="V360">
        <v>0</v>
      </c>
      <c r="W360">
        <v>0</v>
      </c>
      <c r="X360">
        <v>0</v>
      </c>
      <c r="Y360">
        <v>0</v>
      </c>
      <c r="Z360">
        <v>27.6</v>
      </c>
      <c r="AA360">
        <v>51.5</v>
      </c>
      <c r="AB360">
        <v>285</v>
      </c>
      <c r="AC360">
        <v>37</v>
      </c>
      <c r="AD360">
        <v>24.7</v>
      </c>
      <c r="AE360">
        <v>13</v>
      </c>
      <c r="AF360">
        <v>35.975999999999999</v>
      </c>
      <c r="AG360">
        <v>77.837000000000003</v>
      </c>
      <c r="AH360">
        <v>63.734999999999999</v>
      </c>
      <c r="AI360">
        <v>34.218000000000004</v>
      </c>
      <c r="AJ360">
        <v>5.5389999999999997</v>
      </c>
      <c r="AK360">
        <v>4.4279999999999999</v>
      </c>
      <c r="AL360">
        <v>-4.8250000000000002</v>
      </c>
      <c r="AM360">
        <v>63.734999999999999</v>
      </c>
      <c r="AN360">
        <v>77.837000000000003</v>
      </c>
      <c r="AO360">
        <v>35.975999999999999</v>
      </c>
      <c r="AP360">
        <v>4.8250000000000002</v>
      </c>
      <c r="AQ360">
        <v>94.460999999999999</v>
      </c>
      <c r="AR360">
        <v>65.781999999999996</v>
      </c>
      <c r="AS360">
        <v>95.572000000000003</v>
      </c>
    </row>
    <row r="361" spans="1:45" x14ac:dyDescent="0.25">
      <c r="A361">
        <v>46</v>
      </c>
      <c r="B361">
        <v>-14</v>
      </c>
      <c r="C361">
        <v>0</v>
      </c>
      <c r="D361">
        <v>2019</v>
      </c>
      <c r="E361">
        <v>7</v>
      </c>
      <c r="F361" t="str">
        <f>IFERROR(VLOOKUP(G361, Map!$A$1:$B$33, 2, FALSE),"WAS")</f>
        <v>SEA</v>
      </c>
      <c r="G361" t="s">
        <v>144</v>
      </c>
      <c r="H361" t="str">
        <f>IFERROR(VLOOKUP(I361, Map!$A$1:$B$33, 2, FALSE),"WAS")</f>
        <v>BAL</v>
      </c>
      <c r="I361" t="s">
        <v>146</v>
      </c>
      <c r="J361" t="s">
        <v>182</v>
      </c>
      <c r="K361" t="s">
        <v>181</v>
      </c>
      <c r="L361">
        <v>0</v>
      </c>
      <c r="M361">
        <v>0</v>
      </c>
      <c r="N361">
        <v>43.153846153846203</v>
      </c>
      <c r="O361">
        <v>-2.7307692307692299</v>
      </c>
      <c r="P361">
        <v>-2.5</v>
      </c>
      <c r="Q361">
        <v>33.5</v>
      </c>
      <c r="R361">
        <v>9.1999999999999993</v>
      </c>
      <c r="S361">
        <v>12</v>
      </c>
      <c r="T361">
        <v>7.7</v>
      </c>
      <c r="U361">
        <v>6.3</v>
      </c>
      <c r="V361">
        <v>1.3</v>
      </c>
      <c r="W361">
        <v>0</v>
      </c>
      <c r="X361">
        <v>9</v>
      </c>
      <c r="Y361">
        <v>1.3</v>
      </c>
      <c r="Z361">
        <v>25.6</v>
      </c>
      <c r="AA361">
        <v>43.9</v>
      </c>
      <c r="AB361">
        <v>162</v>
      </c>
      <c r="AC361">
        <v>87</v>
      </c>
      <c r="AD361">
        <v>27.2</v>
      </c>
      <c r="AE361">
        <v>14.5</v>
      </c>
      <c r="AF361">
        <v>64.058000000000007</v>
      </c>
      <c r="AG361">
        <v>92.084999999999994</v>
      </c>
      <c r="AH361">
        <v>35.655999999999999</v>
      </c>
      <c r="AI361">
        <v>27.898</v>
      </c>
      <c r="AJ361">
        <v>27.079000000000001</v>
      </c>
      <c r="AK361">
        <v>24.225000000000001</v>
      </c>
      <c r="AL361">
        <v>4.9420000000000002</v>
      </c>
      <c r="AM361">
        <v>35.655999999999999</v>
      </c>
      <c r="AN361">
        <v>92.084999999999994</v>
      </c>
      <c r="AO361">
        <v>64.058000000000007</v>
      </c>
      <c r="AP361">
        <v>-4.9420000000000002</v>
      </c>
      <c r="AQ361">
        <v>72.921000000000006</v>
      </c>
      <c r="AR361">
        <v>72.102000000000004</v>
      </c>
      <c r="AS361">
        <v>75.775000000000006</v>
      </c>
    </row>
    <row r="362" spans="1:45" x14ac:dyDescent="0.25">
      <c r="A362">
        <v>66</v>
      </c>
      <c r="B362">
        <v>18</v>
      </c>
      <c r="C362">
        <v>1</v>
      </c>
      <c r="D362">
        <v>2019</v>
      </c>
      <c r="E362">
        <v>7</v>
      </c>
      <c r="F362" t="str">
        <f>IFERROR(VLOOKUP(G362, Map!$A$1:$B$33, 2, FALSE),"WAS")</f>
        <v>GB</v>
      </c>
      <c r="G362" t="s">
        <v>154</v>
      </c>
      <c r="H362" t="str">
        <f>IFERROR(VLOOKUP(I362, Map!$A$1:$B$33, 2, FALSE),"WAS")</f>
        <v>LV</v>
      </c>
      <c r="I362" t="s">
        <v>157</v>
      </c>
      <c r="J362" t="s">
        <v>200</v>
      </c>
      <c r="K362" t="s">
        <v>179</v>
      </c>
      <c r="L362">
        <v>1</v>
      </c>
      <c r="M362">
        <v>0</v>
      </c>
      <c r="N362">
        <v>44.884615384615401</v>
      </c>
      <c r="O362">
        <v>-5.1923076923076898</v>
      </c>
      <c r="P362">
        <v>-5.5</v>
      </c>
      <c r="Q362">
        <v>47.5</v>
      </c>
      <c r="R362">
        <v>10.6</v>
      </c>
      <c r="S362">
        <v>16.899999999999999</v>
      </c>
      <c r="T362">
        <v>4.7</v>
      </c>
      <c r="U362">
        <v>9.1</v>
      </c>
      <c r="V362">
        <v>1.1000000000000001</v>
      </c>
      <c r="W362">
        <v>0</v>
      </c>
      <c r="X362">
        <v>4</v>
      </c>
      <c r="Y362">
        <v>1.1000000000000001</v>
      </c>
      <c r="Z362">
        <v>8.4</v>
      </c>
      <c r="AA362">
        <v>18</v>
      </c>
      <c r="AB362">
        <v>249</v>
      </c>
      <c r="AC362">
        <v>81</v>
      </c>
      <c r="AD362">
        <v>11.6</v>
      </c>
      <c r="AE362">
        <v>5.4</v>
      </c>
      <c r="AF362">
        <v>71.975999999999999</v>
      </c>
      <c r="AG362">
        <v>49.24</v>
      </c>
      <c r="AH362">
        <v>27.800999999999998</v>
      </c>
      <c r="AI362">
        <v>24.811</v>
      </c>
      <c r="AJ362">
        <v>99.715000000000003</v>
      </c>
      <c r="AK362">
        <v>88.688999999999993</v>
      </c>
      <c r="AL362">
        <v>7.952</v>
      </c>
      <c r="AM362">
        <v>27.800999999999998</v>
      </c>
      <c r="AN362">
        <v>49.24</v>
      </c>
      <c r="AO362">
        <v>71.975999999999999</v>
      </c>
      <c r="AP362">
        <v>-7.952</v>
      </c>
      <c r="AQ362">
        <v>0.28499999999999998</v>
      </c>
      <c r="AR362">
        <v>75.188999999999993</v>
      </c>
      <c r="AS362">
        <v>11.311</v>
      </c>
    </row>
    <row r="363" spans="1:45" x14ac:dyDescent="0.25">
      <c r="A363">
        <v>61</v>
      </c>
      <c r="B363">
        <v>-11</v>
      </c>
      <c r="C363">
        <v>0</v>
      </c>
      <c r="D363">
        <v>2019</v>
      </c>
      <c r="E363">
        <v>7</v>
      </c>
      <c r="F363" t="str">
        <f>IFERROR(VLOOKUP(G363, Map!$A$1:$B$33, 2, FALSE),"WAS")</f>
        <v>CHI</v>
      </c>
      <c r="G363" t="s">
        <v>163</v>
      </c>
      <c r="H363" t="str">
        <f>IFERROR(VLOOKUP(I363, Map!$A$1:$B$33, 2, FALSE),"WAS")</f>
        <v>NO</v>
      </c>
      <c r="I363" t="s">
        <v>168</v>
      </c>
      <c r="J363" t="s">
        <v>216</v>
      </c>
      <c r="K363" t="s">
        <v>192</v>
      </c>
      <c r="L363">
        <v>0</v>
      </c>
      <c r="M363">
        <v>0</v>
      </c>
      <c r="N363">
        <v>35.384615384615401</v>
      </c>
      <c r="O363">
        <v>-4.0384615384615401</v>
      </c>
      <c r="P363">
        <v>-4</v>
      </c>
      <c r="Q363">
        <v>35.5</v>
      </c>
      <c r="R363">
        <v>11.8</v>
      </c>
      <c r="S363">
        <v>14.6</v>
      </c>
      <c r="T363">
        <v>8.8000000000000007</v>
      </c>
      <c r="U363">
        <v>10</v>
      </c>
      <c r="V363">
        <v>0.1</v>
      </c>
      <c r="W363">
        <v>0</v>
      </c>
      <c r="X363">
        <v>1</v>
      </c>
      <c r="Y363">
        <v>0.1</v>
      </c>
      <c r="Z363">
        <v>19.100000000000001</v>
      </c>
      <c r="AA363">
        <v>26.6</v>
      </c>
      <c r="AB363">
        <v>311</v>
      </c>
      <c r="AC363">
        <v>86</v>
      </c>
      <c r="AD363">
        <v>18.8</v>
      </c>
      <c r="AE363">
        <v>11.3</v>
      </c>
      <c r="AF363">
        <v>59.54</v>
      </c>
      <c r="AG363">
        <v>76.2</v>
      </c>
      <c r="AH363">
        <v>40.137999999999998</v>
      </c>
      <c r="AI363">
        <v>31.885000000000002</v>
      </c>
      <c r="AJ363">
        <v>1.9370000000000001</v>
      </c>
      <c r="AK363">
        <v>15.308999999999999</v>
      </c>
      <c r="AL363">
        <v>3.3359999999999999</v>
      </c>
      <c r="AM363">
        <v>40.137999999999998</v>
      </c>
      <c r="AN363">
        <v>76.2</v>
      </c>
      <c r="AO363">
        <v>59.54</v>
      </c>
      <c r="AP363">
        <v>-3.3359999999999999</v>
      </c>
      <c r="AQ363">
        <v>98.063000000000002</v>
      </c>
      <c r="AR363">
        <v>68.114999999999995</v>
      </c>
      <c r="AS363">
        <v>84.691000000000003</v>
      </c>
    </row>
    <row r="364" spans="1:45" x14ac:dyDescent="0.25">
      <c r="A364">
        <v>55</v>
      </c>
      <c r="B364">
        <v>-7</v>
      </c>
      <c r="C364">
        <v>0</v>
      </c>
      <c r="D364">
        <v>2019</v>
      </c>
      <c r="E364">
        <v>8</v>
      </c>
      <c r="F364" t="str">
        <f>IFERROR(VLOOKUP(G364, Map!$A$1:$B$33, 2, FALSE),"WAS")</f>
        <v>KC</v>
      </c>
      <c r="G364" t="s">
        <v>158</v>
      </c>
      <c r="H364" t="str">
        <f>IFERROR(VLOOKUP(I364, Map!$A$1:$B$33, 2, FALSE),"WAS")</f>
        <v>GB</v>
      </c>
      <c r="I364" t="s">
        <v>154</v>
      </c>
      <c r="J364" t="s">
        <v>202</v>
      </c>
      <c r="K364" t="s">
        <v>200</v>
      </c>
      <c r="L364">
        <v>0</v>
      </c>
      <c r="M364">
        <v>0</v>
      </c>
      <c r="N364">
        <v>44.5</v>
      </c>
      <c r="O364">
        <v>4.4285714285714297</v>
      </c>
      <c r="P364">
        <v>3</v>
      </c>
      <c r="Q364">
        <v>40.5</v>
      </c>
      <c r="R364">
        <v>6.1</v>
      </c>
      <c r="S364">
        <v>11.4</v>
      </c>
      <c r="T364">
        <v>3.7</v>
      </c>
      <c r="U364">
        <v>2</v>
      </c>
      <c r="V364">
        <v>1.6</v>
      </c>
      <c r="W364">
        <v>0</v>
      </c>
      <c r="X364">
        <v>7</v>
      </c>
      <c r="Y364">
        <v>1.6</v>
      </c>
      <c r="Z364">
        <v>20.8</v>
      </c>
      <c r="AA364">
        <v>37.799999999999997</v>
      </c>
      <c r="AB364">
        <v>352</v>
      </c>
      <c r="AC364">
        <v>72</v>
      </c>
      <c r="AD364">
        <v>28.5</v>
      </c>
      <c r="AE364">
        <v>14.6</v>
      </c>
      <c r="AF364">
        <v>50.582000000000001</v>
      </c>
      <c r="AG364">
        <v>74.462000000000003</v>
      </c>
      <c r="AH364">
        <v>49.024000000000001</v>
      </c>
      <c r="AI364">
        <v>12.942</v>
      </c>
      <c r="AJ364">
        <v>66.679000000000002</v>
      </c>
      <c r="AK364">
        <v>31.059000000000001</v>
      </c>
      <c r="AL364">
        <v>0.26400000000000001</v>
      </c>
      <c r="AM364">
        <v>49.024000000000001</v>
      </c>
      <c r="AN364">
        <v>74.462000000000003</v>
      </c>
      <c r="AO364">
        <v>50.582000000000001</v>
      </c>
      <c r="AP364">
        <v>-0.26400000000000001</v>
      </c>
      <c r="AQ364">
        <v>33.320999999999998</v>
      </c>
      <c r="AR364">
        <v>87.058000000000007</v>
      </c>
      <c r="AS364">
        <v>68.941000000000003</v>
      </c>
    </row>
    <row r="365" spans="1:45" x14ac:dyDescent="0.25">
      <c r="A365">
        <v>40</v>
      </c>
      <c r="B365">
        <v>22</v>
      </c>
      <c r="C365">
        <v>1</v>
      </c>
      <c r="D365">
        <v>2019</v>
      </c>
      <c r="E365">
        <v>8</v>
      </c>
      <c r="F365" t="str">
        <f>IFERROR(VLOOKUP(G365, Map!$A$1:$B$33, 2, FALSE),"WAS")</f>
        <v>NO</v>
      </c>
      <c r="G365" t="s">
        <v>168</v>
      </c>
      <c r="H365" t="str">
        <f>IFERROR(VLOOKUP(I365, Map!$A$1:$B$33, 2, FALSE),"WAS")</f>
        <v>ARI</v>
      </c>
      <c r="I365" t="s">
        <v>156</v>
      </c>
      <c r="J365" t="s">
        <v>192</v>
      </c>
      <c r="K365" t="s">
        <v>190</v>
      </c>
      <c r="L365">
        <v>1</v>
      </c>
      <c r="M365">
        <v>0</v>
      </c>
      <c r="N365">
        <v>42.653846153846203</v>
      </c>
      <c r="O365">
        <v>-11.0769230769231</v>
      </c>
      <c r="P365">
        <v>-9.5</v>
      </c>
      <c r="Q365">
        <v>26.5</v>
      </c>
      <c r="R365">
        <v>16.600000000000001</v>
      </c>
      <c r="S365">
        <v>19</v>
      </c>
      <c r="T365">
        <v>13.7</v>
      </c>
      <c r="U365">
        <v>16.399999999999999</v>
      </c>
      <c r="V365">
        <v>0</v>
      </c>
      <c r="W365">
        <v>0</v>
      </c>
      <c r="X365">
        <v>0</v>
      </c>
      <c r="Y365">
        <v>0</v>
      </c>
      <c r="Z365">
        <v>13</v>
      </c>
      <c r="AA365">
        <v>23.4</v>
      </c>
      <c r="AB365">
        <v>309</v>
      </c>
      <c r="AC365">
        <v>78</v>
      </c>
      <c r="AD365">
        <v>17.100000000000001</v>
      </c>
      <c r="AE365">
        <v>7.5</v>
      </c>
      <c r="AF365">
        <v>83.546999999999997</v>
      </c>
      <c r="AG365">
        <v>52.707000000000001</v>
      </c>
      <c r="AH365">
        <v>16.321999999999999</v>
      </c>
      <c r="AI365">
        <v>91.632000000000005</v>
      </c>
      <c r="AJ365">
        <v>78.418000000000006</v>
      </c>
      <c r="AK365">
        <v>84.641000000000005</v>
      </c>
      <c r="AL365">
        <v>13.231</v>
      </c>
      <c r="AM365">
        <v>16.321999999999999</v>
      </c>
      <c r="AN365">
        <v>52.707000000000001</v>
      </c>
      <c r="AO365">
        <v>83.546999999999997</v>
      </c>
      <c r="AP365">
        <v>-13.231</v>
      </c>
      <c r="AQ365">
        <v>21.582000000000001</v>
      </c>
      <c r="AR365">
        <v>8.3680000000000003</v>
      </c>
      <c r="AS365">
        <v>15.359</v>
      </c>
    </row>
    <row r="366" spans="1:45" x14ac:dyDescent="0.25">
      <c r="A366">
        <v>34</v>
      </c>
      <c r="B366">
        <v>14</v>
      </c>
      <c r="C366">
        <v>1</v>
      </c>
      <c r="D366">
        <v>2019</v>
      </c>
      <c r="E366">
        <v>8</v>
      </c>
      <c r="F366" t="str">
        <f>IFERROR(VLOOKUP(G366, Map!$A$1:$B$33, 2, FALSE),"WAS")</f>
        <v>LA</v>
      </c>
      <c r="G366" t="s">
        <v>155</v>
      </c>
      <c r="H366" t="str">
        <f>IFERROR(VLOOKUP(I366, Map!$A$1:$B$33, 2, FALSE),"WAS")</f>
        <v>CIN</v>
      </c>
      <c r="I366" t="s">
        <v>161</v>
      </c>
      <c r="J366" t="s">
        <v>178</v>
      </c>
      <c r="K366" t="s">
        <v>176</v>
      </c>
      <c r="L366">
        <v>1</v>
      </c>
      <c r="M366">
        <v>0</v>
      </c>
      <c r="N366">
        <v>43.142857142857103</v>
      </c>
      <c r="O366">
        <v>-11.3214285714286</v>
      </c>
      <c r="P366">
        <v>-11.5</v>
      </c>
      <c r="Q366">
        <v>35.5</v>
      </c>
      <c r="R366">
        <v>6.7</v>
      </c>
      <c r="S366">
        <v>11.5</v>
      </c>
      <c r="T366">
        <v>2.7</v>
      </c>
      <c r="U366">
        <v>3.9</v>
      </c>
      <c r="V366">
        <v>0</v>
      </c>
      <c r="W366">
        <v>0</v>
      </c>
      <c r="X366">
        <v>0</v>
      </c>
      <c r="Y366">
        <v>0</v>
      </c>
      <c r="Z366">
        <v>11.6</v>
      </c>
      <c r="AA366">
        <v>21.6</v>
      </c>
      <c r="AB366">
        <v>297</v>
      </c>
      <c r="AC366">
        <v>81</v>
      </c>
      <c r="AD366">
        <v>15.8</v>
      </c>
      <c r="AE366">
        <v>9.1</v>
      </c>
      <c r="AF366">
        <v>79.165000000000006</v>
      </c>
      <c r="AG366">
        <v>38.067</v>
      </c>
      <c r="AH366">
        <v>20.669</v>
      </c>
      <c r="AI366">
        <v>44.081000000000003</v>
      </c>
      <c r="AJ366">
        <v>97.608999999999995</v>
      </c>
      <c r="AK366">
        <v>84.010999999999996</v>
      </c>
      <c r="AL366">
        <v>11.019</v>
      </c>
      <c r="AM366">
        <v>20.669</v>
      </c>
      <c r="AN366">
        <v>38.067</v>
      </c>
      <c r="AO366">
        <v>79.165000000000006</v>
      </c>
      <c r="AP366">
        <v>-11.019</v>
      </c>
      <c r="AQ366">
        <v>2.391</v>
      </c>
      <c r="AR366">
        <v>55.918999999999997</v>
      </c>
      <c r="AS366">
        <v>15.989000000000001</v>
      </c>
    </row>
    <row r="367" spans="1:45" x14ac:dyDescent="0.25">
      <c r="A367">
        <v>51</v>
      </c>
      <c r="B367">
        <v>3</v>
      </c>
      <c r="C367">
        <v>1</v>
      </c>
      <c r="D367">
        <v>2019</v>
      </c>
      <c r="E367">
        <v>8</v>
      </c>
      <c r="F367" t="str">
        <f>IFERROR(VLOOKUP(G367, Map!$A$1:$B$33, 2, FALSE),"WAS")</f>
        <v>HOU</v>
      </c>
      <c r="G367" t="s">
        <v>137</v>
      </c>
      <c r="H367" t="str">
        <f>IFERROR(VLOOKUP(I367, Map!$A$1:$B$33, 2, FALSE),"WAS")</f>
        <v>LV</v>
      </c>
      <c r="I367" t="s">
        <v>157</v>
      </c>
      <c r="J367" t="s">
        <v>209</v>
      </c>
      <c r="K367" t="s">
        <v>179</v>
      </c>
      <c r="L367">
        <v>1</v>
      </c>
      <c r="M367">
        <v>0</v>
      </c>
      <c r="N367">
        <v>47.071428571428598</v>
      </c>
      <c r="O367">
        <v>-5.4285714285714297</v>
      </c>
      <c r="P367">
        <v>-5</v>
      </c>
      <c r="Q367">
        <v>34.5</v>
      </c>
      <c r="R367">
        <v>16.600000000000001</v>
      </c>
      <c r="S367">
        <v>23.8</v>
      </c>
      <c r="T367">
        <v>10.8</v>
      </c>
      <c r="U367">
        <v>16.100000000000001</v>
      </c>
      <c r="V367">
        <v>0</v>
      </c>
      <c r="W367">
        <v>0</v>
      </c>
      <c r="X367">
        <v>0</v>
      </c>
      <c r="Y367">
        <v>0</v>
      </c>
      <c r="Z367">
        <v>15.7</v>
      </c>
      <c r="AA367">
        <v>27.7</v>
      </c>
      <c r="AB367">
        <v>152</v>
      </c>
      <c r="AC367">
        <v>73</v>
      </c>
      <c r="AD367">
        <v>13.8</v>
      </c>
      <c r="AE367">
        <v>7.4</v>
      </c>
      <c r="AF367">
        <v>81.36</v>
      </c>
      <c r="AG367">
        <v>47.698</v>
      </c>
      <c r="AH367">
        <v>18.491</v>
      </c>
      <c r="AI367">
        <v>19.619</v>
      </c>
      <c r="AJ367">
        <v>76.433999999999997</v>
      </c>
      <c r="AK367">
        <v>57.430999999999997</v>
      </c>
      <c r="AL367">
        <v>12.087</v>
      </c>
      <c r="AM367">
        <v>18.491</v>
      </c>
      <c r="AN367">
        <v>47.698</v>
      </c>
      <c r="AO367">
        <v>81.36</v>
      </c>
      <c r="AP367">
        <v>-12.087</v>
      </c>
      <c r="AQ367">
        <v>23.565999999999999</v>
      </c>
      <c r="AR367">
        <v>80.381</v>
      </c>
      <c r="AS367">
        <v>42.569000000000003</v>
      </c>
    </row>
    <row r="368" spans="1:45" x14ac:dyDescent="0.25">
      <c r="A368">
        <v>28</v>
      </c>
      <c r="B368">
        <v>10</v>
      </c>
      <c r="C368">
        <v>1</v>
      </c>
      <c r="D368">
        <v>2019</v>
      </c>
      <c r="E368">
        <v>8</v>
      </c>
      <c r="F368" t="str">
        <f>IFERROR(VLOOKUP(G368, Map!$A$1:$B$33, 2, FALSE),"WAS")</f>
        <v>MIN</v>
      </c>
      <c r="G368" t="s">
        <v>153</v>
      </c>
      <c r="H368" t="str">
        <f>IFERROR(VLOOKUP(I368, Map!$A$1:$B$33, 2, FALSE),"WAS")</f>
        <v>WAS</v>
      </c>
      <c r="I368" t="s">
        <v>169</v>
      </c>
      <c r="J368" t="s">
        <v>214</v>
      </c>
      <c r="K368" t="s">
        <v>205</v>
      </c>
      <c r="L368">
        <v>1</v>
      </c>
      <c r="M368">
        <v>0</v>
      </c>
      <c r="N368">
        <v>37.178571428571402</v>
      </c>
      <c r="O368">
        <v>-15.25</v>
      </c>
      <c r="P368">
        <v>-15.5</v>
      </c>
      <c r="Q368">
        <v>28.5</v>
      </c>
      <c r="R368">
        <v>2.9</v>
      </c>
      <c r="S368">
        <v>11.4</v>
      </c>
      <c r="T368">
        <v>-2.2999999999999998</v>
      </c>
      <c r="U368">
        <v>-1.2</v>
      </c>
      <c r="V368">
        <v>0</v>
      </c>
      <c r="W368">
        <v>0</v>
      </c>
      <c r="X368">
        <v>0</v>
      </c>
      <c r="Y368">
        <v>0</v>
      </c>
      <c r="Z368">
        <v>17.899999999999999</v>
      </c>
      <c r="AA368">
        <v>35.6</v>
      </c>
      <c r="AB368">
        <v>192</v>
      </c>
      <c r="AC368">
        <v>71</v>
      </c>
      <c r="AD368">
        <v>19.899999999999999</v>
      </c>
      <c r="AE368">
        <v>11.4</v>
      </c>
      <c r="AF368">
        <v>91.608000000000004</v>
      </c>
      <c r="AG368">
        <v>49.454999999999998</v>
      </c>
      <c r="AH368">
        <v>8.3249999999999993</v>
      </c>
      <c r="AI368">
        <v>81.408000000000001</v>
      </c>
      <c r="AJ368">
        <v>62.706000000000003</v>
      </c>
      <c r="AK368">
        <v>79.656999999999996</v>
      </c>
      <c r="AL368">
        <v>18.675000000000001</v>
      </c>
      <c r="AM368">
        <v>8.3249999999999993</v>
      </c>
      <c r="AN368">
        <v>49.454999999999998</v>
      </c>
      <c r="AO368">
        <v>91.608000000000004</v>
      </c>
      <c r="AP368">
        <v>-18.675000000000001</v>
      </c>
      <c r="AQ368">
        <v>37.293999999999997</v>
      </c>
      <c r="AR368">
        <v>18.591999999999999</v>
      </c>
      <c r="AS368">
        <v>20.343</v>
      </c>
    </row>
    <row r="369" spans="1:45" x14ac:dyDescent="0.25">
      <c r="A369">
        <v>64</v>
      </c>
      <c r="B369">
        <v>38</v>
      </c>
      <c r="C369">
        <v>1</v>
      </c>
      <c r="D369">
        <v>2019</v>
      </c>
      <c r="E369">
        <v>8</v>
      </c>
      <c r="F369" t="str">
        <f>IFERROR(VLOOKUP(G369, Map!$A$1:$B$33, 2, FALSE),"WAS")</f>
        <v>SF</v>
      </c>
      <c r="G369" t="s">
        <v>143</v>
      </c>
      <c r="H369" t="str">
        <f>IFERROR(VLOOKUP(I369, Map!$A$1:$B$33, 2, FALSE),"WAS")</f>
        <v>CAR</v>
      </c>
      <c r="I369" t="s">
        <v>142</v>
      </c>
      <c r="J369" t="s">
        <v>197</v>
      </c>
      <c r="K369" t="s">
        <v>185</v>
      </c>
      <c r="L369">
        <v>1</v>
      </c>
      <c r="M369">
        <v>0</v>
      </c>
      <c r="N369">
        <v>39.107142857142897</v>
      </c>
      <c r="O369">
        <v>-4.1071428571428603</v>
      </c>
      <c r="P369">
        <v>-4</v>
      </c>
      <c r="Q369">
        <v>39.5</v>
      </c>
      <c r="R369">
        <v>16.899999999999999</v>
      </c>
      <c r="S369">
        <v>25.5</v>
      </c>
      <c r="T369">
        <v>12</v>
      </c>
      <c r="U369">
        <v>13</v>
      </c>
      <c r="V369">
        <v>0</v>
      </c>
      <c r="W369">
        <v>0</v>
      </c>
      <c r="X369">
        <v>0</v>
      </c>
      <c r="Y369">
        <v>0</v>
      </c>
      <c r="Z369">
        <v>30.6</v>
      </c>
      <c r="AA369">
        <v>51.5</v>
      </c>
      <c r="AB369">
        <v>335</v>
      </c>
      <c r="AC369">
        <v>40</v>
      </c>
      <c r="AD369">
        <v>26.3</v>
      </c>
      <c r="AE369">
        <v>15.4</v>
      </c>
      <c r="AF369">
        <v>70.486000000000004</v>
      </c>
      <c r="AG369">
        <v>50.201999999999998</v>
      </c>
      <c r="AH369">
        <v>29.279</v>
      </c>
      <c r="AI369">
        <v>98.6</v>
      </c>
      <c r="AJ369">
        <v>92.426000000000002</v>
      </c>
      <c r="AK369">
        <v>98.876999999999995</v>
      </c>
      <c r="AL369">
        <v>7.3250000000000002</v>
      </c>
      <c r="AM369">
        <v>29.279</v>
      </c>
      <c r="AN369">
        <v>50.201999999999998</v>
      </c>
      <c r="AO369">
        <v>70.486000000000004</v>
      </c>
      <c r="AP369">
        <v>-7.3250000000000002</v>
      </c>
      <c r="AQ369">
        <v>7.5739999999999998</v>
      </c>
      <c r="AR369">
        <v>1.4</v>
      </c>
      <c r="AS369">
        <v>1.123</v>
      </c>
    </row>
    <row r="370" spans="1:45" x14ac:dyDescent="0.25">
      <c r="A370">
        <v>44</v>
      </c>
      <c r="B370">
        <v>14</v>
      </c>
      <c r="C370">
        <v>1</v>
      </c>
      <c r="D370">
        <v>2019</v>
      </c>
      <c r="E370">
        <v>8</v>
      </c>
      <c r="F370" t="str">
        <f>IFERROR(VLOOKUP(G370, Map!$A$1:$B$33, 2, FALSE),"WAS")</f>
        <v>JAX</v>
      </c>
      <c r="G370" t="s">
        <v>139</v>
      </c>
      <c r="H370" t="str">
        <f>IFERROR(VLOOKUP(I370, Map!$A$1:$B$33, 2, FALSE),"WAS")</f>
        <v>NYJ</v>
      </c>
      <c r="I370" t="s">
        <v>166</v>
      </c>
      <c r="J370" t="s">
        <v>220</v>
      </c>
      <c r="K370" t="s">
        <v>172</v>
      </c>
      <c r="L370">
        <v>1</v>
      </c>
      <c r="M370">
        <v>0</v>
      </c>
      <c r="N370">
        <v>37.142857142857103</v>
      </c>
      <c r="O370">
        <v>-6.1785714285714297</v>
      </c>
      <c r="P370">
        <v>-5.5</v>
      </c>
      <c r="Q370">
        <v>32.5</v>
      </c>
      <c r="R370">
        <v>25.4</v>
      </c>
      <c r="S370">
        <v>28.9</v>
      </c>
      <c r="T370">
        <v>23.5</v>
      </c>
      <c r="U370">
        <v>28.9</v>
      </c>
      <c r="V370">
        <v>3.2</v>
      </c>
      <c r="W370">
        <v>0</v>
      </c>
      <c r="X370">
        <v>8</v>
      </c>
      <c r="Y370">
        <v>3.2</v>
      </c>
      <c r="Z370">
        <v>23</v>
      </c>
      <c r="AA370">
        <v>41</v>
      </c>
      <c r="AB370">
        <v>205</v>
      </c>
      <c r="AC370">
        <v>89</v>
      </c>
      <c r="AD370">
        <v>29.5</v>
      </c>
      <c r="AE370">
        <v>15.5</v>
      </c>
      <c r="AF370">
        <v>75.566999999999993</v>
      </c>
      <c r="AG370">
        <v>15.170999999999999</v>
      </c>
      <c r="AH370">
        <v>24.238</v>
      </c>
      <c r="AI370">
        <v>84.88</v>
      </c>
      <c r="AJ370">
        <v>72.165999999999997</v>
      </c>
      <c r="AK370">
        <v>84.406000000000006</v>
      </c>
      <c r="AL370">
        <v>9.4030000000000005</v>
      </c>
      <c r="AM370">
        <v>24.238</v>
      </c>
      <c r="AN370">
        <v>15.170999999999999</v>
      </c>
      <c r="AO370">
        <v>75.566999999999993</v>
      </c>
      <c r="AP370">
        <v>-9.4030000000000005</v>
      </c>
      <c r="AQ370">
        <v>27.834</v>
      </c>
      <c r="AR370">
        <v>15.12</v>
      </c>
      <c r="AS370">
        <v>15.593999999999999</v>
      </c>
    </row>
    <row r="371" spans="1:45" x14ac:dyDescent="0.25">
      <c r="A371">
        <v>33</v>
      </c>
      <c r="B371">
        <v>-1</v>
      </c>
      <c r="C371">
        <v>0</v>
      </c>
      <c r="D371">
        <v>2019</v>
      </c>
      <c r="E371">
        <v>8</v>
      </c>
      <c r="F371" t="str">
        <f>IFERROR(VLOOKUP(G371, Map!$A$1:$B$33, 2, FALSE),"WAS")</f>
        <v>CHI</v>
      </c>
      <c r="G371" t="s">
        <v>163</v>
      </c>
      <c r="H371" t="str">
        <f>IFERROR(VLOOKUP(I371, Map!$A$1:$B$33, 2, FALSE),"WAS")</f>
        <v>LAC</v>
      </c>
      <c r="I371" t="s">
        <v>160</v>
      </c>
      <c r="J371" t="s">
        <v>216</v>
      </c>
      <c r="K371" t="s">
        <v>210</v>
      </c>
      <c r="L371">
        <v>0</v>
      </c>
      <c r="M371">
        <v>0</v>
      </c>
      <c r="N371">
        <v>35.821428571428598</v>
      </c>
      <c r="O371">
        <v>-3.3928571428571401</v>
      </c>
      <c r="P371">
        <v>-3.5</v>
      </c>
      <c r="Q371">
        <v>23.5</v>
      </c>
      <c r="R371">
        <v>9.6</v>
      </c>
      <c r="S371">
        <v>14</v>
      </c>
      <c r="T371">
        <v>6.6</v>
      </c>
      <c r="U371">
        <v>5</v>
      </c>
      <c r="V371">
        <v>31.8</v>
      </c>
      <c r="W371">
        <v>0</v>
      </c>
      <c r="X371">
        <v>10</v>
      </c>
      <c r="Y371">
        <v>31.8</v>
      </c>
      <c r="Z371">
        <v>45.8</v>
      </c>
      <c r="AA371">
        <v>67</v>
      </c>
      <c r="AB371">
        <v>308</v>
      </c>
      <c r="AC371">
        <v>81</v>
      </c>
      <c r="AD371">
        <v>42</v>
      </c>
      <c r="AE371">
        <v>25.2</v>
      </c>
      <c r="AF371">
        <v>64.177999999999997</v>
      </c>
      <c r="AG371">
        <v>49.645000000000003</v>
      </c>
      <c r="AH371">
        <v>35.536999999999999</v>
      </c>
      <c r="AI371">
        <v>78.227000000000004</v>
      </c>
      <c r="AJ371">
        <v>35.043999999999997</v>
      </c>
      <c r="AK371">
        <v>49.290999999999997</v>
      </c>
      <c r="AL371">
        <v>4.9619999999999997</v>
      </c>
      <c r="AM371">
        <v>35.536999999999999</v>
      </c>
      <c r="AN371">
        <v>49.645000000000003</v>
      </c>
      <c r="AO371">
        <v>64.177999999999997</v>
      </c>
      <c r="AP371">
        <v>-4.9619999999999997</v>
      </c>
      <c r="AQ371">
        <v>64.956000000000003</v>
      </c>
      <c r="AR371">
        <v>21.773</v>
      </c>
      <c r="AS371">
        <v>50.709000000000003</v>
      </c>
    </row>
    <row r="372" spans="1:45" x14ac:dyDescent="0.25">
      <c r="A372">
        <v>44</v>
      </c>
      <c r="B372">
        <v>-18</v>
      </c>
      <c r="C372">
        <v>0</v>
      </c>
      <c r="D372">
        <v>2019</v>
      </c>
      <c r="E372">
        <v>8</v>
      </c>
      <c r="F372" t="str">
        <f>IFERROR(VLOOKUP(G372, Map!$A$1:$B$33, 2, FALSE),"WAS")</f>
        <v>BUF</v>
      </c>
      <c r="G372" t="s">
        <v>165</v>
      </c>
      <c r="H372" t="str">
        <f>IFERROR(VLOOKUP(I372, Map!$A$1:$B$33, 2, FALSE),"WAS")</f>
        <v>PHI</v>
      </c>
      <c r="I372" t="s">
        <v>147</v>
      </c>
      <c r="J372" t="s">
        <v>180</v>
      </c>
      <c r="K372" t="s">
        <v>206</v>
      </c>
      <c r="L372">
        <v>0</v>
      </c>
      <c r="M372">
        <v>0</v>
      </c>
      <c r="N372">
        <v>36.035714285714299</v>
      </c>
      <c r="O372">
        <v>-1.03571428571429</v>
      </c>
      <c r="P372">
        <v>-1</v>
      </c>
      <c r="Q372">
        <v>36.5</v>
      </c>
      <c r="R372">
        <v>22</v>
      </c>
      <c r="S372">
        <v>26.4</v>
      </c>
      <c r="T372">
        <v>18.600000000000001</v>
      </c>
      <c r="U372">
        <v>23.2</v>
      </c>
      <c r="V372">
        <v>28</v>
      </c>
      <c r="W372">
        <v>0</v>
      </c>
      <c r="X372">
        <v>14</v>
      </c>
      <c r="Y372">
        <v>28</v>
      </c>
      <c r="Z372">
        <v>22.9</v>
      </c>
      <c r="AA372">
        <v>43.6</v>
      </c>
      <c r="AB372">
        <v>185</v>
      </c>
      <c r="AC372">
        <v>85</v>
      </c>
      <c r="AD372">
        <v>33.1</v>
      </c>
      <c r="AE372">
        <v>16.2</v>
      </c>
      <c r="AF372">
        <v>46.808</v>
      </c>
      <c r="AG372">
        <v>52.274000000000001</v>
      </c>
      <c r="AH372">
        <v>52.816000000000003</v>
      </c>
      <c r="AI372">
        <v>12.948</v>
      </c>
      <c r="AJ372">
        <v>32.887</v>
      </c>
      <c r="AK372">
        <v>15.425000000000001</v>
      </c>
      <c r="AL372">
        <v>-1.0189999999999999</v>
      </c>
      <c r="AM372">
        <v>52.816000000000003</v>
      </c>
      <c r="AN372">
        <v>52.274000000000001</v>
      </c>
      <c r="AO372">
        <v>46.808</v>
      </c>
      <c r="AP372">
        <v>1.0189999999999999</v>
      </c>
      <c r="AQ372">
        <v>67.113</v>
      </c>
      <c r="AR372">
        <v>87.052000000000007</v>
      </c>
      <c r="AS372">
        <v>84.575000000000003</v>
      </c>
    </row>
    <row r="373" spans="1:45" x14ac:dyDescent="0.25">
      <c r="A373">
        <v>47</v>
      </c>
      <c r="B373">
        <v>-7</v>
      </c>
      <c r="C373">
        <v>0</v>
      </c>
      <c r="D373">
        <v>2019</v>
      </c>
      <c r="E373">
        <v>8</v>
      </c>
      <c r="F373" t="str">
        <f>IFERROR(VLOOKUP(G373, Map!$A$1:$B$33, 2, FALSE),"WAS")</f>
        <v>ATL</v>
      </c>
      <c r="G373" t="s">
        <v>167</v>
      </c>
      <c r="H373" t="str">
        <f>IFERROR(VLOOKUP(I373, Map!$A$1:$B$33, 2, FALSE),"WAS")</f>
        <v>SEA</v>
      </c>
      <c r="I373" t="s">
        <v>144</v>
      </c>
      <c r="J373" t="s">
        <v>188</v>
      </c>
      <c r="K373" t="s">
        <v>182</v>
      </c>
      <c r="L373">
        <v>0</v>
      </c>
      <c r="M373">
        <v>0</v>
      </c>
      <c r="N373">
        <v>42.6666666666667</v>
      </c>
      <c r="O373">
        <v>6.875</v>
      </c>
      <c r="P373">
        <v>7.5</v>
      </c>
      <c r="Q373">
        <v>34.5</v>
      </c>
      <c r="R373">
        <v>18.399999999999999</v>
      </c>
      <c r="S373">
        <v>21.6</v>
      </c>
      <c r="T373">
        <v>13.7</v>
      </c>
      <c r="U373">
        <v>18</v>
      </c>
      <c r="V373">
        <v>3.5</v>
      </c>
      <c r="W373">
        <v>0</v>
      </c>
      <c r="X373">
        <v>9</v>
      </c>
      <c r="Y373">
        <v>3.5</v>
      </c>
      <c r="Z373">
        <v>26.2</v>
      </c>
      <c r="AA373">
        <v>51.5</v>
      </c>
      <c r="AB373">
        <v>269</v>
      </c>
      <c r="AC373">
        <v>83</v>
      </c>
      <c r="AD373">
        <v>33.700000000000003</v>
      </c>
      <c r="AE373">
        <v>16.3</v>
      </c>
      <c r="AF373">
        <v>40.792000000000002</v>
      </c>
      <c r="AG373">
        <v>53.351999999999997</v>
      </c>
      <c r="AH373">
        <v>58.881</v>
      </c>
      <c r="AI373">
        <v>21.966000000000001</v>
      </c>
      <c r="AJ373">
        <v>40.933</v>
      </c>
      <c r="AK373">
        <v>11.345000000000001</v>
      </c>
      <c r="AL373">
        <v>-3.0920000000000001</v>
      </c>
      <c r="AM373">
        <v>58.881</v>
      </c>
      <c r="AN373">
        <v>53.351999999999997</v>
      </c>
      <c r="AO373">
        <v>40.792000000000002</v>
      </c>
      <c r="AP373">
        <v>3.0920000000000001</v>
      </c>
      <c r="AQ373">
        <v>59.067</v>
      </c>
      <c r="AR373">
        <v>78.034000000000006</v>
      </c>
      <c r="AS373">
        <v>88.655000000000001</v>
      </c>
    </row>
    <row r="374" spans="1:45" x14ac:dyDescent="0.25">
      <c r="A374">
        <v>28</v>
      </c>
      <c r="B374">
        <v>2</v>
      </c>
      <c r="C374">
        <v>1</v>
      </c>
      <c r="D374">
        <v>2019</v>
      </c>
      <c r="E374">
        <v>8</v>
      </c>
      <c r="F374" t="str">
        <f>IFERROR(VLOOKUP(G374, Map!$A$1:$B$33, 2, FALSE),"WAS")</f>
        <v>IND</v>
      </c>
      <c r="G374" t="s">
        <v>138</v>
      </c>
      <c r="H374" t="str">
        <f>IFERROR(VLOOKUP(I374, Map!$A$1:$B$33, 2, FALSE),"WAS")</f>
        <v>DEN</v>
      </c>
      <c r="I374" t="s">
        <v>159</v>
      </c>
      <c r="J374" t="s">
        <v>177</v>
      </c>
      <c r="K374" t="s">
        <v>183</v>
      </c>
      <c r="L374">
        <v>1</v>
      </c>
      <c r="M374">
        <v>0</v>
      </c>
      <c r="N374">
        <v>36.107142857142897</v>
      </c>
      <c r="O374">
        <v>-5.3214285714285703</v>
      </c>
      <c r="P374">
        <v>-5.5</v>
      </c>
      <c r="Q374">
        <v>16.5</v>
      </c>
      <c r="R374">
        <v>12.8</v>
      </c>
      <c r="S374">
        <v>17.7</v>
      </c>
      <c r="T374">
        <v>9.8000000000000007</v>
      </c>
      <c r="U374">
        <v>9.4</v>
      </c>
      <c r="V374">
        <v>0.9</v>
      </c>
      <c r="W374">
        <v>0</v>
      </c>
      <c r="X374">
        <v>3</v>
      </c>
      <c r="Y374">
        <v>0.9</v>
      </c>
      <c r="Z374">
        <v>36.700000000000003</v>
      </c>
      <c r="AA374">
        <v>73.400000000000006</v>
      </c>
      <c r="AB374">
        <v>229</v>
      </c>
      <c r="AC374">
        <v>77</v>
      </c>
      <c r="AD374">
        <v>45</v>
      </c>
      <c r="AE374">
        <v>21.6</v>
      </c>
      <c r="AF374">
        <v>63.463999999999999</v>
      </c>
      <c r="AG374">
        <v>44.7</v>
      </c>
      <c r="AH374">
        <v>36.244999999999997</v>
      </c>
      <c r="AI374">
        <v>64.768000000000001</v>
      </c>
      <c r="AJ374">
        <v>34.749000000000002</v>
      </c>
      <c r="AK374">
        <v>52.097999999999999</v>
      </c>
      <c r="AL374">
        <v>4.7050000000000001</v>
      </c>
      <c r="AM374">
        <v>36.244999999999997</v>
      </c>
      <c r="AN374">
        <v>44.7</v>
      </c>
      <c r="AO374">
        <v>63.463999999999999</v>
      </c>
      <c r="AP374">
        <v>-4.7050000000000001</v>
      </c>
      <c r="AQ374">
        <v>65.251000000000005</v>
      </c>
      <c r="AR374">
        <v>35.231999999999999</v>
      </c>
      <c r="AS374">
        <v>47.902000000000001</v>
      </c>
    </row>
    <row r="375" spans="1:45" x14ac:dyDescent="0.25">
      <c r="A375">
        <v>41</v>
      </c>
      <c r="B375">
        <v>13</v>
      </c>
      <c r="C375">
        <v>1</v>
      </c>
      <c r="D375">
        <v>2019</v>
      </c>
      <c r="E375">
        <v>8</v>
      </c>
      <c r="F375" t="str">
        <f>IFERROR(VLOOKUP(G375, Map!$A$1:$B$33, 2, FALSE),"WAS")</f>
        <v>PIT</v>
      </c>
      <c r="G375" t="s">
        <v>145</v>
      </c>
      <c r="H375" t="str">
        <f>IFERROR(VLOOKUP(I375, Map!$A$1:$B$33, 2, FALSE),"WAS")</f>
        <v>MIA</v>
      </c>
      <c r="I375" t="s">
        <v>152</v>
      </c>
      <c r="J375" t="s">
        <v>170</v>
      </c>
      <c r="K375" t="s">
        <v>175</v>
      </c>
      <c r="L375">
        <v>1</v>
      </c>
      <c r="M375">
        <v>0</v>
      </c>
      <c r="N375">
        <v>39.928571428571402</v>
      </c>
      <c r="O375">
        <v>-13.0714285714286</v>
      </c>
      <c r="P375">
        <v>-14</v>
      </c>
      <c r="Q375">
        <v>33.5</v>
      </c>
      <c r="R375">
        <v>15</v>
      </c>
      <c r="S375">
        <v>21.5</v>
      </c>
      <c r="T375">
        <v>10.3</v>
      </c>
      <c r="U375">
        <v>13.6</v>
      </c>
      <c r="V375">
        <v>0</v>
      </c>
      <c r="W375">
        <v>0</v>
      </c>
      <c r="X375">
        <v>0</v>
      </c>
      <c r="Y375">
        <v>0</v>
      </c>
      <c r="Z375">
        <v>20.9</v>
      </c>
      <c r="AA375">
        <v>44.6</v>
      </c>
      <c r="AB375">
        <v>186</v>
      </c>
      <c r="AC375">
        <v>75</v>
      </c>
      <c r="AD375">
        <v>23.6</v>
      </c>
      <c r="AE375">
        <v>11.1</v>
      </c>
      <c r="AF375">
        <v>90.45</v>
      </c>
      <c r="AG375">
        <v>27.556000000000001</v>
      </c>
      <c r="AH375">
        <v>9.4740000000000002</v>
      </c>
      <c r="AI375">
        <v>86.453000000000003</v>
      </c>
      <c r="AJ375">
        <v>66.606999999999999</v>
      </c>
      <c r="AK375">
        <v>78.197000000000003</v>
      </c>
      <c r="AL375">
        <v>17.709</v>
      </c>
      <c r="AM375">
        <v>9.4740000000000002</v>
      </c>
      <c r="AN375">
        <v>27.556000000000001</v>
      </c>
      <c r="AO375">
        <v>90.45</v>
      </c>
      <c r="AP375">
        <v>-17.709</v>
      </c>
      <c r="AQ375">
        <v>33.393000000000001</v>
      </c>
      <c r="AR375">
        <v>13.547000000000001</v>
      </c>
      <c r="AS375">
        <v>21.803000000000001</v>
      </c>
    </row>
    <row r="376" spans="1:45" x14ac:dyDescent="0.25">
      <c r="A376">
        <v>50</v>
      </c>
      <c r="B376">
        <v>4</v>
      </c>
      <c r="C376">
        <v>1</v>
      </c>
      <c r="D376">
        <v>2019</v>
      </c>
      <c r="E376">
        <v>8</v>
      </c>
      <c r="F376" t="str">
        <f>IFERROR(VLOOKUP(G376, Map!$A$1:$B$33, 2, FALSE),"WAS")</f>
        <v>TEN</v>
      </c>
      <c r="G376" t="s">
        <v>140</v>
      </c>
      <c r="H376" t="str">
        <f>IFERROR(VLOOKUP(I376, Map!$A$1:$B$33, 2, FALSE),"WAS")</f>
        <v>TB</v>
      </c>
      <c r="I376" t="s">
        <v>141</v>
      </c>
      <c r="J376" t="s">
        <v>174</v>
      </c>
      <c r="K376" t="s">
        <v>186</v>
      </c>
      <c r="L376">
        <v>1</v>
      </c>
      <c r="M376">
        <v>0</v>
      </c>
      <c r="N376">
        <v>42.642857142857103</v>
      </c>
      <c r="O376">
        <v>-1.8928571428571399</v>
      </c>
      <c r="P376">
        <v>-1.5</v>
      </c>
      <c r="Q376">
        <v>41.5</v>
      </c>
      <c r="R376">
        <v>15.6</v>
      </c>
      <c r="S376">
        <v>20.399999999999999</v>
      </c>
      <c r="T376">
        <v>13</v>
      </c>
      <c r="U376">
        <v>15.2</v>
      </c>
      <c r="V376">
        <v>1.1000000000000001</v>
      </c>
      <c r="W376">
        <v>0</v>
      </c>
      <c r="X376">
        <v>7</v>
      </c>
      <c r="Y376">
        <v>1.1000000000000001</v>
      </c>
      <c r="Z376">
        <v>20.7</v>
      </c>
      <c r="AA376">
        <v>42.5</v>
      </c>
      <c r="AB376">
        <v>248</v>
      </c>
      <c r="AC376">
        <v>85</v>
      </c>
      <c r="AD376">
        <v>21.6</v>
      </c>
      <c r="AE376">
        <v>9.8000000000000007</v>
      </c>
      <c r="AF376">
        <v>49.079000000000001</v>
      </c>
      <c r="AG376">
        <v>73.546000000000006</v>
      </c>
      <c r="AH376">
        <v>50.527000000000001</v>
      </c>
      <c r="AI376">
        <v>71.153999999999996</v>
      </c>
      <c r="AJ376">
        <v>42.604999999999997</v>
      </c>
      <c r="AK376">
        <v>61.335999999999999</v>
      </c>
      <c r="AL376">
        <v>-0.245</v>
      </c>
      <c r="AM376">
        <v>50.527000000000001</v>
      </c>
      <c r="AN376">
        <v>73.546000000000006</v>
      </c>
      <c r="AO376">
        <v>49.079000000000001</v>
      </c>
      <c r="AP376">
        <v>0.245</v>
      </c>
      <c r="AQ376">
        <v>57.395000000000003</v>
      </c>
      <c r="AR376">
        <v>28.846</v>
      </c>
      <c r="AS376">
        <v>38.664000000000001</v>
      </c>
    </row>
    <row r="377" spans="1:45" x14ac:dyDescent="0.25">
      <c r="A377">
        <v>40</v>
      </c>
      <c r="B377">
        <v>14</v>
      </c>
      <c r="C377">
        <v>1</v>
      </c>
      <c r="D377">
        <v>2019</v>
      </c>
      <c r="E377">
        <v>8</v>
      </c>
      <c r="F377" t="str">
        <f>IFERROR(VLOOKUP(G377, Map!$A$1:$B$33, 2, FALSE),"WAS")</f>
        <v>NE</v>
      </c>
      <c r="G377" t="s">
        <v>151</v>
      </c>
      <c r="H377" t="str">
        <f>IFERROR(VLOOKUP(I377, Map!$A$1:$B$33, 2, FALSE),"WAS")</f>
        <v>CLE</v>
      </c>
      <c r="I377" t="s">
        <v>162</v>
      </c>
      <c r="J377" t="s">
        <v>187</v>
      </c>
      <c r="K377" t="s">
        <v>171</v>
      </c>
      <c r="L377">
        <v>1</v>
      </c>
      <c r="M377">
        <v>0</v>
      </c>
      <c r="N377">
        <v>39.178571428571402</v>
      </c>
      <c r="O377">
        <v>-9.75</v>
      </c>
      <c r="P377">
        <v>-9.5</v>
      </c>
      <c r="Q377">
        <v>32.5</v>
      </c>
      <c r="R377">
        <v>9.1</v>
      </c>
      <c r="S377">
        <v>12.5</v>
      </c>
      <c r="T377">
        <v>6.8</v>
      </c>
      <c r="U377">
        <v>6.3</v>
      </c>
      <c r="V377">
        <v>19.5</v>
      </c>
      <c r="W377">
        <v>0</v>
      </c>
      <c r="X377">
        <v>11</v>
      </c>
      <c r="Y377">
        <v>19.5</v>
      </c>
      <c r="Z377">
        <v>25.7</v>
      </c>
      <c r="AA377">
        <v>61.9</v>
      </c>
      <c r="AB377">
        <v>124</v>
      </c>
      <c r="AC377">
        <v>88</v>
      </c>
      <c r="AD377">
        <v>30.7</v>
      </c>
      <c r="AE377">
        <v>14.1</v>
      </c>
      <c r="AF377">
        <v>84.992999999999995</v>
      </c>
      <c r="AG377">
        <v>61.726999999999997</v>
      </c>
      <c r="AH377">
        <v>14.888</v>
      </c>
      <c r="AI377">
        <v>97.676000000000002</v>
      </c>
      <c r="AJ377">
        <v>70.37</v>
      </c>
      <c r="AK377">
        <v>89.778999999999996</v>
      </c>
      <c r="AL377">
        <v>14.042999999999999</v>
      </c>
      <c r="AM377">
        <v>14.888</v>
      </c>
      <c r="AN377">
        <v>61.726999999999997</v>
      </c>
      <c r="AO377">
        <v>84.992999999999995</v>
      </c>
      <c r="AP377">
        <v>-14.042999999999999</v>
      </c>
      <c r="AQ377">
        <v>29.63</v>
      </c>
      <c r="AR377">
        <v>2.3239999999999998</v>
      </c>
      <c r="AS377">
        <v>10.221</v>
      </c>
    </row>
    <row r="378" spans="1:45" x14ac:dyDescent="0.25">
      <c r="A378">
        <v>57</v>
      </c>
      <c r="B378">
        <v>5</v>
      </c>
      <c r="C378">
        <v>1</v>
      </c>
      <c r="D378">
        <v>2019</v>
      </c>
      <c r="E378">
        <v>8</v>
      </c>
      <c r="F378" t="str">
        <f>IFERROR(VLOOKUP(G378, Map!$A$1:$B$33, 2, FALSE),"WAS")</f>
        <v>DET</v>
      </c>
      <c r="G378" t="s">
        <v>164</v>
      </c>
      <c r="H378" t="str">
        <f>IFERROR(VLOOKUP(I378, Map!$A$1:$B$33, 2, FALSE),"WAS")</f>
        <v>NYG</v>
      </c>
      <c r="I378" t="s">
        <v>149</v>
      </c>
      <c r="J378" t="s">
        <v>173</v>
      </c>
      <c r="K378" t="s">
        <v>219</v>
      </c>
      <c r="L378">
        <v>1</v>
      </c>
      <c r="M378">
        <v>0</v>
      </c>
      <c r="N378">
        <v>45.607142857142897</v>
      </c>
      <c r="O378">
        <v>-5.5</v>
      </c>
      <c r="P378">
        <v>-6</v>
      </c>
      <c r="Q378">
        <v>49</v>
      </c>
      <c r="R378">
        <v>13.2</v>
      </c>
      <c r="S378">
        <v>15.8</v>
      </c>
      <c r="T378">
        <v>10.6</v>
      </c>
      <c r="U378">
        <v>8.8000000000000007</v>
      </c>
      <c r="V378">
        <v>13.3</v>
      </c>
      <c r="W378">
        <v>0</v>
      </c>
      <c r="X378">
        <v>12</v>
      </c>
      <c r="Y378">
        <v>13.3</v>
      </c>
      <c r="Z378">
        <v>44.2</v>
      </c>
      <c r="AA378">
        <v>72.7</v>
      </c>
      <c r="AB378">
        <v>206</v>
      </c>
      <c r="AC378">
        <v>82</v>
      </c>
      <c r="AD378">
        <v>52.4</v>
      </c>
      <c r="AE378">
        <v>30.1</v>
      </c>
      <c r="AF378">
        <v>78.658000000000001</v>
      </c>
      <c r="AG378">
        <v>24.465</v>
      </c>
      <c r="AH378">
        <v>21.172000000000001</v>
      </c>
      <c r="AI378">
        <v>48.179000000000002</v>
      </c>
      <c r="AJ378">
        <v>77.944000000000003</v>
      </c>
      <c r="AK378">
        <v>77.31</v>
      </c>
      <c r="AL378">
        <v>10.782</v>
      </c>
      <c r="AM378">
        <v>21.172000000000001</v>
      </c>
      <c r="AN378">
        <v>24.465</v>
      </c>
      <c r="AO378">
        <v>78.658000000000001</v>
      </c>
      <c r="AP378">
        <v>-10.782</v>
      </c>
      <c r="AQ378">
        <v>22.056000000000001</v>
      </c>
      <c r="AR378">
        <v>51.820999999999998</v>
      </c>
      <c r="AS378">
        <v>22.69</v>
      </c>
    </row>
    <row r="379" spans="1:45" x14ac:dyDescent="0.25">
      <c r="A379">
        <v>74</v>
      </c>
      <c r="B379">
        <v>6</v>
      </c>
      <c r="C379">
        <v>1</v>
      </c>
      <c r="D379">
        <v>2019</v>
      </c>
      <c r="E379">
        <v>9</v>
      </c>
      <c r="F379" t="str">
        <f>IFERROR(VLOOKUP(G379, Map!$A$1:$B$33, 2, FALSE),"WAS")</f>
        <v>SEA</v>
      </c>
      <c r="G379" t="s">
        <v>144</v>
      </c>
      <c r="H379" t="str">
        <f>IFERROR(VLOOKUP(I379, Map!$A$1:$B$33, 2, FALSE),"WAS")</f>
        <v>TB</v>
      </c>
      <c r="I379" t="s">
        <v>141</v>
      </c>
      <c r="J379" t="s">
        <v>182</v>
      </c>
      <c r="K379" t="s">
        <v>186</v>
      </c>
      <c r="L379">
        <v>1</v>
      </c>
      <c r="M379">
        <v>0</v>
      </c>
      <c r="N379">
        <v>42.4583333333333</v>
      </c>
      <c r="O379">
        <v>-3.9166666666666701</v>
      </c>
      <c r="P379">
        <v>-4</v>
      </c>
      <c r="Q379">
        <v>0</v>
      </c>
      <c r="R379">
        <v>7.2</v>
      </c>
      <c r="S379">
        <v>11.2</v>
      </c>
      <c r="T379">
        <v>3.2</v>
      </c>
      <c r="U379">
        <v>5.0999999999999996</v>
      </c>
      <c r="V379">
        <v>0</v>
      </c>
      <c r="W379">
        <v>0</v>
      </c>
      <c r="X379">
        <v>0</v>
      </c>
      <c r="Y379">
        <v>0</v>
      </c>
      <c r="Z379">
        <v>9.1</v>
      </c>
      <c r="AA379">
        <v>21.2</v>
      </c>
      <c r="AB379">
        <v>29</v>
      </c>
      <c r="AC379">
        <v>87</v>
      </c>
      <c r="AD379">
        <v>11.9</v>
      </c>
      <c r="AE379">
        <v>6.3</v>
      </c>
      <c r="AF379">
        <v>65.022999999999996</v>
      </c>
      <c r="AG379">
        <v>64.03</v>
      </c>
      <c r="AH379">
        <v>34.698</v>
      </c>
      <c r="AI379">
        <v>29.725000000000001</v>
      </c>
      <c r="AJ379">
        <v>90.787999999999997</v>
      </c>
      <c r="AK379">
        <v>60.887</v>
      </c>
      <c r="AL379">
        <v>5.2450000000000001</v>
      </c>
      <c r="AM379">
        <v>34.698</v>
      </c>
      <c r="AN379">
        <v>64.03</v>
      </c>
      <c r="AO379">
        <v>65.022999999999996</v>
      </c>
      <c r="AP379">
        <v>-5.2450000000000001</v>
      </c>
      <c r="AQ379">
        <v>9.2119999999999997</v>
      </c>
      <c r="AR379">
        <v>70.275000000000006</v>
      </c>
      <c r="AS379">
        <v>39.113</v>
      </c>
    </row>
    <row r="380" spans="1:45" x14ac:dyDescent="0.25">
      <c r="A380">
        <v>50</v>
      </c>
      <c r="B380">
        <v>10</v>
      </c>
      <c r="C380">
        <v>1</v>
      </c>
      <c r="D380">
        <v>2019</v>
      </c>
      <c r="E380">
        <v>9</v>
      </c>
      <c r="F380" t="str">
        <f>IFERROR(VLOOKUP(G380, Map!$A$1:$B$33, 2, FALSE),"WAS")</f>
        <v>CAR</v>
      </c>
      <c r="G380" t="s">
        <v>142</v>
      </c>
      <c r="H380" t="str">
        <f>IFERROR(VLOOKUP(I380, Map!$A$1:$B$33, 2, FALSE),"WAS")</f>
        <v>TEN</v>
      </c>
      <c r="I380" t="s">
        <v>140</v>
      </c>
      <c r="J380" t="s">
        <v>185</v>
      </c>
      <c r="K380" t="s">
        <v>174</v>
      </c>
      <c r="L380">
        <v>1</v>
      </c>
      <c r="M380">
        <v>0</v>
      </c>
      <c r="N380">
        <v>35.7916666666667</v>
      </c>
      <c r="O380">
        <v>-3.2083333333333299</v>
      </c>
      <c r="P380">
        <v>-3.5</v>
      </c>
      <c r="Q380">
        <v>0</v>
      </c>
      <c r="R380">
        <v>8.3000000000000007</v>
      </c>
      <c r="S380">
        <v>13.2</v>
      </c>
      <c r="T380">
        <v>3.2</v>
      </c>
      <c r="U380">
        <v>5</v>
      </c>
      <c r="V380">
        <v>0</v>
      </c>
      <c r="W380">
        <v>0</v>
      </c>
      <c r="X380">
        <v>0</v>
      </c>
      <c r="Y380">
        <v>0</v>
      </c>
      <c r="Z380">
        <v>16.600000000000001</v>
      </c>
      <c r="AA380">
        <v>29.2</v>
      </c>
      <c r="AB380">
        <v>2</v>
      </c>
      <c r="AC380">
        <v>56</v>
      </c>
      <c r="AD380">
        <v>18.3</v>
      </c>
      <c r="AE380">
        <v>8.6</v>
      </c>
      <c r="AF380">
        <v>51.051000000000002</v>
      </c>
      <c r="AG380">
        <v>42.131999999999998</v>
      </c>
      <c r="AH380">
        <v>48.558999999999997</v>
      </c>
      <c r="AI380">
        <v>78.918999999999997</v>
      </c>
      <c r="AJ380">
        <v>63.06</v>
      </c>
      <c r="AK380">
        <v>86.409000000000006</v>
      </c>
      <c r="AL380">
        <v>0.42</v>
      </c>
      <c r="AM380">
        <v>48.558999999999997</v>
      </c>
      <c r="AN380">
        <v>42.131999999999998</v>
      </c>
      <c r="AO380">
        <v>51.051000000000002</v>
      </c>
      <c r="AP380">
        <v>-0.42</v>
      </c>
      <c r="AQ380">
        <v>36.94</v>
      </c>
      <c r="AR380">
        <v>21.081</v>
      </c>
      <c r="AS380">
        <v>13.590999999999999</v>
      </c>
    </row>
    <row r="381" spans="1:45" x14ac:dyDescent="0.25">
      <c r="A381">
        <v>37</v>
      </c>
      <c r="B381">
        <v>15</v>
      </c>
      <c r="C381">
        <v>1</v>
      </c>
      <c r="D381">
        <v>2019</v>
      </c>
      <c r="E381">
        <v>9</v>
      </c>
      <c r="F381" t="str">
        <f>IFERROR(VLOOKUP(G381, Map!$A$1:$B$33, 2, FALSE),"WAS")</f>
        <v>LAC</v>
      </c>
      <c r="G381" t="s">
        <v>160</v>
      </c>
      <c r="H381" t="str">
        <f>IFERROR(VLOOKUP(I381, Map!$A$1:$B$33, 2, FALSE),"WAS")</f>
        <v>GB</v>
      </c>
      <c r="I381" t="s">
        <v>154</v>
      </c>
      <c r="J381" t="s">
        <v>210</v>
      </c>
      <c r="K381" t="s">
        <v>200</v>
      </c>
      <c r="L381">
        <v>1</v>
      </c>
      <c r="M381">
        <v>0</v>
      </c>
      <c r="N381">
        <v>43.5833333333333</v>
      </c>
      <c r="O381">
        <v>3.5</v>
      </c>
      <c r="P381">
        <v>3</v>
      </c>
      <c r="Q381">
        <v>23.5</v>
      </c>
      <c r="R381">
        <v>16.8</v>
      </c>
      <c r="S381">
        <v>26.8</v>
      </c>
      <c r="T381">
        <v>8.4</v>
      </c>
      <c r="U381">
        <v>14.2</v>
      </c>
      <c r="V381">
        <v>0</v>
      </c>
      <c r="W381">
        <v>0</v>
      </c>
      <c r="X381">
        <v>0</v>
      </c>
      <c r="Y381">
        <v>0</v>
      </c>
      <c r="Z381">
        <v>15.2</v>
      </c>
      <c r="AA381">
        <v>27</v>
      </c>
      <c r="AB381">
        <v>275</v>
      </c>
      <c r="AC381">
        <v>43</v>
      </c>
      <c r="AD381">
        <v>13.2</v>
      </c>
      <c r="AE381">
        <v>6.7</v>
      </c>
      <c r="AF381">
        <v>42.723999999999997</v>
      </c>
      <c r="AG381">
        <v>64.896000000000001</v>
      </c>
      <c r="AH381">
        <v>56.933</v>
      </c>
      <c r="AI381">
        <v>84.921000000000006</v>
      </c>
      <c r="AJ381">
        <v>77.16</v>
      </c>
      <c r="AK381">
        <v>87.701999999999998</v>
      </c>
      <c r="AL381">
        <v>-2.4089999999999998</v>
      </c>
      <c r="AM381">
        <v>56.933</v>
      </c>
      <c r="AN381">
        <v>64.896000000000001</v>
      </c>
      <c r="AO381">
        <v>42.723999999999997</v>
      </c>
      <c r="AP381">
        <v>2.4089999999999998</v>
      </c>
      <c r="AQ381">
        <v>22.84</v>
      </c>
      <c r="AR381">
        <v>15.079000000000001</v>
      </c>
      <c r="AS381">
        <v>12.298</v>
      </c>
    </row>
    <row r="382" spans="1:45" x14ac:dyDescent="0.25">
      <c r="A382">
        <v>55</v>
      </c>
      <c r="B382">
        <v>-19</v>
      </c>
      <c r="C382">
        <v>0</v>
      </c>
      <c r="D382">
        <v>2019</v>
      </c>
      <c r="E382">
        <v>9</v>
      </c>
      <c r="F382" t="str">
        <f>IFERROR(VLOOKUP(G382, Map!$A$1:$B$33, 2, FALSE),"WAS")</f>
        <v>NYG</v>
      </c>
      <c r="G382" t="s">
        <v>149</v>
      </c>
      <c r="H382" t="str">
        <f>IFERROR(VLOOKUP(I382, Map!$A$1:$B$33, 2, FALSE),"WAS")</f>
        <v>DAL</v>
      </c>
      <c r="I382" t="s">
        <v>150</v>
      </c>
      <c r="J382" t="s">
        <v>219</v>
      </c>
      <c r="K382" t="s">
        <v>184</v>
      </c>
      <c r="L382">
        <v>0</v>
      </c>
      <c r="M382">
        <v>0</v>
      </c>
      <c r="N382">
        <v>40.375</v>
      </c>
      <c r="O382">
        <v>6</v>
      </c>
      <c r="P382">
        <v>6.5</v>
      </c>
      <c r="Q382">
        <v>0</v>
      </c>
      <c r="R382">
        <v>10.1</v>
      </c>
      <c r="S382">
        <v>14.7</v>
      </c>
      <c r="T382">
        <v>6.5</v>
      </c>
      <c r="U382">
        <v>8.1</v>
      </c>
      <c r="V382">
        <v>0.2</v>
      </c>
      <c r="W382">
        <v>0</v>
      </c>
      <c r="X382">
        <v>2</v>
      </c>
      <c r="Y382">
        <v>0.2</v>
      </c>
      <c r="Z382">
        <v>17.3</v>
      </c>
      <c r="AA382">
        <v>33.799999999999997</v>
      </c>
      <c r="AB382">
        <v>218</v>
      </c>
      <c r="AC382">
        <v>79</v>
      </c>
      <c r="AD382">
        <v>17.5</v>
      </c>
      <c r="AE382">
        <v>8.3000000000000007</v>
      </c>
      <c r="AF382">
        <v>19.178999999999998</v>
      </c>
      <c r="AG382">
        <v>44.112000000000002</v>
      </c>
      <c r="AH382">
        <v>80.667000000000002</v>
      </c>
      <c r="AI382">
        <v>26.239000000000001</v>
      </c>
      <c r="AJ382">
        <v>25.016999999999999</v>
      </c>
      <c r="AK382">
        <v>23.8</v>
      </c>
      <c r="AL382">
        <v>-11.688000000000001</v>
      </c>
      <c r="AM382">
        <v>80.667000000000002</v>
      </c>
      <c r="AN382">
        <v>44.112000000000002</v>
      </c>
      <c r="AO382">
        <v>19.178999999999998</v>
      </c>
      <c r="AP382">
        <v>11.688000000000001</v>
      </c>
      <c r="AQ382">
        <v>74.983000000000004</v>
      </c>
      <c r="AR382">
        <v>73.760999999999996</v>
      </c>
      <c r="AS382">
        <v>76.2</v>
      </c>
    </row>
    <row r="383" spans="1:45" x14ac:dyDescent="0.25">
      <c r="A383">
        <v>50</v>
      </c>
      <c r="B383">
        <v>2</v>
      </c>
      <c r="C383">
        <v>1</v>
      </c>
      <c r="D383">
        <v>2019</v>
      </c>
      <c r="E383">
        <v>9</v>
      </c>
      <c r="F383" t="str">
        <f>IFERROR(VLOOKUP(G383, Map!$A$1:$B$33, 2, FALSE),"WAS")</f>
        <v>PIT</v>
      </c>
      <c r="G383" t="s">
        <v>145</v>
      </c>
      <c r="H383" t="str">
        <f>IFERROR(VLOOKUP(I383, Map!$A$1:$B$33, 2, FALSE),"WAS")</f>
        <v>IND</v>
      </c>
      <c r="I383" t="s">
        <v>138</v>
      </c>
      <c r="J383" t="s">
        <v>170</v>
      </c>
      <c r="K383" t="s">
        <v>177</v>
      </c>
      <c r="L383">
        <v>1</v>
      </c>
      <c r="M383">
        <v>0</v>
      </c>
      <c r="N383">
        <v>36.3333333333333</v>
      </c>
      <c r="O383">
        <v>-1</v>
      </c>
      <c r="P383">
        <v>-1</v>
      </c>
      <c r="Q383">
        <v>39.5</v>
      </c>
      <c r="R383">
        <v>5.2</v>
      </c>
      <c r="S383">
        <v>8.8000000000000007</v>
      </c>
      <c r="T383">
        <v>2.2000000000000002</v>
      </c>
      <c r="U383">
        <v>0.9</v>
      </c>
      <c r="V383">
        <v>0.1</v>
      </c>
      <c r="W383">
        <v>0</v>
      </c>
      <c r="X383">
        <v>1</v>
      </c>
      <c r="Y383">
        <v>0.1</v>
      </c>
      <c r="Z383">
        <v>17.600000000000001</v>
      </c>
      <c r="AA383">
        <v>39.6</v>
      </c>
      <c r="AB383">
        <v>258</v>
      </c>
      <c r="AC383">
        <v>63</v>
      </c>
      <c r="AD383">
        <v>29.9</v>
      </c>
      <c r="AE383">
        <v>13.1</v>
      </c>
      <c r="AF383">
        <v>49.421999999999997</v>
      </c>
      <c r="AG383">
        <v>35.718000000000004</v>
      </c>
      <c r="AH383">
        <v>50.180999999999997</v>
      </c>
      <c r="AI383">
        <v>52.935000000000002</v>
      </c>
      <c r="AJ383">
        <v>19.608000000000001</v>
      </c>
      <c r="AK383">
        <v>48.725999999999999</v>
      </c>
      <c r="AL383">
        <v>-0.128</v>
      </c>
      <c r="AM383">
        <v>50.180999999999997</v>
      </c>
      <c r="AN383">
        <v>35.718000000000004</v>
      </c>
      <c r="AO383">
        <v>49.421999999999997</v>
      </c>
      <c r="AP383">
        <v>0.128</v>
      </c>
      <c r="AQ383">
        <v>80.391999999999996</v>
      </c>
      <c r="AR383">
        <v>47.064999999999998</v>
      </c>
      <c r="AS383">
        <v>51.274000000000001</v>
      </c>
    </row>
    <row r="384" spans="1:45" x14ac:dyDescent="0.25">
      <c r="A384">
        <v>44</v>
      </c>
      <c r="B384">
        <v>8</v>
      </c>
      <c r="C384">
        <v>1</v>
      </c>
      <c r="D384">
        <v>2019</v>
      </c>
      <c r="E384">
        <v>9</v>
      </c>
      <c r="F384" t="str">
        <f>IFERROR(VLOOKUP(G384, Map!$A$1:$B$33, 2, FALSE),"WAS")</f>
        <v>MIA</v>
      </c>
      <c r="G384" t="s">
        <v>152</v>
      </c>
      <c r="H384" t="str">
        <f>IFERROR(VLOOKUP(I384, Map!$A$1:$B$33, 2, FALSE),"WAS")</f>
        <v>NYJ</v>
      </c>
      <c r="I384" t="s">
        <v>166</v>
      </c>
      <c r="J384" t="s">
        <v>175</v>
      </c>
      <c r="K384" t="s">
        <v>172</v>
      </c>
      <c r="L384">
        <v>1</v>
      </c>
      <c r="M384">
        <v>0</v>
      </c>
      <c r="N384">
        <v>38.9583333333333</v>
      </c>
      <c r="O384">
        <v>3.125</v>
      </c>
      <c r="P384">
        <v>3</v>
      </c>
      <c r="Q384">
        <v>42.5</v>
      </c>
      <c r="R384">
        <v>24.9</v>
      </c>
      <c r="S384">
        <v>27.9</v>
      </c>
      <c r="T384">
        <v>23.3</v>
      </c>
      <c r="U384">
        <v>29.2</v>
      </c>
      <c r="V384">
        <v>11.8</v>
      </c>
      <c r="W384">
        <v>0</v>
      </c>
      <c r="X384">
        <v>12</v>
      </c>
      <c r="Y384">
        <v>11.8</v>
      </c>
      <c r="Z384">
        <v>20.399999999999999</v>
      </c>
      <c r="AA384">
        <v>40</v>
      </c>
      <c r="AB384">
        <v>13</v>
      </c>
      <c r="AC384">
        <v>88</v>
      </c>
      <c r="AD384">
        <v>17.3</v>
      </c>
      <c r="AE384">
        <v>7.6</v>
      </c>
      <c r="AF384">
        <v>41.832999999999998</v>
      </c>
      <c r="AG384">
        <v>3.0209999999999999</v>
      </c>
      <c r="AH384">
        <v>57.831000000000003</v>
      </c>
      <c r="AI384">
        <v>68.061000000000007</v>
      </c>
      <c r="AJ384">
        <v>84.138999999999996</v>
      </c>
      <c r="AK384">
        <v>79.712999999999994</v>
      </c>
      <c r="AL384">
        <v>-2.7170000000000001</v>
      </c>
      <c r="AM384">
        <v>57.831000000000003</v>
      </c>
      <c r="AN384">
        <v>3.0209999999999999</v>
      </c>
      <c r="AO384">
        <v>41.832999999999998</v>
      </c>
      <c r="AP384">
        <v>2.7170000000000001</v>
      </c>
      <c r="AQ384">
        <v>15.861000000000001</v>
      </c>
      <c r="AR384">
        <v>31.939</v>
      </c>
      <c r="AS384">
        <v>20.286999999999999</v>
      </c>
    </row>
    <row r="385" spans="1:45" x14ac:dyDescent="0.25">
      <c r="A385">
        <v>36</v>
      </c>
      <c r="B385">
        <v>8</v>
      </c>
      <c r="C385">
        <v>1</v>
      </c>
      <c r="D385">
        <v>2019</v>
      </c>
      <c r="E385">
        <v>9</v>
      </c>
      <c r="F385" t="str">
        <f>IFERROR(VLOOKUP(G385, Map!$A$1:$B$33, 2, FALSE),"WAS")</f>
        <v>PHI</v>
      </c>
      <c r="G385" t="s">
        <v>147</v>
      </c>
      <c r="H385" t="str">
        <f>IFERROR(VLOOKUP(I385, Map!$A$1:$B$33, 2, FALSE),"WAS")</f>
        <v>CHI</v>
      </c>
      <c r="I385" t="s">
        <v>163</v>
      </c>
      <c r="J385" t="s">
        <v>206</v>
      </c>
      <c r="K385" t="s">
        <v>216</v>
      </c>
      <c r="L385">
        <v>1</v>
      </c>
      <c r="M385">
        <v>0</v>
      </c>
      <c r="N385">
        <v>34.1666666666667</v>
      </c>
      <c r="O385">
        <v>-4.4583333333333304</v>
      </c>
      <c r="P385">
        <v>-4.5</v>
      </c>
      <c r="Q385">
        <v>0</v>
      </c>
      <c r="R385">
        <v>6.8</v>
      </c>
      <c r="S385">
        <v>11.1</v>
      </c>
      <c r="T385">
        <v>3.4</v>
      </c>
      <c r="U385">
        <v>3</v>
      </c>
      <c r="V385">
        <v>0</v>
      </c>
      <c r="W385">
        <v>0</v>
      </c>
      <c r="X385">
        <v>0</v>
      </c>
      <c r="Y385">
        <v>0</v>
      </c>
      <c r="Z385">
        <v>18.600000000000001</v>
      </c>
      <c r="AA385">
        <v>36.700000000000003</v>
      </c>
      <c r="AB385">
        <v>279</v>
      </c>
      <c r="AC385">
        <v>61</v>
      </c>
      <c r="AD385">
        <v>21.6</v>
      </c>
      <c r="AE385">
        <v>11</v>
      </c>
      <c r="AF385">
        <v>62.255000000000003</v>
      </c>
      <c r="AG385">
        <v>53.018999999999998</v>
      </c>
      <c r="AH385">
        <v>37.444000000000003</v>
      </c>
      <c r="AI385">
        <v>84.647999999999996</v>
      </c>
      <c r="AJ385">
        <v>65.253</v>
      </c>
      <c r="AK385">
        <v>75.927000000000007</v>
      </c>
      <c r="AL385">
        <v>4.2539999999999996</v>
      </c>
      <c r="AM385">
        <v>37.444000000000003</v>
      </c>
      <c r="AN385">
        <v>53.018999999999998</v>
      </c>
      <c r="AO385">
        <v>62.255000000000003</v>
      </c>
      <c r="AP385">
        <v>-4.2539999999999996</v>
      </c>
      <c r="AQ385">
        <v>34.747</v>
      </c>
      <c r="AR385">
        <v>15.352</v>
      </c>
      <c r="AS385">
        <v>24.073</v>
      </c>
    </row>
    <row r="386" spans="1:45" x14ac:dyDescent="0.25">
      <c r="A386">
        <v>43</v>
      </c>
      <c r="B386">
        <v>5</v>
      </c>
      <c r="C386">
        <v>1</v>
      </c>
      <c r="D386">
        <v>2019</v>
      </c>
      <c r="E386">
        <v>9</v>
      </c>
      <c r="F386" t="str">
        <f>IFERROR(VLOOKUP(G386, Map!$A$1:$B$33, 2, FALSE),"WAS")</f>
        <v>DEN</v>
      </c>
      <c r="G386" t="s">
        <v>159</v>
      </c>
      <c r="H386" t="str">
        <f>IFERROR(VLOOKUP(I386, Map!$A$1:$B$33, 2, FALSE),"WAS")</f>
        <v>CLE</v>
      </c>
      <c r="I386" t="s">
        <v>162</v>
      </c>
      <c r="J386" t="s">
        <v>183</v>
      </c>
      <c r="K386" t="s">
        <v>171</v>
      </c>
      <c r="L386">
        <v>1</v>
      </c>
      <c r="M386">
        <v>0</v>
      </c>
      <c r="N386">
        <v>35.75</v>
      </c>
      <c r="O386">
        <v>3.4583333333333299</v>
      </c>
      <c r="P386">
        <v>2</v>
      </c>
      <c r="Q386">
        <v>38.5</v>
      </c>
      <c r="R386">
        <v>-3.8</v>
      </c>
      <c r="S386">
        <v>9.3000000000000007</v>
      </c>
      <c r="T386">
        <v>-13</v>
      </c>
      <c r="U386">
        <v>-8.1999999999999993</v>
      </c>
      <c r="V386">
        <v>0</v>
      </c>
      <c r="W386">
        <v>0</v>
      </c>
      <c r="X386">
        <v>0</v>
      </c>
      <c r="Y386">
        <v>0</v>
      </c>
      <c r="Z386">
        <v>13.7</v>
      </c>
      <c r="AA386">
        <v>16.2</v>
      </c>
      <c r="AB386">
        <v>188</v>
      </c>
      <c r="AC386">
        <v>70</v>
      </c>
      <c r="AD386">
        <v>11.7</v>
      </c>
      <c r="AE386">
        <v>9</v>
      </c>
      <c r="AF386">
        <v>59.753</v>
      </c>
      <c r="AG386">
        <v>29.106000000000002</v>
      </c>
      <c r="AH386">
        <v>39.926000000000002</v>
      </c>
      <c r="AI386">
        <v>63.719000000000001</v>
      </c>
      <c r="AJ386">
        <v>70.739999999999995</v>
      </c>
      <c r="AK386">
        <v>70.900999999999996</v>
      </c>
      <c r="AL386">
        <v>3.379</v>
      </c>
      <c r="AM386">
        <v>39.926000000000002</v>
      </c>
      <c r="AN386">
        <v>29.106000000000002</v>
      </c>
      <c r="AO386">
        <v>59.753</v>
      </c>
      <c r="AP386">
        <v>-3.379</v>
      </c>
      <c r="AQ386">
        <v>29.26</v>
      </c>
      <c r="AR386">
        <v>36.280999999999999</v>
      </c>
      <c r="AS386">
        <v>29.099</v>
      </c>
    </row>
    <row r="387" spans="1:45" x14ac:dyDescent="0.25">
      <c r="A387">
        <v>29</v>
      </c>
      <c r="B387">
        <v>-23</v>
      </c>
      <c r="C387">
        <v>0</v>
      </c>
      <c r="D387">
        <v>2019</v>
      </c>
      <c r="E387">
        <v>9</v>
      </c>
      <c r="F387" t="str">
        <f>IFERROR(VLOOKUP(G387, Map!$A$1:$B$33, 2, FALSE),"WAS")</f>
        <v>JAX</v>
      </c>
      <c r="G387" t="s">
        <v>139</v>
      </c>
      <c r="H387" t="str">
        <f>IFERROR(VLOOKUP(I387, Map!$A$1:$B$33, 2, FALSE),"WAS")</f>
        <v>HOU</v>
      </c>
      <c r="I387" t="s">
        <v>137</v>
      </c>
      <c r="J387" t="s">
        <v>220</v>
      </c>
      <c r="K387" t="s">
        <v>209</v>
      </c>
      <c r="L387">
        <v>0</v>
      </c>
      <c r="M387">
        <v>0</v>
      </c>
      <c r="N387">
        <v>38.4166666666667</v>
      </c>
      <c r="O387">
        <v>-0.83333333333333304</v>
      </c>
      <c r="P387">
        <v>0</v>
      </c>
      <c r="Q387">
        <v>0</v>
      </c>
      <c r="R387">
        <v>8.8000000000000007</v>
      </c>
      <c r="S387">
        <v>12.3</v>
      </c>
      <c r="T387">
        <v>5.4</v>
      </c>
      <c r="U387">
        <v>6.6</v>
      </c>
      <c r="V387">
        <v>1.3</v>
      </c>
      <c r="W387">
        <v>0</v>
      </c>
      <c r="X387">
        <v>3</v>
      </c>
      <c r="Y387">
        <v>1.3</v>
      </c>
      <c r="Z387">
        <v>16.3</v>
      </c>
      <c r="AA387">
        <v>32</v>
      </c>
      <c r="AB387">
        <v>224</v>
      </c>
      <c r="AC387">
        <v>89</v>
      </c>
      <c r="AD387">
        <v>18.100000000000001</v>
      </c>
      <c r="AE387">
        <v>9.9</v>
      </c>
      <c r="AF387">
        <v>31.832000000000001</v>
      </c>
      <c r="AG387">
        <v>39.347000000000001</v>
      </c>
      <c r="AH387">
        <v>67.912000000000006</v>
      </c>
      <c r="AI387">
        <v>28.186</v>
      </c>
      <c r="AJ387">
        <v>20.667999999999999</v>
      </c>
      <c r="AK387">
        <v>13.019</v>
      </c>
      <c r="AL387">
        <v>-6.3090000000000002</v>
      </c>
      <c r="AM387">
        <v>67.912000000000006</v>
      </c>
      <c r="AN387">
        <v>39.347000000000001</v>
      </c>
      <c r="AO387">
        <v>31.832000000000001</v>
      </c>
      <c r="AP387">
        <v>6.3090000000000002</v>
      </c>
      <c r="AQ387">
        <v>79.331999999999994</v>
      </c>
      <c r="AR387">
        <v>71.813999999999993</v>
      </c>
      <c r="AS387">
        <v>86.980999999999995</v>
      </c>
    </row>
    <row r="388" spans="1:45" x14ac:dyDescent="0.25">
      <c r="A388">
        <v>33</v>
      </c>
      <c r="B388">
        <v>15</v>
      </c>
      <c r="C388">
        <v>1</v>
      </c>
      <c r="D388">
        <v>2019</v>
      </c>
      <c r="E388">
        <v>9</v>
      </c>
      <c r="F388" t="str">
        <f>IFERROR(VLOOKUP(G388, Map!$A$1:$B$33, 2, FALSE),"WAS")</f>
        <v>BUF</v>
      </c>
      <c r="G388" t="s">
        <v>165</v>
      </c>
      <c r="H388" t="str">
        <f>IFERROR(VLOOKUP(I388, Map!$A$1:$B$33, 2, FALSE),"WAS")</f>
        <v>WAS</v>
      </c>
      <c r="I388" t="s">
        <v>169</v>
      </c>
      <c r="J388" t="s">
        <v>180</v>
      </c>
      <c r="K388" t="s">
        <v>205</v>
      </c>
      <c r="L388">
        <v>1</v>
      </c>
      <c r="M388">
        <v>0</v>
      </c>
      <c r="N388">
        <v>33.875</v>
      </c>
      <c r="O388">
        <v>-9.625</v>
      </c>
      <c r="P388">
        <v>-10.5</v>
      </c>
      <c r="Q388">
        <v>36.5</v>
      </c>
      <c r="R388">
        <v>8.4</v>
      </c>
      <c r="S388">
        <v>13.4</v>
      </c>
      <c r="T388">
        <v>3.2</v>
      </c>
      <c r="U388">
        <v>5.0999999999999996</v>
      </c>
      <c r="V388">
        <v>0</v>
      </c>
      <c r="W388">
        <v>0</v>
      </c>
      <c r="X388">
        <v>0</v>
      </c>
      <c r="Y388">
        <v>0</v>
      </c>
      <c r="Z388">
        <v>14.7</v>
      </c>
      <c r="AA388">
        <v>30.2</v>
      </c>
      <c r="AB388">
        <v>356</v>
      </c>
      <c r="AC388">
        <v>56</v>
      </c>
      <c r="AD388">
        <v>18.899999999999999</v>
      </c>
      <c r="AE388">
        <v>8.9</v>
      </c>
      <c r="AF388">
        <v>71.201999999999998</v>
      </c>
      <c r="AG388">
        <v>28.792000000000002</v>
      </c>
      <c r="AH388">
        <v>28.568000000000001</v>
      </c>
      <c r="AI388">
        <v>79.935000000000002</v>
      </c>
      <c r="AJ388">
        <v>64.902000000000001</v>
      </c>
      <c r="AK388">
        <v>86.412000000000006</v>
      </c>
      <c r="AL388">
        <v>7.5720000000000001</v>
      </c>
      <c r="AM388">
        <v>28.568000000000001</v>
      </c>
      <c r="AN388">
        <v>28.792000000000002</v>
      </c>
      <c r="AO388">
        <v>71.201999999999998</v>
      </c>
      <c r="AP388">
        <v>-7.5720000000000001</v>
      </c>
      <c r="AQ388">
        <v>35.097999999999999</v>
      </c>
      <c r="AR388">
        <v>20.065000000000001</v>
      </c>
      <c r="AS388">
        <v>13.587999999999999</v>
      </c>
    </row>
    <row r="389" spans="1:45" x14ac:dyDescent="0.25">
      <c r="A389">
        <v>49</v>
      </c>
      <c r="B389">
        <v>3</v>
      </c>
      <c r="C389">
        <v>1</v>
      </c>
      <c r="D389">
        <v>2019</v>
      </c>
      <c r="E389">
        <v>9</v>
      </c>
      <c r="F389" t="str">
        <f>IFERROR(VLOOKUP(G389, Map!$A$1:$B$33, 2, FALSE),"WAS")</f>
        <v>KC</v>
      </c>
      <c r="G389" t="s">
        <v>158</v>
      </c>
      <c r="H389" t="str">
        <f>IFERROR(VLOOKUP(I389, Map!$A$1:$B$33, 2, FALSE),"WAS")</f>
        <v>MIN</v>
      </c>
      <c r="I389" t="s">
        <v>153</v>
      </c>
      <c r="J389" t="s">
        <v>202</v>
      </c>
      <c r="K389" t="s">
        <v>214</v>
      </c>
      <c r="L389">
        <v>1</v>
      </c>
      <c r="M389">
        <v>0</v>
      </c>
      <c r="N389">
        <v>42.0416666666667</v>
      </c>
      <c r="O389">
        <v>4.8333333333333304</v>
      </c>
      <c r="P389">
        <v>4</v>
      </c>
      <c r="Q389">
        <v>45.5</v>
      </c>
      <c r="R389">
        <v>7.7</v>
      </c>
      <c r="S389">
        <v>14.9</v>
      </c>
      <c r="T389">
        <v>3.4</v>
      </c>
      <c r="U389">
        <v>3.2</v>
      </c>
      <c r="V389">
        <v>0</v>
      </c>
      <c r="W389">
        <v>0</v>
      </c>
      <c r="X389">
        <v>0</v>
      </c>
      <c r="Y389">
        <v>0</v>
      </c>
      <c r="Z389">
        <v>21.1</v>
      </c>
      <c r="AA389">
        <v>40</v>
      </c>
      <c r="AB389">
        <v>214</v>
      </c>
      <c r="AC389">
        <v>54</v>
      </c>
      <c r="AD389">
        <v>29.2</v>
      </c>
      <c r="AE389">
        <v>15.7</v>
      </c>
      <c r="AF389">
        <v>40.399000000000001</v>
      </c>
      <c r="AG389">
        <v>88.725999999999999</v>
      </c>
      <c r="AH389">
        <v>59.276000000000003</v>
      </c>
      <c r="AI389">
        <v>46.503999999999998</v>
      </c>
      <c r="AJ389">
        <v>67.168999999999997</v>
      </c>
      <c r="AK389">
        <v>56.732999999999997</v>
      </c>
      <c r="AL389">
        <v>-3.214</v>
      </c>
      <c r="AM389">
        <v>59.276000000000003</v>
      </c>
      <c r="AN389">
        <v>88.725999999999999</v>
      </c>
      <c r="AO389">
        <v>40.399000000000001</v>
      </c>
      <c r="AP389">
        <v>3.214</v>
      </c>
      <c r="AQ389">
        <v>32.831000000000003</v>
      </c>
      <c r="AR389">
        <v>53.496000000000002</v>
      </c>
      <c r="AS389">
        <v>43.267000000000003</v>
      </c>
    </row>
    <row r="390" spans="1:45" x14ac:dyDescent="0.25">
      <c r="A390">
        <v>55</v>
      </c>
      <c r="B390">
        <v>7</v>
      </c>
      <c r="C390">
        <v>1</v>
      </c>
      <c r="D390">
        <v>2019</v>
      </c>
      <c r="E390">
        <v>9</v>
      </c>
      <c r="F390" t="str">
        <f>IFERROR(VLOOKUP(G390, Map!$A$1:$B$33, 2, FALSE),"WAS")</f>
        <v>LV</v>
      </c>
      <c r="G390" t="s">
        <v>157</v>
      </c>
      <c r="H390" t="str">
        <f>IFERROR(VLOOKUP(I390, Map!$A$1:$B$33, 2, FALSE),"WAS")</f>
        <v>DET</v>
      </c>
      <c r="I390" t="s">
        <v>164</v>
      </c>
      <c r="J390" t="s">
        <v>179</v>
      </c>
      <c r="K390" t="s">
        <v>173</v>
      </c>
      <c r="L390">
        <v>1</v>
      </c>
      <c r="M390">
        <v>0</v>
      </c>
      <c r="N390">
        <v>42.625</v>
      </c>
      <c r="O390">
        <v>-2.375</v>
      </c>
      <c r="P390">
        <v>-2.5</v>
      </c>
      <c r="Q390">
        <v>0</v>
      </c>
      <c r="R390">
        <v>15.7</v>
      </c>
      <c r="S390">
        <v>22.8</v>
      </c>
      <c r="T390">
        <v>11.6</v>
      </c>
      <c r="U390">
        <v>13.5</v>
      </c>
      <c r="V390">
        <v>0</v>
      </c>
      <c r="W390">
        <v>0</v>
      </c>
      <c r="X390">
        <v>0</v>
      </c>
      <c r="Y390">
        <v>0</v>
      </c>
      <c r="Z390">
        <v>20.3</v>
      </c>
      <c r="AA390">
        <v>33.799999999999997</v>
      </c>
      <c r="AB390">
        <v>355</v>
      </c>
      <c r="AC390">
        <v>55</v>
      </c>
      <c r="AD390">
        <v>14.5</v>
      </c>
      <c r="AE390">
        <v>7.9</v>
      </c>
      <c r="AF390">
        <v>56.357999999999997</v>
      </c>
      <c r="AG390">
        <v>28.395</v>
      </c>
      <c r="AH390">
        <v>43.293999999999997</v>
      </c>
      <c r="AI390">
        <v>30.193999999999999</v>
      </c>
      <c r="AJ390">
        <v>81.352999999999994</v>
      </c>
      <c r="AK390">
        <v>65.477000000000004</v>
      </c>
      <c r="AL390">
        <v>2.2130000000000001</v>
      </c>
      <c r="AM390">
        <v>43.293999999999997</v>
      </c>
      <c r="AN390">
        <v>28.395</v>
      </c>
      <c r="AO390">
        <v>56.357999999999997</v>
      </c>
      <c r="AP390">
        <v>-2.2130000000000001</v>
      </c>
      <c r="AQ390">
        <v>18.646999999999998</v>
      </c>
      <c r="AR390">
        <v>69.805999999999997</v>
      </c>
      <c r="AS390">
        <v>34.523000000000003</v>
      </c>
    </row>
    <row r="391" spans="1:45" x14ac:dyDescent="0.25">
      <c r="A391">
        <v>57</v>
      </c>
      <c r="B391">
        <v>17</v>
      </c>
      <c r="C391">
        <v>1</v>
      </c>
      <c r="D391">
        <v>2019</v>
      </c>
      <c r="E391">
        <v>9</v>
      </c>
      <c r="F391" t="str">
        <f>IFERROR(VLOOKUP(G391, Map!$A$1:$B$33, 2, FALSE),"WAS")</f>
        <v>BAL</v>
      </c>
      <c r="G391" t="s">
        <v>146</v>
      </c>
      <c r="H391" t="str">
        <f>IFERROR(VLOOKUP(I391, Map!$A$1:$B$33, 2, FALSE),"WAS")</f>
        <v>NE</v>
      </c>
      <c r="I391" t="s">
        <v>151</v>
      </c>
      <c r="J391" t="s">
        <v>181</v>
      </c>
      <c r="K391" t="s">
        <v>187</v>
      </c>
      <c r="L391">
        <v>1</v>
      </c>
      <c r="M391">
        <v>0</v>
      </c>
      <c r="N391">
        <v>36.9583333333333</v>
      </c>
      <c r="O391">
        <v>2.9166666666666701</v>
      </c>
      <c r="P391">
        <v>3</v>
      </c>
      <c r="Q391">
        <v>0</v>
      </c>
      <c r="R391">
        <v>7.5</v>
      </c>
      <c r="S391">
        <v>14.4</v>
      </c>
      <c r="T391">
        <v>1.7</v>
      </c>
      <c r="U391">
        <v>4.3</v>
      </c>
      <c r="V391">
        <v>0</v>
      </c>
      <c r="W391">
        <v>0</v>
      </c>
      <c r="X391">
        <v>0</v>
      </c>
      <c r="Y391">
        <v>0</v>
      </c>
      <c r="Z391">
        <v>20.5</v>
      </c>
      <c r="AA391">
        <v>36</v>
      </c>
      <c r="AB391">
        <v>158</v>
      </c>
      <c r="AC391">
        <v>71</v>
      </c>
      <c r="AD391">
        <v>19.399999999999999</v>
      </c>
      <c r="AE391">
        <v>10.199999999999999</v>
      </c>
      <c r="AF391">
        <v>37.427</v>
      </c>
      <c r="AG391">
        <v>88.617999999999995</v>
      </c>
      <c r="AH391">
        <v>62.273000000000003</v>
      </c>
      <c r="AI391">
        <v>77.369</v>
      </c>
      <c r="AJ391">
        <v>84.319000000000003</v>
      </c>
      <c r="AK391">
        <v>82.44</v>
      </c>
      <c r="AL391">
        <v>-4.2610000000000001</v>
      </c>
      <c r="AM391">
        <v>62.273000000000003</v>
      </c>
      <c r="AN391">
        <v>88.617999999999995</v>
      </c>
      <c r="AO391">
        <v>37.427</v>
      </c>
      <c r="AP391">
        <v>4.2610000000000001</v>
      </c>
      <c r="AQ391">
        <v>15.680999999999999</v>
      </c>
      <c r="AR391">
        <v>22.631</v>
      </c>
      <c r="AS391">
        <v>17.559999999999999</v>
      </c>
    </row>
    <row r="392" spans="1:45" x14ac:dyDescent="0.25">
      <c r="A392">
        <v>53</v>
      </c>
      <c r="B392">
        <v>-3</v>
      </c>
      <c r="C392">
        <v>0</v>
      </c>
      <c r="D392">
        <v>2019</v>
      </c>
      <c r="E392">
        <v>9</v>
      </c>
      <c r="F392" t="str">
        <f>IFERROR(VLOOKUP(G392, Map!$A$1:$B$33, 2, FALSE),"WAS")</f>
        <v>ARI</v>
      </c>
      <c r="G392" t="s">
        <v>156</v>
      </c>
      <c r="H392" t="str">
        <f>IFERROR(VLOOKUP(I392, Map!$A$1:$B$33, 2, FALSE),"WAS")</f>
        <v>SF</v>
      </c>
      <c r="I392" t="s">
        <v>143</v>
      </c>
      <c r="J392" t="s">
        <v>190</v>
      </c>
      <c r="K392" t="s">
        <v>197</v>
      </c>
      <c r="L392">
        <v>0</v>
      </c>
      <c r="M392">
        <v>0</v>
      </c>
      <c r="N392">
        <v>39.75</v>
      </c>
      <c r="O392">
        <v>9.125</v>
      </c>
      <c r="P392">
        <v>8</v>
      </c>
      <c r="Q392">
        <v>43</v>
      </c>
      <c r="R392">
        <v>17.3</v>
      </c>
      <c r="S392">
        <v>27.7</v>
      </c>
      <c r="T392">
        <v>9.6</v>
      </c>
      <c r="U392">
        <v>12.9</v>
      </c>
      <c r="V392">
        <v>0</v>
      </c>
      <c r="W392">
        <v>0</v>
      </c>
      <c r="X392">
        <v>0</v>
      </c>
      <c r="Y392">
        <v>0</v>
      </c>
      <c r="Z392">
        <v>11.8</v>
      </c>
      <c r="AA392">
        <v>25.6</v>
      </c>
      <c r="AB392">
        <v>347</v>
      </c>
      <c r="AC392">
        <v>8</v>
      </c>
      <c r="AD392">
        <v>14.4</v>
      </c>
      <c r="AE392">
        <v>5.3</v>
      </c>
      <c r="AF392">
        <v>20.814</v>
      </c>
      <c r="AG392">
        <v>63.209000000000003</v>
      </c>
      <c r="AH392">
        <v>79.019000000000005</v>
      </c>
      <c r="AI392">
        <v>8.2029999999999994</v>
      </c>
      <c r="AJ392">
        <v>72.138999999999996</v>
      </c>
      <c r="AK392">
        <v>19.811</v>
      </c>
      <c r="AL392">
        <v>-10.9</v>
      </c>
      <c r="AM392">
        <v>79.019000000000005</v>
      </c>
      <c r="AN392">
        <v>63.209000000000003</v>
      </c>
      <c r="AO392">
        <v>20.814</v>
      </c>
      <c r="AP392">
        <v>10.9</v>
      </c>
      <c r="AQ392">
        <v>27.861000000000001</v>
      </c>
      <c r="AR392">
        <v>91.796999999999997</v>
      </c>
      <c r="AS392">
        <v>80.188999999999993</v>
      </c>
    </row>
    <row r="393" spans="1:45" x14ac:dyDescent="0.25">
      <c r="A393">
        <v>40</v>
      </c>
      <c r="B393">
        <v>8</v>
      </c>
      <c r="C393">
        <v>1</v>
      </c>
      <c r="D393">
        <v>2019</v>
      </c>
      <c r="E393">
        <v>10</v>
      </c>
      <c r="F393" t="str">
        <f>IFERROR(VLOOKUP(G393, Map!$A$1:$B$33, 2, FALSE),"WAS")</f>
        <v>GB</v>
      </c>
      <c r="G393" t="s">
        <v>154</v>
      </c>
      <c r="H393" t="str">
        <f>IFERROR(VLOOKUP(I393, Map!$A$1:$B$33, 2, FALSE),"WAS")</f>
        <v>CAR</v>
      </c>
      <c r="I393" t="s">
        <v>142</v>
      </c>
      <c r="J393" t="s">
        <v>200</v>
      </c>
      <c r="K393" t="s">
        <v>185</v>
      </c>
      <c r="L393">
        <v>1</v>
      </c>
      <c r="M393">
        <v>0</v>
      </c>
      <c r="N393">
        <v>42.2083333333333</v>
      </c>
      <c r="O393">
        <v>-4.4583333333333304</v>
      </c>
      <c r="P393">
        <v>-4</v>
      </c>
      <c r="Q393">
        <v>23.5</v>
      </c>
      <c r="R393">
        <v>0.6</v>
      </c>
      <c r="S393">
        <v>2.2000000000000002</v>
      </c>
      <c r="T393">
        <v>-1.1000000000000001</v>
      </c>
      <c r="U393">
        <v>-3.7</v>
      </c>
      <c r="V393">
        <v>1.1000000000000001</v>
      </c>
      <c r="W393">
        <v>0.42</v>
      </c>
      <c r="X393">
        <v>7</v>
      </c>
      <c r="Y393">
        <v>0.5</v>
      </c>
      <c r="Z393">
        <v>15.7</v>
      </c>
      <c r="AA393">
        <v>29.9</v>
      </c>
      <c r="AB393">
        <v>310</v>
      </c>
      <c r="AC393">
        <v>77</v>
      </c>
      <c r="AD393">
        <v>23.3</v>
      </c>
      <c r="AE393">
        <v>11.8</v>
      </c>
      <c r="AF393">
        <v>75.852999999999994</v>
      </c>
      <c r="AG393">
        <v>46.177</v>
      </c>
      <c r="AH393">
        <v>23.954999999999998</v>
      </c>
      <c r="AI393">
        <v>69.450999999999993</v>
      </c>
      <c r="AJ393">
        <v>79.340999999999994</v>
      </c>
      <c r="AK393">
        <v>78.728999999999999</v>
      </c>
      <c r="AL393">
        <v>9.4429999999999996</v>
      </c>
      <c r="AM393">
        <v>23.954999999999998</v>
      </c>
      <c r="AN393">
        <v>46.177</v>
      </c>
      <c r="AO393">
        <v>75.852999999999994</v>
      </c>
      <c r="AP393">
        <v>-9.4429999999999996</v>
      </c>
      <c r="AQ393">
        <v>20.658999999999999</v>
      </c>
      <c r="AR393">
        <v>30.548999999999999</v>
      </c>
      <c r="AS393">
        <v>21.271000000000001</v>
      </c>
    </row>
    <row r="394" spans="1:45" x14ac:dyDescent="0.25">
      <c r="A394">
        <v>29</v>
      </c>
      <c r="B394">
        <v>5</v>
      </c>
      <c r="C394">
        <v>1</v>
      </c>
      <c r="D394">
        <v>2019</v>
      </c>
      <c r="E394">
        <v>10</v>
      </c>
      <c r="F394" t="str">
        <f>IFERROR(VLOOKUP(G394, Map!$A$1:$B$33, 2, FALSE),"WAS")</f>
        <v>PIT</v>
      </c>
      <c r="G394" t="s">
        <v>145</v>
      </c>
      <c r="H394" t="str">
        <f>IFERROR(VLOOKUP(I394, Map!$A$1:$B$33, 2, FALSE),"WAS")</f>
        <v>LA</v>
      </c>
      <c r="I394" t="s">
        <v>155</v>
      </c>
      <c r="J394" t="s">
        <v>170</v>
      </c>
      <c r="K394" t="s">
        <v>178</v>
      </c>
      <c r="L394">
        <v>1</v>
      </c>
      <c r="M394">
        <v>0</v>
      </c>
      <c r="N394">
        <v>38.4166666666667</v>
      </c>
      <c r="O394">
        <v>3.9583333333333299</v>
      </c>
      <c r="P394">
        <v>4</v>
      </c>
      <c r="Q394">
        <v>27.5</v>
      </c>
      <c r="R394">
        <v>5.2</v>
      </c>
      <c r="S394">
        <v>11.5</v>
      </c>
      <c r="T394">
        <v>0.6</v>
      </c>
      <c r="U394">
        <v>1.1000000000000001</v>
      </c>
      <c r="V394">
        <v>0</v>
      </c>
      <c r="W394">
        <v>0</v>
      </c>
      <c r="X394">
        <v>0</v>
      </c>
      <c r="Y394">
        <v>0</v>
      </c>
      <c r="Z394">
        <v>15.1</v>
      </c>
      <c r="AA394">
        <v>34.6</v>
      </c>
      <c r="AB394">
        <v>216</v>
      </c>
      <c r="AC394">
        <v>59</v>
      </c>
      <c r="AD394">
        <v>24.7</v>
      </c>
      <c r="AE394">
        <v>11.6</v>
      </c>
      <c r="AF394">
        <v>37.811</v>
      </c>
      <c r="AG394">
        <v>48.957000000000001</v>
      </c>
      <c r="AH394">
        <v>61.886000000000003</v>
      </c>
      <c r="AI394">
        <v>94.691000000000003</v>
      </c>
      <c r="AJ394">
        <v>9.516</v>
      </c>
      <c r="AK394">
        <v>60.543999999999997</v>
      </c>
      <c r="AL394">
        <v>-4.1070000000000002</v>
      </c>
      <c r="AM394">
        <v>61.886000000000003</v>
      </c>
      <c r="AN394">
        <v>48.957000000000001</v>
      </c>
      <c r="AO394">
        <v>37.811</v>
      </c>
      <c r="AP394">
        <v>4.1070000000000002</v>
      </c>
      <c r="AQ394">
        <v>90.483999999999995</v>
      </c>
      <c r="AR394">
        <v>5.3090000000000002</v>
      </c>
      <c r="AS394">
        <v>39.456000000000003</v>
      </c>
    </row>
    <row r="395" spans="1:45" x14ac:dyDescent="0.25">
      <c r="A395">
        <v>35</v>
      </c>
      <c r="B395">
        <v>-17</v>
      </c>
      <c r="C395">
        <v>0</v>
      </c>
      <c r="D395">
        <v>2019</v>
      </c>
      <c r="E395">
        <v>10</v>
      </c>
      <c r="F395" t="str">
        <f>IFERROR(VLOOKUP(G395, Map!$A$1:$B$33, 2, FALSE),"WAS")</f>
        <v>NO</v>
      </c>
      <c r="G395" t="s">
        <v>168</v>
      </c>
      <c r="H395" t="str">
        <f>IFERROR(VLOOKUP(I395, Map!$A$1:$B$33, 2, FALSE),"WAS")</f>
        <v>ATL</v>
      </c>
      <c r="I395" t="s">
        <v>167</v>
      </c>
      <c r="J395" t="s">
        <v>192</v>
      </c>
      <c r="K395" t="s">
        <v>188</v>
      </c>
      <c r="L395">
        <v>0</v>
      </c>
      <c r="M395">
        <v>0</v>
      </c>
      <c r="N395">
        <v>42.9166666666667</v>
      </c>
      <c r="O395">
        <v>-12.4583333333333</v>
      </c>
      <c r="P395">
        <v>-13.5</v>
      </c>
      <c r="Q395">
        <v>0</v>
      </c>
      <c r="R395">
        <v>14.1</v>
      </c>
      <c r="S395">
        <v>20.399999999999999</v>
      </c>
      <c r="T395">
        <v>9.3000000000000007</v>
      </c>
      <c r="U395">
        <v>12.9</v>
      </c>
      <c r="V395">
        <v>0</v>
      </c>
      <c r="W395">
        <v>0</v>
      </c>
      <c r="X395">
        <v>0</v>
      </c>
      <c r="Y395">
        <v>0</v>
      </c>
      <c r="Z395">
        <v>11.7</v>
      </c>
      <c r="AA395">
        <v>18</v>
      </c>
      <c r="AB395">
        <v>66</v>
      </c>
      <c r="AC395">
        <v>74</v>
      </c>
      <c r="AD395">
        <v>14.7</v>
      </c>
      <c r="AE395">
        <v>8.4</v>
      </c>
      <c r="AF395">
        <v>76.968000000000004</v>
      </c>
      <c r="AG395">
        <v>69.245999999999995</v>
      </c>
      <c r="AH395">
        <v>22.849</v>
      </c>
      <c r="AI395">
        <v>31.132000000000001</v>
      </c>
      <c r="AJ395">
        <v>23.013000000000002</v>
      </c>
      <c r="AK395">
        <v>20.652000000000001</v>
      </c>
      <c r="AL395">
        <v>9.9269999999999996</v>
      </c>
      <c r="AM395">
        <v>22.849</v>
      </c>
      <c r="AN395">
        <v>69.245999999999995</v>
      </c>
      <c r="AO395">
        <v>76.968000000000004</v>
      </c>
      <c r="AP395">
        <v>-9.9269999999999996</v>
      </c>
      <c r="AQ395">
        <v>76.986999999999995</v>
      </c>
      <c r="AR395">
        <v>68.867999999999995</v>
      </c>
      <c r="AS395">
        <v>79.347999999999999</v>
      </c>
    </row>
    <row r="396" spans="1:45" x14ac:dyDescent="0.25">
      <c r="A396">
        <v>57</v>
      </c>
      <c r="B396">
        <v>3</v>
      </c>
      <c r="C396">
        <v>1</v>
      </c>
      <c r="D396">
        <v>2019</v>
      </c>
      <c r="E396">
        <v>10</v>
      </c>
      <c r="F396" t="str">
        <f>IFERROR(VLOOKUP(G396, Map!$A$1:$B$33, 2, FALSE),"WAS")</f>
        <v>TB</v>
      </c>
      <c r="G396" t="s">
        <v>141</v>
      </c>
      <c r="H396" t="str">
        <f>IFERROR(VLOOKUP(I396, Map!$A$1:$B$33, 2, FALSE),"WAS")</f>
        <v>ARI</v>
      </c>
      <c r="I396" t="s">
        <v>156</v>
      </c>
      <c r="J396" t="s">
        <v>186</v>
      </c>
      <c r="K396" t="s">
        <v>190</v>
      </c>
      <c r="L396">
        <v>1</v>
      </c>
      <c r="M396">
        <v>0</v>
      </c>
      <c r="N396">
        <v>42.75</v>
      </c>
      <c r="O396">
        <v>-4.9583333333333304</v>
      </c>
      <c r="P396">
        <v>-5</v>
      </c>
      <c r="Q396">
        <v>0</v>
      </c>
      <c r="R396">
        <v>18.899999999999999</v>
      </c>
      <c r="S396">
        <v>25</v>
      </c>
      <c r="T396">
        <v>14.4</v>
      </c>
      <c r="U396">
        <v>18.2</v>
      </c>
      <c r="V396">
        <v>0</v>
      </c>
      <c r="W396">
        <v>0</v>
      </c>
      <c r="X396">
        <v>0</v>
      </c>
      <c r="Y396">
        <v>0</v>
      </c>
      <c r="Z396">
        <v>18.8</v>
      </c>
      <c r="AA396">
        <v>31</v>
      </c>
      <c r="AB396">
        <v>42</v>
      </c>
      <c r="AC396">
        <v>75</v>
      </c>
      <c r="AD396">
        <v>26.6</v>
      </c>
      <c r="AE396">
        <v>14.8</v>
      </c>
      <c r="AF396">
        <v>71.799000000000007</v>
      </c>
      <c r="AG396">
        <v>45.857999999999997</v>
      </c>
      <c r="AH396">
        <v>27.975999999999999</v>
      </c>
      <c r="AI396">
        <v>51.838999999999999</v>
      </c>
      <c r="AJ396">
        <v>58.874000000000002</v>
      </c>
      <c r="AK396">
        <v>52.396000000000001</v>
      </c>
      <c r="AL396">
        <v>7.7750000000000004</v>
      </c>
      <c r="AM396">
        <v>27.975999999999999</v>
      </c>
      <c r="AN396">
        <v>45.857999999999997</v>
      </c>
      <c r="AO396">
        <v>71.799000000000007</v>
      </c>
      <c r="AP396">
        <v>-7.7750000000000004</v>
      </c>
      <c r="AQ396">
        <v>41.125999999999998</v>
      </c>
      <c r="AR396">
        <v>48.161000000000001</v>
      </c>
      <c r="AS396">
        <v>47.603999999999999</v>
      </c>
    </row>
    <row r="397" spans="1:45" x14ac:dyDescent="0.25">
      <c r="A397">
        <v>50</v>
      </c>
      <c r="B397">
        <v>2</v>
      </c>
      <c r="C397">
        <v>1</v>
      </c>
      <c r="D397">
        <v>2019</v>
      </c>
      <c r="E397">
        <v>10</v>
      </c>
      <c r="F397" t="str">
        <f>IFERROR(VLOOKUP(G397, Map!$A$1:$B$33, 2, FALSE),"WAS")</f>
        <v>LV</v>
      </c>
      <c r="G397" t="s">
        <v>157</v>
      </c>
      <c r="H397" t="str">
        <f>IFERROR(VLOOKUP(I397, Map!$A$1:$B$33, 2, FALSE),"WAS")</f>
        <v>LAC</v>
      </c>
      <c r="I397" t="s">
        <v>160</v>
      </c>
      <c r="J397" t="s">
        <v>179</v>
      </c>
      <c r="K397" t="s">
        <v>210</v>
      </c>
      <c r="L397">
        <v>1</v>
      </c>
      <c r="M397">
        <v>0</v>
      </c>
      <c r="N397">
        <v>44.7083333333333</v>
      </c>
      <c r="O397">
        <v>0.95833333333333304</v>
      </c>
      <c r="P397">
        <v>1</v>
      </c>
      <c r="Q397">
        <v>48</v>
      </c>
      <c r="R397">
        <v>11.5</v>
      </c>
      <c r="S397">
        <v>15.1</v>
      </c>
      <c r="T397">
        <v>10.3</v>
      </c>
      <c r="U397">
        <v>9.5</v>
      </c>
      <c r="V397">
        <v>0</v>
      </c>
      <c r="W397">
        <v>0</v>
      </c>
      <c r="X397">
        <v>0</v>
      </c>
      <c r="Y397">
        <v>0</v>
      </c>
      <c r="Z397">
        <v>26.3</v>
      </c>
      <c r="AA397">
        <v>42.1</v>
      </c>
      <c r="AB397">
        <v>263</v>
      </c>
      <c r="AC397">
        <v>87</v>
      </c>
      <c r="AD397">
        <v>22.3</v>
      </c>
      <c r="AE397">
        <v>12.5</v>
      </c>
      <c r="AF397">
        <v>49.261000000000003</v>
      </c>
      <c r="AG397">
        <v>37.206000000000003</v>
      </c>
      <c r="AH397">
        <v>50.343000000000004</v>
      </c>
      <c r="AI397">
        <v>57.545000000000002</v>
      </c>
      <c r="AJ397">
        <v>66.222999999999999</v>
      </c>
      <c r="AK397">
        <v>56.381</v>
      </c>
      <c r="AL397">
        <v>-0.182</v>
      </c>
      <c r="AM397">
        <v>50.343000000000004</v>
      </c>
      <c r="AN397">
        <v>37.206000000000003</v>
      </c>
      <c r="AO397">
        <v>49.261000000000003</v>
      </c>
      <c r="AP397">
        <v>0.182</v>
      </c>
      <c r="AQ397">
        <v>33.777000000000001</v>
      </c>
      <c r="AR397">
        <v>42.454999999999998</v>
      </c>
      <c r="AS397">
        <v>43.619</v>
      </c>
    </row>
    <row r="398" spans="1:45" x14ac:dyDescent="0.25">
      <c r="A398">
        <v>61</v>
      </c>
      <c r="B398">
        <v>7</v>
      </c>
      <c r="C398">
        <v>1</v>
      </c>
      <c r="D398">
        <v>2019</v>
      </c>
      <c r="E398">
        <v>10</v>
      </c>
      <c r="F398" t="str">
        <f>IFERROR(VLOOKUP(G398, Map!$A$1:$B$33, 2, FALSE),"WAS")</f>
        <v>NYJ</v>
      </c>
      <c r="G398" t="s">
        <v>166</v>
      </c>
      <c r="H398" t="str">
        <f>IFERROR(VLOOKUP(I398, Map!$A$1:$B$33, 2, FALSE),"WAS")</f>
        <v>NYG</v>
      </c>
      <c r="I398" t="s">
        <v>149</v>
      </c>
      <c r="J398" t="s">
        <v>172</v>
      </c>
      <c r="K398" t="s">
        <v>219</v>
      </c>
      <c r="L398">
        <v>1</v>
      </c>
      <c r="M398">
        <v>0</v>
      </c>
      <c r="N398">
        <v>39.6666666666667</v>
      </c>
      <c r="O398">
        <v>2.625</v>
      </c>
      <c r="P398">
        <v>2.5</v>
      </c>
      <c r="Q398">
        <v>43</v>
      </c>
      <c r="R398">
        <v>3.1</v>
      </c>
      <c r="S398">
        <v>10.4</v>
      </c>
      <c r="T398">
        <v>-1.4</v>
      </c>
      <c r="U398">
        <v>-0.7</v>
      </c>
      <c r="V398">
        <v>0</v>
      </c>
      <c r="W398">
        <v>0</v>
      </c>
      <c r="X398">
        <v>0</v>
      </c>
      <c r="Y398">
        <v>0</v>
      </c>
      <c r="Z398">
        <v>13.3</v>
      </c>
      <c r="AA398">
        <v>27.7</v>
      </c>
      <c r="AB398">
        <v>224</v>
      </c>
      <c r="AC398">
        <v>62</v>
      </c>
      <c r="AD398">
        <v>17.5</v>
      </c>
      <c r="AE398">
        <v>8.6</v>
      </c>
      <c r="AF398">
        <v>56.167000000000002</v>
      </c>
      <c r="AG398">
        <v>10.012</v>
      </c>
      <c r="AH398">
        <v>43.482999999999997</v>
      </c>
      <c r="AI398">
        <v>58.106999999999999</v>
      </c>
      <c r="AJ398">
        <v>69.975999999999999</v>
      </c>
      <c r="AK398">
        <v>67.088999999999999</v>
      </c>
      <c r="AL398">
        <v>2.1389999999999998</v>
      </c>
      <c r="AM398">
        <v>43.482999999999997</v>
      </c>
      <c r="AN398">
        <v>10.012</v>
      </c>
      <c r="AO398">
        <v>56.167000000000002</v>
      </c>
      <c r="AP398">
        <v>-2.1389999999999998</v>
      </c>
      <c r="AQ398">
        <v>30.024000000000001</v>
      </c>
      <c r="AR398">
        <v>41.893000000000001</v>
      </c>
      <c r="AS398">
        <v>32.911000000000001</v>
      </c>
    </row>
    <row r="399" spans="1:45" x14ac:dyDescent="0.25">
      <c r="A399">
        <v>51</v>
      </c>
      <c r="B399">
        <v>-3</v>
      </c>
      <c r="C399">
        <v>0</v>
      </c>
      <c r="D399">
        <v>2019</v>
      </c>
      <c r="E399">
        <v>10</v>
      </c>
      <c r="F399" t="str">
        <f>IFERROR(VLOOKUP(G399, Map!$A$1:$B$33, 2, FALSE),"WAS")</f>
        <v>SF</v>
      </c>
      <c r="G399" t="s">
        <v>143</v>
      </c>
      <c r="H399" t="str">
        <f>IFERROR(VLOOKUP(I399, Map!$A$1:$B$33, 2, FALSE),"WAS")</f>
        <v>SEA</v>
      </c>
      <c r="I399" t="s">
        <v>144</v>
      </c>
      <c r="J399" t="s">
        <v>197</v>
      </c>
      <c r="K399" t="s">
        <v>182</v>
      </c>
      <c r="L399">
        <v>0</v>
      </c>
      <c r="M399">
        <v>0</v>
      </c>
      <c r="N399">
        <v>39.0833333333333</v>
      </c>
      <c r="O399">
        <v>-5.75</v>
      </c>
      <c r="P399">
        <v>-5.5</v>
      </c>
      <c r="Q399">
        <v>0</v>
      </c>
      <c r="R399">
        <v>17.5</v>
      </c>
      <c r="S399">
        <v>22.7</v>
      </c>
      <c r="T399">
        <v>13.7</v>
      </c>
      <c r="U399">
        <v>16</v>
      </c>
      <c r="V399">
        <v>0</v>
      </c>
      <c r="W399">
        <v>0</v>
      </c>
      <c r="X399">
        <v>0</v>
      </c>
      <c r="Y399">
        <v>0</v>
      </c>
      <c r="Z399">
        <v>8</v>
      </c>
      <c r="AA399">
        <v>19.100000000000001</v>
      </c>
      <c r="AB399">
        <v>187</v>
      </c>
      <c r="AC399">
        <v>48</v>
      </c>
      <c r="AD399">
        <v>9</v>
      </c>
      <c r="AE399">
        <v>4.0999999999999996</v>
      </c>
      <c r="AF399">
        <v>75.245000000000005</v>
      </c>
      <c r="AG399">
        <v>72.792000000000002</v>
      </c>
      <c r="AH399">
        <v>24.558</v>
      </c>
      <c r="AI399">
        <v>83.734999999999999</v>
      </c>
      <c r="AJ399">
        <v>12.098000000000001</v>
      </c>
      <c r="AK399">
        <v>38.04</v>
      </c>
      <c r="AL399">
        <v>9.1839999999999993</v>
      </c>
      <c r="AM399">
        <v>24.558</v>
      </c>
      <c r="AN399">
        <v>72.792000000000002</v>
      </c>
      <c r="AO399">
        <v>75.245000000000005</v>
      </c>
      <c r="AP399">
        <v>-9.1839999999999993</v>
      </c>
      <c r="AQ399">
        <v>87.902000000000001</v>
      </c>
      <c r="AR399">
        <v>16.265000000000001</v>
      </c>
      <c r="AS399">
        <v>61.96</v>
      </c>
    </row>
    <row r="400" spans="1:45" x14ac:dyDescent="0.25">
      <c r="A400">
        <v>52</v>
      </c>
      <c r="B400">
        <v>-4</v>
      </c>
      <c r="C400">
        <v>0</v>
      </c>
      <c r="D400">
        <v>2019</v>
      </c>
      <c r="E400">
        <v>10</v>
      </c>
      <c r="F400" t="str">
        <f>IFERROR(VLOOKUP(G400, Map!$A$1:$B$33, 2, FALSE),"WAS")</f>
        <v>DAL</v>
      </c>
      <c r="G400" t="s">
        <v>150</v>
      </c>
      <c r="H400" t="str">
        <f>IFERROR(VLOOKUP(I400, Map!$A$1:$B$33, 2, FALSE),"WAS")</f>
        <v>MIN</v>
      </c>
      <c r="I400" t="s">
        <v>153</v>
      </c>
      <c r="J400" t="s">
        <v>184</v>
      </c>
      <c r="K400" t="s">
        <v>214</v>
      </c>
      <c r="L400">
        <v>0</v>
      </c>
      <c r="M400">
        <v>0</v>
      </c>
      <c r="N400">
        <v>43.9166666666667</v>
      </c>
      <c r="O400">
        <v>-3</v>
      </c>
      <c r="P400">
        <v>-3</v>
      </c>
      <c r="Q400">
        <v>47.5</v>
      </c>
      <c r="R400">
        <v>14.3</v>
      </c>
      <c r="S400">
        <v>19.600000000000001</v>
      </c>
      <c r="T400">
        <v>2.9</v>
      </c>
      <c r="U400">
        <v>10.3</v>
      </c>
      <c r="V400">
        <v>0.8</v>
      </c>
      <c r="W400">
        <v>0</v>
      </c>
      <c r="X400">
        <v>3</v>
      </c>
      <c r="Y400">
        <v>0.8</v>
      </c>
      <c r="Z400">
        <v>42.7</v>
      </c>
      <c r="AA400">
        <v>86</v>
      </c>
      <c r="AB400">
        <v>248</v>
      </c>
      <c r="AC400">
        <v>71</v>
      </c>
      <c r="AD400">
        <v>46.1</v>
      </c>
      <c r="AE400">
        <v>26.7</v>
      </c>
      <c r="AF400">
        <v>54.357999999999997</v>
      </c>
      <c r="AG400">
        <v>88.415999999999997</v>
      </c>
      <c r="AH400">
        <v>45.277999999999999</v>
      </c>
      <c r="AI400">
        <v>16.347999999999999</v>
      </c>
      <c r="AJ400">
        <v>85.399000000000001</v>
      </c>
      <c r="AK400">
        <v>41.825000000000003</v>
      </c>
      <c r="AL400">
        <v>1.528</v>
      </c>
      <c r="AM400">
        <v>45.277999999999999</v>
      </c>
      <c r="AN400">
        <v>88.415999999999997</v>
      </c>
      <c r="AO400">
        <v>54.357999999999997</v>
      </c>
      <c r="AP400">
        <v>-1.528</v>
      </c>
      <c r="AQ400">
        <v>14.601000000000001</v>
      </c>
      <c r="AR400">
        <v>83.652000000000001</v>
      </c>
      <c r="AS400">
        <v>58.174999999999997</v>
      </c>
    </row>
    <row r="401" spans="1:45" x14ac:dyDescent="0.25">
      <c r="A401">
        <v>62</v>
      </c>
      <c r="B401">
        <v>-36</v>
      </c>
      <c r="C401">
        <v>0</v>
      </c>
      <c r="D401">
        <v>2019</v>
      </c>
      <c r="E401">
        <v>10</v>
      </c>
      <c r="F401" t="str">
        <f>IFERROR(VLOOKUP(G401, Map!$A$1:$B$33, 2, FALSE),"WAS")</f>
        <v>CIN</v>
      </c>
      <c r="G401" t="s">
        <v>161</v>
      </c>
      <c r="H401" t="str">
        <f>IFERROR(VLOOKUP(I401, Map!$A$1:$B$33, 2, FALSE),"WAS")</f>
        <v>BAL</v>
      </c>
      <c r="I401" t="s">
        <v>146</v>
      </c>
      <c r="J401" t="s">
        <v>176</v>
      </c>
      <c r="K401" t="s">
        <v>181</v>
      </c>
      <c r="L401">
        <v>0</v>
      </c>
      <c r="M401">
        <v>0</v>
      </c>
      <c r="N401">
        <v>36.7916666666667</v>
      </c>
      <c r="O401">
        <v>9.5833333333333304</v>
      </c>
      <c r="P401">
        <v>10</v>
      </c>
      <c r="Q401">
        <v>0</v>
      </c>
      <c r="R401">
        <v>7.7</v>
      </c>
      <c r="S401">
        <v>15.7</v>
      </c>
      <c r="T401">
        <v>3.8</v>
      </c>
      <c r="U401">
        <v>3.6</v>
      </c>
      <c r="V401">
        <v>0</v>
      </c>
      <c r="W401">
        <v>0</v>
      </c>
      <c r="X401">
        <v>0</v>
      </c>
      <c r="Y401">
        <v>0</v>
      </c>
      <c r="Z401">
        <v>16.899999999999999</v>
      </c>
      <c r="AA401">
        <v>37.1</v>
      </c>
      <c r="AB401">
        <v>219</v>
      </c>
      <c r="AC401">
        <v>58</v>
      </c>
      <c r="AD401">
        <v>28.5</v>
      </c>
      <c r="AE401">
        <v>13.7</v>
      </c>
      <c r="AF401">
        <v>23.387</v>
      </c>
      <c r="AG401">
        <v>50.323999999999998</v>
      </c>
      <c r="AH401">
        <v>76.424999999999997</v>
      </c>
      <c r="AI401">
        <v>0.254</v>
      </c>
      <c r="AJ401">
        <v>4.0430000000000001</v>
      </c>
      <c r="AK401">
        <v>0.36599999999999999</v>
      </c>
      <c r="AL401">
        <v>-9.69</v>
      </c>
      <c r="AM401">
        <v>76.424999999999997</v>
      </c>
      <c r="AN401">
        <v>50.323999999999998</v>
      </c>
      <c r="AO401">
        <v>23.387</v>
      </c>
      <c r="AP401">
        <v>9.69</v>
      </c>
      <c r="AQ401">
        <v>95.956999999999994</v>
      </c>
      <c r="AR401">
        <v>99.745999999999995</v>
      </c>
      <c r="AS401">
        <v>99.634</v>
      </c>
    </row>
    <row r="402" spans="1:45" x14ac:dyDescent="0.25">
      <c r="A402">
        <v>33</v>
      </c>
      <c r="B402">
        <v>7</v>
      </c>
      <c r="C402">
        <v>1</v>
      </c>
      <c r="D402">
        <v>2019</v>
      </c>
      <c r="E402">
        <v>10</v>
      </c>
      <c r="F402" t="str">
        <f>IFERROR(VLOOKUP(G402, Map!$A$1:$B$33, 2, FALSE),"WAS")</f>
        <v>CHI</v>
      </c>
      <c r="G402" t="s">
        <v>163</v>
      </c>
      <c r="H402" t="str">
        <f>IFERROR(VLOOKUP(I402, Map!$A$1:$B$33, 2, FALSE),"WAS")</f>
        <v>DET</v>
      </c>
      <c r="I402" t="s">
        <v>164</v>
      </c>
      <c r="J402" t="s">
        <v>216</v>
      </c>
      <c r="K402" t="s">
        <v>173</v>
      </c>
      <c r="L402">
        <v>1</v>
      </c>
      <c r="M402">
        <v>0</v>
      </c>
      <c r="N402">
        <v>34.9166666666667</v>
      </c>
      <c r="O402">
        <v>-5.9166666666666696</v>
      </c>
      <c r="P402">
        <v>-6</v>
      </c>
      <c r="Q402">
        <v>38</v>
      </c>
      <c r="R402">
        <v>3.7</v>
      </c>
      <c r="S402">
        <v>4.9000000000000004</v>
      </c>
      <c r="T402">
        <v>1.2</v>
      </c>
      <c r="U402">
        <v>-0.5</v>
      </c>
      <c r="V402">
        <v>0.1</v>
      </c>
      <c r="W402">
        <v>0</v>
      </c>
      <c r="X402">
        <v>1</v>
      </c>
      <c r="Y402">
        <v>0.1</v>
      </c>
      <c r="Z402">
        <v>23.3</v>
      </c>
      <c r="AA402">
        <v>35.299999999999997</v>
      </c>
      <c r="AB402">
        <v>329</v>
      </c>
      <c r="AC402">
        <v>81</v>
      </c>
      <c r="AD402">
        <v>22.6</v>
      </c>
      <c r="AE402">
        <v>15.1</v>
      </c>
      <c r="AF402">
        <v>67.471000000000004</v>
      </c>
      <c r="AG402">
        <v>33.908000000000001</v>
      </c>
      <c r="AH402">
        <v>32.270000000000003</v>
      </c>
      <c r="AI402">
        <v>87.143000000000001</v>
      </c>
      <c r="AJ402">
        <v>57.898000000000003</v>
      </c>
      <c r="AK402">
        <v>75.572999999999993</v>
      </c>
      <c r="AL402">
        <v>6.1180000000000003</v>
      </c>
      <c r="AM402">
        <v>32.270000000000003</v>
      </c>
      <c r="AN402">
        <v>33.908000000000001</v>
      </c>
      <c r="AO402">
        <v>67.471000000000004</v>
      </c>
      <c r="AP402">
        <v>-6.1180000000000003</v>
      </c>
      <c r="AQ402">
        <v>42.101999999999997</v>
      </c>
      <c r="AR402">
        <v>12.856999999999999</v>
      </c>
      <c r="AS402">
        <v>24.427</v>
      </c>
    </row>
    <row r="403" spans="1:45" x14ac:dyDescent="0.25">
      <c r="A403">
        <v>35</v>
      </c>
      <c r="B403">
        <v>3</v>
      </c>
      <c r="C403">
        <v>1</v>
      </c>
      <c r="D403">
        <v>2019</v>
      </c>
      <c r="E403">
        <v>10</v>
      </c>
      <c r="F403" t="str">
        <f>IFERROR(VLOOKUP(G403, Map!$A$1:$B$33, 2, FALSE),"WAS")</f>
        <v>CLE</v>
      </c>
      <c r="G403" t="s">
        <v>162</v>
      </c>
      <c r="H403" t="str">
        <f>IFERROR(VLOOKUP(I403, Map!$A$1:$B$33, 2, FALSE),"WAS")</f>
        <v>BUF</v>
      </c>
      <c r="I403" t="s">
        <v>165</v>
      </c>
      <c r="J403" t="s">
        <v>171</v>
      </c>
      <c r="K403" t="s">
        <v>180</v>
      </c>
      <c r="L403">
        <v>1</v>
      </c>
      <c r="M403">
        <v>0</v>
      </c>
      <c r="N403">
        <v>35.0416666666667</v>
      </c>
      <c r="O403">
        <v>-2.625</v>
      </c>
      <c r="P403">
        <v>-2.5</v>
      </c>
      <c r="Q403">
        <v>0</v>
      </c>
      <c r="R403">
        <v>5.4</v>
      </c>
      <c r="S403">
        <v>9.6999999999999993</v>
      </c>
      <c r="T403">
        <v>2.1</v>
      </c>
      <c r="U403">
        <v>0.6</v>
      </c>
      <c r="V403">
        <v>0.3</v>
      </c>
      <c r="W403">
        <v>0</v>
      </c>
      <c r="X403">
        <v>2</v>
      </c>
      <c r="Y403">
        <v>0.3</v>
      </c>
      <c r="Z403">
        <v>24.5</v>
      </c>
      <c r="AA403">
        <v>37.1</v>
      </c>
      <c r="AB403">
        <v>219</v>
      </c>
      <c r="AC403">
        <v>63</v>
      </c>
      <c r="AD403">
        <v>29.2</v>
      </c>
      <c r="AE403">
        <v>17.5</v>
      </c>
      <c r="AF403">
        <v>59.34</v>
      </c>
      <c r="AG403">
        <v>37.345999999999997</v>
      </c>
      <c r="AH403">
        <v>40.335999999999999</v>
      </c>
      <c r="AI403">
        <v>47.77</v>
      </c>
      <c r="AJ403">
        <v>60.378999999999998</v>
      </c>
      <c r="AK403">
        <v>55.954999999999998</v>
      </c>
      <c r="AL403">
        <v>3.2229999999999999</v>
      </c>
      <c r="AM403">
        <v>40.335999999999999</v>
      </c>
      <c r="AN403">
        <v>37.345999999999997</v>
      </c>
      <c r="AO403">
        <v>59.34</v>
      </c>
      <c r="AP403">
        <v>-3.2229999999999999</v>
      </c>
      <c r="AQ403">
        <v>39.621000000000002</v>
      </c>
      <c r="AR403">
        <v>52.23</v>
      </c>
      <c r="AS403">
        <v>44.045000000000002</v>
      </c>
    </row>
    <row r="404" spans="1:45" x14ac:dyDescent="0.25">
      <c r="A404">
        <v>28</v>
      </c>
      <c r="B404">
        <v>-4</v>
      </c>
      <c r="C404">
        <v>0</v>
      </c>
      <c r="D404">
        <v>2019</v>
      </c>
      <c r="E404">
        <v>10</v>
      </c>
      <c r="F404" t="str">
        <f>IFERROR(VLOOKUP(G404, Map!$A$1:$B$33, 2, FALSE),"WAS")</f>
        <v>IND</v>
      </c>
      <c r="G404" t="s">
        <v>138</v>
      </c>
      <c r="H404" t="str">
        <f>IFERROR(VLOOKUP(I404, Map!$A$1:$B$33, 2, FALSE),"WAS")</f>
        <v>MIA</v>
      </c>
      <c r="I404" t="s">
        <v>152</v>
      </c>
      <c r="J404" t="s">
        <v>177</v>
      </c>
      <c r="K404" t="s">
        <v>175</v>
      </c>
      <c r="L404">
        <v>0</v>
      </c>
      <c r="M404">
        <v>0</v>
      </c>
      <c r="N404">
        <v>36.7083333333333</v>
      </c>
      <c r="O404">
        <v>-9.9583333333333304</v>
      </c>
      <c r="P404">
        <v>-10.5</v>
      </c>
      <c r="Q404">
        <v>0</v>
      </c>
      <c r="R404">
        <v>6.9</v>
      </c>
      <c r="S404">
        <v>14.4</v>
      </c>
      <c r="T404">
        <v>2.5</v>
      </c>
      <c r="U404">
        <v>3.4</v>
      </c>
      <c r="V404">
        <v>0</v>
      </c>
      <c r="W404">
        <v>0</v>
      </c>
      <c r="X404">
        <v>0</v>
      </c>
      <c r="Y404">
        <v>0</v>
      </c>
      <c r="Z404">
        <v>14</v>
      </c>
      <c r="AA404">
        <v>28.4</v>
      </c>
      <c r="AB404">
        <v>218</v>
      </c>
      <c r="AC404">
        <v>70</v>
      </c>
      <c r="AD404">
        <v>22.9</v>
      </c>
      <c r="AE404">
        <v>11.4</v>
      </c>
      <c r="AF404">
        <v>88.396000000000001</v>
      </c>
      <c r="AG404">
        <v>30.332000000000001</v>
      </c>
      <c r="AH404">
        <v>11.512</v>
      </c>
      <c r="AI404">
        <v>89.846999999999994</v>
      </c>
      <c r="AJ404">
        <v>7.5709999999999997</v>
      </c>
      <c r="AK404">
        <v>41.325000000000003</v>
      </c>
      <c r="AL404">
        <v>16.045000000000002</v>
      </c>
      <c r="AM404">
        <v>11.512</v>
      </c>
      <c r="AN404">
        <v>30.332000000000001</v>
      </c>
      <c r="AO404">
        <v>88.396000000000001</v>
      </c>
      <c r="AP404">
        <v>-16.045000000000002</v>
      </c>
      <c r="AQ404">
        <v>92.429000000000002</v>
      </c>
      <c r="AR404">
        <v>10.153</v>
      </c>
      <c r="AS404">
        <v>58.674999999999997</v>
      </c>
    </row>
    <row r="405" spans="1:45" x14ac:dyDescent="0.25">
      <c r="A405">
        <v>67</v>
      </c>
      <c r="B405">
        <v>3</v>
      </c>
      <c r="C405">
        <v>1</v>
      </c>
      <c r="D405">
        <v>2019</v>
      </c>
      <c r="E405">
        <v>10</v>
      </c>
      <c r="F405" t="str">
        <f>IFERROR(VLOOKUP(G405, Map!$A$1:$B$33, 2, FALSE),"WAS")</f>
        <v>TEN</v>
      </c>
      <c r="G405" t="s">
        <v>140</v>
      </c>
      <c r="H405" t="str">
        <f>IFERROR(VLOOKUP(I405, Map!$A$1:$B$33, 2, FALSE),"WAS")</f>
        <v>KC</v>
      </c>
      <c r="I405" t="s">
        <v>158</v>
      </c>
      <c r="J405" t="s">
        <v>174</v>
      </c>
      <c r="K405" t="s">
        <v>202</v>
      </c>
      <c r="L405">
        <v>1</v>
      </c>
      <c r="M405">
        <v>0</v>
      </c>
      <c r="N405">
        <v>44.7916666666667</v>
      </c>
      <c r="O405">
        <v>5.2083333333333304</v>
      </c>
      <c r="P405">
        <v>5</v>
      </c>
      <c r="Q405">
        <v>48.5</v>
      </c>
      <c r="R405">
        <v>9.1999999999999993</v>
      </c>
      <c r="S405">
        <v>17.7</v>
      </c>
      <c r="T405">
        <v>4</v>
      </c>
      <c r="U405">
        <v>5.8</v>
      </c>
      <c r="V405">
        <v>0</v>
      </c>
      <c r="W405">
        <v>0</v>
      </c>
      <c r="X405">
        <v>0</v>
      </c>
      <c r="Y405">
        <v>0</v>
      </c>
      <c r="Z405">
        <v>16.3</v>
      </c>
      <c r="AA405">
        <v>31.7</v>
      </c>
      <c r="AB405">
        <v>205</v>
      </c>
      <c r="AC405">
        <v>57</v>
      </c>
      <c r="AD405">
        <v>20.100000000000001</v>
      </c>
      <c r="AE405">
        <v>10.7</v>
      </c>
      <c r="AF405">
        <v>30.667000000000002</v>
      </c>
      <c r="AG405">
        <v>97.447999999999993</v>
      </c>
      <c r="AH405">
        <v>69.087000000000003</v>
      </c>
      <c r="AI405">
        <v>26.55</v>
      </c>
      <c r="AJ405">
        <v>84.061000000000007</v>
      </c>
      <c r="AK405">
        <v>50.927999999999997</v>
      </c>
      <c r="AL405">
        <v>-6.7240000000000002</v>
      </c>
      <c r="AM405">
        <v>69.087000000000003</v>
      </c>
      <c r="AN405">
        <v>97.447999999999993</v>
      </c>
      <c r="AO405">
        <v>30.667000000000002</v>
      </c>
      <c r="AP405">
        <v>6.7240000000000002</v>
      </c>
      <c r="AQ405">
        <v>15.939</v>
      </c>
      <c r="AR405">
        <v>73.45</v>
      </c>
      <c r="AS405">
        <v>49.072000000000003</v>
      </c>
    </row>
    <row r="406" spans="1:45" x14ac:dyDescent="0.25">
      <c r="A406">
        <v>48</v>
      </c>
      <c r="B406">
        <v>34</v>
      </c>
      <c r="C406">
        <v>1</v>
      </c>
      <c r="D406">
        <v>2019</v>
      </c>
      <c r="E406">
        <v>11</v>
      </c>
      <c r="F406" t="str">
        <f>IFERROR(VLOOKUP(G406, Map!$A$1:$B$33, 2, FALSE),"WAS")</f>
        <v>BAL</v>
      </c>
      <c r="G406" t="s">
        <v>146</v>
      </c>
      <c r="H406" t="str">
        <f>IFERROR(VLOOKUP(I406, Map!$A$1:$B$33, 2, FALSE),"WAS")</f>
        <v>HOU</v>
      </c>
      <c r="I406" t="s">
        <v>137</v>
      </c>
      <c r="J406" t="s">
        <v>181</v>
      </c>
      <c r="K406" t="s">
        <v>209</v>
      </c>
      <c r="L406">
        <v>1</v>
      </c>
      <c r="M406">
        <v>0</v>
      </c>
      <c r="N406">
        <v>42.875</v>
      </c>
      <c r="O406">
        <v>-4</v>
      </c>
      <c r="P406">
        <v>-4</v>
      </c>
      <c r="Q406">
        <v>0</v>
      </c>
      <c r="R406">
        <v>3.1</v>
      </c>
      <c r="S406">
        <v>6.7</v>
      </c>
      <c r="T406">
        <v>0.2</v>
      </c>
      <c r="U406">
        <v>-2.2999999999999998</v>
      </c>
      <c r="V406">
        <v>0</v>
      </c>
      <c r="W406">
        <v>0</v>
      </c>
      <c r="X406">
        <v>0</v>
      </c>
      <c r="Y406">
        <v>0</v>
      </c>
      <c r="Z406">
        <v>21.2</v>
      </c>
      <c r="AA406">
        <v>36.700000000000003</v>
      </c>
      <c r="AB406">
        <v>31</v>
      </c>
      <c r="AC406">
        <v>49</v>
      </c>
      <c r="AD406">
        <v>31.1</v>
      </c>
      <c r="AE406">
        <v>17.100000000000001</v>
      </c>
      <c r="AF406">
        <v>54.552</v>
      </c>
      <c r="AG406">
        <v>78.522000000000006</v>
      </c>
      <c r="AH406">
        <v>45.085999999999999</v>
      </c>
      <c r="AI406">
        <v>95.338999999999999</v>
      </c>
      <c r="AJ406">
        <v>93.573999999999998</v>
      </c>
      <c r="AK406">
        <v>96.564999999999998</v>
      </c>
      <c r="AL406">
        <v>1.587</v>
      </c>
      <c r="AM406">
        <v>45.085999999999999</v>
      </c>
      <c r="AN406">
        <v>78.522000000000006</v>
      </c>
      <c r="AO406">
        <v>54.552</v>
      </c>
      <c r="AP406">
        <v>-1.587</v>
      </c>
      <c r="AQ406">
        <v>6.4260000000000002</v>
      </c>
      <c r="AR406">
        <v>4.6609999999999996</v>
      </c>
      <c r="AS406">
        <v>3.4350000000000001</v>
      </c>
    </row>
    <row r="407" spans="1:45" x14ac:dyDescent="0.25">
      <c r="A407">
        <v>27</v>
      </c>
      <c r="B407">
        <v>7</v>
      </c>
      <c r="C407">
        <v>1</v>
      </c>
      <c r="D407">
        <v>2019</v>
      </c>
      <c r="E407">
        <v>11</v>
      </c>
      <c r="F407" t="str">
        <f>IFERROR(VLOOKUP(G407, Map!$A$1:$B$33, 2, FALSE),"WAS")</f>
        <v>LV</v>
      </c>
      <c r="G407" t="s">
        <v>157</v>
      </c>
      <c r="H407" t="str">
        <f>IFERROR(VLOOKUP(I407, Map!$A$1:$B$33, 2, FALSE),"WAS")</f>
        <v>CIN</v>
      </c>
      <c r="I407" t="s">
        <v>161</v>
      </c>
      <c r="J407" t="s">
        <v>179</v>
      </c>
      <c r="K407" t="s">
        <v>176</v>
      </c>
      <c r="L407">
        <v>1</v>
      </c>
      <c r="M407">
        <v>0</v>
      </c>
      <c r="N407">
        <v>42.2083333333333</v>
      </c>
      <c r="O407">
        <v>-11.7083333333333</v>
      </c>
      <c r="P407">
        <v>-12.5</v>
      </c>
      <c r="Q407">
        <v>24.5</v>
      </c>
      <c r="R407">
        <v>13.9</v>
      </c>
      <c r="S407">
        <v>20.8</v>
      </c>
      <c r="T407">
        <v>10.9</v>
      </c>
      <c r="U407">
        <v>12.5</v>
      </c>
      <c r="V407">
        <v>0</v>
      </c>
      <c r="W407">
        <v>0</v>
      </c>
      <c r="X407">
        <v>0</v>
      </c>
      <c r="Y407">
        <v>0</v>
      </c>
      <c r="Z407">
        <v>18.3</v>
      </c>
      <c r="AA407">
        <v>35.299999999999997</v>
      </c>
      <c r="AB407">
        <v>334</v>
      </c>
      <c r="AC407">
        <v>84</v>
      </c>
      <c r="AD407">
        <v>19.7</v>
      </c>
      <c r="AE407">
        <v>11.1</v>
      </c>
      <c r="AF407">
        <v>84.448999999999998</v>
      </c>
      <c r="AG407">
        <v>27.14</v>
      </c>
      <c r="AH407">
        <v>15.427</v>
      </c>
      <c r="AI407">
        <v>79.602000000000004</v>
      </c>
      <c r="AJ407">
        <v>59.66</v>
      </c>
      <c r="AK407">
        <v>71.477999999999994</v>
      </c>
      <c r="AL407">
        <v>13.558999999999999</v>
      </c>
      <c r="AM407">
        <v>15.427</v>
      </c>
      <c r="AN407">
        <v>27.14</v>
      </c>
      <c r="AO407">
        <v>84.448999999999998</v>
      </c>
      <c r="AP407">
        <v>-13.558999999999999</v>
      </c>
      <c r="AQ407">
        <v>40.340000000000003</v>
      </c>
      <c r="AR407">
        <v>20.398</v>
      </c>
      <c r="AS407">
        <v>28.521999999999998</v>
      </c>
    </row>
    <row r="408" spans="1:45" x14ac:dyDescent="0.25">
      <c r="A408">
        <v>50</v>
      </c>
      <c r="B408">
        <v>4</v>
      </c>
      <c r="C408">
        <v>1</v>
      </c>
      <c r="D408">
        <v>2019</v>
      </c>
      <c r="E408">
        <v>11</v>
      </c>
      <c r="F408" t="str">
        <f>IFERROR(VLOOKUP(G408, Map!$A$1:$B$33, 2, FALSE),"WAS")</f>
        <v>MIN</v>
      </c>
      <c r="G408" t="s">
        <v>153</v>
      </c>
      <c r="H408" t="str">
        <f>IFERROR(VLOOKUP(I408, Map!$A$1:$B$33, 2, FALSE),"WAS")</f>
        <v>DEN</v>
      </c>
      <c r="I408" t="s">
        <v>159</v>
      </c>
      <c r="J408" t="s">
        <v>214</v>
      </c>
      <c r="K408" t="s">
        <v>183</v>
      </c>
      <c r="L408">
        <v>1</v>
      </c>
      <c r="M408">
        <v>0</v>
      </c>
      <c r="N408">
        <v>37.0833333333333</v>
      </c>
      <c r="O408">
        <v>-9.2083333333333304</v>
      </c>
      <c r="P408">
        <v>-9.5</v>
      </c>
      <c r="Q408">
        <v>40</v>
      </c>
      <c r="R408">
        <v>2.5</v>
      </c>
      <c r="S408">
        <v>3.6</v>
      </c>
      <c r="T408">
        <v>1</v>
      </c>
      <c r="U408">
        <v>-1.4</v>
      </c>
      <c r="V408">
        <v>4.5</v>
      </c>
      <c r="W408">
        <v>0.14000000000000001</v>
      </c>
      <c r="X408">
        <v>10</v>
      </c>
      <c r="Y408">
        <v>4.3</v>
      </c>
      <c r="Z408">
        <v>18.5</v>
      </c>
      <c r="AA408">
        <v>34.6</v>
      </c>
      <c r="AB408">
        <v>244</v>
      </c>
      <c r="AC408">
        <v>85</v>
      </c>
      <c r="AD408">
        <v>22.8</v>
      </c>
      <c r="AE408">
        <v>11.9</v>
      </c>
      <c r="AF408">
        <v>79.215999999999994</v>
      </c>
      <c r="AG408">
        <v>55.426000000000002</v>
      </c>
      <c r="AH408">
        <v>20.619</v>
      </c>
      <c r="AI408">
        <v>42.29</v>
      </c>
      <c r="AJ408">
        <v>71.540000000000006</v>
      </c>
      <c r="AK408">
        <v>50.276000000000003</v>
      </c>
      <c r="AL408">
        <v>10.904999999999999</v>
      </c>
      <c r="AM408">
        <v>20.619</v>
      </c>
      <c r="AN408">
        <v>55.426000000000002</v>
      </c>
      <c r="AO408">
        <v>79.215999999999994</v>
      </c>
      <c r="AP408">
        <v>-10.904999999999999</v>
      </c>
      <c r="AQ408">
        <v>28.46</v>
      </c>
      <c r="AR408">
        <v>57.71</v>
      </c>
      <c r="AS408">
        <v>49.723999999999997</v>
      </c>
    </row>
    <row r="409" spans="1:45" x14ac:dyDescent="0.25">
      <c r="A409">
        <v>41</v>
      </c>
      <c r="B409">
        <v>-7</v>
      </c>
      <c r="C409">
        <v>0</v>
      </c>
      <c r="D409">
        <v>2019</v>
      </c>
      <c r="E409">
        <v>11</v>
      </c>
      <c r="F409" t="str">
        <f>IFERROR(VLOOKUP(G409, Map!$A$1:$B$33, 2, FALSE),"WAS")</f>
        <v>LAC</v>
      </c>
      <c r="G409" t="s">
        <v>160</v>
      </c>
      <c r="H409" t="str">
        <f>IFERROR(VLOOKUP(I409, Map!$A$1:$B$33, 2, FALSE),"WAS")</f>
        <v>KC</v>
      </c>
      <c r="I409" t="s">
        <v>158</v>
      </c>
      <c r="J409" t="s">
        <v>210</v>
      </c>
      <c r="K409" t="s">
        <v>202</v>
      </c>
      <c r="L409">
        <v>0</v>
      </c>
      <c r="M409">
        <v>0</v>
      </c>
      <c r="N409">
        <v>43.75</v>
      </c>
      <c r="O409">
        <v>5.1666666666666696</v>
      </c>
      <c r="P409">
        <v>4.5</v>
      </c>
      <c r="Q409">
        <v>0</v>
      </c>
      <c r="R409">
        <v>16.600000000000001</v>
      </c>
      <c r="S409">
        <v>23.3</v>
      </c>
      <c r="T409">
        <v>10.9</v>
      </c>
      <c r="U409">
        <v>16.100000000000001</v>
      </c>
      <c r="V409">
        <v>0</v>
      </c>
      <c r="W409">
        <v>0</v>
      </c>
      <c r="X409">
        <v>0</v>
      </c>
      <c r="Y409">
        <v>0</v>
      </c>
      <c r="Z409">
        <v>10.8</v>
      </c>
      <c r="AA409">
        <v>24.1</v>
      </c>
      <c r="AB409">
        <v>264</v>
      </c>
      <c r="AC409">
        <v>68</v>
      </c>
      <c r="AD409">
        <v>11.2</v>
      </c>
      <c r="AE409">
        <v>4.8</v>
      </c>
      <c r="AF409">
        <v>26.285</v>
      </c>
      <c r="AG409">
        <v>79.268000000000001</v>
      </c>
      <c r="AH409">
        <v>73.504000000000005</v>
      </c>
      <c r="AI409">
        <v>45.677999999999997</v>
      </c>
      <c r="AJ409">
        <v>24.207999999999998</v>
      </c>
      <c r="AK409">
        <v>26.803000000000001</v>
      </c>
      <c r="AL409">
        <v>-8.4280000000000008</v>
      </c>
      <c r="AM409">
        <v>73.504000000000005</v>
      </c>
      <c r="AN409">
        <v>79.268000000000001</v>
      </c>
      <c r="AO409">
        <v>26.285</v>
      </c>
      <c r="AP409">
        <v>8.4280000000000008</v>
      </c>
      <c r="AQ409">
        <v>75.792000000000002</v>
      </c>
      <c r="AR409">
        <v>54.322000000000003</v>
      </c>
      <c r="AS409">
        <v>73.197000000000003</v>
      </c>
    </row>
    <row r="410" spans="1:45" x14ac:dyDescent="0.25">
      <c r="A410">
        <v>62</v>
      </c>
      <c r="B410">
        <v>10</v>
      </c>
      <c r="C410">
        <v>1</v>
      </c>
      <c r="D410">
        <v>2019</v>
      </c>
      <c r="E410">
        <v>11</v>
      </c>
      <c r="F410" t="str">
        <f>IFERROR(VLOOKUP(G410, Map!$A$1:$B$33, 2, FALSE),"WAS")</f>
        <v>SF</v>
      </c>
      <c r="G410" t="s">
        <v>143</v>
      </c>
      <c r="H410" t="str">
        <f>IFERROR(VLOOKUP(I410, Map!$A$1:$B$33, 2, FALSE),"WAS")</f>
        <v>ARI</v>
      </c>
      <c r="I410" t="s">
        <v>156</v>
      </c>
      <c r="J410" t="s">
        <v>197</v>
      </c>
      <c r="K410" t="s">
        <v>190</v>
      </c>
      <c r="L410">
        <v>1</v>
      </c>
      <c r="M410">
        <v>0</v>
      </c>
      <c r="N410">
        <v>40.375</v>
      </c>
      <c r="O410">
        <v>-9.0833333333333304</v>
      </c>
      <c r="P410">
        <v>-9.5</v>
      </c>
      <c r="Q410">
        <v>43.5</v>
      </c>
      <c r="R410">
        <v>15.4</v>
      </c>
      <c r="S410">
        <v>24.2</v>
      </c>
      <c r="T410">
        <v>11.3</v>
      </c>
      <c r="U410">
        <v>14</v>
      </c>
      <c r="V410">
        <v>0</v>
      </c>
      <c r="W410">
        <v>0</v>
      </c>
      <c r="X410">
        <v>0</v>
      </c>
      <c r="Y410">
        <v>0</v>
      </c>
      <c r="Z410">
        <v>13.3</v>
      </c>
      <c r="AA410">
        <v>27.4</v>
      </c>
      <c r="AB410">
        <v>244</v>
      </c>
      <c r="AC410">
        <v>67</v>
      </c>
      <c r="AD410">
        <v>12.7</v>
      </c>
      <c r="AE410">
        <v>7.1</v>
      </c>
      <c r="AF410">
        <v>85.295000000000002</v>
      </c>
      <c r="AG410">
        <v>53.737000000000002</v>
      </c>
      <c r="AH410">
        <v>14.587</v>
      </c>
      <c r="AI410">
        <v>35.115000000000002</v>
      </c>
      <c r="AJ410">
        <v>67.376000000000005</v>
      </c>
      <c r="AK410">
        <v>59.688000000000002</v>
      </c>
      <c r="AL410">
        <v>14.041</v>
      </c>
      <c r="AM410">
        <v>14.587</v>
      </c>
      <c r="AN410">
        <v>53.737000000000002</v>
      </c>
      <c r="AO410">
        <v>85.295000000000002</v>
      </c>
      <c r="AP410">
        <v>-14.041</v>
      </c>
      <c r="AQ410">
        <v>32.624000000000002</v>
      </c>
      <c r="AR410">
        <v>64.885000000000005</v>
      </c>
      <c r="AS410">
        <v>40.311999999999998</v>
      </c>
    </row>
    <row r="411" spans="1:45" x14ac:dyDescent="0.25">
      <c r="A411">
        <v>28</v>
      </c>
      <c r="B411">
        <v>14</v>
      </c>
      <c r="C411">
        <v>1</v>
      </c>
      <c r="D411">
        <v>2019</v>
      </c>
      <c r="E411">
        <v>11</v>
      </c>
      <c r="F411" t="str">
        <f>IFERROR(VLOOKUP(G411, Map!$A$1:$B$33, 2, FALSE),"WAS")</f>
        <v>CLE</v>
      </c>
      <c r="G411" t="s">
        <v>162</v>
      </c>
      <c r="H411" t="str">
        <f>IFERROR(VLOOKUP(I411, Map!$A$1:$B$33, 2, FALSE),"WAS")</f>
        <v>PIT</v>
      </c>
      <c r="I411" t="s">
        <v>145</v>
      </c>
      <c r="J411" t="s">
        <v>171</v>
      </c>
      <c r="K411" t="s">
        <v>170</v>
      </c>
      <c r="L411">
        <v>1</v>
      </c>
      <c r="M411">
        <v>0</v>
      </c>
      <c r="N411">
        <v>34.3333333333333</v>
      </c>
      <c r="O411">
        <v>-2.625</v>
      </c>
      <c r="P411">
        <v>-2.5</v>
      </c>
      <c r="Q411">
        <v>0</v>
      </c>
      <c r="R411">
        <v>0.7</v>
      </c>
      <c r="S411">
        <v>2.4</v>
      </c>
      <c r="T411">
        <v>-1.1000000000000001</v>
      </c>
      <c r="U411">
        <v>-4.4000000000000004</v>
      </c>
      <c r="V411">
        <v>0</v>
      </c>
      <c r="W411">
        <v>0</v>
      </c>
      <c r="X411">
        <v>0</v>
      </c>
      <c r="Y411">
        <v>0</v>
      </c>
      <c r="Z411">
        <v>20.399999999999999</v>
      </c>
      <c r="AA411">
        <v>34.200000000000003</v>
      </c>
      <c r="AB411">
        <v>256</v>
      </c>
      <c r="AC411">
        <v>77</v>
      </c>
      <c r="AD411">
        <v>30.6</v>
      </c>
      <c r="AE411">
        <v>18</v>
      </c>
      <c r="AF411">
        <v>54.704999999999998</v>
      </c>
      <c r="AG411">
        <v>29.824999999999999</v>
      </c>
      <c r="AH411">
        <v>44.933999999999997</v>
      </c>
      <c r="AI411">
        <v>98.153000000000006</v>
      </c>
      <c r="AJ411">
        <v>49.072000000000003</v>
      </c>
      <c r="AK411">
        <v>87.575999999999993</v>
      </c>
      <c r="AL411">
        <v>1.639</v>
      </c>
      <c r="AM411">
        <v>44.933999999999997</v>
      </c>
      <c r="AN411">
        <v>29.824999999999999</v>
      </c>
      <c r="AO411">
        <v>54.704999999999998</v>
      </c>
      <c r="AP411">
        <v>-1.639</v>
      </c>
      <c r="AQ411">
        <v>50.927999999999997</v>
      </c>
      <c r="AR411">
        <v>1.847</v>
      </c>
      <c r="AS411">
        <v>12.423999999999999</v>
      </c>
    </row>
    <row r="412" spans="1:45" x14ac:dyDescent="0.25">
      <c r="A412">
        <v>57</v>
      </c>
      <c r="B412">
        <v>-17</v>
      </c>
      <c r="C412">
        <v>0</v>
      </c>
      <c r="D412">
        <v>2019</v>
      </c>
      <c r="E412">
        <v>11</v>
      </c>
      <c r="F412" t="str">
        <f>IFERROR(VLOOKUP(G412, Map!$A$1:$B$33, 2, FALSE),"WAS")</f>
        <v>MIA</v>
      </c>
      <c r="G412" t="s">
        <v>152</v>
      </c>
      <c r="H412" t="str">
        <f>IFERROR(VLOOKUP(I412, Map!$A$1:$B$33, 2, FALSE),"WAS")</f>
        <v>BUF</v>
      </c>
      <c r="I412" t="s">
        <v>165</v>
      </c>
      <c r="J412" t="s">
        <v>175</v>
      </c>
      <c r="K412" t="s">
        <v>180</v>
      </c>
      <c r="L412">
        <v>0</v>
      </c>
      <c r="M412">
        <v>0</v>
      </c>
      <c r="N412">
        <v>34.2916666666667</v>
      </c>
      <c r="O412">
        <v>6.25</v>
      </c>
      <c r="P412">
        <v>6.5</v>
      </c>
      <c r="Q412">
        <v>0</v>
      </c>
      <c r="R412">
        <v>16.399999999999999</v>
      </c>
      <c r="S412">
        <v>21.5</v>
      </c>
      <c r="T412">
        <v>12.6</v>
      </c>
      <c r="U412">
        <v>15.6</v>
      </c>
      <c r="V412">
        <v>0</v>
      </c>
      <c r="W412">
        <v>0</v>
      </c>
      <c r="X412">
        <v>0</v>
      </c>
      <c r="Y412">
        <v>0</v>
      </c>
      <c r="Z412">
        <v>16.399999999999999</v>
      </c>
      <c r="AA412">
        <v>33.5</v>
      </c>
      <c r="AB412">
        <v>333</v>
      </c>
      <c r="AC412">
        <v>78</v>
      </c>
      <c r="AD412">
        <v>23.1</v>
      </c>
      <c r="AE412">
        <v>11.4</v>
      </c>
      <c r="AF412">
        <v>34.847999999999999</v>
      </c>
      <c r="AG412">
        <v>12.523999999999999</v>
      </c>
      <c r="AH412">
        <v>64.872</v>
      </c>
      <c r="AI412">
        <v>10.202</v>
      </c>
      <c r="AJ412">
        <v>14.715</v>
      </c>
      <c r="AK412">
        <v>8.89</v>
      </c>
      <c r="AL412">
        <v>-5.1479999999999997</v>
      </c>
      <c r="AM412">
        <v>64.872</v>
      </c>
      <c r="AN412">
        <v>12.523999999999999</v>
      </c>
      <c r="AO412">
        <v>34.847999999999999</v>
      </c>
      <c r="AP412">
        <v>5.1479999999999997</v>
      </c>
      <c r="AQ412">
        <v>85.284999999999997</v>
      </c>
      <c r="AR412">
        <v>89.798000000000002</v>
      </c>
      <c r="AS412">
        <v>91.11</v>
      </c>
    </row>
    <row r="413" spans="1:45" x14ac:dyDescent="0.25">
      <c r="A413">
        <v>51</v>
      </c>
      <c r="B413">
        <v>-17</v>
      </c>
      <c r="C413">
        <v>0</v>
      </c>
      <c r="D413">
        <v>2019</v>
      </c>
      <c r="E413">
        <v>11</v>
      </c>
      <c r="F413" t="str">
        <f>IFERROR(VLOOKUP(G413, Map!$A$1:$B$33, 2, FALSE),"WAS")</f>
        <v>TB</v>
      </c>
      <c r="G413" t="s">
        <v>141</v>
      </c>
      <c r="H413" t="str">
        <f>IFERROR(VLOOKUP(I413, Map!$A$1:$B$33, 2, FALSE),"WAS")</f>
        <v>NO</v>
      </c>
      <c r="I413" t="s">
        <v>168</v>
      </c>
      <c r="J413" t="s">
        <v>186</v>
      </c>
      <c r="K413" t="s">
        <v>192</v>
      </c>
      <c r="L413">
        <v>0</v>
      </c>
      <c r="M413">
        <v>0</v>
      </c>
      <c r="N413">
        <v>42.0833333333333</v>
      </c>
      <c r="O413">
        <v>4.7083333333333304</v>
      </c>
      <c r="P413">
        <v>4.5</v>
      </c>
      <c r="Q413">
        <v>0</v>
      </c>
      <c r="R413">
        <v>12.2</v>
      </c>
      <c r="S413">
        <v>15.2</v>
      </c>
      <c r="T413">
        <v>9.9</v>
      </c>
      <c r="U413">
        <v>9.6999999999999993</v>
      </c>
      <c r="V413">
        <v>0</v>
      </c>
      <c r="W413">
        <v>0</v>
      </c>
      <c r="X413">
        <v>0</v>
      </c>
      <c r="Y413">
        <v>0</v>
      </c>
      <c r="Z413">
        <v>22.3</v>
      </c>
      <c r="AA413">
        <v>39.200000000000003</v>
      </c>
      <c r="AB413">
        <v>355</v>
      </c>
      <c r="AC413">
        <v>78</v>
      </c>
      <c r="AD413">
        <v>27.8</v>
      </c>
      <c r="AE413">
        <v>14.4</v>
      </c>
      <c r="AF413">
        <v>42.619</v>
      </c>
      <c r="AG413">
        <v>85.653999999999996</v>
      </c>
      <c r="AH413">
        <v>57.039000000000001</v>
      </c>
      <c r="AI413">
        <v>23.202000000000002</v>
      </c>
      <c r="AJ413">
        <v>13.8</v>
      </c>
      <c r="AK413">
        <v>10.505000000000001</v>
      </c>
      <c r="AL413">
        <v>-2.4260000000000002</v>
      </c>
      <c r="AM413">
        <v>57.039000000000001</v>
      </c>
      <c r="AN413">
        <v>85.653999999999996</v>
      </c>
      <c r="AO413">
        <v>42.619</v>
      </c>
      <c r="AP413">
        <v>2.4260000000000002</v>
      </c>
      <c r="AQ413">
        <v>86.2</v>
      </c>
      <c r="AR413">
        <v>76.798000000000002</v>
      </c>
      <c r="AS413">
        <v>89.495000000000005</v>
      </c>
    </row>
    <row r="414" spans="1:45" x14ac:dyDescent="0.25">
      <c r="A414">
        <v>51</v>
      </c>
      <c r="B414">
        <v>-17</v>
      </c>
      <c r="C414">
        <v>0</v>
      </c>
      <c r="D414">
        <v>2019</v>
      </c>
      <c r="E414">
        <v>11</v>
      </c>
      <c r="F414" t="str">
        <f>IFERROR(VLOOKUP(G414, Map!$A$1:$B$33, 2, FALSE),"WAS")</f>
        <v>WAS</v>
      </c>
      <c r="G414" t="s">
        <v>169</v>
      </c>
      <c r="H414" t="str">
        <f>IFERROR(VLOOKUP(I414, Map!$A$1:$B$33, 2, FALSE),"WAS")</f>
        <v>NYJ</v>
      </c>
      <c r="I414" t="s">
        <v>166</v>
      </c>
      <c r="J414" t="s">
        <v>205</v>
      </c>
      <c r="K414" t="s">
        <v>172</v>
      </c>
      <c r="L414">
        <v>0</v>
      </c>
      <c r="M414">
        <v>0</v>
      </c>
      <c r="N414">
        <v>31.2083333333333</v>
      </c>
      <c r="O414">
        <v>-1.7083333333333299</v>
      </c>
      <c r="P414">
        <v>-1</v>
      </c>
      <c r="Q414">
        <v>0</v>
      </c>
      <c r="R414">
        <v>3.5</v>
      </c>
      <c r="S414">
        <v>6.6</v>
      </c>
      <c r="T414">
        <v>0.9</v>
      </c>
      <c r="U414">
        <v>-1.7</v>
      </c>
      <c r="V414">
        <v>0</v>
      </c>
      <c r="W414">
        <v>0</v>
      </c>
      <c r="X414">
        <v>0</v>
      </c>
      <c r="Y414">
        <v>0</v>
      </c>
      <c r="Z414">
        <v>20.8</v>
      </c>
      <c r="AA414">
        <v>38.9</v>
      </c>
      <c r="AB414">
        <v>33</v>
      </c>
      <c r="AC414">
        <v>49</v>
      </c>
      <c r="AD414">
        <v>33.1</v>
      </c>
      <c r="AE414">
        <v>16.7</v>
      </c>
      <c r="AF414">
        <v>57.246000000000002</v>
      </c>
      <c r="AG414">
        <v>1.8160000000000001</v>
      </c>
      <c r="AH414">
        <v>42.412999999999997</v>
      </c>
      <c r="AI414">
        <v>24.350999999999999</v>
      </c>
      <c r="AJ414">
        <v>3.3860000000000001</v>
      </c>
      <c r="AK414">
        <v>6.9210000000000003</v>
      </c>
      <c r="AL414">
        <v>2.496</v>
      </c>
      <c r="AM414">
        <v>42.412999999999997</v>
      </c>
      <c r="AN414">
        <v>1.8160000000000001</v>
      </c>
      <c r="AO414">
        <v>57.246000000000002</v>
      </c>
      <c r="AP414">
        <v>-2.496</v>
      </c>
      <c r="AQ414">
        <v>96.614000000000004</v>
      </c>
      <c r="AR414">
        <v>75.649000000000001</v>
      </c>
      <c r="AS414">
        <v>93.078999999999994</v>
      </c>
    </row>
    <row r="415" spans="1:45" x14ac:dyDescent="0.25">
      <c r="A415">
        <v>46</v>
      </c>
      <c r="B415">
        <v>20</v>
      </c>
      <c r="C415">
        <v>1</v>
      </c>
      <c r="D415">
        <v>2019</v>
      </c>
      <c r="E415">
        <v>11</v>
      </c>
      <c r="F415" t="str">
        <f>IFERROR(VLOOKUP(G415, Map!$A$1:$B$33, 2, FALSE),"WAS")</f>
        <v>IND</v>
      </c>
      <c r="G415" t="s">
        <v>138</v>
      </c>
      <c r="H415" t="str">
        <f>IFERROR(VLOOKUP(I415, Map!$A$1:$B$33, 2, FALSE),"WAS")</f>
        <v>JAX</v>
      </c>
      <c r="I415" t="s">
        <v>139</v>
      </c>
      <c r="J415" t="s">
        <v>177</v>
      </c>
      <c r="K415" t="s">
        <v>220</v>
      </c>
      <c r="L415">
        <v>1</v>
      </c>
      <c r="M415">
        <v>0</v>
      </c>
      <c r="N415">
        <v>35.730769230769198</v>
      </c>
      <c r="O415">
        <v>-2.1153846153846199</v>
      </c>
      <c r="P415">
        <v>-2</v>
      </c>
      <c r="Q415">
        <v>41.5</v>
      </c>
      <c r="R415">
        <v>1</v>
      </c>
      <c r="S415">
        <v>7.4</v>
      </c>
      <c r="T415">
        <v>-3.8</v>
      </c>
      <c r="U415">
        <v>-2.4</v>
      </c>
      <c r="V415">
        <v>0</v>
      </c>
      <c r="W415">
        <v>0</v>
      </c>
      <c r="X415">
        <v>0</v>
      </c>
      <c r="Y415">
        <v>0</v>
      </c>
      <c r="Z415">
        <v>11.9</v>
      </c>
      <c r="AA415">
        <v>21.2</v>
      </c>
      <c r="AB415">
        <v>96</v>
      </c>
      <c r="AC415">
        <v>76</v>
      </c>
      <c r="AD415">
        <v>13.2</v>
      </c>
      <c r="AE415">
        <v>6.2</v>
      </c>
      <c r="AF415">
        <v>56.573</v>
      </c>
      <c r="AG415">
        <v>39.319000000000003</v>
      </c>
      <c r="AH415">
        <v>43.081000000000003</v>
      </c>
      <c r="AI415">
        <v>77.728999999999999</v>
      </c>
      <c r="AJ415">
        <v>80.989999999999995</v>
      </c>
      <c r="AK415">
        <v>85.837999999999994</v>
      </c>
      <c r="AL415">
        <v>2.2679999999999998</v>
      </c>
      <c r="AM415">
        <v>43.081000000000003</v>
      </c>
      <c r="AN415">
        <v>39.319000000000003</v>
      </c>
      <c r="AO415">
        <v>56.573</v>
      </c>
      <c r="AP415">
        <v>-2.2679999999999998</v>
      </c>
      <c r="AQ415">
        <v>19.010000000000002</v>
      </c>
      <c r="AR415">
        <v>22.271000000000001</v>
      </c>
      <c r="AS415">
        <v>14.162000000000001</v>
      </c>
    </row>
    <row r="416" spans="1:45" x14ac:dyDescent="0.25">
      <c r="A416">
        <v>32</v>
      </c>
      <c r="B416">
        <v>-26</v>
      </c>
      <c r="C416">
        <v>0</v>
      </c>
      <c r="D416">
        <v>2019</v>
      </c>
      <c r="E416">
        <v>11</v>
      </c>
      <c r="F416" t="str">
        <f>IFERROR(VLOOKUP(G416, Map!$A$1:$B$33, 2, FALSE),"WAS")</f>
        <v>CAR</v>
      </c>
      <c r="G416" t="s">
        <v>142</v>
      </c>
      <c r="H416" t="str">
        <f>IFERROR(VLOOKUP(I416, Map!$A$1:$B$33, 2, FALSE),"WAS")</f>
        <v>ATL</v>
      </c>
      <c r="I416" t="s">
        <v>167</v>
      </c>
      <c r="J416" t="s">
        <v>185</v>
      </c>
      <c r="K416" t="s">
        <v>188</v>
      </c>
      <c r="L416">
        <v>0</v>
      </c>
      <c r="M416">
        <v>0</v>
      </c>
      <c r="N416">
        <v>40.9166666666667</v>
      </c>
      <c r="O416">
        <v>-3.2916666666666701</v>
      </c>
      <c r="P416">
        <v>-3.5</v>
      </c>
      <c r="Q416">
        <v>0</v>
      </c>
      <c r="R416">
        <v>6.6</v>
      </c>
      <c r="S416">
        <v>12.2</v>
      </c>
      <c r="T416">
        <v>2.7</v>
      </c>
      <c r="U416">
        <v>1.5</v>
      </c>
      <c r="V416">
        <v>0</v>
      </c>
      <c r="W416">
        <v>0</v>
      </c>
      <c r="X416">
        <v>0</v>
      </c>
      <c r="Y416">
        <v>0</v>
      </c>
      <c r="Z416">
        <v>25.3</v>
      </c>
      <c r="AA416">
        <v>45.7</v>
      </c>
      <c r="AB416">
        <v>26</v>
      </c>
      <c r="AC416">
        <v>59</v>
      </c>
      <c r="AD416">
        <v>38.799999999999997</v>
      </c>
      <c r="AE416">
        <v>20.100000000000001</v>
      </c>
      <c r="AF416">
        <v>50.481999999999999</v>
      </c>
      <c r="AG416">
        <v>28.103000000000002</v>
      </c>
      <c r="AH416">
        <v>49.122999999999998</v>
      </c>
      <c r="AI416">
        <v>37.555999999999997</v>
      </c>
      <c r="AJ416">
        <v>1.8049999999999999</v>
      </c>
      <c r="AK416">
        <v>2.9950000000000001</v>
      </c>
      <c r="AL416">
        <v>0.22700000000000001</v>
      </c>
      <c r="AM416">
        <v>49.122999999999998</v>
      </c>
      <c r="AN416">
        <v>28.103000000000002</v>
      </c>
      <c r="AO416">
        <v>50.481999999999999</v>
      </c>
      <c r="AP416">
        <v>-0.22700000000000001</v>
      </c>
      <c r="AQ416">
        <v>98.194999999999993</v>
      </c>
      <c r="AR416">
        <v>62.444000000000003</v>
      </c>
      <c r="AS416">
        <v>97.004999999999995</v>
      </c>
    </row>
    <row r="417" spans="1:45" x14ac:dyDescent="0.25">
      <c r="A417">
        <v>24</v>
      </c>
      <c r="B417">
        <v>10</v>
      </c>
      <c r="C417">
        <v>1</v>
      </c>
      <c r="D417">
        <v>2019</v>
      </c>
      <c r="E417">
        <v>11</v>
      </c>
      <c r="F417" t="str">
        <f>IFERROR(VLOOKUP(G417, Map!$A$1:$B$33, 2, FALSE),"WAS")</f>
        <v>LA</v>
      </c>
      <c r="G417" t="s">
        <v>155</v>
      </c>
      <c r="H417" t="str">
        <f>IFERROR(VLOOKUP(I417, Map!$A$1:$B$33, 2, FALSE),"WAS")</f>
        <v>CHI</v>
      </c>
      <c r="I417" t="s">
        <v>163</v>
      </c>
      <c r="J417" t="s">
        <v>178</v>
      </c>
      <c r="K417" t="s">
        <v>216</v>
      </c>
      <c r="L417">
        <v>1</v>
      </c>
      <c r="M417">
        <v>0</v>
      </c>
      <c r="N417">
        <v>33.0416666666667</v>
      </c>
      <c r="O417">
        <v>-5.0833333333333304</v>
      </c>
      <c r="P417">
        <v>-4.5</v>
      </c>
      <c r="Q417">
        <v>0</v>
      </c>
      <c r="R417">
        <v>22.9</v>
      </c>
      <c r="S417">
        <v>32.200000000000003</v>
      </c>
      <c r="T417">
        <v>16.5</v>
      </c>
      <c r="U417">
        <v>19.100000000000001</v>
      </c>
      <c r="V417">
        <v>0</v>
      </c>
      <c r="W417">
        <v>0</v>
      </c>
      <c r="X417">
        <v>0</v>
      </c>
      <c r="Y417">
        <v>0</v>
      </c>
      <c r="Z417">
        <v>15.7</v>
      </c>
      <c r="AA417">
        <v>28.4</v>
      </c>
      <c r="AB417">
        <v>4</v>
      </c>
      <c r="AC417">
        <v>15</v>
      </c>
      <c r="AD417">
        <v>12.9</v>
      </c>
      <c r="AE417">
        <v>6.8</v>
      </c>
      <c r="AF417">
        <v>68.185000000000002</v>
      </c>
      <c r="AG417">
        <v>56.865000000000002</v>
      </c>
      <c r="AH417">
        <v>31.562000000000001</v>
      </c>
      <c r="AI417">
        <v>84.576999999999998</v>
      </c>
      <c r="AJ417">
        <v>24.727</v>
      </c>
      <c r="AK417">
        <v>73.197000000000003</v>
      </c>
      <c r="AL417">
        <v>6.36</v>
      </c>
      <c r="AM417">
        <v>31.562000000000001</v>
      </c>
      <c r="AN417">
        <v>56.865000000000002</v>
      </c>
      <c r="AO417">
        <v>68.185000000000002</v>
      </c>
      <c r="AP417">
        <v>-6.36</v>
      </c>
      <c r="AQ417">
        <v>75.272999999999996</v>
      </c>
      <c r="AR417">
        <v>15.423</v>
      </c>
      <c r="AS417">
        <v>26.803000000000001</v>
      </c>
    </row>
    <row r="418" spans="1:45" x14ac:dyDescent="0.25">
      <c r="A418">
        <v>27</v>
      </c>
      <c r="B418">
        <v>-7</v>
      </c>
      <c r="C418">
        <v>0</v>
      </c>
      <c r="D418">
        <v>2019</v>
      </c>
      <c r="E418">
        <v>11</v>
      </c>
      <c r="F418" t="str">
        <f>IFERROR(VLOOKUP(G418, Map!$A$1:$B$33, 2, FALSE),"WAS")</f>
        <v>PHI</v>
      </c>
      <c r="G418" t="s">
        <v>147</v>
      </c>
      <c r="H418" t="str">
        <f>IFERROR(VLOOKUP(I418, Map!$A$1:$B$33, 2, FALSE),"WAS")</f>
        <v>NE</v>
      </c>
      <c r="I418" t="s">
        <v>151</v>
      </c>
      <c r="J418" t="s">
        <v>206</v>
      </c>
      <c r="K418" t="s">
        <v>187</v>
      </c>
      <c r="L418">
        <v>0</v>
      </c>
      <c r="M418">
        <v>0</v>
      </c>
      <c r="N418">
        <v>39.25</v>
      </c>
      <c r="O418">
        <v>4</v>
      </c>
      <c r="P418">
        <v>3</v>
      </c>
      <c r="Q418">
        <v>24.5</v>
      </c>
      <c r="R418">
        <v>1.4</v>
      </c>
      <c r="S418">
        <v>5.3</v>
      </c>
      <c r="T418">
        <v>-1.2</v>
      </c>
      <c r="U418">
        <v>-4.4000000000000004</v>
      </c>
      <c r="V418">
        <v>0</v>
      </c>
      <c r="W418">
        <v>0</v>
      </c>
      <c r="X418">
        <v>0</v>
      </c>
      <c r="Y418">
        <v>0</v>
      </c>
      <c r="Z418">
        <v>21.9</v>
      </c>
      <c r="AA418">
        <v>40.299999999999997</v>
      </c>
      <c r="AB418">
        <v>32</v>
      </c>
      <c r="AC418">
        <v>49</v>
      </c>
      <c r="AD418">
        <v>35.4</v>
      </c>
      <c r="AE418">
        <v>18.899999999999999</v>
      </c>
      <c r="AF418">
        <v>37.040999999999997</v>
      </c>
      <c r="AG418">
        <v>83.965000000000003</v>
      </c>
      <c r="AH418">
        <v>62.661999999999999</v>
      </c>
      <c r="AI418">
        <v>61.927999999999997</v>
      </c>
      <c r="AJ418">
        <v>19.556999999999999</v>
      </c>
      <c r="AK418">
        <v>34.718000000000004</v>
      </c>
      <c r="AL418">
        <v>-4.3630000000000004</v>
      </c>
      <c r="AM418">
        <v>62.661999999999999</v>
      </c>
      <c r="AN418">
        <v>83.965000000000003</v>
      </c>
      <c r="AO418">
        <v>37.040999999999997</v>
      </c>
      <c r="AP418">
        <v>4.3630000000000004</v>
      </c>
      <c r="AQ418">
        <v>80.442999999999998</v>
      </c>
      <c r="AR418">
        <v>38.072000000000003</v>
      </c>
      <c r="AS418">
        <v>65.281999999999996</v>
      </c>
    </row>
    <row r="419" spans="1:45" x14ac:dyDescent="0.25">
      <c r="A419">
        <v>62</v>
      </c>
      <c r="B419">
        <v>-8</v>
      </c>
      <c r="C419">
        <v>0</v>
      </c>
      <c r="D419">
        <v>2019</v>
      </c>
      <c r="E419">
        <v>11</v>
      </c>
      <c r="F419" t="str">
        <f>IFERROR(VLOOKUP(G419, Map!$A$1:$B$33, 2, FALSE),"WAS")</f>
        <v>DET</v>
      </c>
      <c r="G419" t="s">
        <v>164</v>
      </c>
      <c r="H419" t="str">
        <f>IFERROR(VLOOKUP(I419, Map!$A$1:$B$33, 2, FALSE),"WAS")</f>
        <v>DAL</v>
      </c>
      <c r="I419" t="s">
        <v>150</v>
      </c>
      <c r="J419" t="s">
        <v>173</v>
      </c>
      <c r="K419" t="s">
        <v>184</v>
      </c>
      <c r="L419">
        <v>0</v>
      </c>
      <c r="M419">
        <v>0</v>
      </c>
      <c r="N419">
        <v>42.625</v>
      </c>
      <c r="O419">
        <v>6.5416666666666696</v>
      </c>
      <c r="P419">
        <v>6.5</v>
      </c>
      <c r="Q419">
        <v>46.5</v>
      </c>
      <c r="R419">
        <v>-1.5</v>
      </c>
      <c r="S419">
        <v>2.5</v>
      </c>
      <c r="T419">
        <v>-5.8</v>
      </c>
      <c r="U419">
        <v>-5.6</v>
      </c>
      <c r="V419">
        <v>0.1</v>
      </c>
      <c r="W419">
        <v>7.0000000000000007E-2</v>
      </c>
      <c r="X419">
        <v>1</v>
      </c>
      <c r="Y419">
        <v>0</v>
      </c>
      <c r="Z419">
        <v>14.9</v>
      </c>
      <c r="AA419">
        <v>24.8</v>
      </c>
      <c r="AB419">
        <v>85</v>
      </c>
      <c r="AC419">
        <v>81</v>
      </c>
      <c r="AD419">
        <v>15.2</v>
      </c>
      <c r="AE419">
        <v>9.4</v>
      </c>
      <c r="AF419">
        <v>31.44</v>
      </c>
      <c r="AG419">
        <v>51.741</v>
      </c>
      <c r="AH419">
        <v>68.307000000000002</v>
      </c>
      <c r="AI419">
        <v>7.9480000000000004</v>
      </c>
      <c r="AJ419">
        <v>61.274999999999999</v>
      </c>
      <c r="AK419">
        <v>23.786000000000001</v>
      </c>
      <c r="AL419">
        <v>-6.4059999999999997</v>
      </c>
      <c r="AM419">
        <v>68.307000000000002</v>
      </c>
      <c r="AN419">
        <v>51.741</v>
      </c>
      <c r="AO419">
        <v>31.44</v>
      </c>
      <c r="AP419">
        <v>6.4059999999999997</v>
      </c>
      <c r="AQ419">
        <v>38.725000000000001</v>
      </c>
      <c r="AR419">
        <v>92.052000000000007</v>
      </c>
      <c r="AS419">
        <v>76.213999999999999</v>
      </c>
    </row>
    <row r="420" spans="1:45" x14ac:dyDescent="0.25">
      <c r="A420">
        <v>26</v>
      </c>
      <c r="B420">
        <v>-8</v>
      </c>
      <c r="C420">
        <v>0</v>
      </c>
      <c r="D420">
        <v>2019</v>
      </c>
      <c r="E420">
        <v>12</v>
      </c>
      <c r="F420" t="str">
        <f>IFERROR(VLOOKUP(G420, Map!$A$1:$B$33, 2, FALSE),"WAS")</f>
        <v>PHI</v>
      </c>
      <c r="G420" t="s">
        <v>147</v>
      </c>
      <c r="H420" t="str">
        <f>IFERROR(VLOOKUP(I420, Map!$A$1:$B$33, 2, FALSE),"WAS")</f>
        <v>SEA</v>
      </c>
      <c r="I420" t="s">
        <v>144</v>
      </c>
      <c r="J420" t="s">
        <v>206</v>
      </c>
      <c r="K420" t="s">
        <v>182</v>
      </c>
      <c r="L420">
        <v>0</v>
      </c>
      <c r="M420">
        <v>0</v>
      </c>
      <c r="N420">
        <v>38</v>
      </c>
      <c r="O420">
        <v>1.0416666666666701</v>
      </c>
      <c r="P420">
        <v>1</v>
      </c>
      <c r="Q420">
        <v>0</v>
      </c>
      <c r="R420">
        <v>5.2</v>
      </c>
      <c r="S420">
        <v>7.1</v>
      </c>
      <c r="T420">
        <v>3.9</v>
      </c>
      <c r="U420">
        <v>1.3</v>
      </c>
      <c r="V420">
        <v>23.8</v>
      </c>
      <c r="W420">
        <v>0</v>
      </c>
      <c r="X420">
        <v>20</v>
      </c>
      <c r="Y420">
        <v>23.8</v>
      </c>
      <c r="Z420">
        <v>25.6</v>
      </c>
      <c r="AA420">
        <v>54.7</v>
      </c>
      <c r="AB420">
        <v>311</v>
      </c>
      <c r="AC420">
        <v>85</v>
      </c>
      <c r="AD420">
        <v>32.9</v>
      </c>
      <c r="AE420">
        <v>15.5</v>
      </c>
      <c r="AF420">
        <v>56.448999999999998</v>
      </c>
      <c r="AG420">
        <v>67.137</v>
      </c>
      <c r="AH420">
        <v>43.204000000000001</v>
      </c>
      <c r="AI420">
        <v>56.451999999999998</v>
      </c>
      <c r="AJ420">
        <v>5.4379999999999997</v>
      </c>
      <c r="AK420">
        <v>16.852</v>
      </c>
      <c r="AL420">
        <v>2.2189999999999999</v>
      </c>
      <c r="AM420">
        <v>43.204000000000001</v>
      </c>
      <c r="AN420">
        <v>67.137</v>
      </c>
      <c r="AO420">
        <v>56.448999999999998</v>
      </c>
      <c r="AP420">
        <v>-2.2189999999999999</v>
      </c>
      <c r="AQ420">
        <v>94.561999999999998</v>
      </c>
      <c r="AR420">
        <v>43.548000000000002</v>
      </c>
      <c r="AS420">
        <v>83.147999999999996</v>
      </c>
    </row>
    <row r="421" spans="1:45" x14ac:dyDescent="0.25">
      <c r="A421">
        <v>37</v>
      </c>
      <c r="B421">
        <v>31</v>
      </c>
      <c r="C421">
        <v>1</v>
      </c>
      <c r="D421">
        <v>2019</v>
      </c>
      <c r="E421">
        <v>12</v>
      </c>
      <c r="F421" t="str">
        <f>IFERROR(VLOOKUP(G421, Map!$A$1:$B$33, 2, FALSE),"WAS")</f>
        <v>NYJ</v>
      </c>
      <c r="G421" t="s">
        <v>166</v>
      </c>
      <c r="H421" t="str">
        <f>IFERROR(VLOOKUP(I421, Map!$A$1:$B$33, 2, FALSE),"WAS")</f>
        <v>LV</v>
      </c>
      <c r="I421" t="s">
        <v>157</v>
      </c>
      <c r="J421" t="s">
        <v>172</v>
      </c>
      <c r="K421" t="s">
        <v>179</v>
      </c>
      <c r="L421">
        <v>1</v>
      </c>
      <c r="M421">
        <v>0</v>
      </c>
      <c r="N421">
        <v>37.625</v>
      </c>
      <c r="O421">
        <v>3.0416666666666701</v>
      </c>
      <c r="P421">
        <v>3</v>
      </c>
      <c r="Q421">
        <v>0</v>
      </c>
      <c r="R421">
        <v>5.0999999999999996</v>
      </c>
      <c r="S421">
        <v>6.4</v>
      </c>
      <c r="T421">
        <v>4.0999999999999996</v>
      </c>
      <c r="U421">
        <v>1.1000000000000001</v>
      </c>
      <c r="V421">
        <v>27.1</v>
      </c>
      <c r="W421">
        <v>0</v>
      </c>
      <c r="X421">
        <v>21</v>
      </c>
      <c r="Y421">
        <v>27.1</v>
      </c>
      <c r="Z421">
        <v>27.2</v>
      </c>
      <c r="AA421">
        <v>51.1</v>
      </c>
      <c r="AB421">
        <v>345</v>
      </c>
      <c r="AC421">
        <v>87</v>
      </c>
      <c r="AD421">
        <v>32.200000000000003</v>
      </c>
      <c r="AE421">
        <v>16.3</v>
      </c>
      <c r="AF421">
        <v>46.566000000000003</v>
      </c>
      <c r="AG421">
        <v>16.384</v>
      </c>
      <c r="AH421">
        <v>53.06</v>
      </c>
      <c r="AI421">
        <v>85.349000000000004</v>
      </c>
      <c r="AJ421">
        <v>90.382000000000005</v>
      </c>
      <c r="AK421">
        <v>95.626000000000005</v>
      </c>
      <c r="AL421">
        <v>-1.0840000000000001</v>
      </c>
      <c r="AM421">
        <v>53.06</v>
      </c>
      <c r="AN421">
        <v>16.384</v>
      </c>
      <c r="AO421">
        <v>46.566000000000003</v>
      </c>
      <c r="AP421">
        <v>1.0840000000000001</v>
      </c>
      <c r="AQ421">
        <v>9.6180000000000003</v>
      </c>
      <c r="AR421">
        <v>14.651</v>
      </c>
      <c r="AS421">
        <v>4.3739999999999997</v>
      </c>
    </row>
    <row r="422" spans="1:45" x14ac:dyDescent="0.25">
      <c r="A422">
        <v>65</v>
      </c>
      <c r="B422">
        <v>17</v>
      </c>
      <c r="C422">
        <v>1</v>
      </c>
      <c r="D422">
        <v>2019</v>
      </c>
      <c r="E422">
        <v>12</v>
      </c>
      <c r="F422" t="str">
        <f>IFERROR(VLOOKUP(G422, Map!$A$1:$B$33, 2, FALSE),"WAS")</f>
        <v>CLE</v>
      </c>
      <c r="G422" t="s">
        <v>162</v>
      </c>
      <c r="H422" t="str">
        <f>IFERROR(VLOOKUP(I422, Map!$A$1:$B$33, 2, FALSE),"WAS")</f>
        <v>MIA</v>
      </c>
      <c r="I422" t="s">
        <v>152</v>
      </c>
      <c r="J422" t="s">
        <v>171</v>
      </c>
      <c r="K422" t="s">
        <v>175</v>
      </c>
      <c r="L422">
        <v>1</v>
      </c>
      <c r="M422">
        <v>0</v>
      </c>
      <c r="N422">
        <v>38.0833333333333</v>
      </c>
      <c r="O422">
        <v>-9.7083333333333304</v>
      </c>
      <c r="P422">
        <v>-10.5</v>
      </c>
      <c r="Q422">
        <v>0</v>
      </c>
      <c r="R422">
        <v>3.5</v>
      </c>
      <c r="S422">
        <v>7.3</v>
      </c>
      <c r="T422">
        <v>0.4</v>
      </c>
      <c r="U422">
        <v>-1.3</v>
      </c>
      <c r="V422">
        <v>3.7</v>
      </c>
      <c r="W422">
        <v>7.0000000000000007E-2</v>
      </c>
      <c r="X422">
        <v>8</v>
      </c>
      <c r="Y422">
        <v>3.6</v>
      </c>
      <c r="Z422">
        <v>26.4</v>
      </c>
      <c r="AA422">
        <v>46.1</v>
      </c>
      <c r="AB422">
        <v>261</v>
      </c>
      <c r="AC422">
        <v>81</v>
      </c>
      <c r="AD422">
        <v>33.799999999999997</v>
      </c>
      <c r="AE422">
        <v>19.2</v>
      </c>
      <c r="AF422">
        <v>86.406999999999996</v>
      </c>
      <c r="AG422">
        <v>30.635999999999999</v>
      </c>
      <c r="AH422">
        <v>13.484999999999999</v>
      </c>
      <c r="AI422">
        <v>71.16</v>
      </c>
      <c r="AJ422">
        <v>95.046000000000006</v>
      </c>
      <c r="AK422">
        <v>94.185000000000002</v>
      </c>
      <c r="AL422">
        <v>14.656000000000001</v>
      </c>
      <c r="AM422">
        <v>13.484999999999999</v>
      </c>
      <c r="AN422">
        <v>30.635999999999999</v>
      </c>
      <c r="AO422">
        <v>86.406999999999996</v>
      </c>
      <c r="AP422">
        <v>-14.656000000000001</v>
      </c>
      <c r="AQ422">
        <v>4.9539999999999997</v>
      </c>
      <c r="AR422">
        <v>28.84</v>
      </c>
      <c r="AS422">
        <v>5.8150000000000004</v>
      </c>
    </row>
    <row r="423" spans="1:45" x14ac:dyDescent="0.25">
      <c r="A423">
        <v>35</v>
      </c>
      <c r="B423">
        <v>3</v>
      </c>
      <c r="C423">
        <v>1</v>
      </c>
      <c r="D423">
        <v>2019</v>
      </c>
      <c r="E423">
        <v>12</v>
      </c>
      <c r="F423" t="str">
        <f>IFERROR(VLOOKUP(G423, Map!$A$1:$B$33, 2, FALSE),"WAS")</f>
        <v>WAS</v>
      </c>
      <c r="G423" t="s">
        <v>169</v>
      </c>
      <c r="H423" t="str">
        <f>IFERROR(VLOOKUP(I423, Map!$A$1:$B$33, 2, FALSE),"WAS")</f>
        <v>DET</v>
      </c>
      <c r="I423" t="s">
        <v>164</v>
      </c>
      <c r="J423" t="s">
        <v>205</v>
      </c>
      <c r="K423" t="s">
        <v>173</v>
      </c>
      <c r="L423">
        <v>1</v>
      </c>
      <c r="M423">
        <v>0</v>
      </c>
      <c r="N423">
        <v>32.9166666666667</v>
      </c>
      <c r="O423">
        <v>3.4166666666666701</v>
      </c>
      <c r="P423">
        <v>2.5</v>
      </c>
      <c r="Q423">
        <v>0</v>
      </c>
      <c r="R423">
        <v>6.6</v>
      </c>
      <c r="S423">
        <v>10.5</v>
      </c>
      <c r="T423">
        <v>4.5999999999999996</v>
      </c>
      <c r="U423">
        <v>2.5</v>
      </c>
      <c r="V423">
        <v>19</v>
      </c>
      <c r="W423">
        <v>0</v>
      </c>
      <c r="X423">
        <v>15</v>
      </c>
      <c r="Y423">
        <v>19</v>
      </c>
      <c r="Z423">
        <v>29.9</v>
      </c>
      <c r="AA423">
        <v>58</v>
      </c>
      <c r="AB423">
        <v>301</v>
      </c>
      <c r="AC423">
        <v>79</v>
      </c>
      <c r="AD423">
        <v>36.200000000000003</v>
      </c>
      <c r="AE423">
        <v>16.3</v>
      </c>
      <c r="AF423">
        <v>33.618000000000002</v>
      </c>
      <c r="AG423">
        <v>1.75</v>
      </c>
      <c r="AH423">
        <v>66.111999999999995</v>
      </c>
      <c r="AI423">
        <v>68.506</v>
      </c>
      <c r="AJ423">
        <v>12.145</v>
      </c>
      <c r="AK423">
        <v>58.786000000000001</v>
      </c>
      <c r="AL423">
        <v>-5.5789999999999997</v>
      </c>
      <c r="AM423">
        <v>66.111999999999995</v>
      </c>
      <c r="AN423">
        <v>1.75</v>
      </c>
      <c r="AO423">
        <v>33.618000000000002</v>
      </c>
      <c r="AP423">
        <v>5.5789999999999997</v>
      </c>
      <c r="AQ423">
        <v>87.855000000000004</v>
      </c>
      <c r="AR423">
        <v>31.494</v>
      </c>
      <c r="AS423">
        <v>41.213999999999999</v>
      </c>
    </row>
    <row r="424" spans="1:45" x14ac:dyDescent="0.25">
      <c r="A424">
        <v>33</v>
      </c>
      <c r="B424">
        <v>5</v>
      </c>
      <c r="C424">
        <v>1</v>
      </c>
      <c r="D424">
        <v>2019</v>
      </c>
      <c r="E424">
        <v>12</v>
      </c>
      <c r="F424" t="str">
        <f>IFERROR(VLOOKUP(G424, Map!$A$1:$B$33, 2, FALSE),"WAS")</f>
        <v>CHI</v>
      </c>
      <c r="G424" t="s">
        <v>163</v>
      </c>
      <c r="H424" t="str">
        <f>IFERROR(VLOOKUP(I424, Map!$A$1:$B$33, 2, FALSE),"WAS")</f>
        <v>NYG</v>
      </c>
      <c r="I424" t="s">
        <v>149</v>
      </c>
      <c r="J424" t="s">
        <v>216</v>
      </c>
      <c r="K424" t="s">
        <v>219</v>
      </c>
      <c r="L424">
        <v>1</v>
      </c>
      <c r="M424">
        <v>0</v>
      </c>
      <c r="N424">
        <v>36.818181818181799</v>
      </c>
      <c r="O424">
        <v>-5.5</v>
      </c>
      <c r="P424">
        <v>-6</v>
      </c>
      <c r="Q424">
        <v>40</v>
      </c>
      <c r="R424">
        <v>2.7</v>
      </c>
      <c r="S424">
        <v>9.1999999999999993</v>
      </c>
      <c r="T424">
        <v>-0.3</v>
      </c>
      <c r="U424">
        <v>-2.2000000000000002</v>
      </c>
      <c r="V424">
        <v>0</v>
      </c>
      <c r="W424">
        <v>0</v>
      </c>
      <c r="X424">
        <v>0</v>
      </c>
      <c r="Y424">
        <v>0</v>
      </c>
      <c r="Z424">
        <v>24.2</v>
      </c>
      <c r="AA424">
        <v>38.200000000000003</v>
      </c>
      <c r="AB424">
        <v>241</v>
      </c>
      <c r="AC424">
        <v>80</v>
      </c>
      <c r="AD424">
        <v>29.2</v>
      </c>
      <c r="AE424">
        <v>19.2</v>
      </c>
      <c r="AF424">
        <v>78.233000000000004</v>
      </c>
      <c r="AG424">
        <v>27.521000000000001</v>
      </c>
      <c r="AH424">
        <v>21.593</v>
      </c>
      <c r="AI424">
        <v>94.049000000000007</v>
      </c>
      <c r="AJ424">
        <v>37.109000000000002</v>
      </c>
      <c r="AK424">
        <v>73.123999999999995</v>
      </c>
      <c r="AL424">
        <v>10.420999999999999</v>
      </c>
      <c r="AM424">
        <v>21.593</v>
      </c>
      <c r="AN424">
        <v>27.521000000000001</v>
      </c>
      <c r="AO424">
        <v>78.233000000000004</v>
      </c>
      <c r="AP424">
        <v>-10.420999999999999</v>
      </c>
      <c r="AQ424">
        <v>62.890999999999998</v>
      </c>
      <c r="AR424">
        <v>5.9509999999999996</v>
      </c>
      <c r="AS424">
        <v>26.876000000000001</v>
      </c>
    </row>
    <row r="425" spans="1:45" x14ac:dyDescent="0.25">
      <c r="A425">
        <v>22</v>
      </c>
      <c r="B425">
        <v>4</v>
      </c>
      <c r="C425">
        <v>1</v>
      </c>
      <c r="D425">
        <v>2019</v>
      </c>
      <c r="E425">
        <v>12</v>
      </c>
      <c r="F425" t="str">
        <f>IFERROR(VLOOKUP(G425, Map!$A$1:$B$33, 2, FALSE),"WAS")</f>
        <v>NE</v>
      </c>
      <c r="G425" t="s">
        <v>151</v>
      </c>
      <c r="H425" t="str">
        <f>IFERROR(VLOOKUP(I425, Map!$A$1:$B$33, 2, FALSE),"WAS")</f>
        <v>DAL</v>
      </c>
      <c r="I425" t="s">
        <v>150</v>
      </c>
      <c r="J425" t="s">
        <v>187</v>
      </c>
      <c r="K425" t="s">
        <v>184</v>
      </c>
      <c r="L425">
        <v>1</v>
      </c>
      <c r="M425">
        <v>0</v>
      </c>
      <c r="N425">
        <v>37.0833333333333</v>
      </c>
      <c r="O425">
        <v>-5.0416666666666696</v>
      </c>
      <c r="P425">
        <v>-5</v>
      </c>
      <c r="Q425">
        <v>0</v>
      </c>
      <c r="R425">
        <v>3.9</v>
      </c>
      <c r="S425">
        <v>7.7</v>
      </c>
      <c r="T425">
        <v>1</v>
      </c>
      <c r="U425">
        <v>0</v>
      </c>
      <c r="V425">
        <v>27</v>
      </c>
      <c r="W425">
        <v>0</v>
      </c>
      <c r="X425">
        <v>17</v>
      </c>
      <c r="Y425">
        <v>27</v>
      </c>
      <c r="Z425">
        <v>31.6</v>
      </c>
      <c r="AA425">
        <v>69.8</v>
      </c>
      <c r="AB425">
        <v>21</v>
      </c>
      <c r="AC425">
        <v>90</v>
      </c>
      <c r="AD425">
        <v>33.9</v>
      </c>
      <c r="AE425">
        <v>15.7</v>
      </c>
      <c r="AF425">
        <v>70.403999999999996</v>
      </c>
      <c r="AG425">
        <v>86.355000000000004</v>
      </c>
      <c r="AH425">
        <v>29.36</v>
      </c>
      <c r="AI425">
        <v>81.680000000000007</v>
      </c>
      <c r="AJ425">
        <v>28.792000000000002</v>
      </c>
      <c r="AK425">
        <v>66.293999999999997</v>
      </c>
      <c r="AL425">
        <v>7.1790000000000003</v>
      </c>
      <c r="AM425">
        <v>29.36</v>
      </c>
      <c r="AN425">
        <v>86.355000000000004</v>
      </c>
      <c r="AO425">
        <v>70.403999999999996</v>
      </c>
      <c r="AP425">
        <v>-7.1790000000000003</v>
      </c>
      <c r="AQ425">
        <v>71.207999999999998</v>
      </c>
      <c r="AR425">
        <v>18.32</v>
      </c>
      <c r="AS425">
        <v>33.706000000000003</v>
      </c>
    </row>
    <row r="426" spans="1:45" x14ac:dyDescent="0.25">
      <c r="A426">
        <v>62</v>
      </c>
      <c r="B426">
        <v>22</v>
      </c>
      <c r="C426">
        <v>1</v>
      </c>
      <c r="D426">
        <v>2019</v>
      </c>
      <c r="E426">
        <v>12</v>
      </c>
      <c r="F426" t="str">
        <f>IFERROR(VLOOKUP(G426, Map!$A$1:$B$33, 2, FALSE),"WAS")</f>
        <v>TEN</v>
      </c>
      <c r="G426" t="s">
        <v>140</v>
      </c>
      <c r="H426" t="str">
        <f>IFERROR(VLOOKUP(I426, Map!$A$1:$B$33, 2, FALSE),"WAS")</f>
        <v>JAX</v>
      </c>
      <c r="I426" t="s">
        <v>139</v>
      </c>
      <c r="J426" t="s">
        <v>174</v>
      </c>
      <c r="K426" t="s">
        <v>220</v>
      </c>
      <c r="L426">
        <v>1</v>
      </c>
      <c r="M426">
        <v>0</v>
      </c>
      <c r="N426">
        <v>35</v>
      </c>
      <c r="O426">
        <v>-3.9166666666666701</v>
      </c>
      <c r="P426">
        <v>-3.5</v>
      </c>
      <c r="Q426">
        <v>0</v>
      </c>
      <c r="R426">
        <v>6.1</v>
      </c>
      <c r="S426">
        <v>11.5</v>
      </c>
      <c r="T426">
        <v>1.7</v>
      </c>
      <c r="U426">
        <v>2.8</v>
      </c>
      <c r="V426">
        <v>0.2</v>
      </c>
      <c r="W426">
        <v>0</v>
      </c>
      <c r="X426">
        <v>2</v>
      </c>
      <c r="Y426">
        <v>0.2</v>
      </c>
      <c r="Z426">
        <v>14.8</v>
      </c>
      <c r="AA426">
        <v>32.4</v>
      </c>
      <c r="AB426">
        <v>264</v>
      </c>
      <c r="AC426">
        <v>76</v>
      </c>
      <c r="AD426">
        <v>21.2</v>
      </c>
      <c r="AE426">
        <v>10.1</v>
      </c>
      <c r="AF426">
        <v>66.403000000000006</v>
      </c>
      <c r="AG426">
        <v>51.225999999999999</v>
      </c>
      <c r="AH426">
        <v>33.329000000000001</v>
      </c>
      <c r="AI426">
        <v>67.992999999999995</v>
      </c>
      <c r="AJ426">
        <v>95.099000000000004</v>
      </c>
      <c r="AK426">
        <v>91.715000000000003</v>
      </c>
      <c r="AL426">
        <v>5.6849999999999996</v>
      </c>
      <c r="AM426">
        <v>33.329000000000001</v>
      </c>
      <c r="AN426">
        <v>51.225999999999999</v>
      </c>
      <c r="AO426">
        <v>66.403000000000006</v>
      </c>
      <c r="AP426">
        <v>-5.6849999999999996</v>
      </c>
      <c r="AQ426">
        <v>4.9009999999999998</v>
      </c>
      <c r="AR426">
        <v>32.006999999999998</v>
      </c>
      <c r="AS426">
        <v>8.2850000000000001</v>
      </c>
    </row>
    <row r="427" spans="1:45" x14ac:dyDescent="0.25">
      <c r="A427">
        <v>57</v>
      </c>
      <c r="B427">
        <v>-13</v>
      </c>
      <c r="C427">
        <v>0</v>
      </c>
      <c r="D427">
        <v>2019</v>
      </c>
      <c r="E427">
        <v>12</v>
      </c>
      <c r="F427" t="str">
        <f>IFERROR(VLOOKUP(G427, Map!$A$1:$B$33, 2, FALSE),"WAS")</f>
        <v>ATL</v>
      </c>
      <c r="G427" t="s">
        <v>167</v>
      </c>
      <c r="H427" t="str">
        <f>IFERROR(VLOOKUP(I427, Map!$A$1:$B$33, 2, FALSE),"WAS")</f>
        <v>TB</v>
      </c>
      <c r="I427" t="s">
        <v>141</v>
      </c>
      <c r="J427" t="s">
        <v>188</v>
      </c>
      <c r="K427" t="s">
        <v>186</v>
      </c>
      <c r="L427">
        <v>0</v>
      </c>
      <c r="M427">
        <v>0</v>
      </c>
      <c r="N427">
        <v>42.9166666666667</v>
      </c>
      <c r="O427">
        <v>-3.125</v>
      </c>
      <c r="P427">
        <v>-3</v>
      </c>
      <c r="Q427">
        <v>0</v>
      </c>
      <c r="R427">
        <v>8.5</v>
      </c>
      <c r="S427">
        <v>13.3</v>
      </c>
      <c r="T427">
        <v>5.5</v>
      </c>
      <c r="U427">
        <v>4.0999999999999996</v>
      </c>
      <c r="V427">
        <v>0.4</v>
      </c>
      <c r="W427">
        <v>0</v>
      </c>
      <c r="X427">
        <v>3</v>
      </c>
      <c r="Y427">
        <v>0.4</v>
      </c>
      <c r="Z427">
        <v>26.1</v>
      </c>
      <c r="AA427">
        <v>46.4</v>
      </c>
      <c r="AB427">
        <v>301</v>
      </c>
      <c r="AC427">
        <v>70</v>
      </c>
      <c r="AD427">
        <v>38.1</v>
      </c>
      <c r="AE427">
        <v>20</v>
      </c>
      <c r="AF427">
        <v>65.744</v>
      </c>
      <c r="AG427">
        <v>62.057000000000002</v>
      </c>
      <c r="AH427">
        <v>33.982999999999997</v>
      </c>
      <c r="AI427">
        <v>10.241</v>
      </c>
      <c r="AJ427">
        <v>30.190999999999999</v>
      </c>
      <c r="AK427">
        <v>18.03</v>
      </c>
      <c r="AL427">
        <v>5.4459999999999997</v>
      </c>
      <c r="AM427">
        <v>33.982999999999997</v>
      </c>
      <c r="AN427">
        <v>62.057000000000002</v>
      </c>
      <c r="AO427">
        <v>65.744</v>
      </c>
      <c r="AP427">
        <v>-5.4459999999999997</v>
      </c>
      <c r="AQ427">
        <v>69.808999999999997</v>
      </c>
      <c r="AR427">
        <v>89.759</v>
      </c>
      <c r="AS427">
        <v>81.97</v>
      </c>
    </row>
    <row r="428" spans="1:45" x14ac:dyDescent="0.25">
      <c r="A428">
        <v>65</v>
      </c>
      <c r="B428">
        <v>3</v>
      </c>
      <c r="C428">
        <v>1</v>
      </c>
      <c r="D428">
        <v>2019</v>
      </c>
      <c r="E428">
        <v>12</v>
      </c>
      <c r="F428" t="str">
        <f>IFERROR(VLOOKUP(G428, Map!$A$1:$B$33, 2, FALSE),"WAS")</f>
        <v>NO</v>
      </c>
      <c r="G428" t="s">
        <v>168</v>
      </c>
      <c r="H428" t="str">
        <f>IFERROR(VLOOKUP(I428, Map!$A$1:$B$33, 2, FALSE),"WAS")</f>
        <v>CAR</v>
      </c>
      <c r="I428" t="s">
        <v>142</v>
      </c>
      <c r="J428" t="s">
        <v>192</v>
      </c>
      <c r="K428" t="s">
        <v>185</v>
      </c>
      <c r="L428">
        <v>1</v>
      </c>
      <c r="M428">
        <v>0</v>
      </c>
      <c r="N428">
        <v>38.6666666666667</v>
      </c>
      <c r="O428">
        <v>-8.9583333333333304</v>
      </c>
      <c r="P428">
        <v>-9.5</v>
      </c>
      <c r="Q428">
        <v>0</v>
      </c>
      <c r="R428">
        <v>12.4</v>
      </c>
      <c r="S428">
        <v>16.8</v>
      </c>
      <c r="T428">
        <v>8.6999999999999993</v>
      </c>
      <c r="U428">
        <v>9.8000000000000007</v>
      </c>
      <c r="V428">
        <v>0</v>
      </c>
      <c r="W428">
        <v>0</v>
      </c>
      <c r="X428">
        <v>0</v>
      </c>
      <c r="Y428">
        <v>0</v>
      </c>
      <c r="Z428">
        <v>18.399999999999999</v>
      </c>
      <c r="AA428">
        <v>32.4</v>
      </c>
      <c r="AB428">
        <v>343</v>
      </c>
      <c r="AC428">
        <v>69</v>
      </c>
      <c r="AD428">
        <v>25.9</v>
      </c>
      <c r="AE428">
        <v>12.5</v>
      </c>
      <c r="AF428">
        <v>82.756</v>
      </c>
      <c r="AG428">
        <v>50.192999999999998</v>
      </c>
      <c r="AH428">
        <v>17.106999999999999</v>
      </c>
      <c r="AI428">
        <v>27.29</v>
      </c>
      <c r="AJ428">
        <v>71.974000000000004</v>
      </c>
      <c r="AK428">
        <v>59.975999999999999</v>
      </c>
      <c r="AL428">
        <v>12.606</v>
      </c>
      <c r="AM428">
        <v>17.106999999999999</v>
      </c>
      <c r="AN428">
        <v>50.192999999999998</v>
      </c>
      <c r="AO428">
        <v>82.756</v>
      </c>
      <c r="AP428">
        <v>-12.606</v>
      </c>
      <c r="AQ428">
        <v>28.026</v>
      </c>
      <c r="AR428">
        <v>72.709999999999994</v>
      </c>
      <c r="AS428">
        <v>40.024000000000001</v>
      </c>
    </row>
    <row r="429" spans="1:45" x14ac:dyDescent="0.25">
      <c r="A429">
        <v>37</v>
      </c>
      <c r="B429">
        <v>3</v>
      </c>
      <c r="C429">
        <v>1</v>
      </c>
      <c r="D429">
        <v>2019</v>
      </c>
      <c r="E429">
        <v>12</v>
      </c>
      <c r="F429" t="str">
        <f>IFERROR(VLOOKUP(G429, Map!$A$1:$B$33, 2, FALSE),"WAS")</f>
        <v>HOU</v>
      </c>
      <c r="G429" t="s">
        <v>137</v>
      </c>
      <c r="H429" t="str">
        <f>IFERROR(VLOOKUP(I429, Map!$A$1:$B$33, 2, FALSE),"WAS")</f>
        <v>IND</v>
      </c>
      <c r="I429" t="s">
        <v>138</v>
      </c>
      <c r="J429" t="s">
        <v>209</v>
      </c>
      <c r="K429" t="s">
        <v>177</v>
      </c>
      <c r="L429">
        <v>1</v>
      </c>
      <c r="M429">
        <v>0</v>
      </c>
      <c r="N429">
        <v>42.2916666666667</v>
      </c>
      <c r="O429">
        <v>-3.2083333333333299</v>
      </c>
      <c r="P429">
        <v>-3.5</v>
      </c>
      <c r="Q429">
        <v>45.5</v>
      </c>
      <c r="R429">
        <v>21.8</v>
      </c>
      <c r="S429">
        <v>25.1</v>
      </c>
      <c r="T429">
        <v>18.600000000000001</v>
      </c>
      <c r="U429">
        <v>23.4</v>
      </c>
      <c r="V429">
        <v>13.6</v>
      </c>
      <c r="W429">
        <v>0</v>
      </c>
      <c r="X429">
        <v>16</v>
      </c>
      <c r="Y429">
        <v>13.6</v>
      </c>
      <c r="Z429">
        <v>24.8</v>
      </c>
      <c r="AA429">
        <v>46.4</v>
      </c>
      <c r="AB429">
        <v>178</v>
      </c>
      <c r="AC429">
        <v>90</v>
      </c>
      <c r="AD429">
        <v>31.1</v>
      </c>
      <c r="AE429">
        <v>15.9</v>
      </c>
      <c r="AF429">
        <v>65.379000000000005</v>
      </c>
      <c r="AG429">
        <v>58.677</v>
      </c>
      <c r="AH429">
        <v>34.344999999999999</v>
      </c>
      <c r="AI429">
        <v>81.447999999999993</v>
      </c>
      <c r="AJ429">
        <v>63.052</v>
      </c>
      <c r="AK429">
        <v>81.521000000000001</v>
      </c>
      <c r="AL429">
        <v>5.3140000000000001</v>
      </c>
      <c r="AM429">
        <v>34.344999999999999</v>
      </c>
      <c r="AN429">
        <v>58.677</v>
      </c>
      <c r="AO429">
        <v>65.379000000000005</v>
      </c>
      <c r="AP429">
        <v>-5.3140000000000001</v>
      </c>
      <c r="AQ429">
        <v>36.948</v>
      </c>
      <c r="AR429">
        <v>18.552</v>
      </c>
      <c r="AS429">
        <v>18.478999999999999</v>
      </c>
    </row>
    <row r="430" spans="1:45" x14ac:dyDescent="0.25">
      <c r="A430">
        <v>51</v>
      </c>
      <c r="B430">
        <v>-39</v>
      </c>
      <c r="C430">
        <v>0</v>
      </c>
      <c r="D430">
        <v>2019</v>
      </c>
      <c r="E430">
        <v>12</v>
      </c>
      <c r="F430" t="str">
        <f>IFERROR(VLOOKUP(G430, Map!$A$1:$B$33, 2, FALSE),"WAS")</f>
        <v>LA</v>
      </c>
      <c r="G430" t="s">
        <v>155</v>
      </c>
      <c r="H430" t="str">
        <f>IFERROR(VLOOKUP(I430, Map!$A$1:$B$33, 2, FALSE),"WAS")</f>
        <v>BAL</v>
      </c>
      <c r="I430" t="s">
        <v>146</v>
      </c>
      <c r="J430" t="s">
        <v>178</v>
      </c>
      <c r="K430" t="s">
        <v>181</v>
      </c>
      <c r="L430">
        <v>0</v>
      </c>
      <c r="M430">
        <v>0</v>
      </c>
      <c r="N430">
        <v>42.7916666666667</v>
      </c>
      <c r="O430">
        <v>3.0416666666666701</v>
      </c>
      <c r="P430">
        <v>3</v>
      </c>
      <c r="Q430">
        <v>46</v>
      </c>
      <c r="R430">
        <v>13.1</v>
      </c>
      <c r="S430">
        <v>18.899999999999999</v>
      </c>
      <c r="T430">
        <v>7.5</v>
      </c>
      <c r="U430">
        <v>10.6</v>
      </c>
      <c r="V430">
        <v>0.1</v>
      </c>
      <c r="W430">
        <v>0</v>
      </c>
      <c r="X430">
        <v>1</v>
      </c>
      <c r="Y430">
        <v>0.1</v>
      </c>
      <c r="Z430">
        <v>14.9</v>
      </c>
      <c r="AA430">
        <v>26.6</v>
      </c>
      <c r="AB430">
        <v>342</v>
      </c>
      <c r="AC430">
        <v>51</v>
      </c>
      <c r="AD430">
        <v>14</v>
      </c>
      <c r="AE430">
        <v>6.1</v>
      </c>
      <c r="AF430">
        <v>47.15</v>
      </c>
      <c r="AG430">
        <v>93.126999999999995</v>
      </c>
      <c r="AH430">
        <v>52.472000000000001</v>
      </c>
      <c r="AI430">
        <v>1.238</v>
      </c>
      <c r="AJ430">
        <v>14.500999999999999</v>
      </c>
      <c r="AK430">
        <v>1.0669999999999999</v>
      </c>
      <c r="AL430">
        <v>-0.88800000000000001</v>
      </c>
      <c r="AM430">
        <v>52.472000000000001</v>
      </c>
      <c r="AN430">
        <v>93.126999999999995</v>
      </c>
      <c r="AO430">
        <v>47.15</v>
      </c>
      <c r="AP430">
        <v>0.88800000000000001</v>
      </c>
      <c r="AQ430">
        <v>85.498999999999995</v>
      </c>
      <c r="AR430">
        <v>98.762</v>
      </c>
      <c r="AS430">
        <v>98.933000000000007</v>
      </c>
    </row>
    <row r="431" spans="1:45" x14ac:dyDescent="0.25">
      <c r="A431">
        <v>26</v>
      </c>
      <c r="B431">
        <v>-6</v>
      </c>
      <c r="C431">
        <v>0</v>
      </c>
      <c r="D431">
        <v>2019</v>
      </c>
      <c r="E431">
        <v>12</v>
      </c>
      <c r="F431" t="str">
        <f>IFERROR(VLOOKUP(G431, Map!$A$1:$B$33, 2, FALSE),"WAS")</f>
        <v>CIN</v>
      </c>
      <c r="G431" t="s">
        <v>161</v>
      </c>
      <c r="H431" t="str">
        <f>IFERROR(VLOOKUP(I431, Map!$A$1:$B$33, 2, FALSE),"WAS")</f>
        <v>PIT</v>
      </c>
      <c r="I431" t="s">
        <v>145</v>
      </c>
      <c r="J431" t="s">
        <v>176</v>
      </c>
      <c r="K431" t="s">
        <v>170</v>
      </c>
      <c r="L431">
        <v>0</v>
      </c>
      <c r="M431">
        <v>0</v>
      </c>
      <c r="N431">
        <v>31.4583333333333</v>
      </c>
      <c r="O431">
        <v>5.6666666666666696</v>
      </c>
      <c r="P431">
        <v>5.5</v>
      </c>
      <c r="Q431">
        <v>0</v>
      </c>
      <c r="R431">
        <v>3.5</v>
      </c>
      <c r="S431">
        <v>9.4</v>
      </c>
      <c r="T431">
        <v>-0.1</v>
      </c>
      <c r="U431">
        <v>-0.6</v>
      </c>
      <c r="V431">
        <v>1.3</v>
      </c>
      <c r="W431">
        <v>0.35</v>
      </c>
      <c r="X431">
        <v>4</v>
      </c>
      <c r="Y431">
        <v>0.8</v>
      </c>
      <c r="Z431">
        <v>18.8</v>
      </c>
      <c r="AA431">
        <v>42.1</v>
      </c>
      <c r="AB431">
        <v>256</v>
      </c>
      <c r="AC431">
        <v>85</v>
      </c>
      <c r="AD431">
        <v>32.700000000000003</v>
      </c>
      <c r="AE431">
        <v>15</v>
      </c>
      <c r="AF431">
        <v>33.567</v>
      </c>
      <c r="AG431">
        <v>6.9219999999999997</v>
      </c>
      <c r="AH431">
        <v>66.162999999999997</v>
      </c>
      <c r="AI431">
        <v>68.915000000000006</v>
      </c>
      <c r="AJ431">
        <v>7.7830000000000004</v>
      </c>
      <c r="AK431">
        <v>31.422000000000001</v>
      </c>
      <c r="AL431">
        <v>-5.5979999999999999</v>
      </c>
      <c r="AM431">
        <v>66.162999999999997</v>
      </c>
      <c r="AN431">
        <v>6.9219999999999997</v>
      </c>
      <c r="AO431">
        <v>33.567</v>
      </c>
      <c r="AP431">
        <v>5.5979999999999999</v>
      </c>
      <c r="AQ431">
        <v>92.216999999999999</v>
      </c>
      <c r="AR431">
        <v>31.085000000000001</v>
      </c>
      <c r="AS431">
        <v>68.578000000000003</v>
      </c>
    </row>
    <row r="432" spans="1:45" x14ac:dyDescent="0.25">
      <c r="A432">
        <v>23</v>
      </c>
      <c r="B432">
        <v>17</v>
      </c>
      <c r="C432">
        <v>1</v>
      </c>
      <c r="D432">
        <v>2019</v>
      </c>
      <c r="E432">
        <v>12</v>
      </c>
      <c r="F432" t="str">
        <f>IFERROR(VLOOKUP(G432, Map!$A$1:$B$33, 2, FALSE),"WAS")</f>
        <v>BUF</v>
      </c>
      <c r="G432" t="s">
        <v>165</v>
      </c>
      <c r="H432" t="str">
        <f>IFERROR(VLOOKUP(I432, Map!$A$1:$B$33, 2, FALSE),"WAS")</f>
        <v>DEN</v>
      </c>
      <c r="I432" t="s">
        <v>159</v>
      </c>
      <c r="J432" t="s">
        <v>180</v>
      </c>
      <c r="K432" t="s">
        <v>183</v>
      </c>
      <c r="L432">
        <v>1</v>
      </c>
      <c r="M432">
        <v>0</v>
      </c>
      <c r="N432">
        <v>30.875</v>
      </c>
      <c r="O432">
        <v>-3.25</v>
      </c>
      <c r="P432">
        <v>-3.5</v>
      </c>
      <c r="Q432">
        <v>0</v>
      </c>
      <c r="R432">
        <v>10.5</v>
      </c>
      <c r="S432">
        <v>15.3</v>
      </c>
      <c r="T432">
        <v>6.1</v>
      </c>
      <c r="U432">
        <v>7.3</v>
      </c>
      <c r="V432">
        <v>9.1</v>
      </c>
      <c r="W432">
        <v>0</v>
      </c>
      <c r="X432">
        <v>5</v>
      </c>
      <c r="Y432">
        <v>9.1</v>
      </c>
      <c r="Z432">
        <v>24.8</v>
      </c>
      <c r="AA432">
        <v>62.3</v>
      </c>
      <c r="AB432">
        <v>274</v>
      </c>
      <c r="AC432">
        <v>79</v>
      </c>
      <c r="AD432">
        <v>35.1</v>
      </c>
      <c r="AE432">
        <v>16.7</v>
      </c>
      <c r="AF432">
        <v>60.119</v>
      </c>
      <c r="AG432">
        <v>36.857999999999997</v>
      </c>
      <c r="AH432">
        <v>39.563000000000002</v>
      </c>
      <c r="AI432">
        <v>94.637</v>
      </c>
      <c r="AJ432">
        <v>61.356000000000002</v>
      </c>
      <c r="AK432">
        <v>85.513999999999996</v>
      </c>
      <c r="AL432">
        <v>3.4670000000000001</v>
      </c>
      <c r="AM432">
        <v>39.563000000000002</v>
      </c>
      <c r="AN432">
        <v>36.857999999999997</v>
      </c>
      <c r="AO432">
        <v>60.119</v>
      </c>
      <c r="AP432">
        <v>-3.4670000000000001</v>
      </c>
      <c r="AQ432">
        <v>38.643999999999998</v>
      </c>
      <c r="AR432">
        <v>5.3630000000000004</v>
      </c>
      <c r="AS432">
        <v>14.486000000000001</v>
      </c>
    </row>
    <row r="433" spans="1:45" x14ac:dyDescent="0.25">
      <c r="A433">
        <v>45</v>
      </c>
      <c r="B433">
        <v>29</v>
      </c>
      <c r="C433">
        <v>1</v>
      </c>
      <c r="D433">
        <v>2019</v>
      </c>
      <c r="E433">
        <v>12</v>
      </c>
      <c r="F433" t="str">
        <f>IFERROR(VLOOKUP(G433, Map!$A$1:$B$33, 2, FALSE),"WAS")</f>
        <v>SF</v>
      </c>
      <c r="G433" t="s">
        <v>143</v>
      </c>
      <c r="H433" t="str">
        <f>IFERROR(VLOOKUP(I433, Map!$A$1:$B$33, 2, FALSE),"WAS")</f>
        <v>GB</v>
      </c>
      <c r="I433" t="s">
        <v>154</v>
      </c>
      <c r="J433" t="s">
        <v>197</v>
      </c>
      <c r="K433" t="s">
        <v>200</v>
      </c>
      <c r="L433">
        <v>1</v>
      </c>
      <c r="M433">
        <v>0</v>
      </c>
      <c r="N433">
        <v>39.875</v>
      </c>
      <c r="O433">
        <v>-2.9166666666666701</v>
      </c>
      <c r="P433">
        <v>-3</v>
      </c>
      <c r="Q433">
        <v>0</v>
      </c>
      <c r="R433">
        <v>13.3</v>
      </c>
      <c r="S433">
        <v>19</v>
      </c>
      <c r="T433">
        <v>8.6</v>
      </c>
      <c r="U433">
        <v>10.7</v>
      </c>
      <c r="V433">
        <v>0</v>
      </c>
      <c r="W433">
        <v>0</v>
      </c>
      <c r="X433">
        <v>0</v>
      </c>
      <c r="Y433">
        <v>0</v>
      </c>
      <c r="Z433">
        <v>26.5</v>
      </c>
      <c r="AA433">
        <v>44.3</v>
      </c>
      <c r="AB433">
        <v>307</v>
      </c>
      <c r="AC433">
        <v>60</v>
      </c>
      <c r="AD433">
        <v>16.399999999999999</v>
      </c>
      <c r="AE433">
        <v>9.1</v>
      </c>
      <c r="AF433">
        <v>60.786999999999999</v>
      </c>
      <c r="AG433">
        <v>80.424999999999997</v>
      </c>
      <c r="AH433">
        <v>38.901000000000003</v>
      </c>
      <c r="AI433">
        <v>97.697999999999993</v>
      </c>
      <c r="AJ433">
        <v>73.567999999999998</v>
      </c>
      <c r="AK433">
        <v>97.472999999999999</v>
      </c>
      <c r="AL433">
        <v>3.6970000000000001</v>
      </c>
      <c r="AM433">
        <v>38.901000000000003</v>
      </c>
      <c r="AN433">
        <v>80.424999999999997</v>
      </c>
      <c r="AO433">
        <v>60.786999999999999</v>
      </c>
      <c r="AP433">
        <v>-3.6970000000000001</v>
      </c>
      <c r="AQ433">
        <v>26.431999999999999</v>
      </c>
      <c r="AR433">
        <v>2.302</v>
      </c>
      <c r="AS433">
        <v>2.5270000000000001</v>
      </c>
    </row>
    <row r="434" spans="1:45" x14ac:dyDescent="0.25">
      <c r="A434">
        <v>41</v>
      </c>
      <c r="B434">
        <v>-27</v>
      </c>
      <c r="C434">
        <v>0</v>
      </c>
      <c r="D434">
        <v>2019</v>
      </c>
      <c r="E434">
        <v>13</v>
      </c>
      <c r="F434" t="str">
        <f>IFERROR(VLOOKUP(G434, Map!$A$1:$B$33, 2, FALSE),"WAS")</f>
        <v>ARI</v>
      </c>
      <c r="G434" t="s">
        <v>156</v>
      </c>
      <c r="H434" t="str">
        <f>IFERROR(VLOOKUP(I434, Map!$A$1:$B$33, 2, FALSE),"WAS")</f>
        <v>LA</v>
      </c>
      <c r="I434" t="s">
        <v>155</v>
      </c>
      <c r="J434" t="s">
        <v>190</v>
      </c>
      <c r="K434" t="s">
        <v>178</v>
      </c>
      <c r="L434">
        <v>0</v>
      </c>
      <c r="M434">
        <v>0</v>
      </c>
      <c r="N434">
        <v>43.5</v>
      </c>
      <c r="O434">
        <v>2.3333333333333299</v>
      </c>
      <c r="P434">
        <v>2.5</v>
      </c>
      <c r="Q434">
        <v>47</v>
      </c>
      <c r="R434">
        <v>11.1</v>
      </c>
      <c r="S434">
        <v>16.8</v>
      </c>
      <c r="T434">
        <v>7.5</v>
      </c>
      <c r="U434">
        <v>9.5</v>
      </c>
      <c r="V434">
        <v>1.4</v>
      </c>
      <c r="W434">
        <v>0</v>
      </c>
      <c r="X434">
        <v>3</v>
      </c>
      <c r="Y434">
        <v>1.4</v>
      </c>
      <c r="Z434">
        <v>8.4</v>
      </c>
      <c r="AA434">
        <v>17.3</v>
      </c>
      <c r="AB434">
        <v>8</v>
      </c>
      <c r="AC434">
        <v>74</v>
      </c>
      <c r="AD434">
        <v>11.5</v>
      </c>
      <c r="AE434">
        <v>5.0999999999999996</v>
      </c>
      <c r="AF434">
        <v>45.802</v>
      </c>
      <c r="AG434">
        <v>49.058</v>
      </c>
      <c r="AH434">
        <v>53.83</v>
      </c>
      <c r="AI434">
        <v>9.9280000000000008</v>
      </c>
      <c r="AJ434">
        <v>4.5270000000000001</v>
      </c>
      <c r="AK434">
        <v>4.7770000000000001</v>
      </c>
      <c r="AL434">
        <v>-1.3380000000000001</v>
      </c>
      <c r="AM434">
        <v>53.83</v>
      </c>
      <c r="AN434">
        <v>49.058</v>
      </c>
      <c r="AO434">
        <v>45.802</v>
      </c>
      <c r="AP434">
        <v>1.3380000000000001</v>
      </c>
      <c r="AQ434">
        <v>95.472999999999999</v>
      </c>
      <c r="AR434">
        <v>90.072000000000003</v>
      </c>
      <c r="AS434">
        <v>95.222999999999999</v>
      </c>
    </row>
    <row r="435" spans="1:45" x14ac:dyDescent="0.25">
      <c r="A435">
        <v>68</v>
      </c>
      <c r="B435">
        <v>6</v>
      </c>
      <c r="C435">
        <v>1</v>
      </c>
      <c r="D435">
        <v>2019</v>
      </c>
      <c r="E435">
        <v>13</v>
      </c>
      <c r="F435" t="str">
        <f>IFERROR(VLOOKUP(G435, Map!$A$1:$B$33, 2, FALSE),"WAS")</f>
        <v>MIA</v>
      </c>
      <c r="G435" t="s">
        <v>152</v>
      </c>
      <c r="H435" t="str">
        <f>IFERROR(VLOOKUP(I435, Map!$A$1:$B$33, 2, FALSE),"WAS")</f>
        <v>PHI</v>
      </c>
      <c r="I435" t="s">
        <v>147</v>
      </c>
      <c r="J435" t="s">
        <v>175</v>
      </c>
      <c r="K435" t="s">
        <v>206</v>
      </c>
      <c r="L435">
        <v>1</v>
      </c>
      <c r="M435">
        <v>0</v>
      </c>
      <c r="N435">
        <v>41.0416666666667</v>
      </c>
      <c r="O435">
        <v>9.0416666666666696</v>
      </c>
      <c r="P435">
        <v>7.5</v>
      </c>
      <c r="Q435">
        <v>44.5</v>
      </c>
      <c r="R435">
        <v>22.2</v>
      </c>
      <c r="S435">
        <v>28.8</v>
      </c>
      <c r="T435">
        <v>17.5</v>
      </c>
      <c r="U435">
        <v>23.3</v>
      </c>
      <c r="V435">
        <v>0</v>
      </c>
      <c r="W435">
        <v>0</v>
      </c>
      <c r="X435">
        <v>0</v>
      </c>
      <c r="Y435">
        <v>0</v>
      </c>
      <c r="Z435">
        <v>19.100000000000001</v>
      </c>
      <c r="AA435">
        <v>41.4</v>
      </c>
      <c r="AB435">
        <v>193</v>
      </c>
      <c r="AC435">
        <v>75</v>
      </c>
      <c r="AD435">
        <v>19.5</v>
      </c>
      <c r="AE435">
        <v>10.7</v>
      </c>
      <c r="AF435">
        <v>20.02</v>
      </c>
      <c r="AG435">
        <v>22.163</v>
      </c>
      <c r="AH435">
        <v>79.819000000000003</v>
      </c>
      <c r="AI435">
        <v>25.012</v>
      </c>
      <c r="AJ435">
        <v>88.869</v>
      </c>
      <c r="AK435">
        <v>66.667000000000002</v>
      </c>
      <c r="AL435">
        <v>-11.124000000000001</v>
      </c>
      <c r="AM435">
        <v>79.819000000000003</v>
      </c>
      <c r="AN435">
        <v>22.163</v>
      </c>
      <c r="AO435">
        <v>20.02</v>
      </c>
      <c r="AP435">
        <v>11.124000000000001</v>
      </c>
      <c r="AQ435">
        <v>11.131</v>
      </c>
      <c r="AR435">
        <v>74.988</v>
      </c>
      <c r="AS435">
        <v>33.332999999999998</v>
      </c>
    </row>
    <row r="436" spans="1:45" x14ac:dyDescent="0.25">
      <c r="A436">
        <v>44</v>
      </c>
      <c r="B436">
        <v>-4</v>
      </c>
      <c r="C436">
        <v>0</v>
      </c>
      <c r="D436">
        <v>2019</v>
      </c>
      <c r="E436">
        <v>13</v>
      </c>
      <c r="F436" t="str">
        <f>IFERROR(VLOOKUP(G436, Map!$A$1:$B$33, 2, FALSE),"WAS")</f>
        <v>DET</v>
      </c>
      <c r="G436" t="s">
        <v>164</v>
      </c>
      <c r="H436" t="str">
        <f>IFERROR(VLOOKUP(I436, Map!$A$1:$B$33, 2, FALSE),"WAS")</f>
        <v>CHI</v>
      </c>
      <c r="I436" t="s">
        <v>163</v>
      </c>
      <c r="J436" t="s">
        <v>173</v>
      </c>
      <c r="K436" t="s">
        <v>216</v>
      </c>
      <c r="L436">
        <v>0</v>
      </c>
      <c r="M436">
        <v>0</v>
      </c>
      <c r="N436">
        <v>34.25</v>
      </c>
      <c r="O436">
        <v>4.5833333333333304</v>
      </c>
      <c r="P436">
        <v>5.5</v>
      </c>
      <c r="Q436">
        <v>37</v>
      </c>
      <c r="R436">
        <v>2.9</v>
      </c>
      <c r="S436">
        <v>4.5999999999999996</v>
      </c>
      <c r="T436">
        <v>1.8</v>
      </c>
      <c r="U436">
        <v>-3.3</v>
      </c>
      <c r="V436">
        <v>1.4</v>
      </c>
      <c r="W436">
        <v>0</v>
      </c>
      <c r="X436">
        <v>4</v>
      </c>
      <c r="Y436">
        <v>1.4</v>
      </c>
      <c r="Z436">
        <v>42</v>
      </c>
      <c r="AA436">
        <v>68.400000000000006</v>
      </c>
      <c r="AB436">
        <v>298</v>
      </c>
      <c r="AC436">
        <v>71</v>
      </c>
      <c r="AD436">
        <v>45.7</v>
      </c>
      <c r="AE436">
        <v>26.1</v>
      </c>
      <c r="AF436">
        <v>45.567999999999998</v>
      </c>
      <c r="AG436">
        <v>25.123000000000001</v>
      </c>
      <c r="AH436">
        <v>54.066000000000003</v>
      </c>
      <c r="AI436">
        <v>35.540999999999997</v>
      </c>
      <c r="AJ436">
        <v>56.13</v>
      </c>
      <c r="AK436">
        <v>42.96</v>
      </c>
      <c r="AL436">
        <v>-1.4159999999999999</v>
      </c>
      <c r="AM436">
        <v>54.066000000000003</v>
      </c>
      <c r="AN436">
        <v>25.123000000000001</v>
      </c>
      <c r="AO436">
        <v>45.567999999999998</v>
      </c>
      <c r="AP436">
        <v>1.4159999999999999</v>
      </c>
      <c r="AQ436">
        <v>43.87</v>
      </c>
      <c r="AR436">
        <v>64.459000000000003</v>
      </c>
      <c r="AS436">
        <v>57.04</v>
      </c>
    </row>
    <row r="437" spans="1:45" x14ac:dyDescent="0.25">
      <c r="A437">
        <v>67</v>
      </c>
      <c r="B437">
        <v>7</v>
      </c>
      <c r="C437">
        <v>1</v>
      </c>
      <c r="D437">
        <v>2019</v>
      </c>
      <c r="E437">
        <v>13</v>
      </c>
      <c r="F437" t="str">
        <f>IFERROR(VLOOKUP(G437, Map!$A$1:$B$33, 2, FALSE),"WAS")</f>
        <v>SEA</v>
      </c>
      <c r="G437" t="s">
        <v>144</v>
      </c>
      <c r="H437" t="str">
        <f>IFERROR(VLOOKUP(I437, Map!$A$1:$B$33, 2, FALSE),"WAS")</f>
        <v>MIN</v>
      </c>
      <c r="I437" t="s">
        <v>153</v>
      </c>
      <c r="J437" t="s">
        <v>182</v>
      </c>
      <c r="K437" t="s">
        <v>214</v>
      </c>
      <c r="L437">
        <v>1</v>
      </c>
      <c r="M437">
        <v>0</v>
      </c>
      <c r="N437">
        <v>44.2916666666667</v>
      </c>
      <c r="O437">
        <v>-2.5</v>
      </c>
      <c r="P437">
        <v>-2.5</v>
      </c>
      <c r="Q437">
        <v>48</v>
      </c>
      <c r="R437">
        <v>6.6</v>
      </c>
      <c r="S437">
        <v>9.1</v>
      </c>
      <c r="T437">
        <v>4.9000000000000004</v>
      </c>
      <c r="U437">
        <v>3.3</v>
      </c>
      <c r="V437">
        <v>0</v>
      </c>
      <c r="W437">
        <v>0</v>
      </c>
      <c r="X437">
        <v>0</v>
      </c>
      <c r="Y437">
        <v>0</v>
      </c>
      <c r="Z437">
        <v>20.9</v>
      </c>
      <c r="AA437">
        <v>38.200000000000003</v>
      </c>
      <c r="AB437">
        <v>175</v>
      </c>
      <c r="AC437">
        <v>87</v>
      </c>
      <c r="AD437">
        <v>24.4</v>
      </c>
      <c r="AE437">
        <v>13.4</v>
      </c>
      <c r="AF437">
        <v>47.249000000000002</v>
      </c>
      <c r="AG437">
        <v>84.063999999999993</v>
      </c>
      <c r="AH437">
        <v>52.372</v>
      </c>
      <c r="AI437">
        <v>63.91</v>
      </c>
      <c r="AJ437">
        <v>59.866999999999997</v>
      </c>
      <c r="AK437">
        <v>73.564999999999998</v>
      </c>
      <c r="AL437">
        <v>-0.85299999999999998</v>
      </c>
      <c r="AM437">
        <v>52.372</v>
      </c>
      <c r="AN437">
        <v>84.063999999999993</v>
      </c>
      <c r="AO437">
        <v>47.249000000000002</v>
      </c>
      <c r="AP437">
        <v>0.85299999999999998</v>
      </c>
      <c r="AQ437">
        <v>40.133000000000003</v>
      </c>
      <c r="AR437">
        <v>36.090000000000003</v>
      </c>
      <c r="AS437">
        <v>26.434999999999999</v>
      </c>
    </row>
    <row r="438" spans="1:45" x14ac:dyDescent="0.25">
      <c r="A438">
        <v>37</v>
      </c>
      <c r="B438">
        <v>3</v>
      </c>
      <c r="C438">
        <v>1</v>
      </c>
      <c r="D438">
        <v>2019</v>
      </c>
      <c r="E438">
        <v>13</v>
      </c>
      <c r="F438" t="str">
        <f>IFERROR(VLOOKUP(G438, Map!$A$1:$B$33, 2, FALSE),"WAS")</f>
        <v>BAL</v>
      </c>
      <c r="G438" t="s">
        <v>146</v>
      </c>
      <c r="H438" t="str">
        <f>IFERROR(VLOOKUP(I438, Map!$A$1:$B$33, 2, FALSE),"WAS")</f>
        <v>SF</v>
      </c>
      <c r="I438" t="s">
        <v>143</v>
      </c>
      <c r="J438" t="s">
        <v>181</v>
      </c>
      <c r="K438" t="s">
        <v>197</v>
      </c>
      <c r="L438">
        <v>1</v>
      </c>
      <c r="M438">
        <v>0</v>
      </c>
      <c r="N438">
        <v>41.5</v>
      </c>
      <c r="O438">
        <v>-5.0833333333333304</v>
      </c>
      <c r="P438">
        <v>-5.5</v>
      </c>
      <c r="Q438">
        <v>45</v>
      </c>
      <c r="R438">
        <v>5.5</v>
      </c>
      <c r="S438">
        <v>8.4</v>
      </c>
      <c r="T438">
        <v>3.9</v>
      </c>
      <c r="U438">
        <v>2</v>
      </c>
      <c r="V438">
        <v>20.7</v>
      </c>
      <c r="W438">
        <v>0</v>
      </c>
      <c r="X438">
        <v>16</v>
      </c>
      <c r="Y438">
        <v>20.7</v>
      </c>
      <c r="Z438">
        <v>21.8</v>
      </c>
      <c r="AA438">
        <v>38.5</v>
      </c>
      <c r="AB438">
        <v>93</v>
      </c>
      <c r="AC438">
        <v>80</v>
      </c>
      <c r="AD438">
        <v>23</v>
      </c>
      <c r="AE438">
        <v>12.2</v>
      </c>
      <c r="AF438">
        <v>67.850999999999999</v>
      </c>
      <c r="AG438">
        <v>89.789000000000001</v>
      </c>
      <c r="AH438">
        <v>31.893000000000001</v>
      </c>
      <c r="AI438">
        <v>37.710999999999999</v>
      </c>
      <c r="AJ438">
        <v>52.701999999999998</v>
      </c>
      <c r="AK438">
        <v>56.067</v>
      </c>
      <c r="AL438">
        <v>6.2009999999999996</v>
      </c>
      <c r="AM438">
        <v>31.893000000000001</v>
      </c>
      <c r="AN438">
        <v>89.789000000000001</v>
      </c>
      <c r="AO438">
        <v>67.850999999999999</v>
      </c>
      <c r="AP438">
        <v>-6.2009999999999996</v>
      </c>
      <c r="AQ438">
        <v>47.298000000000002</v>
      </c>
      <c r="AR438">
        <v>62.289000000000001</v>
      </c>
      <c r="AS438">
        <v>43.933</v>
      </c>
    </row>
    <row r="439" spans="1:45" x14ac:dyDescent="0.25">
      <c r="A439">
        <v>33</v>
      </c>
      <c r="B439">
        <v>7</v>
      </c>
      <c r="C439">
        <v>1</v>
      </c>
      <c r="D439">
        <v>2019</v>
      </c>
      <c r="E439">
        <v>13</v>
      </c>
      <c r="F439" t="str">
        <f>IFERROR(VLOOKUP(G439, Map!$A$1:$B$33, 2, FALSE),"WAS")</f>
        <v>PIT</v>
      </c>
      <c r="G439" t="s">
        <v>145</v>
      </c>
      <c r="H439" t="str">
        <f>IFERROR(VLOOKUP(I439, Map!$A$1:$B$33, 2, FALSE),"WAS")</f>
        <v>CLE</v>
      </c>
      <c r="I439" t="s">
        <v>162</v>
      </c>
      <c r="J439" t="s">
        <v>170</v>
      </c>
      <c r="K439" t="s">
        <v>171</v>
      </c>
      <c r="L439">
        <v>1</v>
      </c>
      <c r="M439">
        <v>0</v>
      </c>
      <c r="N439">
        <v>36.4166666666667</v>
      </c>
      <c r="O439">
        <v>1.2083333333333299</v>
      </c>
      <c r="P439">
        <v>-1</v>
      </c>
      <c r="Q439">
        <v>39.5</v>
      </c>
      <c r="R439">
        <v>5.4</v>
      </c>
      <c r="S439">
        <v>8.6999999999999993</v>
      </c>
      <c r="T439">
        <v>3.6</v>
      </c>
      <c r="U439">
        <v>1.7</v>
      </c>
      <c r="V439">
        <v>17.600000000000001</v>
      </c>
      <c r="W439">
        <v>0</v>
      </c>
      <c r="X439">
        <v>16</v>
      </c>
      <c r="Y439">
        <v>17.600000000000001</v>
      </c>
      <c r="Z439">
        <v>20.399999999999999</v>
      </c>
      <c r="AA439">
        <v>56.9</v>
      </c>
      <c r="AB439">
        <v>117</v>
      </c>
      <c r="AC439">
        <v>84</v>
      </c>
      <c r="AD439">
        <v>33.4</v>
      </c>
      <c r="AE439">
        <v>14.6</v>
      </c>
      <c r="AF439">
        <v>48.569000000000003</v>
      </c>
      <c r="AG439">
        <v>27.039000000000001</v>
      </c>
      <c r="AH439">
        <v>51.040999999999997</v>
      </c>
      <c r="AI439">
        <v>68.25</v>
      </c>
      <c r="AJ439">
        <v>63.45</v>
      </c>
      <c r="AK439">
        <v>72.748000000000005</v>
      </c>
      <c r="AL439">
        <v>-0.41099999999999998</v>
      </c>
      <c r="AM439">
        <v>51.040999999999997</v>
      </c>
      <c r="AN439">
        <v>27.039000000000001</v>
      </c>
      <c r="AO439">
        <v>48.569000000000003</v>
      </c>
      <c r="AP439">
        <v>0.41099999999999998</v>
      </c>
      <c r="AQ439">
        <v>36.549999999999997</v>
      </c>
      <c r="AR439">
        <v>31.75</v>
      </c>
      <c r="AS439">
        <v>27.251999999999999</v>
      </c>
    </row>
    <row r="440" spans="1:45" x14ac:dyDescent="0.25">
      <c r="A440">
        <v>49</v>
      </c>
      <c r="B440">
        <v>31</v>
      </c>
      <c r="C440">
        <v>1</v>
      </c>
      <c r="D440">
        <v>2019</v>
      </c>
      <c r="E440">
        <v>13</v>
      </c>
      <c r="F440" t="str">
        <f>IFERROR(VLOOKUP(G440, Map!$A$1:$B$33, 2, FALSE),"WAS")</f>
        <v>KC</v>
      </c>
      <c r="G440" t="s">
        <v>158</v>
      </c>
      <c r="H440" t="str">
        <f>IFERROR(VLOOKUP(I440, Map!$A$1:$B$33, 2, FALSE),"WAS")</f>
        <v>LV</v>
      </c>
      <c r="I440" t="s">
        <v>157</v>
      </c>
      <c r="J440" t="s">
        <v>202</v>
      </c>
      <c r="K440" t="s">
        <v>179</v>
      </c>
      <c r="L440">
        <v>1</v>
      </c>
      <c r="M440">
        <v>0</v>
      </c>
      <c r="N440">
        <v>45.7916666666667</v>
      </c>
      <c r="O440">
        <v>-9.8333333333333304</v>
      </c>
      <c r="P440">
        <v>-10.5</v>
      </c>
      <c r="Q440">
        <v>48.5</v>
      </c>
      <c r="R440">
        <v>3</v>
      </c>
      <c r="S440">
        <v>10.4</v>
      </c>
      <c r="T440">
        <v>0.9</v>
      </c>
      <c r="U440">
        <v>-4.5</v>
      </c>
      <c r="V440">
        <v>0.4</v>
      </c>
      <c r="W440">
        <v>7.0000000000000007E-2</v>
      </c>
      <c r="X440">
        <v>4</v>
      </c>
      <c r="Y440">
        <v>0.3</v>
      </c>
      <c r="Z440">
        <v>39.200000000000003</v>
      </c>
      <c r="AA440">
        <v>72.400000000000006</v>
      </c>
      <c r="AB440">
        <v>287</v>
      </c>
      <c r="AC440">
        <v>58</v>
      </c>
      <c r="AD440">
        <v>61.5</v>
      </c>
      <c r="AE440">
        <v>32.299999999999997</v>
      </c>
      <c r="AF440">
        <v>90.058999999999997</v>
      </c>
      <c r="AG440">
        <v>51.234999999999999</v>
      </c>
      <c r="AH440">
        <v>9.8620000000000001</v>
      </c>
      <c r="AI440">
        <v>94.076999999999998</v>
      </c>
      <c r="AJ440">
        <v>79.337999999999994</v>
      </c>
      <c r="AK440">
        <v>98.426000000000002</v>
      </c>
      <c r="AL440">
        <v>17.087</v>
      </c>
      <c r="AM440">
        <v>9.8620000000000001</v>
      </c>
      <c r="AN440">
        <v>51.234999999999999</v>
      </c>
      <c r="AO440">
        <v>90.058999999999997</v>
      </c>
      <c r="AP440">
        <v>-17.087</v>
      </c>
      <c r="AQ440">
        <v>20.661999999999999</v>
      </c>
      <c r="AR440">
        <v>5.923</v>
      </c>
      <c r="AS440">
        <v>1.5740000000000001</v>
      </c>
    </row>
    <row r="441" spans="1:45" x14ac:dyDescent="0.25">
      <c r="A441">
        <v>39</v>
      </c>
      <c r="B441">
        <v>-17</v>
      </c>
      <c r="C441">
        <v>0</v>
      </c>
      <c r="D441">
        <v>2019</v>
      </c>
      <c r="E441">
        <v>13</v>
      </c>
      <c r="F441" t="str">
        <f>IFERROR(VLOOKUP(G441, Map!$A$1:$B$33, 2, FALSE),"WAS")</f>
        <v>JAX</v>
      </c>
      <c r="G441" t="s">
        <v>139</v>
      </c>
      <c r="H441" t="str">
        <f>IFERROR(VLOOKUP(I441, Map!$A$1:$B$33, 2, FALSE),"WAS")</f>
        <v>TB</v>
      </c>
      <c r="I441" t="s">
        <v>141</v>
      </c>
      <c r="J441" t="s">
        <v>220</v>
      </c>
      <c r="K441" t="s">
        <v>186</v>
      </c>
      <c r="L441">
        <v>0</v>
      </c>
      <c r="M441">
        <v>0</v>
      </c>
      <c r="N441">
        <v>42.7916666666667</v>
      </c>
      <c r="O441">
        <v>2.2916666666666701</v>
      </c>
      <c r="P441">
        <v>-1</v>
      </c>
      <c r="Q441">
        <v>46</v>
      </c>
      <c r="R441">
        <v>20.3</v>
      </c>
      <c r="S441">
        <v>26.5</v>
      </c>
      <c r="T441">
        <v>17.5</v>
      </c>
      <c r="U441">
        <v>20.100000000000001</v>
      </c>
      <c r="V441">
        <v>5.0999999999999996</v>
      </c>
      <c r="W441">
        <v>0</v>
      </c>
      <c r="X441">
        <v>3</v>
      </c>
      <c r="Y441">
        <v>5.0999999999999996</v>
      </c>
      <c r="Z441">
        <v>35.200000000000003</v>
      </c>
      <c r="AA441">
        <v>66.2</v>
      </c>
      <c r="AB441">
        <v>220</v>
      </c>
      <c r="AC441">
        <v>86</v>
      </c>
      <c r="AD441">
        <v>34.9</v>
      </c>
      <c r="AE441">
        <v>20.5</v>
      </c>
      <c r="AF441">
        <v>51.664000000000001</v>
      </c>
      <c r="AG441">
        <v>44.207000000000001</v>
      </c>
      <c r="AH441">
        <v>47.951000000000001</v>
      </c>
      <c r="AI441">
        <v>39.570999999999998</v>
      </c>
      <c r="AJ441">
        <v>0.64100000000000001</v>
      </c>
      <c r="AK441">
        <v>4.431</v>
      </c>
      <c r="AL441">
        <v>0.61799999999999999</v>
      </c>
      <c r="AM441">
        <v>47.951000000000001</v>
      </c>
      <c r="AN441">
        <v>44.207000000000001</v>
      </c>
      <c r="AO441">
        <v>51.664000000000001</v>
      </c>
      <c r="AP441">
        <v>-0.61799999999999999</v>
      </c>
      <c r="AQ441">
        <v>99.358999999999995</v>
      </c>
      <c r="AR441">
        <v>60.429000000000002</v>
      </c>
      <c r="AS441">
        <v>95.569000000000003</v>
      </c>
    </row>
    <row r="442" spans="1:45" x14ac:dyDescent="0.25">
      <c r="A442">
        <v>44</v>
      </c>
      <c r="B442">
        <v>-8</v>
      </c>
      <c r="C442">
        <v>0</v>
      </c>
      <c r="D442">
        <v>2019</v>
      </c>
      <c r="E442">
        <v>13</v>
      </c>
      <c r="F442" t="str">
        <f>IFERROR(VLOOKUP(G442, Map!$A$1:$B$33, 2, FALSE),"WAS")</f>
        <v>ATL</v>
      </c>
      <c r="G442" t="s">
        <v>167</v>
      </c>
      <c r="H442" t="str">
        <f>IFERROR(VLOOKUP(I442, Map!$A$1:$B$33, 2, FALSE),"WAS")</f>
        <v>NO</v>
      </c>
      <c r="I442" t="s">
        <v>168</v>
      </c>
      <c r="J442" t="s">
        <v>188</v>
      </c>
      <c r="K442" t="s">
        <v>192</v>
      </c>
      <c r="L442">
        <v>0</v>
      </c>
      <c r="M442">
        <v>0</v>
      </c>
      <c r="N442">
        <v>43.590909090909101</v>
      </c>
      <c r="O442">
        <v>6.1363636363636402</v>
      </c>
      <c r="P442">
        <v>6.5</v>
      </c>
      <c r="Q442">
        <v>47.5</v>
      </c>
      <c r="R442">
        <v>10.9</v>
      </c>
      <c r="S442">
        <v>15.7</v>
      </c>
      <c r="T442">
        <v>7.4</v>
      </c>
      <c r="U442">
        <v>8.1</v>
      </c>
      <c r="V442">
        <v>0</v>
      </c>
      <c r="W442">
        <v>0</v>
      </c>
      <c r="X442">
        <v>0</v>
      </c>
      <c r="Y442">
        <v>0</v>
      </c>
      <c r="Z442">
        <v>18.899999999999999</v>
      </c>
      <c r="AA442">
        <v>33.5</v>
      </c>
      <c r="AB442">
        <v>336</v>
      </c>
      <c r="AC442">
        <v>58</v>
      </c>
      <c r="AD442">
        <v>18</v>
      </c>
      <c r="AE442">
        <v>8.6</v>
      </c>
      <c r="AF442">
        <v>43.933</v>
      </c>
      <c r="AG442">
        <v>83.528000000000006</v>
      </c>
      <c r="AH442">
        <v>55.713999999999999</v>
      </c>
      <c r="AI442">
        <v>30.295999999999999</v>
      </c>
      <c r="AJ442">
        <v>26.100999999999999</v>
      </c>
      <c r="AK442">
        <v>19.053999999999998</v>
      </c>
      <c r="AL442">
        <v>-1.9670000000000001</v>
      </c>
      <c r="AM442">
        <v>55.713999999999999</v>
      </c>
      <c r="AN442">
        <v>83.528000000000006</v>
      </c>
      <c r="AO442">
        <v>43.933</v>
      </c>
      <c r="AP442">
        <v>1.9670000000000001</v>
      </c>
      <c r="AQ442">
        <v>73.899000000000001</v>
      </c>
      <c r="AR442">
        <v>69.703999999999994</v>
      </c>
      <c r="AS442">
        <v>80.945999999999998</v>
      </c>
    </row>
    <row r="443" spans="1:45" x14ac:dyDescent="0.25">
      <c r="A443">
        <v>44</v>
      </c>
      <c r="B443">
        <v>-18</v>
      </c>
      <c r="C443">
        <v>0</v>
      </c>
      <c r="D443">
        <v>2019</v>
      </c>
      <c r="E443">
        <v>13</v>
      </c>
      <c r="F443" t="str">
        <f>IFERROR(VLOOKUP(G443, Map!$A$1:$B$33, 2, FALSE),"WAS")</f>
        <v>NYG</v>
      </c>
      <c r="G443" t="s">
        <v>149</v>
      </c>
      <c r="H443" t="str">
        <f>IFERROR(VLOOKUP(I443, Map!$A$1:$B$33, 2, FALSE),"WAS")</f>
        <v>GB</v>
      </c>
      <c r="I443" t="s">
        <v>154</v>
      </c>
      <c r="J443" t="s">
        <v>219</v>
      </c>
      <c r="K443" t="s">
        <v>200</v>
      </c>
      <c r="L443">
        <v>0</v>
      </c>
      <c r="M443">
        <v>0</v>
      </c>
      <c r="N443">
        <v>40.3333333333333</v>
      </c>
      <c r="O443">
        <v>5.9166666666666696</v>
      </c>
      <c r="P443">
        <v>6</v>
      </c>
      <c r="Q443">
        <v>43</v>
      </c>
      <c r="R443">
        <v>-1</v>
      </c>
      <c r="S443">
        <v>2.8</v>
      </c>
      <c r="T443">
        <v>-3.4</v>
      </c>
      <c r="U443">
        <v>-5.7</v>
      </c>
      <c r="V443">
        <v>13.1</v>
      </c>
      <c r="W443">
        <v>4.13</v>
      </c>
      <c r="X443">
        <v>10</v>
      </c>
      <c r="Y443">
        <v>7.2</v>
      </c>
      <c r="Z443">
        <v>26.1</v>
      </c>
      <c r="AA443">
        <v>49.3</v>
      </c>
      <c r="AB443">
        <v>48</v>
      </c>
      <c r="AC443">
        <v>73</v>
      </c>
      <c r="AD443">
        <v>26.8</v>
      </c>
      <c r="AE443">
        <v>13.4</v>
      </c>
      <c r="AF443">
        <v>24.823</v>
      </c>
      <c r="AG443">
        <v>31.716000000000001</v>
      </c>
      <c r="AH443">
        <v>74.977999999999994</v>
      </c>
      <c r="AI443">
        <v>9.4730000000000008</v>
      </c>
      <c r="AJ443">
        <v>39.238999999999997</v>
      </c>
      <c r="AK443">
        <v>15.327999999999999</v>
      </c>
      <c r="AL443">
        <v>-8.9860000000000007</v>
      </c>
      <c r="AM443">
        <v>74.977999999999994</v>
      </c>
      <c r="AN443">
        <v>31.716000000000001</v>
      </c>
      <c r="AO443">
        <v>24.823</v>
      </c>
      <c r="AP443">
        <v>8.9860000000000007</v>
      </c>
      <c r="AQ443">
        <v>60.761000000000003</v>
      </c>
      <c r="AR443">
        <v>90.527000000000001</v>
      </c>
      <c r="AS443">
        <v>84.671999999999997</v>
      </c>
    </row>
    <row r="444" spans="1:45" x14ac:dyDescent="0.25">
      <c r="A444">
        <v>41</v>
      </c>
      <c r="B444">
        <v>-11</v>
      </c>
      <c r="C444">
        <v>0</v>
      </c>
      <c r="D444">
        <v>2019</v>
      </c>
      <c r="E444">
        <v>13</v>
      </c>
      <c r="F444" t="str">
        <f>IFERROR(VLOOKUP(G444, Map!$A$1:$B$33, 2, FALSE),"WAS")</f>
        <v>DAL</v>
      </c>
      <c r="G444" t="s">
        <v>150</v>
      </c>
      <c r="H444" t="str">
        <f>IFERROR(VLOOKUP(I444, Map!$A$1:$B$33, 2, FALSE),"WAS")</f>
        <v>BUF</v>
      </c>
      <c r="I444" t="s">
        <v>165</v>
      </c>
      <c r="J444" t="s">
        <v>184</v>
      </c>
      <c r="K444" t="s">
        <v>180</v>
      </c>
      <c r="L444">
        <v>0</v>
      </c>
      <c r="M444">
        <v>0</v>
      </c>
      <c r="N444">
        <v>39.5</v>
      </c>
      <c r="O444">
        <v>-5.5</v>
      </c>
      <c r="P444">
        <v>-6.5</v>
      </c>
      <c r="Q444">
        <v>46.5</v>
      </c>
      <c r="R444">
        <v>8.9</v>
      </c>
      <c r="S444">
        <v>10.6</v>
      </c>
      <c r="T444">
        <v>6.9</v>
      </c>
      <c r="U444">
        <v>5.2</v>
      </c>
      <c r="V444">
        <v>10</v>
      </c>
      <c r="W444">
        <v>0</v>
      </c>
      <c r="X444">
        <v>10</v>
      </c>
      <c r="Y444">
        <v>10</v>
      </c>
      <c r="Z444">
        <v>21.3</v>
      </c>
      <c r="AA444">
        <v>51.5</v>
      </c>
      <c r="AB444">
        <v>59</v>
      </c>
      <c r="AC444">
        <v>69</v>
      </c>
      <c r="AD444">
        <v>30</v>
      </c>
      <c r="AE444">
        <v>14.7</v>
      </c>
      <c r="AF444">
        <v>78.525999999999996</v>
      </c>
      <c r="AG444">
        <v>58.936</v>
      </c>
      <c r="AH444">
        <v>21.303000000000001</v>
      </c>
      <c r="AI444">
        <v>14.83</v>
      </c>
      <c r="AJ444">
        <v>39.451999999999998</v>
      </c>
      <c r="AK444">
        <v>16.673999999999999</v>
      </c>
      <c r="AL444">
        <v>10.526999999999999</v>
      </c>
      <c r="AM444">
        <v>21.303000000000001</v>
      </c>
      <c r="AN444">
        <v>58.936</v>
      </c>
      <c r="AO444">
        <v>78.525999999999996</v>
      </c>
      <c r="AP444">
        <v>-10.526999999999999</v>
      </c>
      <c r="AQ444">
        <v>60.548000000000002</v>
      </c>
      <c r="AR444">
        <v>85.17</v>
      </c>
      <c r="AS444">
        <v>83.325999999999993</v>
      </c>
    </row>
    <row r="445" spans="1:45" x14ac:dyDescent="0.25">
      <c r="A445">
        <v>50</v>
      </c>
      <c r="B445">
        <v>6</v>
      </c>
      <c r="C445">
        <v>1</v>
      </c>
      <c r="D445">
        <v>2019</v>
      </c>
      <c r="E445">
        <v>13</v>
      </c>
      <c r="F445" t="str">
        <f>IFERROR(VLOOKUP(G445, Map!$A$1:$B$33, 2, FALSE),"WAS")</f>
        <v>HOU</v>
      </c>
      <c r="G445" t="s">
        <v>137</v>
      </c>
      <c r="H445" t="str">
        <f>IFERROR(VLOOKUP(I445, Map!$A$1:$B$33, 2, FALSE),"WAS")</f>
        <v>NE</v>
      </c>
      <c r="I445" t="s">
        <v>151</v>
      </c>
      <c r="J445" t="s">
        <v>209</v>
      </c>
      <c r="K445" t="s">
        <v>187</v>
      </c>
      <c r="L445">
        <v>1</v>
      </c>
      <c r="M445">
        <v>0</v>
      </c>
      <c r="N445">
        <v>42.9166666666667</v>
      </c>
      <c r="O445">
        <v>2.9583333333333299</v>
      </c>
      <c r="P445">
        <v>3</v>
      </c>
      <c r="Q445">
        <v>46.5</v>
      </c>
      <c r="R445">
        <v>11</v>
      </c>
      <c r="S445">
        <v>15.5</v>
      </c>
      <c r="T445">
        <v>6.2</v>
      </c>
      <c r="U445">
        <v>7.1</v>
      </c>
      <c r="V445">
        <v>0</v>
      </c>
      <c r="W445">
        <v>0</v>
      </c>
      <c r="X445">
        <v>0</v>
      </c>
      <c r="Y445">
        <v>0</v>
      </c>
      <c r="Z445">
        <v>18.600000000000001</v>
      </c>
      <c r="AA445">
        <v>34.6</v>
      </c>
      <c r="AB445">
        <v>329</v>
      </c>
      <c r="AC445">
        <v>48</v>
      </c>
      <c r="AD445">
        <v>23.1</v>
      </c>
      <c r="AE445">
        <v>13</v>
      </c>
      <c r="AF445">
        <v>45.668999999999997</v>
      </c>
      <c r="AG445">
        <v>85.373000000000005</v>
      </c>
      <c r="AH445">
        <v>53.963999999999999</v>
      </c>
      <c r="AI445">
        <v>66.756</v>
      </c>
      <c r="AJ445">
        <v>81.655000000000001</v>
      </c>
      <c r="AK445">
        <v>83.498999999999995</v>
      </c>
      <c r="AL445">
        <v>-1.383</v>
      </c>
      <c r="AM445">
        <v>53.963999999999999</v>
      </c>
      <c r="AN445">
        <v>85.373000000000005</v>
      </c>
      <c r="AO445">
        <v>45.668999999999997</v>
      </c>
      <c r="AP445">
        <v>1.383</v>
      </c>
      <c r="AQ445">
        <v>18.344999999999999</v>
      </c>
      <c r="AR445">
        <v>33.244</v>
      </c>
      <c r="AS445">
        <v>16.501000000000001</v>
      </c>
    </row>
    <row r="446" spans="1:45" x14ac:dyDescent="0.25">
      <c r="A446">
        <v>50</v>
      </c>
      <c r="B446">
        <v>-8</v>
      </c>
      <c r="C446">
        <v>0</v>
      </c>
      <c r="D446">
        <v>2019</v>
      </c>
      <c r="E446">
        <v>13</v>
      </c>
      <c r="F446" t="str">
        <f>IFERROR(VLOOKUP(G446, Map!$A$1:$B$33, 2, FALSE),"WAS")</f>
        <v>CAR</v>
      </c>
      <c r="G446" t="s">
        <v>142</v>
      </c>
      <c r="H446" t="str">
        <f>IFERROR(VLOOKUP(I446, Map!$A$1:$B$33, 2, FALSE),"WAS")</f>
        <v>WAS</v>
      </c>
      <c r="I446" t="s">
        <v>169</v>
      </c>
      <c r="J446" t="s">
        <v>185</v>
      </c>
      <c r="K446" t="s">
        <v>205</v>
      </c>
      <c r="L446">
        <v>0</v>
      </c>
      <c r="M446">
        <v>0</v>
      </c>
      <c r="N446">
        <v>35.625</v>
      </c>
      <c r="O446">
        <v>-9.3333333333333304</v>
      </c>
      <c r="P446">
        <v>-9.5</v>
      </c>
      <c r="Q446">
        <v>38.5</v>
      </c>
      <c r="R446">
        <v>13</v>
      </c>
      <c r="S446">
        <v>18.2</v>
      </c>
      <c r="T446">
        <v>10.1</v>
      </c>
      <c r="U446">
        <v>10.6</v>
      </c>
      <c r="V446">
        <v>13.4</v>
      </c>
      <c r="W446">
        <v>0</v>
      </c>
      <c r="X446">
        <v>14</v>
      </c>
      <c r="Y446">
        <v>13.4</v>
      </c>
      <c r="Z446">
        <v>30.6</v>
      </c>
      <c r="AA446">
        <v>56.5</v>
      </c>
      <c r="AB446">
        <v>204</v>
      </c>
      <c r="AC446">
        <v>86</v>
      </c>
      <c r="AD446">
        <v>34.1</v>
      </c>
      <c r="AE446">
        <v>17.399999999999999</v>
      </c>
      <c r="AF446">
        <v>80.486999999999995</v>
      </c>
      <c r="AG446">
        <v>8.3710000000000004</v>
      </c>
      <c r="AH446">
        <v>19.358000000000001</v>
      </c>
      <c r="AI446">
        <v>52.527999999999999</v>
      </c>
      <c r="AJ446">
        <v>16.437000000000001</v>
      </c>
      <c r="AK446">
        <v>26.169</v>
      </c>
      <c r="AL446">
        <v>11.442</v>
      </c>
      <c r="AM446">
        <v>19.358000000000001</v>
      </c>
      <c r="AN446">
        <v>8.3710000000000004</v>
      </c>
      <c r="AO446">
        <v>80.486999999999995</v>
      </c>
      <c r="AP446">
        <v>-11.442</v>
      </c>
      <c r="AQ446">
        <v>83.563000000000002</v>
      </c>
      <c r="AR446">
        <v>47.472000000000001</v>
      </c>
      <c r="AS446">
        <v>73.831000000000003</v>
      </c>
    </row>
    <row r="447" spans="1:45" x14ac:dyDescent="0.25">
      <c r="A447">
        <v>48</v>
      </c>
      <c r="B447">
        <v>-14</v>
      </c>
      <c r="C447">
        <v>0</v>
      </c>
      <c r="D447">
        <v>2019</v>
      </c>
      <c r="E447">
        <v>13</v>
      </c>
      <c r="F447" t="str">
        <f>IFERROR(VLOOKUP(G447, Map!$A$1:$B$33, 2, FALSE),"WAS")</f>
        <v>IND</v>
      </c>
      <c r="G447" t="s">
        <v>138</v>
      </c>
      <c r="H447" t="str">
        <f>IFERROR(VLOOKUP(I447, Map!$A$1:$B$33, 2, FALSE),"WAS")</f>
        <v>TEN</v>
      </c>
      <c r="I447" t="s">
        <v>140</v>
      </c>
      <c r="J447" t="s">
        <v>177</v>
      </c>
      <c r="K447" t="s">
        <v>174</v>
      </c>
      <c r="L447">
        <v>0</v>
      </c>
      <c r="M447">
        <v>0</v>
      </c>
      <c r="N447">
        <v>38.625</v>
      </c>
      <c r="O447">
        <v>0.33333333333333298</v>
      </c>
      <c r="P447">
        <v>1</v>
      </c>
      <c r="Q447">
        <v>41.5</v>
      </c>
      <c r="R447">
        <v>6.8</v>
      </c>
      <c r="S447">
        <v>12.3</v>
      </c>
      <c r="T447">
        <v>2.2999999999999998</v>
      </c>
      <c r="U447">
        <v>2.8</v>
      </c>
      <c r="V447">
        <v>7.3</v>
      </c>
      <c r="W447">
        <v>0</v>
      </c>
      <c r="X447">
        <v>13</v>
      </c>
      <c r="Y447">
        <v>7.3</v>
      </c>
      <c r="Z447">
        <v>26.9</v>
      </c>
      <c r="AA447">
        <v>50.8</v>
      </c>
      <c r="AB447">
        <v>226</v>
      </c>
      <c r="AC447">
        <v>84</v>
      </c>
      <c r="AD447">
        <v>36</v>
      </c>
      <c r="AE447">
        <v>18.3</v>
      </c>
      <c r="AF447">
        <v>60.435000000000002</v>
      </c>
      <c r="AG447">
        <v>69.945999999999998</v>
      </c>
      <c r="AH447">
        <v>39.25</v>
      </c>
      <c r="AI447">
        <v>75.671000000000006</v>
      </c>
      <c r="AJ447">
        <v>32.012</v>
      </c>
      <c r="AK447">
        <v>27.832999999999998</v>
      </c>
      <c r="AL447">
        <v>3.5670000000000002</v>
      </c>
      <c r="AM447">
        <v>39.25</v>
      </c>
      <c r="AN447">
        <v>69.945999999999998</v>
      </c>
      <c r="AO447">
        <v>60.435000000000002</v>
      </c>
      <c r="AP447">
        <v>-3.5670000000000002</v>
      </c>
      <c r="AQ447">
        <v>67.988</v>
      </c>
      <c r="AR447">
        <v>24.329000000000001</v>
      </c>
      <c r="AS447">
        <v>72.167000000000002</v>
      </c>
    </row>
    <row r="448" spans="1:45" x14ac:dyDescent="0.25">
      <c r="A448">
        <v>43</v>
      </c>
      <c r="B448">
        <v>3</v>
      </c>
      <c r="C448">
        <v>1</v>
      </c>
      <c r="D448">
        <v>2019</v>
      </c>
      <c r="E448">
        <v>13</v>
      </c>
      <c r="F448" t="str">
        <f>IFERROR(VLOOKUP(G448, Map!$A$1:$B$33, 2, FALSE),"WAS")</f>
        <v>DEN</v>
      </c>
      <c r="G448" t="s">
        <v>159</v>
      </c>
      <c r="H448" t="str">
        <f>IFERROR(VLOOKUP(I448, Map!$A$1:$B$33, 2, FALSE),"WAS")</f>
        <v>LAC</v>
      </c>
      <c r="I448" t="s">
        <v>160</v>
      </c>
      <c r="J448" t="s">
        <v>183</v>
      </c>
      <c r="K448" t="s">
        <v>210</v>
      </c>
      <c r="L448">
        <v>1</v>
      </c>
      <c r="M448">
        <v>0</v>
      </c>
      <c r="N448">
        <v>35.1666666666667</v>
      </c>
      <c r="O448">
        <v>3.5416666666666701</v>
      </c>
      <c r="P448">
        <v>1</v>
      </c>
      <c r="Q448">
        <v>37.5</v>
      </c>
      <c r="R448">
        <v>-9.3000000000000007</v>
      </c>
      <c r="S448">
        <v>-1.5</v>
      </c>
      <c r="T448">
        <v>-16.3</v>
      </c>
      <c r="U448">
        <v>-14</v>
      </c>
      <c r="V448">
        <v>0</v>
      </c>
      <c r="W448">
        <v>0</v>
      </c>
      <c r="X448">
        <v>0</v>
      </c>
      <c r="Y448">
        <v>0</v>
      </c>
      <c r="Z448">
        <v>13.6</v>
      </c>
      <c r="AA448">
        <v>20.5</v>
      </c>
      <c r="AB448">
        <v>179</v>
      </c>
      <c r="AC448">
        <v>69</v>
      </c>
      <c r="AD448">
        <v>14</v>
      </c>
      <c r="AE448">
        <v>8.6</v>
      </c>
      <c r="AF448">
        <v>44.258000000000003</v>
      </c>
      <c r="AG448">
        <v>37.646000000000001</v>
      </c>
      <c r="AH448">
        <v>55.386000000000003</v>
      </c>
      <c r="AI448">
        <v>61.033000000000001</v>
      </c>
      <c r="AJ448">
        <v>25.023</v>
      </c>
      <c r="AK448">
        <v>62.488999999999997</v>
      </c>
      <c r="AL448">
        <v>-1.857</v>
      </c>
      <c r="AM448">
        <v>55.386000000000003</v>
      </c>
      <c r="AN448">
        <v>37.646000000000001</v>
      </c>
      <c r="AO448">
        <v>44.258000000000003</v>
      </c>
      <c r="AP448">
        <v>1.857</v>
      </c>
      <c r="AQ448">
        <v>74.977000000000004</v>
      </c>
      <c r="AR448">
        <v>38.966999999999999</v>
      </c>
      <c r="AS448">
        <v>37.511000000000003</v>
      </c>
    </row>
    <row r="449" spans="1:45" x14ac:dyDescent="0.25">
      <c r="A449">
        <v>28</v>
      </c>
      <c r="B449">
        <v>16</v>
      </c>
      <c r="C449">
        <v>1</v>
      </c>
      <c r="D449">
        <v>2019</v>
      </c>
      <c r="E449">
        <v>13</v>
      </c>
      <c r="F449" t="str">
        <f>IFERROR(VLOOKUP(G449, Map!$A$1:$B$33, 2, FALSE),"WAS")</f>
        <v>CIN</v>
      </c>
      <c r="G449" t="s">
        <v>161</v>
      </c>
      <c r="H449" t="str">
        <f>IFERROR(VLOOKUP(I449, Map!$A$1:$B$33, 2, FALSE),"WAS")</f>
        <v>NYJ</v>
      </c>
      <c r="I449" t="s">
        <v>166</v>
      </c>
      <c r="J449" t="s">
        <v>176</v>
      </c>
      <c r="K449" t="s">
        <v>172</v>
      </c>
      <c r="L449">
        <v>1</v>
      </c>
      <c r="M449">
        <v>0</v>
      </c>
      <c r="N449">
        <v>39</v>
      </c>
      <c r="O449">
        <v>2.5416666666666701</v>
      </c>
      <c r="P449">
        <v>2.5</v>
      </c>
      <c r="Q449">
        <v>41.5</v>
      </c>
      <c r="R449">
        <v>9.1</v>
      </c>
      <c r="S449">
        <v>13.6</v>
      </c>
      <c r="T449">
        <v>4.5999999999999996</v>
      </c>
      <c r="U449">
        <v>5.4</v>
      </c>
      <c r="V449">
        <v>4.5999999999999996</v>
      </c>
      <c r="W449">
        <v>0</v>
      </c>
      <c r="X449">
        <v>12</v>
      </c>
      <c r="Y449">
        <v>4.5999999999999996</v>
      </c>
      <c r="Z449">
        <v>28.5</v>
      </c>
      <c r="AA449">
        <v>64.400000000000006</v>
      </c>
      <c r="AB449">
        <v>220</v>
      </c>
      <c r="AC449">
        <v>81</v>
      </c>
      <c r="AD449">
        <v>41.8</v>
      </c>
      <c r="AE449">
        <v>19.3</v>
      </c>
      <c r="AF449">
        <v>47.103000000000002</v>
      </c>
      <c r="AG449">
        <v>6.5350000000000001</v>
      </c>
      <c r="AH449">
        <v>52.518999999999998</v>
      </c>
      <c r="AI449">
        <v>86.373000000000005</v>
      </c>
      <c r="AJ449">
        <v>75.716999999999999</v>
      </c>
      <c r="AK449">
        <v>86.994</v>
      </c>
      <c r="AL449">
        <v>-0.90200000000000002</v>
      </c>
      <c r="AM449">
        <v>52.518999999999998</v>
      </c>
      <c r="AN449">
        <v>6.5350000000000001</v>
      </c>
      <c r="AO449">
        <v>47.103000000000002</v>
      </c>
      <c r="AP449">
        <v>0.90200000000000002</v>
      </c>
      <c r="AQ449">
        <v>24.283000000000001</v>
      </c>
      <c r="AR449">
        <v>13.627000000000001</v>
      </c>
      <c r="AS449">
        <v>13.006</v>
      </c>
    </row>
    <row r="450" spans="1:45" x14ac:dyDescent="0.25">
      <c r="A450">
        <v>35</v>
      </c>
      <c r="B450">
        <v>5</v>
      </c>
      <c r="C450">
        <v>1</v>
      </c>
      <c r="D450">
        <v>2019</v>
      </c>
      <c r="E450">
        <v>14</v>
      </c>
      <c r="F450" t="str">
        <f>IFERROR(VLOOKUP(G450, Map!$A$1:$B$33, 2, FALSE),"WAS")</f>
        <v>GB</v>
      </c>
      <c r="G450" t="s">
        <v>154</v>
      </c>
      <c r="H450" t="str">
        <f>IFERROR(VLOOKUP(I450, Map!$A$1:$B$33, 2, FALSE),"WAS")</f>
        <v>WAS</v>
      </c>
      <c r="I450" t="s">
        <v>169</v>
      </c>
      <c r="J450" t="s">
        <v>200</v>
      </c>
      <c r="K450" t="s">
        <v>205</v>
      </c>
      <c r="L450">
        <v>1</v>
      </c>
      <c r="M450">
        <v>0</v>
      </c>
      <c r="N450">
        <v>34.9166666666667</v>
      </c>
      <c r="O450">
        <v>-11.9166666666667</v>
      </c>
      <c r="P450">
        <v>-12.5</v>
      </c>
      <c r="Q450">
        <v>0</v>
      </c>
      <c r="R450">
        <v>1.9</v>
      </c>
      <c r="S450">
        <v>4.7</v>
      </c>
      <c r="T450">
        <v>-1.3</v>
      </c>
      <c r="U450">
        <v>-3.4</v>
      </c>
      <c r="V450">
        <v>0</v>
      </c>
      <c r="W450">
        <v>0</v>
      </c>
      <c r="X450">
        <v>0</v>
      </c>
      <c r="Y450">
        <v>0</v>
      </c>
      <c r="Z450">
        <v>27.4</v>
      </c>
      <c r="AA450">
        <v>52.2</v>
      </c>
      <c r="AB450">
        <v>212</v>
      </c>
      <c r="AC450">
        <v>74</v>
      </c>
      <c r="AD450">
        <v>38.200000000000003</v>
      </c>
      <c r="AE450">
        <v>19.600000000000001</v>
      </c>
      <c r="AF450">
        <v>90.372</v>
      </c>
      <c r="AG450">
        <v>45.862000000000002</v>
      </c>
      <c r="AH450">
        <v>9.5510000000000002</v>
      </c>
      <c r="AI450">
        <v>67.927999999999997</v>
      </c>
      <c r="AJ450">
        <v>70.215999999999994</v>
      </c>
      <c r="AK450">
        <v>77.956000000000003</v>
      </c>
      <c r="AL450">
        <v>17.292000000000002</v>
      </c>
      <c r="AM450">
        <v>9.5510000000000002</v>
      </c>
      <c r="AN450">
        <v>45.862000000000002</v>
      </c>
      <c r="AO450">
        <v>90.372</v>
      </c>
      <c r="AP450">
        <v>-17.292000000000002</v>
      </c>
      <c r="AQ450">
        <v>29.783999999999999</v>
      </c>
      <c r="AR450">
        <v>32.072000000000003</v>
      </c>
      <c r="AS450">
        <v>22.044</v>
      </c>
    </row>
    <row r="451" spans="1:45" x14ac:dyDescent="0.25">
      <c r="A451">
        <v>55</v>
      </c>
      <c r="B451">
        <v>-35</v>
      </c>
      <c r="C451">
        <v>0</v>
      </c>
      <c r="D451">
        <v>2019</v>
      </c>
      <c r="E451">
        <v>14</v>
      </c>
      <c r="F451" t="str">
        <f>IFERROR(VLOOKUP(G451, Map!$A$1:$B$33, 2, FALSE),"WAS")</f>
        <v>JAX</v>
      </c>
      <c r="G451" t="s">
        <v>139</v>
      </c>
      <c r="H451" t="str">
        <f>IFERROR(VLOOKUP(I451, Map!$A$1:$B$33, 2, FALSE),"WAS")</f>
        <v>LAC</v>
      </c>
      <c r="I451" t="s">
        <v>160</v>
      </c>
      <c r="J451" t="s">
        <v>220</v>
      </c>
      <c r="K451" t="s">
        <v>210</v>
      </c>
      <c r="L451">
        <v>0</v>
      </c>
      <c r="M451">
        <v>0</v>
      </c>
      <c r="N451">
        <v>35.0416666666667</v>
      </c>
      <c r="O451">
        <v>3.0416666666666701</v>
      </c>
      <c r="P451">
        <v>3</v>
      </c>
      <c r="Q451">
        <v>0</v>
      </c>
      <c r="R451">
        <v>16.8</v>
      </c>
      <c r="S451">
        <v>20.9</v>
      </c>
      <c r="T451">
        <v>14.5</v>
      </c>
      <c r="U451">
        <v>15.7</v>
      </c>
      <c r="V451">
        <v>0.3</v>
      </c>
      <c r="W451">
        <v>0</v>
      </c>
      <c r="X451">
        <v>3</v>
      </c>
      <c r="Y451">
        <v>0.3</v>
      </c>
      <c r="Z451">
        <v>25.8</v>
      </c>
      <c r="AA451">
        <v>45</v>
      </c>
      <c r="AB451">
        <v>43</v>
      </c>
      <c r="AC451">
        <v>84</v>
      </c>
      <c r="AD451">
        <v>29.8</v>
      </c>
      <c r="AE451">
        <v>17</v>
      </c>
      <c r="AF451">
        <v>45.911000000000001</v>
      </c>
      <c r="AG451">
        <v>29.497</v>
      </c>
      <c r="AH451">
        <v>53.72</v>
      </c>
      <c r="AI451">
        <v>0.434</v>
      </c>
      <c r="AJ451">
        <v>25.628</v>
      </c>
      <c r="AK451">
        <v>2.1659999999999999</v>
      </c>
      <c r="AL451">
        <v>-1.2989999999999999</v>
      </c>
      <c r="AM451">
        <v>53.72</v>
      </c>
      <c r="AN451">
        <v>29.497</v>
      </c>
      <c r="AO451">
        <v>45.911000000000001</v>
      </c>
      <c r="AP451">
        <v>1.2989999999999999</v>
      </c>
      <c r="AQ451">
        <v>74.372</v>
      </c>
      <c r="AR451">
        <v>99.566000000000003</v>
      </c>
      <c r="AS451">
        <v>97.834000000000003</v>
      </c>
    </row>
    <row r="452" spans="1:45" x14ac:dyDescent="0.25">
      <c r="A452">
        <v>40</v>
      </c>
      <c r="B452">
        <v>6</v>
      </c>
      <c r="C452">
        <v>1</v>
      </c>
      <c r="D452">
        <v>2019</v>
      </c>
      <c r="E452">
        <v>14</v>
      </c>
      <c r="F452" t="str">
        <f>IFERROR(VLOOKUP(G452, Map!$A$1:$B$33, 2, FALSE),"WAS")</f>
        <v>PHI</v>
      </c>
      <c r="G452" t="s">
        <v>147</v>
      </c>
      <c r="H452" t="str">
        <f>IFERROR(VLOOKUP(I452, Map!$A$1:$B$33, 2, FALSE),"WAS")</f>
        <v>NYG</v>
      </c>
      <c r="I452" t="s">
        <v>149</v>
      </c>
      <c r="J452" t="s">
        <v>206</v>
      </c>
      <c r="K452" t="s">
        <v>219</v>
      </c>
      <c r="L452">
        <v>1</v>
      </c>
      <c r="M452">
        <v>0</v>
      </c>
      <c r="N452">
        <v>37.75</v>
      </c>
      <c r="O452">
        <v>-8.4583333333333304</v>
      </c>
      <c r="P452">
        <v>-8.5</v>
      </c>
      <c r="Q452">
        <v>0</v>
      </c>
      <c r="R452">
        <v>11.9</v>
      </c>
      <c r="S452">
        <v>13.1</v>
      </c>
      <c r="T452">
        <v>9.4</v>
      </c>
      <c r="U452">
        <v>9.1</v>
      </c>
      <c r="V452">
        <v>12.8</v>
      </c>
      <c r="W452">
        <v>0</v>
      </c>
      <c r="X452">
        <v>17</v>
      </c>
      <c r="Y452">
        <v>12.8</v>
      </c>
      <c r="Z452">
        <v>27.2</v>
      </c>
      <c r="AA452">
        <v>72.400000000000006</v>
      </c>
      <c r="AB452">
        <v>226</v>
      </c>
      <c r="AC452">
        <v>92</v>
      </c>
      <c r="AD452">
        <v>41</v>
      </c>
      <c r="AE452">
        <v>20.8</v>
      </c>
      <c r="AF452">
        <v>82.037000000000006</v>
      </c>
      <c r="AG452">
        <v>40.359000000000002</v>
      </c>
      <c r="AH452">
        <v>17.82</v>
      </c>
      <c r="AI452">
        <v>58.302</v>
      </c>
      <c r="AJ452">
        <v>48.673000000000002</v>
      </c>
      <c r="AK452">
        <v>51.244999999999997</v>
      </c>
      <c r="AL452">
        <v>12.180999999999999</v>
      </c>
      <c r="AM452">
        <v>17.82</v>
      </c>
      <c r="AN452">
        <v>40.359000000000002</v>
      </c>
      <c r="AO452">
        <v>82.037000000000006</v>
      </c>
      <c r="AP452">
        <v>-12.180999999999999</v>
      </c>
      <c r="AQ452">
        <v>51.326999999999998</v>
      </c>
      <c r="AR452">
        <v>41.698</v>
      </c>
      <c r="AS452">
        <v>48.755000000000003</v>
      </c>
    </row>
    <row r="453" spans="1:45" x14ac:dyDescent="0.25">
      <c r="A453">
        <v>43</v>
      </c>
      <c r="B453">
        <v>1</v>
      </c>
      <c r="C453">
        <v>1</v>
      </c>
      <c r="D453">
        <v>2019</v>
      </c>
      <c r="E453">
        <v>14</v>
      </c>
      <c r="F453" t="str">
        <f>IFERROR(VLOOKUP(G453, Map!$A$1:$B$33, 2, FALSE),"WAS")</f>
        <v>NYJ</v>
      </c>
      <c r="G453" t="s">
        <v>166</v>
      </c>
      <c r="H453" t="str">
        <f>IFERROR(VLOOKUP(I453, Map!$A$1:$B$33, 2, FALSE),"WAS")</f>
        <v>MIA</v>
      </c>
      <c r="I453" t="s">
        <v>152</v>
      </c>
      <c r="J453" t="s">
        <v>172</v>
      </c>
      <c r="K453" t="s">
        <v>175</v>
      </c>
      <c r="L453">
        <v>1</v>
      </c>
      <c r="M453">
        <v>0</v>
      </c>
      <c r="N453">
        <v>39</v>
      </c>
      <c r="O453">
        <v>-4.625</v>
      </c>
      <c r="P453">
        <v>-5</v>
      </c>
      <c r="Q453">
        <v>0</v>
      </c>
      <c r="R453">
        <v>-1.4</v>
      </c>
      <c r="S453">
        <v>4.5999999999999996</v>
      </c>
      <c r="T453">
        <v>-5.9</v>
      </c>
      <c r="U453">
        <v>-5.5</v>
      </c>
      <c r="V453">
        <v>0</v>
      </c>
      <c r="W453">
        <v>0</v>
      </c>
      <c r="X453">
        <v>0</v>
      </c>
      <c r="Y453">
        <v>0</v>
      </c>
      <c r="Z453">
        <v>15.5</v>
      </c>
      <c r="AA453">
        <v>34.200000000000003</v>
      </c>
      <c r="AB453">
        <v>196</v>
      </c>
      <c r="AC453">
        <v>70</v>
      </c>
      <c r="AD453">
        <v>16.899999999999999</v>
      </c>
      <c r="AE453">
        <v>7.8</v>
      </c>
      <c r="AF453">
        <v>71.713999999999999</v>
      </c>
      <c r="AG453">
        <v>11.244999999999999</v>
      </c>
      <c r="AH453">
        <v>28.06</v>
      </c>
      <c r="AI453">
        <v>50.95</v>
      </c>
      <c r="AJ453">
        <v>53.136000000000003</v>
      </c>
      <c r="AK453">
        <v>53.563000000000002</v>
      </c>
      <c r="AL453">
        <v>7.6529999999999996</v>
      </c>
      <c r="AM453">
        <v>28.06</v>
      </c>
      <c r="AN453">
        <v>11.244999999999999</v>
      </c>
      <c r="AO453">
        <v>71.713999999999999</v>
      </c>
      <c r="AP453">
        <v>-7.6529999999999996</v>
      </c>
      <c r="AQ453">
        <v>46.863999999999997</v>
      </c>
      <c r="AR453">
        <v>49.05</v>
      </c>
      <c r="AS453">
        <v>46.436999999999998</v>
      </c>
    </row>
    <row r="454" spans="1:45" x14ac:dyDescent="0.25">
      <c r="A454">
        <v>55</v>
      </c>
      <c r="B454">
        <v>7</v>
      </c>
      <c r="C454">
        <v>1</v>
      </c>
      <c r="D454">
        <v>2019</v>
      </c>
      <c r="E454">
        <v>14</v>
      </c>
      <c r="F454" t="str">
        <f>IFERROR(VLOOKUP(G454, Map!$A$1:$B$33, 2, FALSE),"WAS")</f>
        <v>CHI</v>
      </c>
      <c r="G454" t="s">
        <v>163</v>
      </c>
      <c r="H454" t="str">
        <f>IFERROR(VLOOKUP(I454, Map!$A$1:$B$33, 2, FALSE),"WAS")</f>
        <v>DAL</v>
      </c>
      <c r="I454" t="s">
        <v>150</v>
      </c>
      <c r="J454" t="s">
        <v>216</v>
      </c>
      <c r="K454" t="s">
        <v>184</v>
      </c>
      <c r="L454">
        <v>1</v>
      </c>
      <c r="M454">
        <v>0</v>
      </c>
      <c r="N454">
        <v>39.4583333333333</v>
      </c>
      <c r="O454">
        <v>2.75</v>
      </c>
      <c r="P454">
        <v>3</v>
      </c>
      <c r="Q454">
        <v>42.5</v>
      </c>
      <c r="R454">
        <v>2.8</v>
      </c>
      <c r="S454">
        <v>5.0999999999999996</v>
      </c>
      <c r="T454">
        <v>0.2</v>
      </c>
      <c r="U454">
        <v>-2.5</v>
      </c>
      <c r="V454">
        <v>0</v>
      </c>
      <c r="W454">
        <v>0</v>
      </c>
      <c r="X454">
        <v>0</v>
      </c>
      <c r="Y454">
        <v>0</v>
      </c>
      <c r="Z454">
        <v>29.9</v>
      </c>
      <c r="AA454">
        <v>45.7</v>
      </c>
      <c r="AB454">
        <v>333</v>
      </c>
      <c r="AC454">
        <v>78</v>
      </c>
      <c r="AD454">
        <v>32.5</v>
      </c>
      <c r="AE454">
        <v>21.3</v>
      </c>
      <c r="AF454">
        <v>42.212000000000003</v>
      </c>
      <c r="AG454">
        <v>71.876999999999995</v>
      </c>
      <c r="AH454">
        <v>57.448999999999998</v>
      </c>
      <c r="AI454">
        <v>40.396000000000001</v>
      </c>
      <c r="AJ454">
        <v>83.43</v>
      </c>
      <c r="AK454">
        <v>83.605000000000004</v>
      </c>
      <c r="AL454">
        <v>-2.5449999999999999</v>
      </c>
      <c r="AM454">
        <v>57.448999999999998</v>
      </c>
      <c r="AN454">
        <v>71.876999999999995</v>
      </c>
      <c r="AO454">
        <v>42.212000000000003</v>
      </c>
      <c r="AP454">
        <v>2.5449999999999999</v>
      </c>
      <c r="AQ454">
        <v>16.57</v>
      </c>
      <c r="AR454">
        <v>59.603999999999999</v>
      </c>
      <c r="AS454">
        <v>16.395</v>
      </c>
    </row>
    <row r="455" spans="1:45" x14ac:dyDescent="0.25">
      <c r="A455">
        <v>63</v>
      </c>
      <c r="B455">
        <v>-21</v>
      </c>
      <c r="C455">
        <v>0</v>
      </c>
      <c r="D455">
        <v>2019</v>
      </c>
      <c r="E455">
        <v>14</v>
      </c>
      <c r="F455" t="str">
        <f>IFERROR(VLOOKUP(G455, Map!$A$1:$B$33, 2, FALSE),"WAS")</f>
        <v>LV</v>
      </c>
      <c r="G455" t="s">
        <v>157</v>
      </c>
      <c r="H455" t="str">
        <f>IFERROR(VLOOKUP(I455, Map!$A$1:$B$33, 2, FALSE),"WAS")</f>
        <v>TEN</v>
      </c>
      <c r="I455" t="s">
        <v>140</v>
      </c>
      <c r="J455" t="s">
        <v>179</v>
      </c>
      <c r="K455" t="s">
        <v>174</v>
      </c>
      <c r="L455">
        <v>0</v>
      </c>
      <c r="M455">
        <v>0</v>
      </c>
      <c r="N455">
        <v>39.2083333333333</v>
      </c>
      <c r="O455">
        <v>2.4583333333333299</v>
      </c>
      <c r="P455">
        <v>2.5</v>
      </c>
      <c r="Q455">
        <v>0</v>
      </c>
      <c r="R455">
        <v>12.9</v>
      </c>
      <c r="S455">
        <v>14.1</v>
      </c>
      <c r="T455">
        <v>11.8</v>
      </c>
      <c r="U455">
        <v>11</v>
      </c>
      <c r="V455">
        <v>8.6999999999999993</v>
      </c>
      <c r="W455">
        <v>0</v>
      </c>
      <c r="X455">
        <v>17</v>
      </c>
      <c r="Y455">
        <v>8.6999999999999993</v>
      </c>
      <c r="Z455">
        <v>34.700000000000003</v>
      </c>
      <c r="AA455">
        <v>62.3</v>
      </c>
      <c r="AB455">
        <v>218</v>
      </c>
      <c r="AC455">
        <v>90</v>
      </c>
      <c r="AD455">
        <v>29.3</v>
      </c>
      <c r="AE455">
        <v>15.9</v>
      </c>
      <c r="AF455">
        <v>46.164000000000001</v>
      </c>
      <c r="AG455">
        <v>54.267000000000003</v>
      </c>
      <c r="AH455">
        <v>53.465000000000003</v>
      </c>
      <c r="AI455">
        <v>1.169</v>
      </c>
      <c r="AJ455">
        <v>63.048999999999999</v>
      </c>
      <c r="AK455">
        <v>14.853999999999999</v>
      </c>
      <c r="AL455">
        <v>-1.214</v>
      </c>
      <c r="AM455">
        <v>53.465000000000003</v>
      </c>
      <c r="AN455">
        <v>54.267000000000003</v>
      </c>
      <c r="AO455">
        <v>46.164000000000001</v>
      </c>
      <c r="AP455">
        <v>1.214</v>
      </c>
      <c r="AQ455">
        <v>36.951000000000001</v>
      </c>
      <c r="AR455">
        <v>98.831000000000003</v>
      </c>
      <c r="AS455">
        <v>85.146000000000001</v>
      </c>
    </row>
    <row r="456" spans="1:45" x14ac:dyDescent="0.25">
      <c r="A456">
        <v>94</v>
      </c>
      <c r="B456">
        <v>-2</v>
      </c>
      <c r="C456">
        <v>0</v>
      </c>
      <c r="D456">
        <v>2019</v>
      </c>
      <c r="E456">
        <v>14</v>
      </c>
      <c r="F456" t="str">
        <f>IFERROR(VLOOKUP(G456, Map!$A$1:$B$33, 2, FALSE),"WAS")</f>
        <v>NO</v>
      </c>
      <c r="G456" t="s">
        <v>168</v>
      </c>
      <c r="H456" t="str">
        <f>IFERROR(VLOOKUP(I456, Map!$A$1:$B$33, 2, FALSE),"WAS")</f>
        <v>SF</v>
      </c>
      <c r="I456" t="s">
        <v>143</v>
      </c>
      <c r="J456" t="s">
        <v>192</v>
      </c>
      <c r="K456" t="s">
        <v>197</v>
      </c>
      <c r="L456">
        <v>0</v>
      </c>
      <c r="M456">
        <v>0</v>
      </c>
      <c r="N456">
        <v>41.0833333333333</v>
      </c>
      <c r="O456">
        <v>-1.375</v>
      </c>
      <c r="P456">
        <v>-1</v>
      </c>
      <c r="Q456">
        <v>44.5</v>
      </c>
      <c r="R456">
        <v>14.7</v>
      </c>
      <c r="S456">
        <v>17.899999999999999</v>
      </c>
      <c r="T456">
        <v>11.6</v>
      </c>
      <c r="U456">
        <v>14.2</v>
      </c>
      <c r="V456">
        <v>0</v>
      </c>
      <c r="W456">
        <v>0</v>
      </c>
      <c r="X456">
        <v>0</v>
      </c>
      <c r="Y456">
        <v>0</v>
      </c>
      <c r="Z456">
        <v>13.4</v>
      </c>
      <c r="AA456">
        <v>23.8</v>
      </c>
      <c r="AB456">
        <v>24</v>
      </c>
      <c r="AC456">
        <v>83</v>
      </c>
      <c r="AD456">
        <v>16.2</v>
      </c>
      <c r="AE456">
        <v>7.4</v>
      </c>
      <c r="AF456">
        <v>53.616999999999997</v>
      </c>
      <c r="AG456">
        <v>88.197999999999993</v>
      </c>
      <c r="AH456">
        <v>46.014000000000003</v>
      </c>
      <c r="AI456">
        <v>8.577</v>
      </c>
      <c r="AJ456">
        <v>84.506</v>
      </c>
      <c r="AK456">
        <v>49.347999999999999</v>
      </c>
      <c r="AL456">
        <v>1.264</v>
      </c>
      <c r="AM456">
        <v>46.014000000000003</v>
      </c>
      <c r="AN456">
        <v>88.197999999999993</v>
      </c>
      <c r="AO456">
        <v>53.616999999999997</v>
      </c>
      <c r="AP456">
        <v>-1.264</v>
      </c>
      <c r="AQ456">
        <v>15.494</v>
      </c>
      <c r="AR456">
        <v>91.423000000000002</v>
      </c>
      <c r="AS456">
        <v>50.652000000000001</v>
      </c>
    </row>
    <row r="457" spans="1:45" x14ac:dyDescent="0.25">
      <c r="A457">
        <v>41</v>
      </c>
      <c r="B457">
        <v>-7</v>
      </c>
      <c r="C457">
        <v>0</v>
      </c>
      <c r="D457">
        <v>2019</v>
      </c>
      <c r="E457">
        <v>14</v>
      </c>
      <c r="F457" t="str">
        <f>IFERROR(VLOOKUP(G457, Map!$A$1:$B$33, 2, FALSE),"WAS")</f>
        <v>BUF</v>
      </c>
      <c r="G457" t="s">
        <v>165</v>
      </c>
      <c r="H457" t="str">
        <f>IFERROR(VLOOKUP(I457, Map!$A$1:$B$33, 2, FALSE),"WAS")</f>
        <v>BAL</v>
      </c>
      <c r="I457" t="s">
        <v>146</v>
      </c>
      <c r="J457" t="s">
        <v>180</v>
      </c>
      <c r="K457" t="s">
        <v>181</v>
      </c>
      <c r="L457">
        <v>0</v>
      </c>
      <c r="M457">
        <v>0</v>
      </c>
      <c r="N457">
        <v>36.75</v>
      </c>
      <c r="O457">
        <v>5.7083333333333304</v>
      </c>
      <c r="P457">
        <v>6</v>
      </c>
      <c r="Q457">
        <v>0</v>
      </c>
      <c r="R457">
        <v>5.2</v>
      </c>
      <c r="S457">
        <v>10.8</v>
      </c>
      <c r="T457">
        <v>-0.3</v>
      </c>
      <c r="U457">
        <v>1.5</v>
      </c>
      <c r="V457">
        <v>0</v>
      </c>
      <c r="W457">
        <v>0</v>
      </c>
      <c r="X457">
        <v>0</v>
      </c>
      <c r="Y457">
        <v>0</v>
      </c>
      <c r="Z457">
        <v>12.7</v>
      </c>
      <c r="AA457">
        <v>25.6</v>
      </c>
      <c r="AB457">
        <v>72</v>
      </c>
      <c r="AC457">
        <v>65</v>
      </c>
      <c r="AD457">
        <v>19.3</v>
      </c>
      <c r="AE457">
        <v>9.6999999999999993</v>
      </c>
      <c r="AF457">
        <v>28.027000000000001</v>
      </c>
      <c r="AG457">
        <v>80.123000000000005</v>
      </c>
      <c r="AH457">
        <v>71.748000000000005</v>
      </c>
      <c r="AI457">
        <v>58.984000000000002</v>
      </c>
      <c r="AJ457">
        <v>6.8550000000000004</v>
      </c>
      <c r="AK457">
        <v>21.896999999999998</v>
      </c>
      <c r="AL457">
        <v>-7.6660000000000004</v>
      </c>
      <c r="AM457">
        <v>71.748000000000005</v>
      </c>
      <c r="AN457">
        <v>80.123000000000005</v>
      </c>
      <c r="AO457">
        <v>28.027000000000001</v>
      </c>
      <c r="AP457">
        <v>7.6660000000000004</v>
      </c>
      <c r="AQ457">
        <v>93.144999999999996</v>
      </c>
      <c r="AR457">
        <v>41.015999999999998</v>
      </c>
      <c r="AS457">
        <v>78.102999999999994</v>
      </c>
    </row>
    <row r="458" spans="1:45" x14ac:dyDescent="0.25">
      <c r="A458">
        <v>39</v>
      </c>
      <c r="B458">
        <v>-7</v>
      </c>
      <c r="C458">
        <v>0</v>
      </c>
      <c r="D458">
        <v>2019</v>
      </c>
      <c r="E458">
        <v>14</v>
      </c>
      <c r="F458" t="str">
        <f>IFERROR(VLOOKUP(G458, Map!$A$1:$B$33, 2, FALSE),"WAS")</f>
        <v>NE</v>
      </c>
      <c r="G458" t="s">
        <v>151</v>
      </c>
      <c r="H458" t="str">
        <f>IFERROR(VLOOKUP(I458, Map!$A$1:$B$33, 2, FALSE),"WAS")</f>
        <v>KC</v>
      </c>
      <c r="I458" t="s">
        <v>158</v>
      </c>
      <c r="J458" t="s">
        <v>187</v>
      </c>
      <c r="K458" t="s">
        <v>202</v>
      </c>
      <c r="L458">
        <v>0</v>
      </c>
      <c r="M458">
        <v>0</v>
      </c>
      <c r="N458">
        <v>40.6666666666667</v>
      </c>
      <c r="O458">
        <v>-2.7916666666666701</v>
      </c>
      <c r="P458">
        <v>-3</v>
      </c>
      <c r="Q458">
        <v>0</v>
      </c>
      <c r="R458">
        <v>-6.4</v>
      </c>
      <c r="S458">
        <v>1.1000000000000001</v>
      </c>
      <c r="T458">
        <v>-13.9</v>
      </c>
      <c r="U458">
        <v>-11.1</v>
      </c>
      <c r="V458">
        <v>0</v>
      </c>
      <c r="W458">
        <v>0</v>
      </c>
      <c r="X458">
        <v>0</v>
      </c>
      <c r="Y458">
        <v>0</v>
      </c>
      <c r="Z458">
        <v>14.3</v>
      </c>
      <c r="AA458">
        <v>35.299999999999997</v>
      </c>
      <c r="AB458">
        <v>250</v>
      </c>
      <c r="AC458">
        <v>74</v>
      </c>
      <c r="AD458">
        <v>20.399999999999999</v>
      </c>
      <c r="AE458">
        <v>9.5</v>
      </c>
      <c r="AF458">
        <v>59.637</v>
      </c>
      <c r="AG458">
        <v>99.305000000000007</v>
      </c>
      <c r="AH458">
        <v>40.042000000000002</v>
      </c>
      <c r="AI458">
        <v>50.002000000000002</v>
      </c>
      <c r="AJ458">
        <v>23.298999999999999</v>
      </c>
      <c r="AK458">
        <v>24.997</v>
      </c>
      <c r="AL458">
        <v>3.2869999999999999</v>
      </c>
      <c r="AM458">
        <v>40.042000000000002</v>
      </c>
      <c r="AN458">
        <v>99.305000000000007</v>
      </c>
      <c r="AO458">
        <v>59.637</v>
      </c>
      <c r="AP458">
        <v>-3.2869999999999999</v>
      </c>
      <c r="AQ458">
        <v>76.700999999999993</v>
      </c>
      <c r="AR458">
        <v>49.997999999999998</v>
      </c>
      <c r="AS458">
        <v>75.003</v>
      </c>
    </row>
    <row r="459" spans="1:45" x14ac:dyDescent="0.25">
      <c r="A459">
        <v>46</v>
      </c>
      <c r="B459">
        <v>8</v>
      </c>
      <c r="C459">
        <v>1</v>
      </c>
      <c r="D459">
        <v>2019</v>
      </c>
      <c r="E459">
        <v>14</v>
      </c>
      <c r="F459" t="str">
        <f>IFERROR(VLOOKUP(G459, Map!$A$1:$B$33, 2, FALSE),"WAS")</f>
        <v>CLE</v>
      </c>
      <c r="G459" t="s">
        <v>162</v>
      </c>
      <c r="H459" t="str">
        <f>IFERROR(VLOOKUP(I459, Map!$A$1:$B$33, 2, FALSE),"WAS")</f>
        <v>CIN</v>
      </c>
      <c r="I459" t="s">
        <v>161</v>
      </c>
      <c r="J459" t="s">
        <v>171</v>
      </c>
      <c r="K459" t="s">
        <v>176</v>
      </c>
      <c r="L459">
        <v>1</v>
      </c>
      <c r="M459">
        <v>0</v>
      </c>
      <c r="N459">
        <v>39.5833333333333</v>
      </c>
      <c r="O459">
        <v>-6.0416666666666696</v>
      </c>
      <c r="P459">
        <v>-6.5</v>
      </c>
      <c r="Q459">
        <v>42.5</v>
      </c>
      <c r="R459">
        <v>3.2</v>
      </c>
      <c r="S459">
        <v>10</v>
      </c>
      <c r="T459">
        <v>-0.7</v>
      </c>
      <c r="U459">
        <v>-2.4</v>
      </c>
      <c r="V459">
        <v>0</v>
      </c>
      <c r="W459">
        <v>0</v>
      </c>
      <c r="X459">
        <v>0</v>
      </c>
      <c r="Y459">
        <v>0</v>
      </c>
      <c r="Z459">
        <v>29.1</v>
      </c>
      <c r="AA459">
        <v>45.4</v>
      </c>
      <c r="AB459">
        <v>175</v>
      </c>
      <c r="AC459">
        <v>66</v>
      </c>
      <c r="AD459">
        <v>34.799999999999997</v>
      </c>
      <c r="AE459">
        <v>22.2</v>
      </c>
      <c r="AF459">
        <v>77.322999999999993</v>
      </c>
      <c r="AG459">
        <v>26.193999999999999</v>
      </c>
      <c r="AH459">
        <v>22.495999999999999</v>
      </c>
      <c r="AI459">
        <v>64.638000000000005</v>
      </c>
      <c r="AJ459">
        <v>61.884</v>
      </c>
      <c r="AK459">
        <v>70.228999999999999</v>
      </c>
      <c r="AL459">
        <v>9.9689999999999994</v>
      </c>
      <c r="AM459">
        <v>22.495999999999999</v>
      </c>
      <c r="AN459">
        <v>26.193999999999999</v>
      </c>
      <c r="AO459">
        <v>77.322999999999993</v>
      </c>
      <c r="AP459">
        <v>-9.9689999999999994</v>
      </c>
      <c r="AQ459">
        <v>38.116</v>
      </c>
      <c r="AR459">
        <v>35.362000000000002</v>
      </c>
      <c r="AS459">
        <v>29.771000000000001</v>
      </c>
    </row>
    <row r="460" spans="1:45" x14ac:dyDescent="0.25">
      <c r="A460">
        <v>40</v>
      </c>
      <c r="B460">
        <v>16</v>
      </c>
      <c r="C460">
        <v>1</v>
      </c>
      <c r="D460">
        <v>2019</v>
      </c>
      <c r="E460">
        <v>14</v>
      </c>
      <c r="F460" t="str">
        <f>IFERROR(VLOOKUP(G460, Map!$A$1:$B$33, 2, FALSE),"WAS")</f>
        <v>LA</v>
      </c>
      <c r="G460" t="s">
        <v>155</v>
      </c>
      <c r="H460" t="str">
        <f>IFERROR(VLOOKUP(I460, Map!$A$1:$B$33, 2, FALSE),"WAS")</f>
        <v>SEA</v>
      </c>
      <c r="I460" t="s">
        <v>144</v>
      </c>
      <c r="J460" t="s">
        <v>178</v>
      </c>
      <c r="K460" t="s">
        <v>182</v>
      </c>
      <c r="L460">
        <v>1</v>
      </c>
      <c r="M460">
        <v>0</v>
      </c>
      <c r="N460">
        <v>39.6666666666667</v>
      </c>
      <c r="O460">
        <v>-0.79166666666666696</v>
      </c>
      <c r="P460">
        <v>-1</v>
      </c>
      <c r="Q460">
        <v>0</v>
      </c>
      <c r="R460">
        <v>12.2</v>
      </c>
      <c r="S460">
        <v>19.2</v>
      </c>
      <c r="T460">
        <v>7.8</v>
      </c>
      <c r="U460">
        <v>11.6</v>
      </c>
      <c r="V460">
        <v>0</v>
      </c>
      <c r="W460">
        <v>0</v>
      </c>
      <c r="X460">
        <v>0</v>
      </c>
      <c r="Y460">
        <v>0</v>
      </c>
      <c r="Z460">
        <v>9.6999999999999993</v>
      </c>
      <c r="AA460">
        <v>20.5</v>
      </c>
      <c r="AB460">
        <v>106</v>
      </c>
      <c r="AC460">
        <v>89</v>
      </c>
      <c r="AD460">
        <v>11.4</v>
      </c>
      <c r="AE460">
        <v>5.3</v>
      </c>
      <c r="AF460">
        <v>57.24</v>
      </c>
      <c r="AG460">
        <v>70.694999999999993</v>
      </c>
      <c r="AH460">
        <v>42.418999999999997</v>
      </c>
      <c r="AI460">
        <v>84.608000000000004</v>
      </c>
      <c r="AJ460">
        <v>88.808999999999997</v>
      </c>
      <c r="AK460">
        <v>91.177999999999997</v>
      </c>
      <c r="AL460">
        <v>2.4750000000000001</v>
      </c>
      <c r="AM460">
        <v>42.418999999999997</v>
      </c>
      <c r="AN460">
        <v>70.694999999999993</v>
      </c>
      <c r="AO460">
        <v>57.24</v>
      </c>
      <c r="AP460">
        <v>-2.4750000000000001</v>
      </c>
      <c r="AQ460">
        <v>11.191000000000001</v>
      </c>
      <c r="AR460">
        <v>15.391999999999999</v>
      </c>
      <c r="AS460">
        <v>8.8219999999999992</v>
      </c>
    </row>
    <row r="461" spans="1:45" x14ac:dyDescent="0.25">
      <c r="A461">
        <v>27</v>
      </c>
      <c r="B461">
        <v>13</v>
      </c>
      <c r="C461">
        <v>1</v>
      </c>
      <c r="D461">
        <v>2019</v>
      </c>
      <c r="E461">
        <v>14</v>
      </c>
      <c r="F461" t="str">
        <f>IFERROR(VLOOKUP(G461, Map!$A$1:$B$33, 2, FALSE),"WAS")</f>
        <v>MIN</v>
      </c>
      <c r="G461" t="s">
        <v>153</v>
      </c>
      <c r="H461" t="str">
        <f>IFERROR(VLOOKUP(I461, Map!$A$1:$B$33, 2, FALSE),"WAS")</f>
        <v>DET</v>
      </c>
      <c r="I461" t="s">
        <v>164</v>
      </c>
      <c r="J461" t="s">
        <v>214</v>
      </c>
      <c r="K461" t="s">
        <v>173</v>
      </c>
      <c r="L461">
        <v>1</v>
      </c>
      <c r="M461">
        <v>0</v>
      </c>
      <c r="N461">
        <v>40.25</v>
      </c>
      <c r="O461">
        <v>-11.0833333333333</v>
      </c>
      <c r="P461">
        <v>-11.5</v>
      </c>
      <c r="Q461">
        <v>43.5</v>
      </c>
      <c r="R461">
        <v>0.8</v>
      </c>
      <c r="S461">
        <v>3.1</v>
      </c>
      <c r="T461">
        <v>-3.3</v>
      </c>
      <c r="U461">
        <v>-3.4</v>
      </c>
      <c r="V461">
        <v>0</v>
      </c>
      <c r="W461">
        <v>0</v>
      </c>
      <c r="X461">
        <v>0</v>
      </c>
      <c r="Y461">
        <v>0</v>
      </c>
      <c r="Z461">
        <v>20.3</v>
      </c>
      <c r="AA461">
        <v>37.799999999999997</v>
      </c>
      <c r="AB461">
        <v>229</v>
      </c>
      <c r="AC461">
        <v>84</v>
      </c>
      <c r="AD461">
        <v>23.5</v>
      </c>
      <c r="AE461">
        <v>12.2</v>
      </c>
      <c r="AF461">
        <v>83.274000000000001</v>
      </c>
      <c r="AG461">
        <v>50.685000000000002</v>
      </c>
      <c r="AH461">
        <v>16.593</v>
      </c>
      <c r="AI461">
        <v>85.620999999999995</v>
      </c>
      <c r="AJ461">
        <v>73.385999999999996</v>
      </c>
      <c r="AK461">
        <v>87.975999999999999</v>
      </c>
      <c r="AL461">
        <v>12.82</v>
      </c>
      <c r="AM461">
        <v>16.593</v>
      </c>
      <c r="AN461">
        <v>50.685000000000002</v>
      </c>
      <c r="AO461">
        <v>83.274000000000001</v>
      </c>
      <c r="AP461">
        <v>-12.82</v>
      </c>
      <c r="AQ461">
        <v>26.614000000000001</v>
      </c>
      <c r="AR461">
        <v>14.379</v>
      </c>
      <c r="AS461">
        <v>12.023999999999999</v>
      </c>
    </row>
    <row r="462" spans="1:45" x14ac:dyDescent="0.25">
      <c r="A462">
        <v>60</v>
      </c>
      <c r="B462">
        <v>20</v>
      </c>
      <c r="C462">
        <v>1</v>
      </c>
      <c r="D462">
        <v>2019</v>
      </c>
      <c r="E462">
        <v>14</v>
      </c>
      <c r="F462" t="str">
        <f>IFERROR(VLOOKUP(G462, Map!$A$1:$B$33, 2, FALSE),"WAS")</f>
        <v>ATL</v>
      </c>
      <c r="G462" t="s">
        <v>167</v>
      </c>
      <c r="H462" t="str">
        <f>IFERROR(VLOOKUP(I462, Map!$A$1:$B$33, 2, FALSE),"WAS")</f>
        <v>CAR</v>
      </c>
      <c r="I462" t="s">
        <v>142</v>
      </c>
      <c r="J462" t="s">
        <v>188</v>
      </c>
      <c r="K462" t="s">
        <v>185</v>
      </c>
      <c r="L462">
        <v>1</v>
      </c>
      <c r="M462">
        <v>0</v>
      </c>
      <c r="N462">
        <v>39.9166666666667</v>
      </c>
      <c r="O462">
        <v>-3.2083333333333299</v>
      </c>
      <c r="P462">
        <v>-3.5</v>
      </c>
      <c r="Q462">
        <v>0</v>
      </c>
      <c r="R462">
        <v>10.1</v>
      </c>
      <c r="S462">
        <v>13.2</v>
      </c>
      <c r="T462">
        <v>6.8</v>
      </c>
      <c r="U462">
        <v>6.1</v>
      </c>
      <c r="V462">
        <v>0</v>
      </c>
      <c r="W462">
        <v>0</v>
      </c>
      <c r="X462">
        <v>0</v>
      </c>
      <c r="Y462">
        <v>0</v>
      </c>
      <c r="Z462">
        <v>23.1</v>
      </c>
      <c r="AA462">
        <v>44.3</v>
      </c>
      <c r="AB462">
        <v>100</v>
      </c>
      <c r="AC462">
        <v>65</v>
      </c>
      <c r="AD462">
        <v>31.5</v>
      </c>
      <c r="AE462">
        <v>17.2</v>
      </c>
      <c r="AF462">
        <v>67.837999999999994</v>
      </c>
      <c r="AG462">
        <v>41.506</v>
      </c>
      <c r="AH462">
        <v>31.905999999999999</v>
      </c>
      <c r="AI462">
        <v>63.935000000000002</v>
      </c>
      <c r="AJ462">
        <v>88.572999999999993</v>
      </c>
      <c r="AK462">
        <v>87.227999999999994</v>
      </c>
      <c r="AL462">
        <v>6.1829999999999998</v>
      </c>
      <c r="AM462">
        <v>31.905999999999999</v>
      </c>
      <c r="AN462">
        <v>41.506</v>
      </c>
      <c r="AO462">
        <v>67.837999999999994</v>
      </c>
      <c r="AP462">
        <v>-6.1829999999999998</v>
      </c>
      <c r="AQ462">
        <v>11.427</v>
      </c>
      <c r="AR462">
        <v>36.064999999999998</v>
      </c>
      <c r="AS462">
        <v>12.772</v>
      </c>
    </row>
    <row r="463" spans="1:45" x14ac:dyDescent="0.25">
      <c r="A463">
        <v>62</v>
      </c>
      <c r="B463">
        <v>-14</v>
      </c>
      <c r="C463">
        <v>0</v>
      </c>
      <c r="D463">
        <v>2019</v>
      </c>
      <c r="E463">
        <v>14</v>
      </c>
      <c r="F463" t="str">
        <f>IFERROR(VLOOKUP(G463, Map!$A$1:$B$33, 2, FALSE),"WAS")</f>
        <v>HOU</v>
      </c>
      <c r="G463" t="s">
        <v>137</v>
      </c>
      <c r="H463" t="str">
        <f>IFERROR(VLOOKUP(I463, Map!$A$1:$B$33, 2, FALSE),"WAS")</f>
        <v>DEN</v>
      </c>
      <c r="I463" t="s">
        <v>159</v>
      </c>
      <c r="J463" t="s">
        <v>209</v>
      </c>
      <c r="K463" t="s">
        <v>183</v>
      </c>
      <c r="L463">
        <v>0</v>
      </c>
      <c r="M463">
        <v>0</v>
      </c>
      <c r="N463">
        <v>35.961538461538503</v>
      </c>
      <c r="O463">
        <v>-7.0384615384615401</v>
      </c>
      <c r="P463">
        <v>-7.5</v>
      </c>
      <c r="Q463">
        <v>42.5</v>
      </c>
      <c r="R463">
        <v>15.7</v>
      </c>
      <c r="S463">
        <v>23.9</v>
      </c>
      <c r="T463">
        <v>10.7</v>
      </c>
      <c r="U463">
        <v>14.7</v>
      </c>
      <c r="V463">
        <v>0</v>
      </c>
      <c r="W463">
        <v>0</v>
      </c>
      <c r="X463">
        <v>0</v>
      </c>
      <c r="Y463">
        <v>0</v>
      </c>
      <c r="Z463">
        <v>21.3</v>
      </c>
      <c r="AA463">
        <v>36.4</v>
      </c>
      <c r="AB463">
        <v>135</v>
      </c>
      <c r="AC463">
        <v>80</v>
      </c>
      <c r="AD463">
        <v>19.2</v>
      </c>
      <c r="AE463">
        <v>11.5</v>
      </c>
      <c r="AF463">
        <v>80.227000000000004</v>
      </c>
      <c r="AG463">
        <v>47.540999999999997</v>
      </c>
      <c r="AH463">
        <v>19.616</v>
      </c>
      <c r="AI463">
        <v>1.421</v>
      </c>
      <c r="AJ463">
        <v>17.832000000000001</v>
      </c>
      <c r="AK463">
        <v>3.633</v>
      </c>
      <c r="AL463">
        <v>11.295</v>
      </c>
      <c r="AM463">
        <v>19.616</v>
      </c>
      <c r="AN463">
        <v>47.540999999999997</v>
      </c>
      <c r="AO463">
        <v>80.227000000000004</v>
      </c>
      <c r="AP463">
        <v>-11.295</v>
      </c>
      <c r="AQ463">
        <v>82.168000000000006</v>
      </c>
      <c r="AR463">
        <v>98.578999999999994</v>
      </c>
      <c r="AS463">
        <v>96.367000000000004</v>
      </c>
    </row>
    <row r="464" spans="1:45" x14ac:dyDescent="0.25">
      <c r="A464">
        <v>40</v>
      </c>
      <c r="B464">
        <v>-6</v>
      </c>
      <c r="C464">
        <v>0</v>
      </c>
      <c r="D464">
        <v>2019</v>
      </c>
      <c r="E464">
        <v>14</v>
      </c>
      <c r="F464" t="str">
        <f>IFERROR(VLOOKUP(G464, Map!$A$1:$B$33, 2, FALSE),"WAS")</f>
        <v>ARI</v>
      </c>
      <c r="G464" t="s">
        <v>156</v>
      </c>
      <c r="H464" t="str">
        <f>IFERROR(VLOOKUP(I464, Map!$A$1:$B$33, 2, FALSE),"WAS")</f>
        <v>PIT</v>
      </c>
      <c r="I464" t="s">
        <v>145</v>
      </c>
      <c r="J464" t="s">
        <v>190</v>
      </c>
      <c r="K464" t="s">
        <v>170</v>
      </c>
      <c r="L464">
        <v>0</v>
      </c>
      <c r="M464">
        <v>0</v>
      </c>
      <c r="N464">
        <v>36.25</v>
      </c>
      <c r="O464">
        <v>2</v>
      </c>
      <c r="P464">
        <v>1.5</v>
      </c>
      <c r="Q464">
        <v>0</v>
      </c>
      <c r="R464">
        <v>14.1</v>
      </c>
      <c r="S464">
        <v>15.8</v>
      </c>
      <c r="T464">
        <v>12.6</v>
      </c>
      <c r="U464">
        <v>14.4</v>
      </c>
      <c r="V464">
        <v>16</v>
      </c>
      <c r="W464">
        <v>0</v>
      </c>
      <c r="X464">
        <v>17</v>
      </c>
      <c r="Y464">
        <v>16</v>
      </c>
      <c r="Z464">
        <v>11.6</v>
      </c>
      <c r="AA464">
        <v>32.4</v>
      </c>
      <c r="AB464">
        <v>157</v>
      </c>
      <c r="AC464">
        <v>94</v>
      </c>
      <c r="AD464">
        <v>16.2</v>
      </c>
      <c r="AE464">
        <v>5.3</v>
      </c>
      <c r="AF464">
        <v>53.256</v>
      </c>
      <c r="AG464">
        <v>25.917999999999999</v>
      </c>
      <c r="AH464">
        <v>46.372</v>
      </c>
      <c r="AI464">
        <v>29.707999999999998</v>
      </c>
      <c r="AJ464">
        <v>28.914999999999999</v>
      </c>
      <c r="AK464">
        <v>24.920999999999999</v>
      </c>
      <c r="AL464">
        <v>1.1439999999999999</v>
      </c>
      <c r="AM464">
        <v>46.372</v>
      </c>
      <c r="AN464">
        <v>25.917999999999999</v>
      </c>
      <c r="AO464">
        <v>53.256</v>
      </c>
      <c r="AP464">
        <v>-1.1439999999999999</v>
      </c>
      <c r="AQ464">
        <v>71.084999999999994</v>
      </c>
      <c r="AR464">
        <v>70.292000000000002</v>
      </c>
      <c r="AS464">
        <v>75.078999999999994</v>
      </c>
    </row>
    <row r="465" spans="1:45" x14ac:dyDescent="0.25">
      <c r="A465">
        <v>73</v>
      </c>
      <c r="B465">
        <v>3</v>
      </c>
      <c r="C465">
        <v>1</v>
      </c>
      <c r="D465">
        <v>2019</v>
      </c>
      <c r="E465">
        <v>14</v>
      </c>
      <c r="F465" t="str">
        <f>IFERROR(VLOOKUP(G465, Map!$A$1:$B$33, 2, FALSE),"WAS")</f>
        <v>TB</v>
      </c>
      <c r="G465" t="s">
        <v>141</v>
      </c>
      <c r="H465" t="str">
        <f>IFERROR(VLOOKUP(I465, Map!$A$1:$B$33, 2, FALSE),"WAS")</f>
        <v>IND</v>
      </c>
      <c r="I465" t="s">
        <v>138</v>
      </c>
      <c r="J465" t="s">
        <v>186</v>
      </c>
      <c r="K465" t="s">
        <v>177</v>
      </c>
      <c r="L465">
        <v>1</v>
      </c>
      <c r="M465">
        <v>0</v>
      </c>
      <c r="N465">
        <v>38.8333333333333</v>
      </c>
      <c r="O465">
        <v>-2.875</v>
      </c>
      <c r="P465">
        <v>-3</v>
      </c>
      <c r="Q465">
        <v>0</v>
      </c>
      <c r="R465">
        <v>19.100000000000001</v>
      </c>
      <c r="S465">
        <v>25.8</v>
      </c>
      <c r="T465">
        <v>14.3</v>
      </c>
      <c r="U465">
        <v>18.7</v>
      </c>
      <c r="V465">
        <v>0</v>
      </c>
      <c r="W465">
        <v>0</v>
      </c>
      <c r="X465">
        <v>0</v>
      </c>
      <c r="Y465">
        <v>0</v>
      </c>
      <c r="Z465">
        <v>14.7</v>
      </c>
      <c r="AA465">
        <v>29.2</v>
      </c>
      <c r="AB465">
        <v>81</v>
      </c>
      <c r="AC465">
        <v>72</v>
      </c>
      <c r="AD465">
        <v>20.3</v>
      </c>
      <c r="AE465">
        <v>11.2</v>
      </c>
      <c r="AF465">
        <v>59.081000000000003</v>
      </c>
      <c r="AG465">
        <v>57.426000000000002</v>
      </c>
      <c r="AH465">
        <v>40.593000000000004</v>
      </c>
      <c r="AI465">
        <v>45.018000000000001</v>
      </c>
      <c r="AJ465">
        <v>56.676000000000002</v>
      </c>
      <c r="AK465">
        <v>54.988999999999997</v>
      </c>
      <c r="AL465">
        <v>3.0979999999999999</v>
      </c>
      <c r="AM465">
        <v>40.593000000000004</v>
      </c>
      <c r="AN465">
        <v>57.426000000000002</v>
      </c>
      <c r="AO465">
        <v>59.081000000000003</v>
      </c>
      <c r="AP465">
        <v>-3.0979999999999999</v>
      </c>
      <c r="AQ465">
        <v>43.323999999999998</v>
      </c>
      <c r="AR465">
        <v>54.981999999999999</v>
      </c>
      <c r="AS465">
        <v>45.011000000000003</v>
      </c>
    </row>
    <row r="466" spans="1:45" x14ac:dyDescent="0.25">
      <c r="A466">
        <v>51</v>
      </c>
      <c r="B466">
        <v>-7</v>
      </c>
      <c r="C466">
        <v>0</v>
      </c>
      <c r="D466">
        <v>2019</v>
      </c>
      <c r="E466">
        <v>15</v>
      </c>
      <c r="F466" t="str">
        <f>IFERROR(VLOOKUP(G466, Map!$A$1:$B$33, 2, FALSE),"WAS")</f>
        <v>SF</v>
      </c>
      <c r="G466" t="s">
        <v>143</v>
      </c>
      <c r="H466" t="str">
        <f>IFERROR(VLOOKUP(I466, Map!$A$1:$B$33, 2, FALSE),"WAS")</f>
        <v>ATL</v>
      </c>
      <c r="I466" t="s">
        <v>167</v>
      </c>
      <c r="J466" t="s">
        <v>197</v>
      </c>
      <c r="K466" t="s">
        <v>188</v>
      </c>
      <c r="L466">
        <v>0</v>
      </c>
      <c r="M466">
        <v>0</v>
      </c>
      <c r="N466">
        <v>40.9583333333333</v>
      </c>
      <c r="O466">
        <v>-9.2916666666666696</v>
      </c>
      <c r="P466">
        <v>-10</v>
      </c>
      <c r="Q466">
        <v>0</v>
      </c>
      <c r="R466">
        <v>9.9</v>
      </c>
      <c r="S466">
        <v>12.4</v>
      </c>
      <c r="T466">
        <v>6.9</v>
      </c>
      <c r="U466">
        <v>7.6</v>
      </c>
      <c r="V466">
        <v>1.7</v>
      </c>
      <c r="W466">
        <v>0</v>
      </c>
      <c r="X466">
        <v>3</v>
      </c>
      <c r="Y466">
        <v>1.7</v>
      </c>
      <c r="Z466">
        <v>14.1</v>
      </c>
      <c r="AA466">
        <v>33.5</v>
      </c>
      <c r="AB466">
        <v>304</v>
      </c>
      <c r="AC466">
        <v>78</v>
      </c>
      <c r="AD466">
        <v>18.399999999999999</v>
      </c>
      <c r="AE466">
        <v>9.1</v>
      </c>
      <c r="AF466">
        <v>82.016000000000005</v>
      </c>
      <c r="AG466">
        <v>65.245000000000005</v>
      </c>
      <c r="AH466">
        <v>17.84</v>
      </c>
      <c r="AI466">
        <v>35.301000000000002</v>
      </c>
      <c r="AJ466">
        <v>46.991999999999997</v>
      </c>
      <c r="AK466">
        <v>46.576999999999998</v>
      </c>
      <c r="AL466">
        <v>12.151</v>
      </c>
      <c r="AM466">
        <v>17.84</v>
      </c>
      <c r="AN466">
        <v>65.245000000000005</v>
      </c>
      <c r="AO466">
        <v>82.016000000000005</v>
      </c>
      <c r="AP466">
        <v>-12.151</v>
      </c>
      <c r="AQ466">
        <v>53.008000000000003</v>
      </c>
      <c r="AR466">
        <v>64.698999999999998</v>
      </c>
      <c r="AS466">
        <v>53.423000000000002</v>
      </c>
    </row>
    <row r="467" spans="1:45" x14ac:dyDescent="0.25">
      <c r="A467">
        <v>34</v>
      </c>
      <c r="B467">
        <v>8</v>
      </c>
      <c r="C467">
        <v>1</v>
      </c>
      <c r="D467">
        <v>2019</v>
      </c>
      <c r="E467">
        <v>15</v>
      </c>
      <c r="F467" t="str">
        <f>IFERROR(VLOOKUP(G467, Map!$A$1:$B$33, 2, FALSE),"WAS")</f>
        <v>GB</v>
      </c>
      <c r="G467" t="s">
        <v>154</v>
      </c>
      <c r="H467" t="str">
        <f>IFERROR(VLOOKUP(I467, Map!$A$1:$B$33, 2, FALSE),"WAS")</f>
        <v>CHI</v>
      </c>
      <c r="I467" t="s">
        <v>163</v>
      </c>
      <c r="J467" t="s">
        <v>200</v>
      </c>
      <c r="K467" t="s">
        <v>216</v>
      </c>
      <c r="L467">
        <v>1</v>
      </c>
      <c r="M467">
        <v>0</v>
      </c>
      <c r="N467">
        <v>33.75</v>
      </c>
      <c r="O467">
        <v>-4.0416666666666696</v>
      </c>
      <c r="P467">
        <v>-4</v>
      </c>
      <c r="Q467">
        <v>0</v>
      </c>
      <c r="R467">
        <v>-8.8000000000000007</v>
      </c>
      <c r="S467">
        <v>-4.5999999999999996</v>
      </c>
      <c r="T467">
        <v>-15.6</v>
      </c>
      <c r="U467">
        <v>-13.7</v>
      </c>
      <c r="V467">
        <v>0.2</v>
      </c>
      <c r="W467">
        <v>0.14000000000000001</v>
      </c>
      <c r="X467">
        <v>2</v>
      </c>
      <c r="Y467">
        <v>0</v>
      </c>
      <c r="Z467">
        <v>16.600000000000001</v>
      </c>
      <c r="AA467">
        <v>30.6</v>
      </c>
      <c r="AB467">
        <v>277</v>
      </c>
      <c r="AC467">
        <v>73</v>
      </c>
      <c r="AD467">
        <v>22.3</v>
      </c>
      <c r="AE467">
        <v>10.3</v>
      </c>
      <c r="AF467">
        <v>64.754000000000005</v>
      </c>
      <c r="AG467">
        <v>58.704999999999998</v>
      </c>
      <c r="AH467">
        <v>34.965000000000003</v>
      </c>
      <c r="AI467">
        <v>89.637</v>
      </c>
      <c r="AJ467">
        <v>54.484000000000002</v>
      </c>
      <c r="AK467">
        <v>84.909000000000006</v>
      </c>
      <c r="AL467">
        <v>5.0590000000000002</v>
      </c>
      <c r="AM467">
        <v>34.965000000000003</v>
      </c>
      <c r="AN467">
        <v>58.704999999999998</v>
      </c>
      <c r="AO467">
        <v>64.754000000000005</v>
      </c>
      <c r="AP467">
        <v>-5.0590000000000002</v>
      </c>
      <c r="AQ467">
        <v>45.515999999999998</v>
      </c>
      <c r="AR467">
        <v>10.363</v>
      </c>
      <c r="AS467">
        <v>15.090999999999999</v>
      </c>
    </row>
    <row r="468" spans="1:45" x14ac:dyDescent="0.25">
      <c r="A468">
        <v>64</v>
      </c>
      <c r="B468">
        <v>-10</v>
      </c>
      <c r="C468">
        <v>0</v>
      </c>
      <c r="D468">
        <v>2019</v>
      </c>
      <c r="E468">
        <v>15</v>
      </c>
      <c r="F468" t="str">
        <f>IFERROR(VLOOKUP(G468, Map!$A$1:$B$33, 2, FALSE),"WAS")</f>
        <v>WAS</v>
      </c>
      <c r="G468" t="s">
        <v>169</v>
      </c>
      <c r="H468" t="str">
        <f>IFERROR(VLOOKUP(I468, Map!$A$1:$B$33, 2, FALSE),"WAS")</f>
        <v>PHI</v>
      </c>
      <c r="I468" t="s">
        <v>147</v>
      </c>
      <c r="J468" t="s">
        <v>205</v>
      </c>
      <c r="K468" t="s">
        <v>206</v>
      </c>
      <c r="L468">
        <v>0</v>
      </c>
      <c r="M468">
        <v>0</v>
      </c>
      <c r="N468">
        <v>35.25</v>
      </c>
      <c r="O468">
        <v>5.8333333333333304</v>
      </c>
      <c r="P468">
        <v>4.5</v>
      </c>
      <c r="Q468">
        <v>38</v>
      </c>
      <c r="R468">
        <v>6.6</v>
      </c>
      <c r="S468">
        <v>10.7</v>
      </c>
      <c r="T468">
        <v>3.5</v>
      </c>
      <c r="U468">
        <v>1.9</v>
      </c>
      <c r="V468">
        <v>0.1</v>
      </c>
      <c r="W468">
        <v>0</v>
      </c>
      <c r="X468">
        <v>1</v>
      </c>
      <c r="Y468">
        <v>0.1</v>
      </c>
      <c r="Z468">
        <v>24.3</v>
      </c>
      <c r="AA468">
        <v>50.4</v>
      </c>
      <c r="AB468">
        <v>274</v>
      </c>
      <c r="AC468">
        <v>66</v>
      </c>
      <c r="AD468">
        <v>36</v>
      </c>
      <c r="AE468">
        <v>18.100000000000001</v>
      </c>
      <c r="AF468">
        <v>25.818000000000001</v>
      </c>
      <c r="AG468">
        <v>21.004999999999999</v>
      </c>
      <c r="AH468">
        <v>73.974999999999994</v>
      </c>
      <c r="AI468">
        <v>17.129000000000001</v>
      </c>
      <c r="AJ468">
        <v>73.275999999999996</v>
      </c>
      <c r="AK468">
        <v>37.280999999999999</v>
      </c>
      <c r="AL468">
        <v>-8.5410000000000004</v>
      </c>
      <c r="AM468">
        <v>73.974999999999994</v>
      </c>
      <c r="AN468">
        <v>21.004999999999999</v>
      </c>
      <c r="AO468">
        <v>25.818000000000001</v>
      </c>
      <c r="AP468">
        <v>8.5410000000000004</v>
      </c>
      <c r="AQ468">
        <v>26.724</v>
      </c>
      <c r="AR468">
        <v>82.870999999999995</v>
      </c>
      <c r="AS468">
        <v>62.719000000000001</v>
      </c>
    </row>
    <row r="469" spans="1:45" x14ac:dyDescent="0.25">
      <c r="A469">
        <v>36</v>
      </c>
      <c r="B469">
        <v>-4</v>
      </c>
      <c r="C469">
        <v>0</v>
      </c>
      <c r="D469">
        <v>2019</v>
      </c>
      <c r="E469">
        <v>15</v>
      </c>
      <c r="F469" t="str">
        <f>IFERROR(VLOOKUP(G469, Map!$A$1:$B$33, 2, FALSE),"WAS")</f>
        <v>LV</v>
      </c>
      <c r="G469" t="s">
        <v>157</v>
      </c>
      <c r="H469" t="str">
        <f>IFERROR(VLOOKUP(I469, Map!$A$1:$B$33, 2, FALSE),"WAS")</f>
        <v>JAX</v>
      </c>
      <c r="I469" t="s">
        <v>139</v>
      </c>
      <c r="J469" t="s">
        <v>179</v>
      </c>
      <c r="K469" t="s">
        <v>220</v>
      </c>
      <c r="L469">
        <v>0</v>
      </c>
      <c r="M469">
        <v>0</v>
      </c>
      <c r="N469">
        <v>38.75</v>
      </c>
      <c r="O469">
        <v>-6.1666666666666696</v>
      </c>
      <c r="P469">
        <v>-6.5</v>
      </c>
      <c r="Q469">
        <v>0</v>
      </c>
      <c r="R469">
        <v>10.5</v>
      </c>
      <c r="S469">
        <v>13.1</v>
      </c>
      <c r="T469">
        <v>8</v>
      </c>
      <c r="U469">
        <v>6.8</v>
      </c>
      <c r="V469">
        <v>0.6</v>
      </c>
      <c r="W469">
        <v>0</v>
      </c>
      <c r="X469">
        <v>2</v>
      </c>
      <c r="Y469">
        <v>0.6</v>
      </c>
      <c r="Z469">
        <v>30.1</v>
      </c>
      <c r="AA469">
        <v>50</v>
      </c>
      <c r="AB469">
        <v>301</v>
      </c>
      <c r="AC469">
        <v>74</v>
      </c>
      <c r="AD469">
        <v>33</v>
      </c>
      <c r="AE469">
        <v>18.600000000000001</v>
      </c>
      <c r="AF469">
        <v>66.239000000000004</v>
      </c>
      <c r="AG469">
        <v>25.959</v>
      </c>
      <c r="AH469">
        <v>33.491999999999997</v>
      </c>
      <c r="AI469">
        <v>40.061999999999998</v>
      </c>
      <c r="AJ469">
        <v>65.010999999999996</v>
      </c>
      <c r="AK469">
        <v>51.195</v>
      </c>
      <c r="AL469">
        <v>5.59</v>
      </c>
      <c r="AM469">
        <v>33.491999999999997</v>
      </c>
      <c r="AN469">
        <v>25.959</v>
      </c>
      <c r="AO469">
        <v>66.239000000000004</v>
      </c>
      <c r="AP469">
        <v>-5.59</v>
      </c>
      <c r="AQ469">
        <v>34.988999999999997</v>
      </c>
      <c r="AR469">
        <v>59.938000000000002</v>
      </c>
      <c r="AS469">
        <v>48.805</v>
      </c>
    </row>
    <row r="470" spans="1:45" x14ac:dyDescent="0.25">
      <c r="A470">
        <v>27</v>
      </c>
      <c r="B470">
        <v>-7</v>
      </c>
      <c r="C470">
        <v>0</v>
      </c>
      <c r="D470">
        <v>2019</v>
      </c>
      <c r="E470">
        <v>15</v>
      </c>
      <c r="F470" t="str">
        <f>IFERROR(VLOOKUP(G470, Map!$A$1:$B$33, 2, FALSE),"WAS")</f>
        <v>PIT</v>
      </c>
      <c r="G470" t="s">
        <v>145</v>
      </c>
      <c r="H470" t="str">
        <f>IFERROR(VLOOKUP(I470, Map!$A$1:$B$33, 2, FALSE),"WAS")</f>
        <v>BUF</v>
      </c>
      <c r="I470" t="s">
        <v>165</v>
      </c>
      <c r="J470" t="s">
        <v>170</v>
      </c>
      <c r="K470" t="s">
        <v>180</v>
      </c>
      <c r="L470">
        <v>0</v>
      </c>
      <c r="M470">
        <v>0</v>
      </c>
      <c r="N470">
        <v>30.75</v>
      </c>
      <c r="O470">
        <v>-1.0833333333333299</v>
      </c>
      <c r="P470">
        <v>-1</v>
      </c>
      <c r="Q470">
        <v>0</v>
      </c>
      <c r="R470">
        <v>0.2</v>
      </c>
      <c r="S470">
        <v>4.0999999999999996</v>
      </c>
      <c r="T470">
        <v>-1.9</v>
      </c>
      <c r="U470">
        <v>-3.5</v>
      </c>
      <c r="V470">
        <v>5.7</v>
      </c>
      <c r="W470">
        <v>2.59</v>
      </c>
      <c r="X470">
        <v>13</v>
      </c>
      <c r="Y470">
        <v>2</v>
      </c>
      <c r="Z470">
        <v>12.3</v>
      </c>
      <c r="AA470">
        <v>25.6</v>
      </c>
      <c r="AB470">
        <v>55</v>
      </c>
      <c r="AC470">
        <v>77</v>
      </c>
      <c r="AD470">
        <v>17.899999999999999</v>
      </c>
      <c r="AE470">
        <v>8</v>
      </c>
      <c r="AF470">
        <v>51.585999999999999</v>
      </c>
      <c r="AG470">
        <v>30.841999999999999</v>
      </c>
      <c r="AH470">
        <v>48.029000000000003</v>
      </c>
      <c r="AI470">
        <v>75.539000000000001</v>
      </c>
      <c r="AJ470">
        <v>5.4580000000000002</v>
      </c>
      <c r="AK470">
        <v>33.988</v>
      </c>
      <c r="AL470">
        <v>0.59</v>
      </c>
      <c r="AM470">
        <v>48.029000000000003</v>
      </c>
      <c r="AN470">
        <v>30.841999999999999</v>
      </c>
      <c r="AO470">
        <v>51.585999999999999</v>
      </c>
      <c r="AP470">
        <v>-0.59</v>
      </c>
      <c r="AQ470">
        <v>94.542000000000002</v>
      </c>
      <c r="AR470">
        <v>24.460999999999999</v>
      </c>
      <c r="AS470">
        <v>66.012</v>
      </c>
    </row>
    <row r="471" spans="1:45" x14ac:dyDescent="0.25">
      <c r="A471">
        <v>26</v>
      </c>
      <c r="B471">
        <v>20</v>
      </c>
      <c r="C471">
        <v>1</v>
      </c>
      <c r="D471">
        <v>2019</v>
      </c>
      <c r="E471">
        <v>15</v>
      </c>
      <c r="F471" t="str">
        <f>IFERROR(VLOOKUP(G471, Map!$A$1:$B$33, 2, FALSE),"WAS")</f>
        <v>KC</v>
      </c>
      <c r="G471" t="s">
        <v>158</v>
      </c>
      <c r="H471" t="str">
        <f>IFERROR(VLOOKUP(I471, Map!$A$1:$B$33, 2, FALSE),"WAS")</f>
        <v>DEN</v>
      </c>
      <c r="I471" t="s">
        <v>159</v>
      </c>
      <c r="J471" t="s">
        <v>202</v>
      </c>
      <c r="K471" t="s">
        <v>183</v>
      </c>
      <c r="L471">
        <v>1</v>
      </c>
      <c r="M471">
        <v>0</v>
      </c>
      <c r="N471">
        <v>39.4166666666667</v>
      </c>
      <c r="O471">
        <v>-8.4166666666666696</v>
      </c>
      <c r="P471">
        <v>-8</v>
      </c>
      <c r="Q471">
        <v>42.5</v>
      </c>
      <c r="R471">
        <v>-4.3</v>
      </c>
      <c r="S471">
        <v>-3.6</v>
      </c>
      <c r="T471">
        <v>-5.5</v>
      </c>
      <c r="U471">
        <v>-8.9</v>
      </c>
      <c r="V471">
        <v>9.1999999999999993</v>
      </c>
      <c r="W471">
        <v>6.44</v>
      </c>
      <c r="X471">
        <v>13</v>
      </c>
      <c r="Y471">
        <v>0</v>
      </c>
      <c r="Z471">
        <v>16.3</v>
      </c>
      <c r="AA471">
        <v>31.3</v>
      </c>
      <c r="AB471">
        <v>54</v>
      </c>
      <c r="AC471">
        <v>73</v>
      </c>
      <c r="AD471">
        <v>20.8</v>
      </c>
      <c r="AE471">
        <v>10</v>
      </c>
      <c r="AF471">
        <v>87.119</v>
      </c>
      <c r="AG471">
        <v>53.99</v>
      </c>
      <c r="AH471">
        <v>12.778</v>
      </c>
      <c r="AI471">
        <v>89.866</v>
      </c>
      <c r="AJ471">
        <v>91.412999999999997</v>
      </c>
      <c r="AK471">
        <v>93.924999999999997</v>
      </c>
      <c r="AL471">
        <v>15.005000000000001</v>
      </c>
      <c r="AM471">
        <v>12.778</v>
      </c>
      <c r="AN471">
        <v>53.99</v>
      </c>
      <c r="AO471">
        <v>87.119</v>
      </c>
      <c r="AP471">
        <v>-15.005000000000001</v>
      </c>
      <c r="AQ471">
        <v>8.5869999999999997</v>
      </c>
      <c r="AR471">
        <v>10.134</v>
      </c>
      <c r="AS471">
        <v>6.0750000000000002</v>
      </c>
    </row>
    <row r="472" spans="1:45" x14ac:dyDescent="0.25">
      <c r="A472">
        <v>55</v>
      </c>
      <c r="B472">
        <v>-21</v>
      </c>
      <c r="C472">
        <v>0</v>
      </c>
      <c r="D472">
        <v>2019</v>
      </c>
      <c r="E472">
        <v>15</v>
      </c>
      <c r="F472" t="str">
        <f>IFERROR(VLOOKUP(G472, Map!$A$1:$B$33, 2, FALSE),"WAS")</f>
        <v>DET</v>
      </c>
      <c r="G472" t="s">
        <v>164</v>
      </c>
      <c r="H472" t="str">
        <f>IFERROR(VLOOKUP(I472, Map!$A$1:$B$33, 2, FALSE),"WAS")</f>
        <v>TB</v>
      </c>
      <c r="I472" t="s">
        <v>141</v>
      </c>
      <c r="J472" t="s">
        <v>173</v>
      </c>
      <c r="K472" t="s">
        <v>186</v>
      </c>
      <c r="L472">
        <v>0</v>
      </c>
      <c r="M472">
        <v>0</v>
      </c>
      <c r="N472">
        <v>41.727272727272698</v>
      </c>
      <c r="O472">
        <v>5.2272727272727302</v>
      </c>
      <c r="P472">
        <v>5.5</v>
      </c>
      <c r="Q472">
        <v>45</v>
      </c>
      <c r="R472">
        <v>-0.3</v>
      </c>
      <c r="S472">
        <v>1.8</v>
      </c>
      <c r="T472">
        <v>-3.5</v>
      </c>
      <c r="U472">
        <v>-6</v>
      </c>
      <c r="V472">
        <v>0.2</v>
      </c>
      <c r="W472">
        <v>0.14000000000000001</v>
      </c>
      <c r="X472">
        <v>2</v>
      </c>
      <c r="Y472">
        <v>0</v>
      </c>
      <c r="Z472">
        <v>26.8</v>
      </c>
      <c r="AA472">
        <v>44.3</v>
      </c>
      <c r="AB472">
        <v>275</v>
      </c>
      <c r="AC472">
        <v>70</v>
      </c>
      <c r="AD472">
        <v>34</v>
      </c>
      <c r="AE472">
        <v>19.8</v>
      </c>
      <c r="AF472">
        <v>40.896999999999998</v>
      </c>
      <c r="AG472">
        <v>34.973999999999997</v>
      </c>
      <c r="AH472">
        <v>58.774000000000001</v>
      </c>
      <c r="AI472">
        <v>16.526</v>
      </c>
      <c r="AJ472">
        <v>1.9350000000000001</v>
      </c>
      <c r="AK472">
        <v>5.2859999999999996</v>
      </c>
      <c r="AL472">
        <v>-2.9889999999999999</v>
      </c>
      <c r="AM472">
        <v>58.774000000000001</v>
      </c>
      <c r="AN472">
        <v>34.973999999999997</v>
      </c>
      <c r="AO472">
        <v>40.896999999999998</v>
      </c>
      <c r="AP472">
        <v>2.9889999999999999</v>
      </c>
      <c r="AQ472">
        <v>98.064999999999998</v>
      </c>
      <c r="AR472">
        <v>83.474000000000004</v>
      </c>
      <c r="AS472">
        <v>94.713999999999999</v>
      </c>
    </row>
    <row r="473" spans="1:45" x14ac:dyDescent="0.25">
      <c r="A473">
        <v>41</v>
      </c>
      <c r="B473">
        <v>27</v>
      </c>
      <c r="C473">
        <v>1</v>
      </c>
      <c r="D473">
        <v>2019</v>
      </c>
      <c r="E473">
        <v>15</v>
      </c>
      <c r="F473" t="str">
        <f>IFERROR(VLOOKUP(G473, Map!$A$1:$B$33, 2, FALSE),"WAS")</f>
        <v>NO</v>
      </c>
      <c r="G473" t="s">
        <v>168</v>
      </c>
      <c r="H473" t="str">
        <f>IFERROR(VLOOKUP(I473, Map!$A$1:$B$33, 2, FALSE),"WAS")</f>
        <v>IND</v>
      </c>
      <c r="I473" t="s">
        <v>138</v>
      </c>
      <c r="J473" t="s">
        <v>192</v>
      </c>
      <c r="K473" t="s">
        <v>177</v>
      </c>
      <c r="L473">
        <v>1</v>
      </c>
      <c r="M473">
        <v>0</v>
      </c>
      <c r="N473">
        <v>40.4583333333333</v>
      </c>
      <c r="O473">
        <v>-7.75</v>
      </c>
      <c r="P473">
        <v>-8</v>
      </c>
      <c r="Q473">
        <v>0</v>
      </c>
      <c r="R473">
        <v>14</v>
      </c>
      <c r="S473">
        <v>21.9</v>
      </c>
      <c r="T473">
        <v>8.4</v>
      </c>
      <c r="U473">
        <v>10.9</v>
      </c>
      <c r="V473">
        <v>12.7</v>
      </c>
      <c r="W473">
        <v>0</v>
      </c>
      <c r="X473">
        <v>10</v>
      </c>
      <c r="Y473">
        <v>12.7</v>
      </c>
      <c r="Z473">
        <v>35</v>
      </c>
      <c r="AA473">
        <v>72</v>
      </c>
      <c r="AB473">
        <v>330</v>
      </c>
      <c r="AC473">
        <v>82</v>
      </c>
      <c r="AD473">
        <v>50.8</v>
      </c>
      <c r="AE473">
        <v>26.4</v>
      </c>
      <c r="AF473">
        <v>72.161000000000001</v>
      </c>
      <c r="AG473">
        <v>64.932000000000002</v>
      </c>
      <c r="AH473">
        <v>27.617000000000001</v>
      </c>
      <c r="AI473">
        <v>77.638000000000005</v>
      </c>
      <c r="AJ473">
        <v>93.4</v>
      </c>
      <c r="AK473">
        <v>97.177999999999997</v>
      </c>
      <c r="AL473">
        <v>7.8159999999999998</v>
      </c>
      <c r="AM473">
        <v>27.617000000000001</v>
      </c>
      <c r="AN473">
        <v>64.932000000000002</v>
      </c>
      <c r="AO473">
        <v>72.161000000000001</v>
      </c>
      <c r="AP473">
        <v>-7.8159999999999998</v>
      </c>
      <c r="AQ473">
        <v>6.6</v>
      </c>
      <c r="AR473">
        <v>22.361999999999998</v>
      </c>
      <c r="AS473">
        <v>2.8220000000000001</v>
      </c>
    </row>
    <row r="474" spans="1:45" x14ac:dyDescent="0.25">
      <c r="A474">
        <v>56</v>
      </c>
      <c r="B474">
        <v>16</v>
      </c>
      <c r="C474">
        <v>1</v>
      </c>
      <c r="D474">
        <v>2019</v>
      </c>
      <c r="E474">
        <v>15</v>
      </c>
      <c r="F474" t="str">
        <f>IFERROR(VLOOKUP(G474, Map!$A$1:$B$33, 2, FALSE),"WAS")</f>
        <v>NYG</v>
      </c>
      <c r="G474" t="s">
        <v>149</v>
      </c>
      <c r="H474" t="str">
        <f>IFERROR(VLOOKUP(I474, Map!$A$1:$B$33, 2, FALSE),"WAS")</f>
        <v>MIA</v>
      </c>
      <c r="I474" t="s">
        <v>152</v>
      </c>
      <c r="J474" t="s">
        <v>219</v>
      </c>
      <c r="K474" t="s">
        <v>175</v>
      </c>
      <c r="L474">
        <v>1</v>
      </c>
      <c r="M474">
        <v>0</v>
      </c>
      <c r="N474">
        <v>42.4166666666667</v>
      </c>
      <c r="O474">
        <v>-3.1666666666666701</v>
      </c>
      <c r="P474">
        <v>-3</v>
      </c>
      <c r="Q474">
        <v>45.5</v>
      </c>
      <c r="R474">
        <v>6.3</v>
      </c>
      <c r="S474">
        <v>10</v>
      </c>
      <c r="T474">
        <v>3.6</v>
      </c>
      <c r="U474">
        <v>0.9</v>
      </c>
      <c r="V474">
        <v>0</v>
      </c>
      <c r="W474">
        <v>0</v>
      </c>
      <c r="X474">
        <v>0</v>
      </c>
      <c r="Y474">
        <v>0</v>
      </c>
      <c r="Z474">
        <v>29.8</v>
      </c>
      <c r="AA474">
        <v>60.1</v>
      </c>
      <c r="AB474">
        <v>266</v>
      </c>
      <c r="AC474">
        <v>66</v>
      </c>
      <c r="AD474">
        <v>46.8</v>
      </c>
      <c r="AE474">
        <v>23.2</v>
      </c>
      <c r="AF474">
        <v>64.135999999999996</v>
      </c>
      <c r="AG474">
        <v>5.8890000000000002</v>
      </c>
      <c r="AH474">
        <v>35.578000000000003</v>
      </c>
      <c r="AI474">
        <v>72.335999999999999</v>
      </c>
      <c r="AJ474">
        <v>67.248999999999995</v>
      </c>
      <c r="AK474">
        <v>79.631</v>
      </c>
      <c r="AL474">
        <v>4.84</v>
      </c>
      <c r="AM474">
        <v>35.578000000000003</v>
      </c>
      <c r="AN474">
        <v>5.8890000000000002</v>
      </c>
      <c r="AO474">
        <v>64.135999999999996</v>
      </c>
      <c r="AP474">
        <v>-4.84</v>
      </c>
      <c r="AQ474">
        <v>32.750999999999998</v>
      </c>
      <c r="AR474">
        <v>27.664000000000001</v>
      </c>
      <c r="AS474">
        <v>20.369</v>
      </c>
    </row>
    <row r="475" spans="1:45" x14ac:dyDescent="0.25">
      <c r="A475">
        <v>65</v>
      </c>
      <c r="B475">
        <v>23</v>
      </c>
      <c r="C475">
        <v>1</v>
      </c>
      <c r="D475">
        <v>2019</v>
      </c>
      <c r="E475">
        <v>15</v>
      </c>
      <c r="F475" t="str">
        <f>IFERROR(VLOOKUP(G475, Map!$A$1:$B$33, 2, FALSE),"WAS")</f>
        <v>DAL</v>
      </c>
      <c r="G475" t="s">
        <v>150</v>
      </c>
      <c r="H475" t="str">
        <f>IFERROR(VLOOKUP(I475, Map!$A$1:$B$33, 2, FALSE),"WAS")</f>
        <v>LA</v>
      </c>
      <c r="I475" t="s">
        <v>155</v>
      </c>
      <c r="J475" t="s">
        <v>184</v>
      </c>
      <c r="K475" t="s">
        <v>178</v>
      </c>
      <c r="L475">
        <v>1</v>
      </c>
      <c r="M475">
        <v>0</v>
      </c>
      <c r="N475">
        <v>44.4583333333333</v>
      </c>
      <c r="O475">
        <v>0.375</v>
      </c>
      <c r="P475">
        <v>0</v>
      </c>
      <c r="Q475">
        <v>48.5</v>
      </c>
      <c r="R475">
        <v>13.6</v>
      </c>
      <c r="S475">
        <v>23.1</v>
      </c>
      <c r="T475">
        <v>8.8000000000000007</v>
      </c>
      <c r="U475">
        <v>11.4</v>
      </c>
      <c r="V475">
        <v>0</v>
      </c>
      <c r="W475">
        <v>0</v>
      </c>
      <c r="X475">
        <v>0</v>
      </c>
      <c r="Y475">
        <v>0</v>
      </c>
      <c r="Z475">
        <v>16.600000000000001</v>
      </c>
      <c r="AA475">
        <v>28.4</v>
      </c>
      <c r="AB475">
        <v>135</v>
      </c>
      <c r="AC475">
        <v>71</v>
      </c>
      <c r="AD475">
        <v>20.8</v>
      </c>
      <c r="AE475">
        <v>11.6</v>
      </c>
      <c r="AF475">
        <v>62.89</v>
      </c>
      <c r="AG475">
        <v>73.850999999999999</v>
      </c>
      <c r="AH475">
        <v>36.814</v>
      </c>
      <c r="AI475">
        <v>57.493000000000002</v>
      </c>
      <c r="AJ475">
        <v>98.478999999999999</v>
      </c>
      <c r="AK475">
        <v>92.388000000000005</v>
      </c>
      <c r="AL475">
        <v>4.4020000000000001</v>
      </c>
      <c r="AM475">
        <v>36.814</v>
      </c>
      <c r="AN475">
        <v>73.850999999999999</v>
      </c>
      <c r="AO475">
        <v>62.89</v>
      </c>
      <c r="AP475">
        <v>-4.4020000000000001</v>
      </c>
      <c r="AQ475">
        <v>1.5209999999999999</v>
      </c>
      <c r="AR475">
        <v>42.506999999999998</v>
      </c>
      <c r="AS475">
        <v>7.6120000000000001</v>
      </c>
    </row>
    <row r="476" spans="1:45" x14ac:dyDescent="0.25">
      <c r="A476">
        <v>63</v>
      </c>
      <c r="B476">
        <v>21</v>
      </c>
      <c r="C476">
        <v>1</v>
      </c>
      <c r="D476">
        <v>2019</v>
      </c>
      <c r="E476">
        <v>15</v>
      </c>
      <c r="F476" t="str">
        <f>IFERROR(VLOOKUP(G476, Map!$A$1:$B$33, 2, FALSE),"WAS")</f>
        <v>BAL</v>
      </c>
      <c r="G476" t="s">
        <v>146</v>
      </c>
      <c r="H476" t="str">
        <f>IFERROR(VLOOKUP(I476, Map!$A$1:$B$33, 2, FALSE),"WAS")</f>
        <v>NYJ</v>
      </c>
      <c r="I476" t="s">
        <v>166</v>
      </c>
      <c r="J476" t="s">
        <v>181</v>
      </c>
      <c r="K476" t="s">
        <v>172</v>
      </c>
      <c r="L476">
        <v>1</v>
      </c>
      <c r="M476">
        <v>0</v>
      </c>
      <c r="N476">
        <v>41.1666666666667</v>
      </c>
      <c r="O476">
        <v>-16</v>
      </c>
      <c r="P476">
        <v>-16.5</v>
      </c>
      <c r="Q476">
        <v>43.5</v>
      </c>
      <c r="R476">
        <v>3</v>
      </c>
      <c r="S476">
        <v>8.1</v>
      </c>
      <c r="T476">
        <v>-1</v>
      </c>
      <c r="U476">
        <v>0.1</v>
      </c>
      <c r="V476">
        <v>7.5</v>
      </c>
      <c r="W476">
        <v>0</v>
      </c>
      <c r="X476">
        <v>11</v>
      </c>
      <c r="Y476">
        <v>7.5</v>
      </c>
      <c r="Z476">
        <v>11.4</v>
      </c>
      <c r="AA476">
        <v>18.7</v>
      </c>
      <c r="AB476">
        <v>58</v>
      </c>
      <c r="AC476">
        <v>88</v>
      </c>
      <c r="AD476">
        <v>12.9</v>
      </c>
      <c r="AE476">
        <v>7</v>
      </c>
      <c r="AF476">
        <v>93.385000000000005</v>
      </c>
      <c r="AG476">
        <v>50.633000000000003</v>
      </c>
      <c r="AH476">
        <v>6.5620000000000003</v>
      </c>
      <c r="AI476">
        <v>77.183000000000007</v>
      </c>
      <c r="AJ476">
        <v>98.415000000000006</v>
      </c>
      <c r="AK476">
        <v>95.037000000000006</v>
      </c>
      <c r="AL476">
        <v>19.934000000000001</v>
      </c>
      <c r="AM476">
        <v>6.5620000000000003</v>
      </c>
      <c r="AN476">
        <v>50.633000000000003</v>
      </c>
      <c r="AO476">
        <v>93.385000000000005</v>
      </c>
      <c r="AP476">
        <v>-19.934000000000001</v>
      </c>
      <c r="AQ476">
        <v>1.585</v>
      </c>
      <c r="AR476">
        <v>22.817</v>
      </c>
      <c r="AS476">
        <v>4.9630000000000001</v>
      </c>
    </row>
    <row r="477" spans="1:45" x14ac:dyDescent="0.25">
      <c r="A477">
        <v>45</v>
      </c>
      <c r="B477">
        <v>-3</v>
      </c>
      <c r="C477">
        <v>0</v>
      </c>
      <c r="D477">
        <v>2019</v>
      </c>
      <c r="E477">
        <v>15</v>
      </c>
      <c r="F477" t="str">
        <f>IFERROR(VLOOKUP(G477, Map!$A$1:$B$33, 2, FALSE),"WAS")</f>
        <v>TEN</v>
      </c>
      <c r="G477" t="s">
        <v>140</v>
      </c>
      <c r="H477" t="str">
        <f>IFERROR(VLOOKUP(I477, Map!$A$1:$B$33, 2, FALSE),"WAS")</f>
        <v>HOU</v>
      </c>
      <c r="I477" t="s">
        <v>137</v>
      </c>
      <c r="J477" t="s">
        <v>174</v>
      </c>
      <c r="K477" t="s">
        <v>209</v>
      </c>
      <c r="L477">
        <v>0</v>
      </c>
      <c r="M477">
        <v>0</v>
      </c>
      <c r="N477">
        <v>38.730769230769198</v>
      </c>
      <c r="O477">
        <v>-2.5384615384615401</v>
      </c>
      <c r="P477">
        <v>-3</v>
      </c>
      <c r="Q477">
        <v>0</v>
      </c>
      <c r="R477">
        <v>7.3</v>
      </c>
      <c r="S477">
        <v>11.1</v>
      </c>
      <c r="T477">
        <v>4.5999999999999996</v>
      </c>
      <c r="U477">
        <v>4.8</v>
      </c>
      <c r="V477">
        <v>0</v>
      </c>
      <c r="W477">
        <v>0</v>
      </c>
      <c r="X477">
        <v>0</v>
      </c>
      <c r="Y477">
        <v>0</v>
      </c>
      <c r="Z477">
        <v>10.4</v>
      </c>
      <c r="AA477">
        <v>22.7</v>
      </c>
      <c r="AB477">
        <v>32</v>
      </c>
      <c r="AC477">
        <v>79</v>
      </c>
      <c r="AD477">
        <v>14.9</v>
      </c>
      <c r="AE477">
        <v>7</v>
      </c>
      <c r="AF477">
        <v>52.301000000000002</v>
      </c>
      <c r="AG477">
        <v>71.692999999999998</v>
      </c>
      <c r="AH477">
        <v>47.319000000000003</v>
      </c>
      <c r="AI477">
        <v>20.036000000000001</v>
      </c>
      <c r="AJ477">
        <v>56.91</v>
      </c>
      <c r="AK477">
        <v>24.192</v>
      </c>
      <c r="AL477">
        <v>0.82599999999999996</v>
      </c>
      <c r="AM477">
        <v>47.319000000000003</v>
      </c>
      <c r="AN477">
        <v>71.692999999999998</v>
      </c>
      <c r="AO477">
        <v>52.301000000000002</v>
      </c>
      <c r="AP477">
        <v>-0.82599999999999996</v>
      </c>
      <c r="AQ477">
        <v>43.09</v>
      </c>
      <c r="AR477">
        <v>79.963999999999999</v>
      </c>
      <c r="AS477">
        <v>75.808000000000007</v>
      </c>
    </row>
    <row r="478" spans="1:45" x14ac:dyDescent="0.25">
      <c r="A478">
        <v>49</v>
      </c>
      <c r="B478">
        <v>-29</v>
      </c>
      <c r="C478">
        <v>0</v>
      </c>
      <c r="D478">
        <v>2019</v>
      </c>
      <c r="E478">
        <v>15</v>
      </c>
      <c r="F478" t="str">
        <f>IFERROR(VLOOKUP(G478, Map!$A$1:$B$33, 2, FALSE),"WAS")</f>
        <v>LAC</v>
      </c>
      <c r="G478" t="s">
        <v>160</v>
      </c>
      <c r="H478" t="str">
        <f>IFERROR(VLOOKUP(I478, Map!$A$1:$B$33, 2, FALSE),"WAS")</f>
        <v>MIN</v>
      </c>
      <c r="I478" t="s">
        <v>153</v>
      </c>
      <c r="J478" t="s">
        <v>210</v>
      </c>
      <c r="K478" t="s">
        <v>214</v>
      </c>
      <c r="L478">
        <v>0</v>
      </c>
      <c r="M478">
        <v>0</v>
      </c>
      <c r="N478">
        <v>37.6666666666667</v>
      </c>
      <c r="O478">
        <v>1.2083333333333299</v>
      </c>
      <c r="P478">
        <v>0</v>
      </c>
      <c r="Q478">
        <v>0</v>
      </c>
      <c r="R478">
        <v>12.8</v>
      </c>
      <c r="S478">
        <v>15.4</v>
      </c>
      <c r="T478">
        <v>10.4</v>
      </c>
      <c r="U478">
        <v>8.5</v>
      </c>
      <c r="V478">
        <v>0</v>
      </c>
      <c r="W478">
        <v>0</v>
      </c>
      <c r="X478">
        <v>0</v>
      </c>
      <c r="Y478">
        <v>0</v>
      </c>
      <c r="Z478">
        <v>40.799999999999997</v>
      </c>
      <c r="AA478">
        <v>64.400000000000006</v>
      </c>
      <c r="AB478">
        <v>315</v>
      </c>
      <c r="AC478">
        <v>64</v>
      </c>
      <c r="AD478">
        <v>37.1</v>
      </c>
      <c r="AE478">
        <v>22.9</v>
      </c>
      <c r="AF478">
        <v>46.521999999999998</v>
      </c>
      <c r="AG478">
        <v>76.573999999999998</v>
      </c>
      <c r="AH478">
        <v>53.103999999999999</v>
      </c>
      <c r="AI478">
        <v>46.146999999999998</v>
      </c>
      <c r="AJ478">
        <v>2.1440000000000001</v>
      </c>
      <c r="AK478">
        <v>8.3149999999999995</v>
      </c>
      <c r="AL478">
        <v>-1.0920000000000001</v>
      </c>
      <c r="AM478">
        <v>53.103999999999999</v>
      </c>
      <c r="AN478">
        <v>76.573999999999998</v>
      </c>
      <c r="AO478">
        <v>46.521999999999998</v>
      </c>
      <c r="AP478">
        <v>1.0920000000000001</v>
      </c>
      <c r="AQ478">
        <v>97.855999999999995</v>
      </c>
      <c r="AR478">
        <v>53.853000000000002</v>
      </c>
      <c r="AS478">
        <v>91.685000000000002</v>
      </c>
    </row>
    <row r="479" spans="1:45" x14ac:dyDescent="0.25">
      <c r="A479">
        <v>54</v>
      </c>
      <c r="B479">
        <v>-6</v>
      </c>
      <c r="C479">
        <v>0</v>
      </c>
      <c r="D479">
        <v>2019</v>
      </c>
      <c r="E479">
        <v>15</v>
      </c>
      <c r="F479" t="str">
        <f>IFERROR(VLOOKUP(G479, Map!$A$1:$B$33, 2, FALSE),"WAS")</f>
        <v>CAR</v>
      </c>
      <c r="G479" t="s">
        <v>142</v>
      </c>
      <c r="H479" t="str">
        <f>IFERROR(VLOOKUP(I479, Map!$A$1:$B$33, 2, FALSE),"WAS")</f>
        <v>SEA</v>
      </c>
      <c r="I479" t="s">
        <v>144</v>
      </c>
      <c r="J479" t="s">
        <v>185</v>
      </c>
      <c r="K479" t="s">
        <v>182</v>
      </c>
      <c r="L479">
        <v>0</v>
      </c>
      <c r="M479">
        <v>0</v>
      </c>
      <c r="N479">
        <v>44.625</v>
      </c>
      <c r="O479">
        <v>5.4166666666666696</v>
      </c>
      <c r="P479">
        <v>5.5</v>
      </c>
      <c r="Q479">
        <v>48.5</v>
      </c>
      <c r="R479">
        <v>6.7</v>
      </c>
      <c r="S479">
        <v>13.4</v>
      </c>
      <c r="T479">
        <v>2</v>
      </c>
      <c r="U479">
        <v>3.7</v>
      </c>
      <c r="V479">
        <v>0</v>
      </c>
      <c r="W479">
        <v>0</v>
      </c>
      <c r="X479">
        <v>0</v>
      </c>
      <c r="Y479">
        <v>0</v>
      </c>
      <c r="Z479">
        <v>10.3</v>
      </c>
      <c r="AA479">
        <v>33.5</v>
      </c>
      <c r="AB479">
        <v>249</v>
      </c>
      <c r="AC479">
        <v>78</v>
      </c>
      <c r="AD479">
        <v>17.8</v>
      </c>
      <c r="AE479">
        <v>8.9</v>
      </c>
      <c r="AF479">
        <v>39.716999999999999</v>
      </c>
      <c r="AG479">
        <v>33.646000000000001</v>
      </c>
      <c r="AH479">
        <v>59.963999999999999</v>
      </c>
      <c r="AI479">
        <v>9.1910000000000007</v>
      </c>
      <c r="AJ479">
        <v>32.860999999999997</v>
      </c>
      <c r="AK479">
        <v>14.89</v>
      </c>
      <c r="AL479">
        <v>-3.3929999999999998</v>
      </c>
      <c r="AM479">
        <v>59.963999999999999</v>
      </c>
      <c r="AN479">
        <v>33.646000000000001</v>
      </c>
      <c r="AO479">
        <v>39.716999999999999</v>
      </c>
      <c r="AP479">
        <v>3.3929999999999998</v>
      </c>
      <c r="AQ479">
        <v>67.138999999999996</v>
      </c>
      <c r="AR479">
        <v>90.808999999999997</v>
      </c>
      <c r="AS479">
        <v>85.11</v>
      </c>
    </row>
    <row r="480" spans="1:45" x14ac:dyDescent="0.25">
      <c r="A480">
        <v>62</v>
      </c>
      <c r="B480">
        <v>14</v>
      </c>
      <c r="C480">
        <v>1</v>
      </c>
      <c r="D480">
        <v>2019</v>
      </c>
      <c r="E480">
        <v>15</v>
      </c>
      <c r="F480" t="str">
        <f>IFERROR(VLOOKUP(G480, Map!$A$1:$B$33, 2, FALSE),"WAS")</f>
        <v>ARI</v>
      </c>
      <c r="G480" t="s">
        <v>156</v>
      </c>
      <c r="H480" t="str">
        <f>IFERROR(VLOOKUP(I480, Map!$A$1:$B$33, 2, FALSE),"WAS")</f>
        <v>CLE</v>
      </c>
      <c r="I480" t="s">
        <v>162</v>
      </c>
      <c r="J480" t="s">
        <v>190</v>
      </c>
      <c r="K480" t="s">
        <v>171</v>
      </c>
      <c r="L480">
        <v>1</v>
      </c>
      <c r="M480">
        <v>0</v>
      </c>
      <c r="N480">
        <v>40.7083333333333</v>
      </c>
      <c r="O480">
        <v>2.6666666666666701</v>
      </c>
      <c r="P480">
        <v>2.5</v>
      </c>
      <c r="Q480">
        <v>0</v>
      </c>
      <c r="R480">
        <v>12</v>
      </c>
      <c r="S480">
        <v>15</v>
      </c>
      <c r="T480">
        <v>9.1999999999999993</v>
      </c>
      <c r="U480">
        <v>8</v>
      </c>
      <c r="V480">
        <v>0.6</v>
      </c>
      <c r="W480">
        <v>0</v>
      </c>
      <c r="X480">
        <v>2</v>
      </c>
      <c r="Y480">
        <v>0.6</v>
      </c>
      <c r="Z480">
        <v>31.3</v>
      </c>
      <c r="AA480">
        <v>64.8</v>
      </c>
      <c r="AB480">
        <v>327</v>
      </c>
      <c r="AC480">
        <v>61</v>
      </c>
      <c r="AD480">
        <v>39.5</v>
      </c>
      <c r="AE480">
        <v>18.8</v>
      </c>
      <c r="AF480">
        <v>46.164999999999999</v>
      </c>
      <c r="AG480">
        <v>28.677</v>
      </c>
      <c r="AH480">
        <v>53.465000000000003</v>
      </c>
      <c r="AI480">
        <v>47.131999999999998</v>
      </c>
      <c r="AJ480">
        <v>95.141000000000005</v>
      </c>
      <c r="AK480">
        <v>86.472999999999999</v>
      </c>
      <c r="AL480">
        <v>-1.212</v>
      </c>
      <c r="AM480">
        <v>53.465000000000003</v>
      </c>
      <c r="AN480">
        <v>28.677</v>
      </c>
      <c r="AO480">
        <v>46.164999999999999</v>
      </c>
      <c r="AP480">
        <v>1.212</v>
      </c>
      <c r="AQ480">
        <v>4.859</v>
      </c>
      <c r="AR480">
        <v>52.868000000000002</v>
      </c>
      <c r="AS480">
        <v>13.526999999999999</v>
      </c>
    </row>
    <row r="481" spans="1:45" x14ac:dyDescent="0.25">
      <c r="A481">
        <v>47</v>
      </c>
      <c r="B481">
        <v>-21</v>
      </c>
      <c r="C481">
        <v>0</v>
      </c>
      <c r="D481">
        <v>2019</v>
      </c>
      <c r="E481">
        <v>15</v>
      </c>
      <c r="F481" t="str">
        <f>IFERROR(VLOOKUP(G481, Map!$A$1:$B$33, 2, FALSE),"WAS")</f>
        <v>CIN</v>
      </c>
      <c r="G481" t="s">
        <v>161</v>
      </c>
      <c r="H481" t="str">
        <f>IFERROR(VLOOKUP(I481, Map!$A$1:$B$33, 2, FALSE),"WAS")</f>
        <v>NE</v>
      </c>
      <c r="I481" t="s">
        <v>151</v>
      </c>
      <c r="J481" t="s">
        <v>176</v>
      </c>
      <c r="K481" t="s">
        <v>187</v>
      </c>
      <c r="L481">
        <v>0</v>
      </c>
      <c r="M481">
        <v>0</v>
      </c>
      <c r="N481">
        <v>34.875</v>
      </c>
      <c r="O481">
        <v>9.5416666666666696</v>
      </c>
      <c r="P481">
        <v>9.5</v>
      </c>
      <c r="Q481">
        <v>0</v>
      </c>
      <c r="R481">
        <v>1.8</v>
      </c>
      <c r="S481">
        <v>4.7</v>
      </c>
      <c r="T481">
        <v>-0.9</v>
      </c>
      <c r="U481">
        <v>-2.4</v>
      </c>
      <c r="V481">
        <v>0.5</v>
      </c>
      <c r="W481">
        <v>0.35</v>
      </c>
      <c r="X481">
        <v>2</v>
      </c>
      <c r="Y481">
        <v>0</v>
      </c>
      <c r="Z481">
        <v>19.600000000000001</v>
      </c>
      <c r="AA481">
        <v>41</v>
      </c>
      <c r="AB481">
        <v>273</v>
      </c>
      <c r="AC481">
        <v>67</v>
      </c>
      <c r="AD481">
        <v>26.3</v>
      </c>
      <c r="AE481">
        <v>11.3</v>
      </c>
      <c r="AF481">
        <v>14.343999999999999</v>
      </c>
      <c r="AG481">
        <v>48.856999999999999</v>
      </c>
      <c r="AH481">
        <v>85.540999999999997</v>
      </c>
      <c r="AI481">
        <v>48.49</v>
      </c>
      <c r="AJ481">
        <v>9.8409999999999993</v>
      </c>
      <c r="AK481">
        <v>11.603</v>
      </c>
      <c r="AL481">
        <v>-14.052</v>
      </c>
      <c r="AM481">
        <v>85.540999999999997</v>
      </c>
      <c r="AN481">
        <v>48.856999999999999</v>
      </c>
      <c r="AO481">
        <v>14.343999999999999</v>
      </c>
      <c r="AP481">
        <v>14.052</v>
      </c>
      <c r="AQ481">
        <v>90.159000000000006</v>
      </c>
      <c r="AR481">
        <v>51.51</v>
      </c>
      <c r="AS481">
        <v>88.397000000000006</v>
      </c>
    </row>
    <row r="482" spans="1:45" x14ac:dyDescent="0.25">
      <c r="A482">
        <v>76</v>
      </c>
      <c r="B482">
        <v>-6</v>
      </c>
      <c r="C482">
        <v>0</v>
      </c>
      <c r="D482">
        <v>2019</v>
      </c>
      <c r="E482">
        <v>16</v>
      </c>
      <c r="F482" t="str">
        <f>IFERROR(VLOOKUP(G482, Map!$A$1:$B$33, 2, FALSE),"WAS")</f>
        <v>WAS</v>
      </c>
      <c r="G482" t="s">
        <v>169</v>
      </c>
      <c r="H482" t="str">
        <f>IFERROR(VLOOKUP(I482, Map!$A$1:$B$33, 2, FALSE),"WAS")</f>
        <v>NYG</v>
      </c>
      <c r="I482" t="s">
        <v>149</v>
      </c>
      <c r="J482" t="s">
        <v>205</v>
      </c>
      <c r="K482" t="s">
        <v>219</v>
      </c>
      <c r="L482">
        <v>0</v>
      </c>
      <c r="M482">
        <v>0</v>
      </c>
      <c r="N482">
        <v>35.0416666666667</v>
      </c>
      <c r="O482">
        <v>0.875</v>
      </c>
      <c r="P482">
        <v>1</v>
      </c>
      <c r="Q482">
        <v>0</v>
      </c>
      <c r="R482">
        <v>1.1000000000000001</v>
      </c>
      <c r="S482">
        <v>8.6</v>
      </c>
      <c r="T482">
        <v>-3.2</v>
      </c>
      <c r="U482">
        <v>-2.5</v>
      </c>
      <c r="V482">
        <v>0</v>
      </c>
      <c r="W482">
        <v>0</v>
      </c>
      <c r="X482">
        <v>0</v>
      </c>
      <c r="Y482">
        <v>0</v>
      </c>
      <c r="Z482">
        <v>11.8</v>
      </c>
      <c r="AA482">
        <v>22.7</v>
      </c>
      <c r="AB482">
        <v>204</v>
      </c>
      <c r="AC482">
        <v>69</v>
      </c>
      <c r="AD482">
        <v>11.9</v>
      </c>
      <c r="AE482">
        <v>6.2</v>
      </c>
      <c r="AF482">
        <v>48.837000000000003</v>
      </c>
      <c r="AG482">
        <v>0.56499999999999995</v>
      </c>
      <c r="AH482">
        <v>50.771000000000001</v>
      </c>
      <c r="AI482">
        <v>1.165</v>
      </c>
      <c r="AJ482">
        <v>86.771000000000001</v>
      </c>
      <c r="AK482">
        <v>26.06</v>
      </c>
      <c r="AL482">
        <v>-0.32</v>
      </c>
      <c r="AM482">
        <v>50.771000000000001</v>
      </c>
      <c r="AN482">
        <v>0.56499999999999995</v>
      </c>
      <c r="AO482">
        <v>48.837000000000003</v>
      </c>
      <c r="AP482">
        <v>0.32</v>
      </c>
      <c r="AQ482">
        <v>13.228999999999999</v>
      </c>
      <c r="AR482">
        <v>98.834999999999994</v>
      </c>
      <c r="AS482">
        <v>73.94</v>
      </c>
    </row>
    <row r="483" spans="1:45" x14ac:dyDescent="0.25">
      <c r="A483">
        <v>43</v>
      </c>
      <c r="B483">
        <v>-3</v>
      </c>
      <c r="C483">
        <v>0</v>
      </c>
      <c r="D483">
        <v>2019</v>
      </c>
      <c r="E483">
        <v>16</v>
      </c>
      <c r="F483" t="str">
        <f>IFERROR(VLOOKUP(G483, Map!$A$1:$B$33, 2, FALSE),"WAS")</f>
        <v>TB</v>
      </c>
      <c r="G483" t="s">
        <v>141</v>
      </c>
      <c r="H483" t="str">
        <f>IFERROR(VLOOKUP(I483, Map!$A$1:$B$33, 2, FALSE),"WAS")</f>
        <v>HOU</v>
      </c>
      <c r="I483" t="s">
        <v>137</v>
      </c>
      <c r="J483" t="s">
        <v>186</v>
      </c>
      <c r="K483" t="s">
        <v>209</v>
      </c>
      <c r="L483">
        <v>0</v>
      </c>
      <c r="M483">
        <v>0</v>
      </c>
      <c r="N483">
        <v>46.25</v>
      </c>
      <c r="O483">
        <v>2.6666666666666701</v>
      </c>
      <c r="P483">
        <v>2</v>
      </c>
      <c r="Q483">
        <v>50</v>
      </c>
      <c r="R483">
        <v>20</v>
      </c>
      <c r="S483">
        <v>23.9</v>
      </c>
      <c r="T483">
        <v>17.3</v>
      </c>
      <c r="U483">
        <v>18.600000000000001</v>
      </c>
      <c r="V483">
        <v>0.7</v>
      </c>
      <c r="W483">
        <v>0</v>
      </c>
      <c r="X483">
        <v>2</v>
      </c>
      <c r="Y483">
        <v>0.7</v>
      </c>
      <c r="Z483">
        <v>27.4</v>
      </c>
      <c r="AA483">
        <v>49</v>
      </c>
      <c r="AB483">
        <v>79</v>
      </c>
      <c r="AC483">
        <v>72</v>
      </c>
      <c r="AD483">
        <v>35.200000000000003</v>
      </c>
      <c r="AE483">
        <v>20.5</v>
      </c>
      <c r="AF483">
        <v>54.005000000000003</v>
      </c>
      <c r="AG483">
        <v>65.884</v>
      </c>
      <c r="AH483">
        <v>45.628</v>
      </c>
      <c r="AI483">
        <v>80.23</v>
      </c>
      <c r="AJ483">
        <v>14.792</v>
      </c>
      <c r="AK483">
        <v>38.19</v>
      </c>
      <c r="AL483">
        <v>1.389</v>
      </c>
      <c r="AM483">
        <v>45.628</v>
      </c>
      <c r="AN483">
        <v>65.884</v>
      </c>
      <c r="AO483">
        <v>54.005000000000003</v>
      </c>
      <c r="AP483">
        <v>-1.389</v>
      </c>
      <c r="AQ483">
        <v>85.207999999999998</v>
      </c>
      <c r="AR483">
        <v>19.77</v>
      </c>
      <c r="AS483">
        <v>61.81</v>
      </c>
    </row>
    <row r="484" spans="1:45" x14ac:dyDescent="0.25">
      <c r="A484">
        <v>33</v>
      </c>
      <c r="B484">
        <v>-13</v>
      </c>
      <c r="C484">
        <v>0</v>
      </c>
      <c r="D484">
        <v>2019</v>
      </c>
      <c r="E484">
        <v>16</v>
      </c>
      <c r="F484" t="str">
        <f>IFERROR(VLOOKUP(G484, Map!$A$1:$B$33, 2, FALSE),"WAS")</f>
        <v>MIN</v>
      </c>
      <c r="G484" t="s">
        <v>153</v>
      </c>
      <c r="H484" t="str">
        <f>IFERROR(VLOOKUP(I484, Map!$A$1:$B$33, 2, FALSE),"WAS")</f>
        <v>GB</v>
      </c>
      <c r="I484" t="s">
        <v>154</v>
      </c>
      <c r="J484" t="s">
        <v>214</v>
      </c>
      <c r="K484" t="s">
        <v>200</v>
      </c>
      <c r="L484">
        <v>0</v>
      </c>
      <c r="M484">
        <v>0</v>
      </c>
      <c r="N484">
        <v>38.9166666666667</v>
      </c>
      <c r="O484">
        <v>-4</v>
      </c>
      <c r="P484">
        <v>-4</v>
      </c>
      <c r="Q484">
        <v>0</v>
      </c>
      <c r="R484">
        <v>0.7</v>
      </c>
      <c r="S484">
        <v>3.1</v>
      </c>
      <c r="T484">
        <v>-0.5</v>
      </c>
      <c r="U484">
        <v>-3.1</v>
      </c>
      <c r="V484">
        <v>0</v>
      </c>
      <c r="W484">
        <v>0</v>
      </c>
      <c r="X484">
        <v>0</v>
      </c>
      <c r="Y484">
        <v>0</v>
      </c>
      <c r="Z484">
        <v>14.1</v>
      </c>
      <c r="AA484">
        <v>24.8</v>
      </c>
      <c r="AB484">
        <v>118</v>
      </c>
      <c r="AC484">
        <v>89</v>
      </c>
      <c r="AD484">
        <v>17.7</v>
      </c>
      <c r="AE484">
        <v>9.9</v>
      </c>
      <c r="AF484">
        <v>68.126999999999995</v>
      </c>
      <c r="AG484">
        <v>77.905000000000001</v>
      </c>
      <c r="AH484">
        <v>31.619</v>
      </c>
      <c r="AI484">
        <v>74.989999999999995</v>
      </c>
      <c r="AJ484">
        <v>1.9079999999999999</v>
      </c>
      <c r="AK484">
        <v>26.134</v>
      </c>
      <c r="AL484">
        <v>6.2720000000000002</v>
      </c>
      <c r="AM484">
        <v>31.619</v>
      </c>
      <c r="AN484">
        <v>77.905000000000001</v>
      </c>
      <c r="AO484">
        <v>68.126999999999995</v>
      </c>
      <c r="AP484">
        <v>-6.2720000000000002</v>
      </c>
      <c r="AQ484">
        <v>98.091999999999999</v>
      </c>
      <c r="AR484">
        <v>25.01</v>
      </c>
      <c r="AS484">
        <v>73.866</v>
      </c>
    </row>
    <row r="485" spans="1:45" x14ac:dyDescent="0.25">
      <c r="A485">
        <v>41</v>
      </c>
      <c r="B485">
        <v>-7</v>
      </c>
      <c r="C485">
        <v>0</v>
      </c>
      <c r="D485">
        <v>2019</v>
      </c>
      <c r="E485">
        <v>16</v>
      </c>
      <c r="F485" t="str">
        <f>IFERROR(VLOOKUP(G485, Map!$A$1:$B$33, 2, FALSE),"WAS")</f>
        <v>LAC</v>
      </c>
      <c r="G485" t="s">
        <v>160</v>
      </c>
      <c r="H485" t="str">
        <f>IFERROR(VLOOKUP(I485, Map!$A$1:$B$33, 2, FALSE),"WAS")</f>
        <v>LV</v>
      </c>
      <c r="I485" t="s">
        <v>157</v>
      </c>
      <c r="J485" t="s">
        <v>210</v>
      </c>
      <c r="K485" t="s">
        <v>179</v>
      </c>
      <c r="L485">
        <v>0</v>
      </c>
      <c r="M485">
        <v>0</v>
      </c>
      <c r="N485">
        <v>37.5833333333333</v>
      </c>
      <c r="O485">
        <v>-6.875</v>
      </c>
      <c r="P485">
        <v>-7.5</v>
      </c>
      <c r="Q485">
        <v>0</v>
      </c>
      <c r="R485">
        <v>13.4</v>
      </c>
      <c r="S485">
        <v>18.2</v>
      </c>
      <c r="T485">
        <v>8.8000000000000007</v>
      </c>
      <c r="U485">
        <v>11.1</v>
      </c>
      <c r="V485">
        <v>0</v>
      </c>
      <c r="W485">
        <v>0</v>
      </c>
      <c r="X485">
        <v>0</v>
      </c>
      <c r="Y485">
        <v>0</v>
      </c>
      <c r="Z485">
        <v>21.6</v>
      </c>
      <c r="AA485">
        <v>34.9</v>
      </c>
      <c r="AB485">
        <v>131</v>
      </c>
      <c r="AC485">
        <v>63</v>
      </c>
      <c r="AD485">
        <v>16.100000000000001</v>
      </c>
      <c r="AE485">
        <v>10.199999999999999</v>
      </c>
      <c r="AF485">
        <v>72.783000000000001</v>
      </c>
      <c r="AG485">
        <v>41.253999999999998</v>
      </c>
      <c r="AH485">
        <v>27.001000000000001</v>
      </c>
      <c r="AI485">
        <v>12.644</v>
      </c>
      <c r="AJ485">
        <v>57.987000000000002</v>
      </c>
      <c r="AK485">
        <v>21.408999999999999</v>
      </c>
      <c r="AL485">
        <v>8.0510000000000002</v>
      </c>
      <c r="AM485">
        <v>27.001000000000001</v>
      </c>
      <c r="AN485">
        <v>41.253999999999998</v>
      </c>
      <c r="AO485">
        <v>72.783000000000001</v>
      </c>
      <c r="AP485">
        <v>-8.0510000000000002</v>
      </c>
      <c r="AQ485">
        <v>42.012999999999998</v>
      </c>
      <c r="AR485">
        <v>87.355999999999995</v>
      </c>
      <c r="AS485">
        <v>78.590999999999994</v>
      </c>
    </row>
    <row r="486" spans="1:45" x14ac:dyDescent="0.25">
      <c r="A486">
        <v>41</v>
      </c>
      <c r="B486">
        <v>7</v>
      </c>
      <c r="C486">
        <v>1</v>
      </c>
      <c r="D486">
        <v>2019</v>
      </c>
      <c r="E486">
        <v>16</v>
      </c>
      <c r="F486" t="str">
        <f>IFERROR(VLOOKUP(G486, Map!$A$1:$B$33, 2, FALSE),"WAS")</f>
        <v>NE</v>
      </c>
      <c r="G486" t="s">
        <v>151</v>
      </c>
      <c r="H486" t="str">
        <f>IFERROR(VLOOKUP(I486, Map!$A$1:$B$33, 2, FALSE),"WAS")</f>
        <v>BUF</v>
      </c>
      <c r="I486" t="s">
        <v>165</v>
      </c>
      <c r="J486" t="s">
        <v>187</v>
      </c>
      <c r="K486" t="s">
        <v>180</v>
      </c>
      <c r="L486">
        <v>1</v>
      </c>
      <c r="M486">
        <v>0</v>
      </c>
      <c r="N486">
        <v>31.875</v>
      </c>
      <c r="O486">
        <v>-6.0833333333333304</v>
      </c>
      <c r="P486">
        <v>-6.5</v>
      </c>
      <c r="Q486">
        <v>0</v>
      </c>
      <c r="R486">
        <v>-4.2</v>
      </c>
      <c r="S486">
        <v>2.1</v>
      </c>
      <c r="T486">
        <v>-8.1</v>
      </c>
      <c r="U486">
        <v>-8.6999999999999993</v>
      </c>
      <c r="V486">
        <v>0</v>
      </c>
      <c r="W486">
        <v>0</v>
      </c>
      <c r="X486">
        <v>0</v>
      </c>
      <c r="Y486">
        <v>0</v>
      </c>
      <c r="Z486">
        <v>13.9</v>
      </c>
      <c r="AA486">
        <v>28.4</v>
      </c>
      <c r="AB486">
        <v>323</v>
      </c>
      <c r="AC486">
        <v>63</v>
      </c>
      <c r="AD486">
        <v>20</v>
      </c>
      <c r="AE486">
        <v>8.4</v>
      </c>
      <c r="AF486">
        <v>81.442999999999998</v>
      </c>
      <c r="AG486">
        <v>60.588999999999999</v>
      </c>
      <c r="AH486">
        <v>18.408999999999999</v>
      </c>
      <c r="AI486">
        <v>50.704999999999998</v>
      </c>
      <c r="AJ486">
        <v>69.528000000000006</v>
      </c>
      <c r="AK486">
        <v>65.290000000000006</v>
      </c>
      <c r="AL486">
        <v>11.85</v>
      </c>
      <c r="AM486">
        <v>18.408999999999999</v>
      </c>
      <c r="AN486">
        <v>60.588999999999999</v>
      </c>
      <c r="AO486">
        <v>81.442999999999998</v>
      </c>
      <c r="AP486">
        <v>-11.85</v>
      </c>
      <c r="AQ486">
        <v>30.472000000000001</v>
      </c>
      <c r="AR486">
        <v>49.295000000000002</v>
      </c>
      <c r="AS486">
        <v>34.71</v>
      </c>
    </row>
    <row r="487" spans="1:45" x14ac:dyDescent="0.25">
      <c r="A487">
        <v>29</v>
      </c>
      <c r="B487">
        <v>-23</v>
      </c>
      <c r="C487">
        <v>0</v>
      </c>
      <c r="D487">
        <v>2019</v>
      </c>
      <c r="E487">
        <v>16</v>
      </c>
      <c r="F487" t="str">
        <f>IFERROR(VLOOKUP(G487, Map!$A$1:$B$33, 2, FALSE),"WAS")</f>
        <v>CHI</v>
      </c>
      <c r="G487" t="s">
        <v>163</v>
      </c>
      <c r="H487" t="str">
        <f>IFERROR(VLOOKUP(I487, Map!$A$1:$B$33, 2, FALSE),"WAS")</f>
        <v>KC</v>
      </c>
      <c r="I487" t="s">
        <v>158</v>
      </c>
      <c r="J487" t="s">
        <v>216</v>
      </c>
      <c r="K487" t="s">
        <v>202</v>
      </c>
      <c r="L487">
        <v>0</v>
      </c>
      <c r="M487">
        <v>0</v>
      </c>
      <c r="N487">
        <v>37.625</v>
      </c>
      <c r="O487">
        <v>6.125</v>
      </c>
      <c r="P487">
        <v>5</v>
      </c>
      <c r="Q487">
        <v>0</v>
      </c>
      <c r="R487">
        <v>4.4000000000000004</v>
      </c>
      <c r="S487">
        <v>10.199999999999999</v>
      </c>
      <c r="T487">
        <v>0.8</v>
      </c>
      <c r="U487">
        <v>-0.3</v>
      </c>
      <c r="V487">
        <v>0</v>
      </c>
      <c r="W487">
        <v>0</v>
      </c>
      <c r="X487">
        <v>0</v>
      </c>
      <c r="Y487">
        <v>0</v>
      </c>
      <c r="Z487">
        <v>23.2</v>
      </c>
      <c r="AA487">
        <v>33.1</v>
      </c>
      <c r="AB487">
        <v>230</v>
      </c>
      <c r="AC487">
        <v>73</v>
      </c>
      <c r="AD487">
        <v>27.4</v>
      </c>
      <c r="AE487">
        <v>18.100000000000001</v>
      </c>
      <c r="AF487">
        <v>28.091999999999999</v>
      </c>
      <c r="AG487">
        <v>82.603999999999999</v>
      </c>
      <c r="AH487">
        <v>71.682000000000002</v>
      </c>
      <c r="AI487">
        <v>15.43</v>
      </c>
      <c r="AJ487">
        <v>18.643000000000001</v>
      </c>
      <c r="AK487">
        <v>6.452</v>
      </c>
      <c r="AL487">
        <v>-7.6180000000000003</v>
      </c>
      <c r="AM487">
        <v>71.682000000000002</v>
      </c>
      <c r="AN487">
        <v>82.603999999999999</v>
      </c>
      <c r="AO487">
        <v>28.091999999999999</v>
      </c>
      <c r="AP487">
        <v>7.6180000000000003</v>
      </c>
      <c r="AQ487">
        <v>81.356999999999999</v>
      </c>
      <c r="AR487">
        <v>84.57</v>
      </c>
      <c r="AS487">
        <v>93.548000000000002</v>
      </c>
    </row>
    <row r="488" spans="1:45" x14ac:dyDescent="0.25">
      <c r="A488">
        <v>44</v>
      </c>
      <c r="B488">
        <v>32</v>
      </c>
      <c r="C488">
        <v>1</v>
      </c>
      <c r="D488">
        <v>2019</v>
      </c>
      <c r="E488">
        <v>16</v>
      </c>
      <c r="F488" t="str">
        <f>IFERROR(VLOOKUP(G488, Map!$A$1:$B$33, 2, FALSE),"WAS")</f>
        <v>IND</v>
      </c>
      <c r="G488" t="s">
        <v>138</v>
      </c>
      <c r="H488" t="str">
        <f>IFERROR(VLOOKUP(I488, Map!$A$1:$B$33, 2, FALSE),"WAS")</f>
        <v>CAR</v>
      </c>
      <c r="I488" t="s">
        <v>142</v>
      </c>
      <c r="J488" t="s">
        <v>177</v>
      </c>
      <c r="K488" t="s">
        <v>185</v>
      </c>
      <c r="L488">
        <v>1</v>
      </c>
      <c r="M488">
        <v>0</v>
      </c>
      <c r="N488">
        <v>42.625</v>
      </c>
      <c r="O488">
        <v>-6.4583333333333304</v>
      </c>
      <c r="P488">
        <v>-6.5</v>
      </c>
      <c r="Q488">
        <v>46</v>
      </c>
      <c r="R488">
        <v>-0.3</v>
      </c>
      <c r="S488">
        <v>6.5</v>
      </c>
      <c r="T488">
        <v>-4.2</v>
      </c>
      <c r="U488">
        <v>-4</v>
      </c>
      <c r="V488">
        <v>0</v>
      </c>
      <c r="W488">
        <v>0</v>
      </c>
      <c r="X488">
        <v>0</v>
      </c>
      <c r="Y488">
        <v>0</v>
      </c>
      <c r="Z488">
        <v>14</v>
      </c>
      <c r="AA488">
        <v>17.600000000000001</v>
      </c>
      <c r="AB488">
        <v>181</v>
      </c>
      <c r="AC488">
        <v>86</v>
      </c>
      <c r="AD488">
        <v>13.2</v>
      </c>
      <c r="AE488">
        <v>8.9</v>
      </c>
      <c r="AF488">
        <v>70.2</v>
      </c>
      <c r="AG488">
        <v>36.087000000000003</v>
      </c>
      <c r="AH488">
        <v>29.562000000000001</v>
      </c>
      <c r="AI488">
        <v>89.343999999999994</v>
      </c>
      <c r="AJ488">
        <v>84.328999999999994</v>
      </c>
      <c r="AK488">
        <v>97.81</v>
      </c>
      <c r="AL488">
        <v>7.048</v>
      </c>
      <c r="AM488">
        <v>29.562000000000001</v>
      </c>
      <c r="AN488">
        <v>36.087000000000003</v>
      </c>
      <c r="AO488">
        <v>70.2</v>
      </c>
      <c r="AP488">
        <v>-7.048</v>
      </c>
      <c r="AQ488">
        <v>15.670999999999999</v>
      </c>
      <c r="AR488">
        <v>10.656000000000001</v>
      </c>
      <c r="AS488">
        <v>2.19</v>
      </c>
    </row>
    <row r="489" spans="1:45" x14ac:dyDescent="0.25">
      <c r="A489">
        <v>40</v>
      </c>
      <c r="B489">
        <v>-14</v>
      </c>
      <c r="C489">
        <v>0</v>
      </c>
      <c r="D489">
        <v>2019</v>
      </c>
      <c r="E489">
        <v>16</v>
      </c>
      <c r="F489" t="str">
        <f>IFERROR(VLOOKUP(G489, Map!$A$1:$B$33, 2, FALSE),"WAS")</f>
        <v>SEA</v>
      </c>
      <c r="G489" t="s">
        <v>144</v>
      </c>
      <c r="H489" t="str">
        <f>IFERROR(VLOOKUP(I489, Map!$A$1:$B$33, 2, FALSE),"WAS")</f>
        <v>ARI</v>
      </c>
      <c r="I489" t="s">
        <v>156</v>
      </c>
      <c r="J489" t="s">
        <v>182</v>
      </c>
      <c r="K489" t="s">
        <v>190</v>
      </c>
      <c r="L489">
        <v>0</v>
      </c>
      <c r="M489">
        <v>0</v>
      </c>
      <c r="N489">
        <v>39.230769230769198</v>
      </c>
      <c r="O489">
        <v>-6.6923076923076898</v>
      </c>
      <c r="P489">
        <v>-7.5</v>
      </c>
      <c r="Q489">
        <v>0</v>
      </c>
      <c r="R489">
        <v>5.7</v>
      </c>
      <c r="S489">
        <v>6.9</v>
      </c>
      <c r="T489">
        <v>3.6</v>
      </c>
      <c r="U489">
        <v>3</v>
      </c>
      <c r="V489">
        <v>0.2</v>
      </c>
      <c r="W489">
        <v>0</v>
      </c>
      <c r="X489">
        <v>2</v>
      </c>
      <c r="Y489">
        <v>0.2</v>
      </c>
      <c r="Z489">
        <v>19.8</v>
      </c>
      <c r="AA489">
        <v>34.9</v>
      </c>
      <c r="AB489">
        <v>108</v>
      </c>
      <c r="AC489">
        <v>92</v>
      </c>
      <c r="AD489">
        <v>18.100000000000001</v>
      </c>
      <c r="AE489">
        <v>9.5</v>
      </c>
      <c r="AF489">
        <v>79.974000000000004</v>
      </c>
      <c r="AG489">
        <v>48.365000000000002</v>
      </c>
      <c r="AH489">
        <v>19.867000000000001</v>
      </c>
      <c r="AI489">
        <v>29.808</v>
      </c>
      <c r="AJ489">
        <v>13.798999999999999</v>
      </c>
      <c r="AK489">
        <v>17.951000000000001</v>
      </c>
      <c r="AL489">
        <v>11.141999999999999</v>
      </c>
      <c r="AM489">
        <v>19.867000000000001</v>
      </c>
      <c r="AN489">
        <v>48.365000000000002</v>
      </c>
      <c r="AO489">
        <v>79.974000000000004</v>
      </c>
      <c r="AP489">
        <v>-11.141999999999999</v>
      </c>
      <c r="AQ489">
        <v>86.200999999999993</v>
      </c>
      <c r="AR489">
        <v>70.191999999999993</v>
      </c>
      <c r="AS489">
        <v>82.049000000000007</v>
      </c>
    </row>
    <row r="490" spans="1:45" x14ac:dyDescent="0.25">
      <c r="A490">
        <v>46</v>
      </c>
      <c r="B490">
        <v>-16</v>
      </c>
      <c r="C490">
        <v>0</v>
      </c>
      <c r="D490">
        <v>2019</v>
      </c>
      <c r="E490">
        <v>16</v>
      </c>
      <c r="F490" t="str">
        <f>IFERROR(VLOOKUP(G490, Map!$A$1:$B$33, 2, FALSE),"WAS")</f>
        <v>CLE</v>
      </c>
      <c r="G490" t="s">
        <v>162</v>
      </c>
      <c r="H490" t="str">
        <f>IFERROR(VLOOKUP(I490, Map!$A$1:$B$33, 2, FALSE),"WAS")</f>
        <v>BAL</v>
      </c>
      <c r="I490" t="s">
        <v>146</v>
      </c>
      <c r="J490" t="s">
        <v>171</v>
      </c>
      <c r="K490" t="s">
        <v>181</v>
      </c>
      <c r="L490">
        <v>0</v>
      </c>
      <c r="M490">
        <v>0</v>
      </c>
      <c r="N490">
        <v>40.9166666666667</v>
      </c>
      <c r="O490">
        <v>9.0833333333333304</v>
      </c>
      <c r="P490">
        <v>9</v>
      </c>
      <c r="Q490">
        <v>0</v>
      </c>
      <c r="R490">
        <v>3.6</v>
      </c>
      <c r="S490">
        <v>10.5</v>
      </c>
      <c r="T490">
        <v>0.5</v>
      </c>
      <c r="U490">
        <v>-0.7</v>
      </c>
      <c r="V490">
        <v>0</v>
      </c>
      <c r="W490">
        <v>0</v>
      </c>
      <c r="X490">
        <v>0</v>
      </c>
      <c r="Y490">
        <v>0</v>
      </c>
      <c r="Z490">
        <v>18</v>
      </c>
      <c r="AA490">
        <v>29.2</v>
      </c>
      <c r="AB490">
        <v>210</v>
      </c>
      <c r="AC490">
        <v>70</v>
      </c>
      <c r="AD490">
        <v>22.8</v>
      </c>
      <c r="AE490">
        <v>13.7</v>
      </c>
      <c r="AF490">
        <v>21.297999999999998</v>
      </c>
      <c r="AG490">
        <v>71.998999999999995</v>
      </c>
      <c r="AH490">
        <v>78.531000000000006</v>
      </c>
      <c r="AI490">
        <v>14.006</v>
      </c>
      <c r="AJ490">
        <v>36.512</v>
      </c>
      <c r="AK490">
        <v>16.381</v>
      </c>
      <c r="AL490">
        <v>-10.477</v>
      </c>
      <c r="AM490">
        <v>78.531000000000006</v>
      </c>
      <c r="AN490">
        <v>71.998999999999995</v>
      </c>
      <c r="AO490">
        <v>21.297999999999998</v>
      </c>
      <c r="AP490">
        <v>10.477</v>
      </c>
      <c r="AQ490">
        <v>63.488</v>
      </c>
      <c r="AR490">
        <v>85.994</v>
      </c>
      <c r="AS490">
        <v>83.619</v>
      </c>
    </row>
    <row r="491" spans="1:45" x14ac:dyDescent="0.25">
      <c r="A491">
        <v>26</v>
      </c>
      <c r="B491">
        <v>8</v>
      </c>
      <c r="C491">
        <v>1</v>
      </c>
      <c r="D491">
        <v>2019</v>
      </c>
      <c r="E491">
        <v>16</v>
      </c>
      <c r="F491" t="str">
        <f>IFERROR(VLOOKUP(G491, Map!$A$1:$B$33, 2, FALSE),"WAS")</f>
        <v>PHI</v>
      </c>
      <c r="G491" t="s">
        <v>147</v>
      </c>
      <c r="H491" t="str">
        <f>IFERROR(VLOOKUP(I491, Map!$A$1:$B$33, 2, FALSE),"WAS")</f>
        <v>DAL</v>
      </c>
      <c r="I491" t="s">
        <v>150</v>
      </c>
      <c r="J491" t="s">
        <v>206</v>
      </c>
      <c r="K491" t="s">
        <v>184</v>
      </c>
      <c r="L491">
        <v>1</v>
      </c>
      <c r="M491">
        <v>0</v>
      </c>
      <c r="N491">
        <v>42.6666666666667</v>
      </c>
      <c r="O491">
        <v>2.2083333333333299</v>
      </c>
      <c r="P491">
        <v>2</v>
      </c>
      <c r="Q491">
        <v>46.5</v>
      </c>
      <c r="R491">
        <v>-0.4</v>
      </c>
      <c r="S491">
        <v>9.3000000000000007</v>
      </c>
      <c r="T491">
        <v>-4.8</v>
      </c>
      <c r="U491">
        <v>-4.4000000000000004</v>
      </c>
      <c r="V491">
        <v>0</v>
      </c>
      <c r="W491">
        <v>0</v>
      </c>
      <c r="X491">
        <v>0</v>
      </c>
      <c r="Y491">
        <v>0</v>
      </c>
      <c r="Z491">
        <v>15.5</v>
      </c>
      <c r="AA491">
        <v>31.3</v>
      </c>
      <c r="AB491">
        <v>248</v>
      </c>
      <c r="AC491">
        <v>67</v>
      </c>
      <c r="AD491">
        <v>14.6</v>
      </c>
      <c r="AE491">
        <v>7.8</v>
      </c>
      <c r="AF491">
        <v>44.634</v>
      </c>
      <c r="AG491">
        <v>79.296000000000006</v>
      </c>
      <c r="AH491">
        <v>55.006999999999998</v>
      </c>
      <c r="AI491">
        <v>81.179000000000002</v>
      </c>
      <c r="AJ491">
        <v>63.936</v>
      </c>
      <c r="AK491">
        <v>75.197999999999993</v>
      </c>
      <c r="AL491">
        <v>-1.722</v>
      </c>
      <c r="AM491">
        <v>55.006999999999998</v>
      </c>
      <c r="AN491">
        <v>79.296000000000006</v>
      </c>
      <c r="AO491">
        <v>44.634</v>
      </c>
      <c r="AP491">
        <v>1.722</v>
      </c>
      <c r="AQ491">
        <v>36.064</v>
      </c>
      <c r="AR491">
        <v>18.821000000000002</v>
      </c>
      <c r="AS491">
        <v>24.802</v>
      </c>
    </row>
    <row r="492" spans="1:45" x14ac:dyDescent="0.25">
      <c r="A492">
        <v>66</v>
      </c>
      <c r="B492">
        <v>-10</v>
      </c>
      <c r="C492">
        <v>0</v>
      </c>
      <c r="D492">
        <v>2019</v>
      </c>
      <c r="E492">
        <v>16</v>
      </c>
      <c r="F492" t="str">
        <f>IFERROR(VLOOKUP(G492, Map!$A$1:$B$33, 2, FALSE),"WAS")</f>
        <v>TEN</v>
      </c>
      <c r="G492" t="s">
        <v>140</v>
      </c>
      <c r="H492" t="str">
        <f>IFERROR(VLOOKUP(I492, Map!$A$1:$B$33, 2, FALSE),"WAS")</f>
        <v>NO</v>
      </c>
      <c r="I492" t="s">
        <v>168</v>
      </c>
      <c r="J492" t="s">
        <v>174</v>
      </c>
      <c r="K492" t="s">
        <v>192</v>
      </c>
      <c r="L492">
        <v>0</v>
      </c>
      <c r="M492">
        <v>0</v>
      </c>
      <c r="N492">
        <v>45.125</v>
      </c>
      <c r="O492">
        <v>3.0416666666666701</v>
      </c>
      <c r="P492">
        <v>3</v>
      </c>
      <c r="Q492">
        <v>48.5</v>
      </c>
      <c r="R492">
        <v>6.8</v>
      </c>
      <c r="S492">
        <v>9.8000000000000007</v>
      </c>
      <c r="T492">
        <v>4.7</v>
      </c>
      <c r="U492">
        <v>4.3</v>
      </c>
      <c r="V492">
        <v>1.3</v>
      </c>
      <c r="W492">
        <v>0</v>
      </c>
      <c r="X492">
        <v>7</v>
      </c>
      <c r="Y492">
        <v>1.3</v>
      </c>
      <c r="Z492">
        <v>13.3</v>
      </c>
      <c r="AA492">
        <v>22.7</v>
      </c>
      <c r="AB492">
        <v>62</v>
      </c>
      <c r="AC492">
        <v>83</v>
      </c>
      <c r="AD492">
        <v>12</v>
      </c>
      <c r="AE492">
        <v>7.4</v>
      </c>
      <c r="AF492">
        <v>45.237000000000002</v>
      </c>
      <c r="AG492">
        <v>91.072000000000003</v>
      </c>
      <c r="AH492">
        <v>54.4</v>
      </c>
      <c r="AI492">
        <v>21.422000000000001</v>
      </c>
      <c r="AJ492">
        <v>63.363999999999997</v>
      </c>
      <c r="AK492">
        <v>30.87</v>
      </c>
      <c r="AL492">
        <v>-1.52</v>
      </c>
      <c r="AM492">
        <v>54.4</v>
      </c>
      <c r="AN492">
        <v>91.072000000000003</v>
      </c>
      <c r="AO492">
        <v>45.237000000000002</v>
      </c>
      <c r="AP492">
        <v>1.52</v>
      </c>
      <c r="AQ492">
        <v>36.636000000000003</v>
      </c>
      <c r="AR492">
        <v>78.578000000000003</v>
      </c>
      <c r="AS492">
        <v>69.13</v>
      </c>
    </row>
    <row r="493" spans="1:45" x14ac:dyDescent="0.25">
      <c r="A493">
        <v>44</v>
      </c>
      <c r="B493">
        <v>10</v>
      </c>
      <c r="C493">
        <v>1</v>
      </c>
      <c r="D493">
        <v>2019</v>
      </c>
      <c r="E493">
        <v>16</v>
      </c>
      <c r="F493" t="str">
        <f>IFERROR(VLOOKUP(G493, Map!$A$1:$B$33, 2, FALSE),"WAS")</f>
        <v>DEN</v>
      </c>
      <c r="G493" t="s">
        <v>159</v>
      </c>
      <c r="H493" t="str">
        <f>IFERROR(VLOOKUP(I493, Map!$A$1:$B$33, 2, FALSE),"WAS")</f>
        <v>DET</v>
      </c>
      <c r="I493" t="s">
        <v>164</v>
      </c>
      <c r="J493" t="s">
        <v>183</v>
      </c>
      <c r="K493" t="s">
        <v>173</v>
      </c>
      <c r="L493">
        <v>1</v>
      </c>
      <c r="M493">
        <v>0</v>
      </c>
      <c r="N493">
        <v>33.125</v>
      </c>
      <c r="O493">
        <v>-7.375</v>
      </c>
      <c r="P493">
        <v>-7.5</v>
      </c>
      <c r="Q493">
        <v>0</v>
      </c>
      <c r="R493">
        <v>1.5</v>
      </c>
      <c r="S493">
        <v>13</v>
      </c>
      <c r="T493">
        <v>-4.5</v>
      </c>
      <c r="U493">
        <v>-2.8</v>
      </c>
      <c r="V493">
        <v>0</v>
      </c>
      <c r="W493">
        <v>0</v>
      </c>
      <c r="X493">
        <v>0</v>
      </c>
      <c r="Y493">
        <v>0</v>
      </c>
      <c r="Z493">
        <v>13</v>
      </c>
      <c r="AA493">
        <v>17.3</v>
      </c>
      <c r="AB493">
        <v>179</v>
      </c>
      <c r="AC493">
        <v>53</v>
      </c>
      <c r="AD493">
        <v>14.5</v>
      </c>
      <c r="AE493">
        <v>9.6</v>
      </c>
      <c r="AF493">
        <v>64.846999999999994</v>
      </c>
      <c r="AG493">
        <v>23.742000000000001</v>
      </c>
      <c r="AH493">
        <v>34.872999999999998</v>
      </c>
      <c r="AI493">
        <v>54.487000000000002</v>
      </c>
      <c r="AJ493">
        <v>77.451999999999998</v>
      </c>
      <c r="AK493">
        <v>71.534000000000006</v>
      </c>
      <c r="AL493">
        <v>5.085</v>
      </c>
      <c r="AM493">
        <v>34.872999999999998</v>
      </c>
      <c r="AN493">
        <v>23.742000000000001</v>
      </c>
      <c r="AO493">
        <v>64.846999999999994</v>
      </c>
      <c r="AP493">
        <v>-5.085</v>
      </c>
      <c r="AQ493">
        <v>22.547999999999998</v>
      </c>
      <c r="AR493">
        <v>45.512999999999998</v>
      </c>
      <c r="AS493">
        <v>28.466000000000001</v>
      </c>
    </row>
    <row r="494" spans="1:45" x14ac:dyDescent="0.25">
      <c r="A494">
        <v>65</v>
      </c>
      <c r="B494">
        <v>3</v>
      </c>
      <c r="C494">
        <v>1</v>
      </c>
      <c r="D494">
        <v>2019</v>
      </c>
      <c r="E494">
        <v>16</v>
      </c>
      <c r="F494" t="str">
        <f>IFERROR(VLOOKUP(G494, Map!$A$1:$B$33, 2, FALSE),"WAS")</f>
        <v>SF</v>
      </c>
      <c r="G494" t="s">
        <v>143</v>
      </c>
      <c r="H494" t="str">
        <f>IFERROR(VLOOKUP(I494, Map!$A$1:$B$33, 2, FALSE),"WAS")</f>
        <v>LA</v>
      </c>
      <c r="I494" t="s">
        <v>155</v>
      </c>
      <c r="J494" t="s">
        <v>197</v>
      </c>
      <c r="K494" t="s">
        <v>178</v>
      </c>
      <c r="L494">
        <v>1</v>
      </c>
      <c r="M494">
        <v>0</v>
      </c>
      <c r="N494">
        <v>38</v>
      </c>
      <c r="O494">
        <v>-6.4166666666666696</v>
      </c>
      <c r="P494">
        <v>-7</v>
      </c>
      <c r="Q494">
        <v>0</v>
      </c>
      <c r="R494">
        <v>11.5</v>
      </c>
      <c r="S494">
        <v>13.7</v>
      </c>
      <c r="T494">
        <v>9.5</v>
      </c>
      <c r="U494">
        <v>8.6</v>
      </c>
      <c r="V494">
        <v>11.3</v>
      </c>
      <c r="W494">
        <v>0</v>
      </c>
      <c r="X494">
        <v>7</v>
      </c>
      <c r="Y494">
        <v>11.3</v>
      </c>
      <c r="Z494">
        <v>25.1</v>
      </c>
      <c r="AA494">
        <v>43.2</v>
      </c>
      <c r="AB494">
        <v>148</v>
      </c>
      <c r="AC494">
        <v>73</v>
      </c>
      <c r="AD494">
        <v>25.1</v>
      </c>
      <c r="AE494">
        <v>14.6</v>
      </c>
      <c r="AF494">
        <v>69.930999999999997</v>
      </c>
      <c r="AG494">
        <v>78.933000000000007</v>
      </c>
      <c r="AH494">
        <v>29.829000000000001</v>
      </c>
      <c r="AI494">
        <v>53.83</v>
      </c>
      <c r="AJ494">
        <v>41.563000000000002</v>
      </c>
      <c r="AK494">
        <v>53.088999999999999</v>
      </c>
      <c r="AL494">
        <v>6.9459999999999997</v>
      </c>
      <c r="AM494">
        <v>29.829000000000001</v>
      </c>
      <c r="AN494">
        <v>78.933000000000007</v>
      </c>
      <c r="AO494">
        <v>69.930999999999997</v>
      </c>
      <c r="AP494">
        <v>-6.9459999999999997</v>
      </c>
      <c r="AQ494">
        <v>58.436999999999998</v>
      </c>
      <c r="AR494">
        <v>46.17</v>
      </c>
      <c r="AS494">
        <v>46.911000000000001</v>
      </c>
    </row>
    <row r="495" spans="1:45" x14ac:dyDescent="0.25">
      <c r="A495">
        <v>26</v>
      </c>
      <c r="B495">
        <v>6</v>
      </c>
      <c r="C495">
        <v>1</v>
      </c>
      <c r="D495">
        <v>2019</v>
      </c>
      <c r="E495">
        <v>16</v>
      </c>
      <c r="F495" t="str">
        <f>IFERROR(VLOOKUP(G495, Map!$A$1:$B$33, 2, FALSE),"WAS")</f>
        <v>NYJ</v>
      </c>
      <c r="G495" t="s">
        <v>166</v>
      </c>
      <c r="H495" t="str">
        <f>IFERROR(VLOOKUP(I495, Map!$A$1:$B$33, 2, FALSE),"WAS")</f>
        <v>PIT</v>
      </c>
      <c r="I495" t="s">
        <v>145</v>
      </c>
      <c r="J495" t="s">
        <v>172</v>
      </c>
      <c r="K495" t="s">
        <v>170</v>
      </c>
      <c r="L495">
        <v>1</v>
      </c>
      <c r="M495">
        <v>0</v>
      </c>
      <c r="N495">
        <v>33.4166666666667</v>
      </c>
      <c r="O495">
        <v>2.75</v>
      </c>
      <c r="P495">
        <v>2</v>
      </c>
      <c r="Q495">
        <v>36</v>
      </c>
      <c r="R495">
        <v>-0.1</v>
      </c>
      <c r="S495">
        <v>9.4</v>
      </c>
      <c r="T495">
        <v>-4.5999999999999996</v>
      </c>
      <c r="U495">
        <v>-4.4000000000000004</v>
      </c>
      <c r="V495">
        <v>0</v>
      </c>
      <c r="W495">
        <v>0</v>
      </c>
      <c r="X495">
        <v>0</v>
      </c>
      <c r="Y495">
        <v>0</v>
      </c>
      <c r="Z495">
        <v>16.100000000000001</v>
      </c>
      <c r="AA495">
        <v>32.799999999999997</v>
      </c>
      <c r="AB495">
        <v>248</v>
      </c>
      <c r="AC495">
        <v>64</v>
      </c>
      <c r="AD495">
        <v>18.399999999999999</v>
      </c>
      <c r="AE495">
        <v>9.1999999999999993</v>
      </c>
      <c r="AF495">
        <v>47.326999999999998</v>
      </c>
      <c r="AG495">
        <v>14.487</v>
      </c>
      <c r="AH495">
        <v>52.292999999999999</v>
      </c>
      <c r="AI495">
        <v>80.72</v>
      </c>
      <c r="AJ495">
        <v>29.873000000000001</v>
      </c>
      <c r="AK495">
        <v>66.150000000000006</v>
      </c>
      <c r="AL495">
        <v>-0.82299999999999995</v>
      </c>
      <c r="AM495">
        <v>52.292999999999999</v>
      </c>
      <c r="AN495">
        <v>14.487</v>
      </c>
      <c r="AO495">
        <v>47.326999999999998</v>
      </c>
      <c r="AP495">
        <v>0.82299999999999995</v>
      </c>
      <c r="AQ495">
        <v>70.126999999999995</v>
      </c>
      <c r="AR495">
        <v>19.28</v>
      </c>
      <c r="AS495">
        <v>33.85</v>
      </c>
    </row>
    <row r="496" spans="1:45" x14ac:dyDescent="0.25">
      <c r="A496">
        <v>73</v>
      </c>
      <c r="B496">
        <v>3</v>
      </c>
      <c r="C496">
        <v>1</v>
      </c>
      <c r="D496">
        <v>2019</v>
      </c>
      <c r="E496">
        <v>16</v>
      </c>
      <c r="F496" t="str">
        <f>IFERROR(VLOOKUP(G496, Map!$A$1:$B$33, 2, FALSE),"WAS")</f>
        <v>MIA</v>
      </c>
      <c r="G496" t="s">
        <v>152</v>
      </c>
      <c r="H496" t="str">
        <f>IFERROR(VLOOKUP(I496, Map!$A$1:$B$33, 2, FALSE),"WAS")</f>
        <v>CIN</v>
      </c>
      <c r="I496" t="s">
        <v>161</v>
      </c>
      <c r="J496" t="s">
        <v>175</v>
      </c>
      <c r="K496" t="s">
        <v>176</v>
      </c>
      <c r="L496">
        <v>1</v>
      </c>
      <c r="M496">
        <v>0</v>
      </c>
      <c r="N496">
        <v>37.9583333333333</v>
      </c>
      <c r="O496">
        <v>1</v>
      </c>
      <c r="P496">
        <v>-1</v>
      </c>
      <c r="Q496">
        <v>0</v>
      </c>
      <c r="R496">
        <v>23.1</v>
      </c>
      <c r="S496">
        <v>24.6</v>
      </c>
      <c r="T496">
        <v>21.9</v>
      </c>
      <c r="U496">
        <v>23.2</v>
      </c>
      <c r="V496">
        <v>1.7</v>
      </c>
      <c r="W496">
        <v>0</v>
      </c>
      <c r="X496">
        <v>7</v>
      </c>
      <c r="Y496">
        <v>1.7</v>
      </c>
      <c r="Z496">
        <v>25</v>
      </c>
      <c r="AA496">
        <v>46.4</v>
      </c>
      <c r="AB496">
        <v>105</v>
      </c>
      <c r="AC496">
        <v>74</v>
      </c>
      <c r="AD496">
        <v>37.200000000000003</v>
      </c>
      <c r="AE496">
        <v>19.899999999999999</v>
      </c>
      <c r="AF496">
        <v>49.247999999999998</v>
      </c>
      <c r="AG496">
        <v>2.8919999999999999</v>
      </c>
      <c r="AH496">
        <v>50.356000000000002</v>
      </c>
      <c r="AI496">
        <v>66.745000000000005</v>
      </c>
      <c r="AJ496">
        <v>78.272999999999996</v>
      </c>
      <c r="AK496">
        <v>79.459999999999994</v>
      </c>
      <c r="AL496">
        <v>-0.183</v>
      </c>
      <c r="AM496">
        <v>50.356000000000002</v>
      </c>
      <c r="AN496">
        <v>2.8919999999999999</v>
      </c>
      <c r="AO496">
        <v>49.247999999999998</v>
      </c>
      <c r="AP496">
        <v>0.183</v>
      </c>
      <c r="AQ496">
        <v>21.727</v>
      </c>
      <c r="AR496">
        <v>33.255000000000003</v>
      </c>
      <c r="AS496">
        <v>20.54</v>
      </c>
    </row>
    <row r="497" spans="1:45" x14ac:dyDescent="0.25">
      <c r="A497">
        <v>36</v>
      </c>
      <c r="B497">
        <v>12</v>
      </c>
      <c r="C497">
        <v>1</v>
      </c>
      <c r="D497">
        <v>2019</v>
      </c>
      <c r="E497">
        <v>16</v>
      </c>
      <c r="F497" t="str">
        <f>IFERROR(VLOOKUP(G497, Map!$A$1:$B$33, 2, FALSE),"WAS")</f>
        <v>ATL</v>
      </c>
      <c r="G497" t="s">
        <v>167</v>
      </c>
      <c r="H497" t="str">
        <f>IFERROR(VLOOKUP(I497, Map!$A$1:$B$33, 2, FALSE),"WAS")</f>
        <v>JAX</v>
      </c>
      <c r="I497" t="s">
        <v>139</v>
      </c>
      <c r="J497" t="s">
        <v>188</v>
      </c>
      <c r="K497" t="s">
        <v>220</v>
      </c>
      <c r="L497">
        <v>1</v>
      </c>
      <c r="M497">
        <v>0</v>
      </c>
      <c r="N497">
        <v>39.9166666666667</v>
      </c>
      <c r="O497">
        <v>-6.7083333333333304</v>
      </c>
      <c r="P497">
        <v>-7</v>
      </c>
      <c r="Q497">
        <v>0</v>
      </c>
      <c r="R497">
        <v>5.3</v>
      </c>
      <c r="S497">
        <v>6.4</v>
      </c>
      <c r="T497">
        <v>4.5999999999999996</v>
      </c>
      <c r="U497">
        <v>0.2</v>
      </c>
      <c r="V497">
        <v>27.8</v>
      </c>
      <c r="W497">
        <v>0</v>
      </c>
      <c r="X497">
        <v>24</v>
      </c>
      <c r="Y497">
        <v>27.8</v>
      </c>
      <c r="Z497">
        <v>34.1</v>
      </c>
      <c r="AA497">
        <v>67.7</v>
      </c>
      <c r="AB497">
        <v>72</v>
      </c>
      <c r="AC497">
        <v>81</v>
      </c>
      <c r="AD497">
        <v>40.4</v>
      </c>
      <c r="AE497">
        <v>23.2</v>
      </c>
      <c r="AF497">
        <v>77.08</v>
      </c>
      <c r="AG497">
        <v>40.767000000000003</v>
      </c>
      <c r="AH497">
        <v>22.736999999999998</v>
      </c>
      <c r="AI497">
        <v>79.402000000000001</v>
      </c>
      <c r="AJ497">
        <v>83.78</v>
      </c>
      <c r="AK497">
        <v>87.965999999999994</v>
      </c>
      <c r="AL497">
        <v>9.8339999999999996</v>
      </c>
      <c r="AM497">
        <v>22.736999999999998</v>
      </c>
      <c r="AN497">
        <v>40.767000000000003</v>
      </c>
      <c r="AO497">
        <v>77.08</v>
      </c>
      <c r="AP497">
        <v>-9.8339999999999996</v>
      </c>
      <c r="AQ497">
        <v>16.22</v>
      </c>
      <c r="AR497">
        <v>20.597999999999999</v>
      </c>
      <c r="AS497">
        <v>12.034000000000001</v>
      </c>
    </row>
    <row r="498" spans="1:45" x14ac:dyDescent="0.25">
      <c r="A498">
        <v>51</v>
      </c>
      <c r="B498">
        <v>-3</v>
      </c>
      <c r="C498">
        <v>0</v>
      </c>
      <c r="D498">
        <v>2019</v>
      </c>
      <c r="E498">
        <v>17</v>
      </c>
      <c r="F498" t="str">
        <f>IFERROR(VLOOKUP(G498, Map!$A$1:$B$33, 2, FALSE),"WAS")</f>
        <v>NE</v>
      </c>
      <c r="G498" t="s">
        <v>151</v>
      </c>
      <c r="H498" t="str">
        <f>IFERROR(VLOOKUP(I498, Map!$A$1:$B$33, 2, FALSE),"WAS")</f>
        <v>MIA</v>
      </c>
      <c r="I498" t="s">
        <v>152</v>
      </c>
      <c r="J498" t="s">
        <v>187</v>
      </c>
      <c r="K498" t="s">
        <v>175</v>
      </c>
      <c r="L498">
        <v>0</v>
      </c>
      <c r="M498">
        <v>0</v>
      </c>
      <c r="N498">
        <v>34.730769230769198</v>
      </c>
      <c r="O498">
        <v>-14.2692307692308</v>
      </c>
      <c r="P498">
        <v>-16.5</v>
      </c>
      <c r="Q498">
        <v>0</v>
      </c>
      <c r="R498">
        <v>1.4</v>
      </c>
      <c r="S498">
        <v>5.4</v>
      </c>
      <c r="T498">
        <v>-1.4</v>
      </c>
      <c r="U498">
        <v>-2.6</v>
      </c>
      <c r="V498">
        <v>0</v>
      </c>
      <c r="W498">
        <v>0</v>
      </c>
      <c r="X498">
        <v>0</v>
      </c>
      <c r="Y498">
        <v>0</v>
      </c>
      <c r="Z498">
        <v>14.2</v>
      </c>
      <c r="AA498">
        <v>28.1</v>
      </c>
      <c r="AB498">
        <v>305</v>
      </c>
      <c r="AC498">
        <v>70</v>
      </c>
      <c r="AD498">
        <v>21.5</v>
      </c>
      <c r="AE498">
        <v>9.5</v>
      </c>
      <c r="AF498">
        <v>95.917000000000002</v>
      </c>
      <c r="AG498">
        <v>49.914000000000001</v>
      </c>
      <c r="AH498">
        <v>4.05</v>
      </c>
      <c r="AI498">
        <v>29.613</v>
      </c>
      <c r="AJ498">
        <v>59.707000000000001</v>
      </c>
      <c r="AK498">
        <v>42.968000000000004</v>
      </c>
      <c r="AL498">
        <v>22.997</v>
      </c>
      <c r="AM498">
        <v>4.05</v>
      </c>
      <c r="AN498">
        <v>49.914000000000001</v>
      </c>
      <c r="AO498">
        <v>95.917000000000002</v>
      </c>
      <c r="AP498">
        <v>-22.997</v>
      </c>
      <c r="AQ498">
        <v>40.292999999999999</v>
      </c>
      <c r="AR498">
        <v>70.387</v>
      </c>
      <c r="AS498">
        <v>57.031999999999996</v>
      </c>
    </row>
    <row r="499" spans="1:45" x14ac:dyDescent="0.25">
      <c r="A499">
        <v>50</v>
      </c>
      <c r="B499">
        <v>-6</v>
      </c>
      <c r="C499">
        <v>0</v>
      </c>
      <c r="D499">
        <v>2019</v>
      </c>
      <c r="E499">
        <v>17</v>
      </c>
      <c r="F499" t="str">
        <f>IFERROR(VLOOKUP(G499, Map!$A$1:$B$33, 2, FALSE),"WAS")</f>
        <v>TB</v>
      </c>
      <c r="G499" t="s">
        <v>141</v>
      </c>
      <c r="H499" t="str">
        <f>IFERROR(VLOOKUP(I499, Map!$A$1:$B$33, 2, FALSE),"WAS")</f>
        <v>ATL</v>
      </c>
      <c r="I499" t="s">
        <v>167</v>
      </c>
      <c r="J499" t="s">
        <v>186</v>
      </c>
      <c r="K499" t="s">
        <v>188</v>
      </c>
      <c r="L499">
        <v>0</v>
      </c>
      <c r="M499">
        <v>0</v>
      </c>
      <c r="N499">
        <v>40.0416666666667</v>
      </c>
      <c r="O499">
        <v>-0.91666666666666696</v>
      </c>
      <c r="P499">
        <v>-1</v>
      </c>
      <c r="Q499">
        <v>0</v>
      </c>
      <c r="R499">
        <v>22.9</v>
      </c>
      <c r="S499">
        <v>26.5</v>
      </c>
      <c r="T499">
        <v>21.2</v>
      </c>
      <c r="U499">
        <v>25.2</v>
      </c>
      <c r="V499">
        <v>7.5</v>
      </c>
      <c r="W499">
        <v>0</v>
      </c>
      <c r="X499">
        <v>10</v>
      </c>
      <c r="Y499">
        <v>7.5</v>
      </c>
      <c r="Z499">
        <v>23</v>
      </c>
      <c r="AA499">
        <v>37.1</v>
      </c>
      <c r="AB499">
        <v>150</v>
      </c>
      <c r="AC499">
        <v>90</v>
      </c>
      <c r="AD499">
        <v>26.3</v>
      </c>
      <c r="AE499">
        <v>14.8</v>
      </c>
      <c r="AF499">
        <v>59.762999999999998</v>
      </c>
      <c r="AG499">
        <v>61.088999999999999</v>
      </c>
      <c r="AH499">
        <v>39.915999999999997</v>
      </c>
      <c r="AI499">
        <v>72.995999999999995</v>
      </c>
      <c r="AJ499">
        <v>22.779</v>
      </c>
      <c r="AK499">
        <v>33.978999999999999</v>
      </c>
      <c r="AL499">
        <v>3.3159999999999998</v>
      </c>
      <c r="AM499">
        <v>39.915999999999997</v>
      </c>
      <c r="AN499">
        <v>61.088999999999999</v>
      </c>
      <c r="AO499">
        <v>59.762999999999998</v>
      </c>
      <c r="AP499">
        <v>-3.3159999999999998</v>
      </c>
      <c r="AQ499">
        <v>77.221000000000004</v>
      </c>
      <c r="AR499">
        <v>27.004000000000001</v>
      </c>
      <c r="AS499">
        <v>66.021000000000001</v>
      </c>
    </row>
    <row r="500" spans="1:45" x14ac:dyDescent="0.25">
      <c r="A500">
        <v>55</v>
      </c>
      <c r="B500">
        <v>7</v>
      </c>
      <c r="C500">
        <v>1</v>
      </c>
      <c r="D500">
        <v>2019</v>
      </c>
      <c r="E500">
        <v>17</v>
      </c>
      <c r="F500" t="str">
        <f>IFERROR(VLOOKUP(G500, Map!$A$1:$B$33, 2, FALSE),"WAS")</f>
        <v>LA</v>
      </c>
      <c r="G500" t="s">
        <v>155</v>
      </c>
      <c r="H500" t="str">
        <f>IFERROR(VLOOKUP(I500, Map!$A$1:$B$33, 2, FALSE),"WAS")</f>
        <v>ARI</v>
      </c>
      <c r="I500" t="s">
        <v>156</v>
      </c>
      <c r="J500" t="s">
        <v>178</v>
      </c>
      <c r="K500" t="s">
        <v>190</v>
      </c>
      <c r="L500">
        <v>1</v>
      </c>
      <c r="M500">
        <v>0</v>
      </c>
      <c r="N500">
        <v>41.6666666666667</v>
      </c>
      <c r="O500">
        <v>-6.3333333333333304</v>
      </c>
      <c r="P500">
        <v>-6.5</v>
      </c>
      <c r="Q500">
        <v>44.5</v>
      </c>
      <c r="R500">
        <v>10</v>
      </c>
      <c r="S500">
        <v>14.3</v>
      </c>
      <c r="T500">
        <v>7.1</v>
      </c>
      <c r="U500">
        <v>8.1999999999999993</v>
      </c>
      <c r="V500">
        <v>0</v>
      </c>
      <c r="W500">
        <v>0</v>
      </c>
      <c r="X500">
        <v>0</v>
      </c>
      <c r="Y500">
        <v>0</v>
      </c>
      <c r="Z500">
        <v>9.3000000000000007</v>
      </c>
      <c r="AA500">
        <v>16.2</v>
      </c>
      <c r="AB500">
        <v>71</v>
      </c>
      <c r="AC500">
        <v>78</v>
      </c>
      <c r="AD500">
        <v>11</v>
      </c>
      <c r="AE500">
        <v>6.1</v>
      </c>
      <c r="AF500">
        <v>76.064999999999998</v>
      </c>
      <c r="AG500">
        <v>50.511000000000003</v>
      </c>
      <c r="AH500">
        <v>23.745000000000001</v>
      </c>
      <c r="AI500">
        <v>66.733999999999995</v>
      </c>
      <c r="AJ500">
        <v>74.819999999999993</v>
      </c>
      <c r="AK500">
        <v>71.058999999999997</v>
      </c>
      <c r="AL500">
        <v>9.3870000000000005</v>
      </c>
      <c r="AM500">
        <v>23.745000000000001</v>
      </c>
      <c r="AN500">
        <v>50.511000000000003</v>
      </c>
      <c r="AO500">
        <v>76.064999999999998</v>
      </c>
      <c r="AP500">
        <v>-9.3870000000000005</v>
      </c>
      <c r="AQ500">
        <v>25.18</v>
      </c>
      <c r="AR500">
        <v>33.265999999999998</v>
      </c>
      <c r="AS500">
        <v>28.940999999999999</v>
      </c>
    </row>
    <row r="501" spans="1:45" x14ac:dyDescent="0.25">
      <c r="A501">
        <v>51</v>
      </c>
      <c r="B501">
        <v>-17</v>
      </c>
      <c r="C501">
        <v>0</v>
      </c>
      <c r="D501">
        <v>2019</v>
      </c>
      <c r="E501">
        <v>17</v>
      </c>
      <c r="F501" t="str">
        <f>IFERROR(VLOOKUP(G501, Map!$A$1:$B$33, 2, FALSE),"WAS")</f>
        <v>NYG</v>
      </c>
      <c r="G501" t="s">
        <v>149</v>
      </c>
      <c r="H501" t="str">
        <f>IFERROR(VLOOKUP(I501, Map!$A$1:$B$33, 2, FALSE),"WAS")</f>
        <v>PHI</v>
      </c>
      <c r="I501" t="s">
        <v>147</v>
      </c>
      <c r="J501" t="s">
        <v>219</v>
      </c>
      <c r="K501" t="s">
        <v>206</v>
      </c>
      <c r="L501">
        <v>0</v>
      </c>
      <c r="M501">
        <v>0</v>
      </c>
      <c r="N501">
        <v>37.0416666666667</v>
      </c>
      <c r="O501">
        <v>3.4166666666666701</v>
      </c>
      <c r="P501">
        <v>3.5</v>
      </c>
      <c r="Q501">
        <v>0</v>
      </c>
      <c r="R501">
        <v>2.9</v>
      </c>
      <c r="S501">
        <v>5.0999999999999996</v>
      </c>
      <c r="T501">
        <v>0.2</v>
      </c>
      <c r="U501">
        <v>-0.4</v>
      </c>
      <c r="V501">
        <v>1.6</v>
      </c>
      <c r="W501">
        <v>0</v>
      </c>
      <c r="X501">
        <v>6</v>
      </c>
      <c r="Y501">
        <v>1.6</v>
      </c>
      <c r="Z501">
        <v>10</v>
      </c>
      <c r="AA501">
        <v>21.6</v>
      </c>
      <c r="AB501">
        <v>27</v>
      </c>
      <c r="AC501">
        <v>78</v>
      </c>
      <c r="AD501">
        <v>14</v>
      </c>
      <c r="AE501">
        <v>7.5</v>
      </c>
      <c r="AF501">
        <v>29.381</v>
      </c>
      <c r="AG501">
        <v>25.242000000000001</v>
      </c>
      <c r="AH501">
        <v>70.382999999999996</v>
      </c>
      <c r="AI501">
        <v>40.823</v>
      </c>
      <c r="AJ501">
        <v>20.262</v>
      </c>
      <c r="AK501">
        <v>26.02</v>
      </c>
      <c r="AL501">
        <v>-7.11</v>
      </c>
      <c r="AM501">
        <v>70.382999999999996</v>
      </c>
      <c r="AN501">
        <v>25.242000000000001</v>
      </c>
      <c r="AO501">
        <v>29.381</v>
      </c>
      <c r="AP501">
        <v>7.11</v>
      </c>
      <c r="AQ501">
        <v>79.738</v>
      </c>
      <c r="AR501">
        <v>59.177</v>
      </c>
      <c r="AS501">
        <v>73.98</v>
      </c>
    </row>
    <row r="502" spans="1:45" x14ac:dyDescent="0.25">
      <c r="A502">
        <v>63</v>
      </c>
      <c r="B502">
        <v>31</v>
      </c>
      <c r="C502">
        <v>1</v>
      </c>
      <c r="D502">
        <v>2019</v>
      </c>
      <c r="E502">
        <v>17</v>
      </c>
      <c r="F502" t="str">
        <f>IFERROR(VLOOKUP(G502, Map!$A$1:$B$33, 2, FALSE),"WAS")</f>
        <v>DAL</v>
      </c>
      <c r="G502" t="s">
        <v>150</v>
      </c>
      <c r="H502" t="str">
        <f>IFERROR(VLOOKUP(I502, Map!$A$1:$B$33, 2, FALSE),"WAS")</f>
        <v>WAS</v>
      </c>
      <c r="I502" t="s">
        <v>169</v>
      </c>
      <c r="J502" t="s">
        <v>184</v>
      </c>
      <c r="K502" t="s">
        <v>205</v>
      </c>
      <c r="L502">
        <v>1</v>
      </c>
      <c r="M502">
        <v>0</v>
      </c>
      <c r="N502">
        <v>43.0833333333333</v>
      </c>
      <c r="O502">
        <v>-11.3333333333333</v>
      </c>
      <c r="P502">
        <v>-12</v>
      </c>
      <c r="Q502">
        <v>46.5</v>
      </c>
      <c r="R502">
        <v>10</v>
      </c>
      <c r="S502">
        <v>14.2</v>
      </c>
      <c r="T502">
        <v>7.2</v>
      </c>
      <c r="U502">
        <v>6.4</v>
      </c>
      <c r="V502">
        <v>2</v>
      </c>
      <c r="W502">
        <v>0</v>
      </c>
      <c r="X502">
        <v>7</v>
      </c>
      <c r="Y502">
        <v>2</v>
      </c>
      <c r="Z502">
        <v>25.3</v>
      </c>
      <c r="AA502">
        <v>43.6</v>
      </c>
      <c r="AB502">
        <v>268</v>
      </c>
      <c r="AC502">
        <v>66</v>
      </c>
      <c r="AD502">
        <v>26.5</v>
      </c>
      <c r="AE502">
        <v>14.7</v>
      </c>
      <c r="AF502">
        <v>90.882999999999996</v>
      </c>
      <c r="AG502">
        <v>49.454999999999998</v>
      </c>
      <c r="AH502">
        <v>9.0440000000000005</v>
      </c>
      <c r="AI502">
        <v>98.418999999999997</v>
      </c>
      <c r="AJ502">
        <v>66.542000000000002</v>
      </c>
      <c r="AK502">
        <v>93.635999999999996</v>
      </c>
      <c r="AL502">
        <v>17.623999999999999</v>
      </c>
      <c r="AM502">
        <v>9.0440000000000005</v>
      </c>
      <c r="AN502">
        <v>49.454999999999998</v>
      </c>
      <c r="AO502">
        <v>90.882999999999996</v>
      </c>
      <c r="AP502">
        <v>-17.623999999999999</v>
      </c>
      <c r="AQ502">
        <v>33.457999999999998</v>
      </c>
      <c r="AR502">
        <v>1.581</v>
      </c>
      <c r="AS502">
        <v>6.3639999999999999</v>
      </c>
    </row>
    <row r="503" spans="1:45" x14ac:dyDescent="0.25">
      <c r="A503">
        <v>40</v>
      </c>
      <c r="B503">
        <v>-2</v>
      </c>
      <c r="C503">
        <v>0</v>
      </c>
      <c r="D503">
        <v>2019</v>
      </c>
      <c r="E503">
        <v>17</v>
      </c>
      <c r="F503" t="str">
        <f>IFERROR(VLOOKUP(G503, Map!$A$1:$B$33, 2, FALSE),"WAS")</f>
        <v>MIN</v>
      </c>
      <c r="G503" t="s">
        <v>153</v>
      </c>
      <c r="H503" t="str">
        <f>IFERROR(VLOOKUP(I503, Map!$A$1:$B$33, 2, FALSE),"WAS")</f>
        <v>CHI</v>
      </c>
      <c r="I503" t="s">
        <v>163</v>
      </c>
      <c r="J503" t="s">
        <v>214</v>
      </c>
      <c r="K503" t="s">
        <v>216</v>
      </c>
      <c r="L503">
        <v>0</v>
      </c>
      <c r="M503">
        <v>0</v>
      </c>
      <c r="N503">
        <v>29.5833333333333</v>
      </c>
      <c r="O503">
        <v>2.1666666666666701</v>
      </c>
      <c r="P503">
        <v>3.5</v>
      </c>
      <c r="Q503">
        <v>0</v>
      </c>
      <c r="R503">
        <v>2.5</v>
      </c>
      <c r="S503">
        <v>4.7</v>
      </c>
      <c r="T503">
        <v>0.8</v>
      </c>
      <c r="U503">
        <v>-1.4</v>
      </c>
      <c r="V503">
        <v>21.8</v>
      </c>
      <c r="W503">
        <v>0</v>
      </c>
      <c r="X503">
        <v>18</v>
      </c>
      <c r="Y503">
        <v>21.8</v>
      </c>
      <c r="Z503">
        <v>15.3</v>
      </c>
      <c r="AA503">
        <v>28.4</v>
      </c>
      <c r="AB503">
        <v>103</v>
      </c>
      <c r="AC503">
        <v>92</v>
      </c>
      <c r="AD503">
        <v>24.9</v>
      </c>
      <c r="AE503">
        <v>13.2</v>
      </c>
      <c r="AF503">
        <v>68.587000000000003</v>
      </c>
      <c r="AG503">
        <v>62.235999999999997</v>
      </c>
      <c r="AH503">
        <v>31.161999999999999</v>
      </c>
      <c r="AI503">
        <v>56.914999999999999</v>
      </c>
      <c r="AJ503">
        <v>29.742000000000001</v>
      </c>
      <c r="AK503">
        <v>42.887</v>
      </c>
      <c r="AL503">
        <v>6.4349999999999996</v>
      </c>
      <c r="AM503">
        <v>31.161999999999999</v>
      </c>
      <c r="AN503">
        <v>62.235999999999997</v>
      </c>
      <c r="AO503">
        <v>68.587000000000003</v>
      </c>
      <c r="AP503">
        <v>-6.4349999999999996</v>
      </c>
      <c r="AQ503">
        <v>70.257999999999996</v>
      </c>
      <c r="AR503">
        <v>43.085000000000001</v>
      </c>
      <c r="AS503">
        <v>57.113</v>
      </c>
    </row>
    <row r="504" spans="1:45" x14ac:dyDescent="0.25">
      <c r="A504">
        <v>31</v>
      </c>
      <c r="B504">
        <v>1</v>
      </c>
      <c r="C504">
        <v>1</v>
      </c>
      <c r="D504">
        <v>2019</v>
      </c>
      <c r="E504">
        <v>17</v>
      </c>
      <c r="F504" t="str">
        <f>IFERROR(VLOOKUP(G504, Map!$A$1:$B$33, 2, FALSE),"WAS")</f>
        <v>DEN</v>
      </c>
      <c r="G504" t="s">
        <v>159</v>
      </c>
      <c r="H504" t="str">
        <f>IFERROR(VLOOKUP(I504, Map!$A$1:$B$33, 2, FALSE),"WAS")</f>
        <v>LV</v>
      </c>
      <c r="I504" t="s">
        <v>157</v>
      </c>
      <c r="J504" t="s">
        <v>183</v>
      </c>
      <c r="K504" t="s">
        <v>179</v>
      </c>
      <c r="L504">
        <v>1</v>
      </c>
      <c r="M504">
        <v>0</v>
      </c>
      <c r="N504">
        <v>34.3333333333333</v>
      </c>
      <c r="O504">
        <v>-4.0416666666666696</v>
      </c>
      <c r="P504">
        <v>-3.5</v>
      </c>
      <c r="Q504">
        <v>0</v>
      </c>
      <c r="R504">
        <v>-6.7</v>
      </c>
      <c r="S504">
        <v>-1.8</v>
      </c>
      <c r="T504">
        <v>-10.4</v>
      </c>
      <c r="U504">
        <v>-11.6</v>
      </c>
      <c r="V504">
        <v>0.6</v>
      </c>
      <c r="W504">
        <v>0.42</v>
      </c>
      <c r="X504">
        <v>5</v>
      </c>
      <c r="Y504">
        <v>0</v>
      </c>
      <c r="Z504">
        <v>25.8</v>
      </c>
      <c r="AA504">
        <v>42.5</v>
      </c>
      <c r="AB504">
        <v>300</v>
      </c>
      <c r="AC504">
        <v>60</v>
      </c>
      <c r="AD504">
        <v>17.600000000000001</v>
      </c>
      <c r="AE504">
        <v>9.9</v>
      </c>
      <c r="AF504">
        <v>61.744</v>
      </c>
      <c r="AG504">
        <v>25.664000000000001</v>
      </c>
      <c r="AH504">
        <v>37.951000000000001</v>
      </c>
      <c r="AI504">
        <v>55.113999999999997</v>
      </c>
      <c r="AJ504">
        <v>43.161000000000001</v>
      </c>
      <c r="AK504">
        <v>66.216999999999999</v>
      </c>
      <c r="AL504">
        <v>3.9940000000000002</v>
      </c>
      <c r="AM504">
        <v>37.951000000000001</v>
      </c>
      <c r="AN504">
        <v>25.664000000000001</v>
      </c>
      <c r="AO504">
        <v>61.744</v>
      </c>
      <c r="AP504">
        <v>-3.9940000000000002</v>
      </c>
      <c r="AQ504">
        <v>56.838999999999999</v>
      </c>
      <c r="AR504">
        <v>44.886000000000003</v>
      </c>
      <c r="AS504">
        <v>33.783000000000001</v>
      </c>
    </row>
    <row r="505" spans="1:45" x14ac:dyDescent="0.25">
      <c r="A505">
        <v>58</v>
      </c>
      <c r="B505">
        <v>18</v>
      </c>
      <c r="C505">
        <v>1</v>
      </c>
      <c r="D505">
        <v>2019</v>
      </c>
      <c r="E505">
        <v>17</v>
      </c>
      <c r="F505" t="str">
        <f>IFERROR(VLOOKUP(G505, Map!$A$1:$B$33, 2, FALSE),"WAS")</f>
        <v>JAX</v>
      </c>
      <c r="G505" t="s">
        <v>139</v>
      </c>
      <c r="H505" t="str">
        <f>IFERROR(VLOOKUP(I505, Map!$A$1:$B$33, 2, FALSE),"WAS")</f>
        <v>IND</v>
      </c>
      <c r="I505" t="s">
        <v>138</v>
      </c>
      <c r="J505" t="s">
        <v>220</v>
      </c>
      <c r="K505" t="s">
        <v>177</v>
      </c>
      <c r="L505">
        <v>1</v>
      </c>
      <c r="M505">
        <v>0</v>
      </c>
      <c r="N505">
        <v>38.0416666666667</v>
      </c>
      <c r="O505">
        <v>5.2083333333333304</v>
      </c>
      <c r="P505">
        <v>4.5</v>
      </c>
      <c r="Q505">
        <v>41.5</v>
      </c>
      <c r="R505">
        <v>21</v>
      </c>
      <c r="S505">
        <v>23.2</v>
      </c>
      <c r="T505">
        <v>19.8</v>
      </c>
      <c r="U505">
        <v>22.7</v>
      </c>
      <c r="V505">
        <v>12.3</v>
      </c>
      <c r="W505">
        <v>0</v>
      </c>
      <c r="X505">
        <v>14</v>
      </c>
      <c r="Y505">
        <v>12.3</v>
      </c>
      <c r="Z505">
        <v>18.7</v>
      </c>
      <c r="AA505">
        <v>41.8</v>
      </c>
      <c r="AB505">
        <v>147</v>
      </c>
      <c r="AC505">
        <v>91</v>
      </c>
      <c r="AD505">
        <v>23.5</v>
      </c>
      <c r="AE505">
        <v>13.1</v>
      </c>
      <c r="AF505">
        <v>35.72</v>
      </c>
      <c r="AG505">
        <v>28.553000000000001</v>
      </c>
      <c r="AH505">
        <v>63.993000000000002</v>
      </c>
      <c r="AI505">
        <v>61.244</v>
      </c>
      <c r="AJ505">
        <v>75.551000000000002</v>
      </c>
      <c r="AK505">
        <v>79.715999999999994</v>
      </c>
      <c r="AL505">
        <v>-4.7770000000000001</v>
      </c>
      <c r="AM505">
        <v>63.993000000000002</v>
      </c>
      <c r="AN505">
        <v>28.553000000000001</v>
      </c>
      <c r="AO505">
        <v>35.72</v>
      </c>
      <c r="AP505">
        <v>4.7770000000000001</v>
      </c>
      <c r="AQ505">
        <v>24.449000000000002</v>
      </c>
      <c r="AR505">
        <v>38.756</v>
      </c>
      <c r="AS505">
        <v>20.283999999999999</v>
      </c>
    </row>
    <row r="506" spans="1:45" x14ac:dyDescent="0.25">
      <c r="A506">
        <v>49</v>
      </c>
      <c r="B506">
        <v>-21</v>
      </c>
      <c r="C506">
        <v>0</v>
      </c>
      <c r="D506">
        <v>2019</v>
      </c>
      <c r="E506">
        <v>17</v>
      </c>
      <c r="F506" t="str">
        <f>IFERROR(VLOOKUP(G506, Map!$A$1:$B$33, 2, FALSE),"WAS")</f>
        <v>HOU</v>
      </c>
      <c r="G506" t="s">
        <v>137</v>
      </c>
      <c r="H506" t="str">
        <f>IFERROR(VLOOKUP(I506, Map!$A$1:$B$33, 2, FALSE),"WAS")</f>
        <v>TEN</v>
      </c>
      <c r="I506" t="s">
        <v>140</v>
      </c>
      <c r="J506" t="s">
        <v>209</v>
      </c>
      <c r="K506" t="s">
        <v>174</v>
      </c>
      <c r="L506">
        <v>0</v>
      </c>
      <c r="M506">
        <v>0</v>
      </c>
      <c r="N506">
        <v>39.4583333333333</v>
      </c>
      <c r="O506">
        <v>8.5833333333333304</v>
      </c>
      <c r="P506">
        <v>5.5</v>
      </c>
      <c r="Q506">
        <v>42.5</v>
      </c>
      <c r="R506">
        <v>18.8</v>
      </c>
      <c r="S506">
        <v>21.4</v>
      </c>
      <c r="T506">
        <v>15.4</v>
      </c>
      <c r="U506">
        <v>18.600000000000001</v>
      </c>
      <c r="V506">
        <v>19.600000000000001</v>
      </c>
      <c r="W506">
        <v>0</v>
      </c>
      <c r="X506">
        <v>18</v>
      </c>
      <c r="Y506">
        <v>19.600000000000001</v>
      </c>
      <c r="Z506">
        <v>27.7</v>
      </c>
      <c r="AA506">
        <v>63.7</v>
      </c>
      <c r="AB506">
        <v>294</v>
      </c>
      <c r="AC506">
        <v>82</v>
      </c>
      <c r="AD506">
        <v>35.200000000000003</v>
      </c>
      <c r="AE506">
        <v>15.4</v>
      </c>
      <c r="AF506">
        <v>50.639000000000003</v>
      </c>
      <c r="AG506">
        <v>76.292000000000002</v>
      </c>
      <c r="AH506">
        <v>48.966999999999999</v>
      </c>
      <c r="AI506">
        <v>2.351</v>
      </c>
      <c r="AJ506">
        <v>56.02</v>
      </c>
      <c r="AK506">
        <v>13.162000000000001</v>
      </c>
      <c r="AL506">
        <v>0.27700000000000002</v>
      </c>
      <c r="AM506">
        <v>48.966999999999999</v>
      </c>
      <c r="AN506">
        <v>76.292000000000002</v>
      </c>
      <c r="AO506">
        <v>50.639000000000003</v>
      </c>
      <c r="AP506">
        <v>-0.27700000000000002</v>
      </c>
      <c r="AQ506">
        <v>43.98</v>
      </c>
      <c r="AR506">
        <v>97.649000000000001</v>
      </c>
      <c r="AS506">
        <v>86.837999999999994</v>
      </c>
    </row>
    <row r="507" spans="1:45" x14ac:dyDescent="0.25">
      <c r="A507">
        <v>52</v>
      </c>
      <c r="B507">
        <v>10</v>
      </c>
      <c r="C507">
        <v>1</v>
      </c>
      <c r="D507">
        <v>2019</v>
      </c>
      <c r="E507">
        <v>17</v>
      </c>
      <c r="F507" t="str">
        <f>IFERROR(VLOOKUP(G507, Map!$A$1:$B$33, 2, FALSE),"WAS")</f>
        <v>KC</v>
      </c>
      <c r="G507" t="s">
        <v>158</v>
      </c>
      <c r="H507" t="str">
        <f>IFERROR(VLOOKUP(I507, Map!$A$1:$B$33, 2, FALSE),"WAS")</f>
        <v>LAC</v>
      </c>
      <c r="I507" t="s">
        <v>160</v>
      </c>
      <c r="J507" t="s">
        <v>202</v>
      </c>
      <c r="K507" t="s">
        <v>210</v>
      </c>
      <c r="L507">
        <v>1</v>
      </c>
      <c r="M507">
        <v>0</v>
      </c>
      <c r="N507">
        <v>41.9583333333333</v>
      </c>
      <c r="O507">
        <v>-8.7083333333333304</v>
      </c>
      <c r="P507">
        <v>-7.5</v>
      </c>
      <c r="Q507">
        <v>45.5</v>
      </c>
      <c r="R507">
        <v>7.6</v>
      </c>
      <c r="S507">
        <v>12</v>
      </c>
      <c r="T507">
        <v>3.5</v>
      </c>
      <c r="U507">
        <v>3.9</v>
      </c>
      <c r="V507">
        <v>17.399999999999999</v>
      </c>
      <c r="W507">
        <v>0</v>
      </c>
      <c r="X507">
        <v>7</v>
      </c>
      <c r="Y507">
        <v>17.399999999999999</v>
      </c>
      <c r="Z507">
        <v>23.4</v>
      </c>
      <c r="AA507">
        <v>43.9</v>
      </c>
      <c r="AB507">
        <v>231</v>
      </c>
      <c r="AC507">
        <v>82</v>
      </c>
      <c r="AD507">
        <v>35.4</v>
      </c>
      <c r="AE507">
        <v>17.5</v>
      </c>
      <c r="AF507">
        <v>85.085999999999999</v>
      </c>
      <c r="AG507">
        <v>64.545000000000002</v>
      </c>
      <c r="AH507">
        <v>14.795</v>
      </c>
      <c r="AI507">
        <v>34.978000000000002</v>
      </c>
      <c r="AJ507">
        <v>81.956000000000003</v>
      </c>
      <c r="AK507">
        <v>72.899000000000001</v>
      </c>
      <c r="AL507">
        <v>13.757</v>
      </c>
      <c r="AM507">
        <v>14.795</v>
      </c>
      <c r="AN507">
        <v>64.545000000000002</v>
      </c>
      <c r="AO507">
        <v>85.085999999999999</v>
      </c>
      <c r="AP507">
        <v>-13.757</v>
      </c>
      <c r="AQ507">
        <v>18.044</v>
      </c>
      <c r="AR507">
        <v>65.022000000000006</v>
      </c>
      <c r="AS507">
        <v>27.100999999999999</v>
      </c>
    </row>
    <row r="508" spans="1:45" x14ac:dyDescent="0.25">
      <c r="A508">
        <v>47</v>
      </c>
      <c r="B508">
        <v>-5</v>
      </c>
      <c r="C508">
        <v>0</v>
      </c>
      <c r="D508">
        <v>2019</v>
      </c>
      <c r="E508">
        <v>17</v>
      </c>
      <c r="F508" t="str">
        <f>IFERROR(VLOOKUP(G508, Map!$A$1:$B$33, 2, FALSE),"WAS")</f>
        <v>SEA</v>
      </c>
      <c r="G508" t="s">
        <v>144</v>
      </c>
      <c r="H508" t="str">
        <f>IFERROR(VLOOKUP(I508, Map!$A$1:$B$33, 2, FALSE),"WAS")</f>
        <v>SF</v>
      </c>
      <c r="I508" t="s">
        <v>143</v>
      </c>
      <c r="J508" t="s">
        <v>182</v>
      </c>
      <c r="K508" t="s">
        <v>197</v>
      </c>
      <c r="L508">
        <v>0</v>
      </c>
      <c r="M508">
        <v>0</v>
      </c>
      <c r="N508">
        <v>38.9166666666667</v>
      </c>
      <c r="O508">
        <v>3.0833333333333299</v>
      </c>
      <c r="P508">
        <v>2</v>
      </c>
      <c r="Q508">
        <v>0</v>
      </c>
      <c r="R508">
        <v>6.9</v>
      </c>
      <c r="S508">
        <v>8.1999999999999993</v>
      </c>
      <c r="T508">
        <v>6.2</v>
      </c>
      <c r="U508">
        <v>3.9</v>
      </c>
      <c r="V508">
        <v>2.2000000000000002</v>
      </c>
      <c r="W508">
        <v>0</v>
      </c>
      <c r="X508">
        <v>8</v>
      </c>
      <c r="Y508">
        <v>2.2000000000000002</v>
      </c>
      <c r="Z508">
        <v>18.399999999999999</v>
      </c>
      <c r="AA508">
        <v>31.7</v>
      </c>
      <c r="AB508">
        <v>168</v>
      </c>
      <c r="AC508">
        <v>82</v>
      </c>
      <c r="AD508">
        <v>19</v>
      </c>
      <c r="AE508">
        <v>10.4</v>
      </c>
      <c r="AF508">
        <v>43.314</v>
      </c>
      <c r="AG508">
        <v>87.305000000000007</v>
      </c>
      <c r="AH508">
        <v>56.338000000000001</v>
      </c>
      <c r="AI508">
        <v>3.2509999999999999</v>
      </c>
      <c r="AJ508">
        <v>58.003999999999998</v>
      </c>
      <c r="AK508">
        <v>24.366</v>
      </c>
      <c r="AL508">
        <v>-2.1629999999999998</v>
      </c>
      <c r="AM508">
        <v>56.338000000000001</v>
      </c>
      <c r="AN508">
        <v>87.305000000000007</v>
      </c>
      <c r="AO508">
        <v>43.314</v>
      </c>
      <c r="AP508">
        <v>2.1629999999999998</v>
      </c>
      <c r="AQ508">
        <v>41.996000000000002</v>
      </c>
      <c r="AR508">
        <v>96.748999999999995</v>
      </c>
      <c r="AS508">
        <v>75.634</v>
      </c>
    </row>
    <row r="509" spans="1:45" x14ac:dyDescent="0.25">
      <c r="A509">
        <v>52</v>
      </c>
      <c r="B509">
        <v>-32</v>
      </c>
      <c r="C509">
        <v>0</v>
      </c>
      <c r="D509">
        <v>2019</v>
      </c>
      <c r="E509">
        <v>17</v>
      </c>
      <c r="F509" t="str">
        <f>IFERROR(VLOOKUP(G509, Map!$A$1:$B$33, 2, FALSE),"WAS")</f>
        <v>CAR</v>
      </c>
      <c r="G509" t="s">
        <v>142</v>
      </c>
      <c r="H509" t="str">
        <f>IFERROR(VLOOKUP(I509, Map!$A$1:$B$33, 2, FALSE),"WAS")</f>
        <v>NO</v>
      </c>
      <c r="I509" t="s">
        <v>168</v>
      </c>
      <c r="J509" t="s">
        <v>185</v>
      </c>
      <c r="K509" t="s">
        <v>192</v>
      </c>
      <c r="L509">
        <v>0</v>
      </c>
      <c r="M509">
        <v>0</v>
      </c>
      <c r="N509">
        <v>36.545454545454497</v>
      </c>
      <c r="O509">
        <v>12.409090909090899</v>
      </c>
      <c r="P509">
        <v>12.5</v>
      </c>
      <c r="Q509">
        <v>0</v>
      </c>
      <c r="R509">
        <v>15.9</v>
      </c>
      <c r="S509">
        <v>19.600000000000001</v>
      </c>
      <c r="T509">
        <v>13.4</v>
      </c>
      <c r="U509">
        <v>15.7</v>
      </c>
      <c r="V509">
        <v>8.1999999999999993</v>
      </c>
      <c r="W509">
        <v>0</v>
      </c>
      <c r="X509">
        <v>13</v>
      </c>
      <c r="Y509">
        <v>8.1999999999999993</v>
      </c>
      <c r="Z509">
        <v>21.5</v>
      </c>
      <c r="AA509">
        <v>42.8</v>
      </c>
      <c r="AB509">
        <v>156</v>
      </c>
      <c r="AC509">
        <v>95</v>
      </c>
      <c r="AD509">
        <v>23.8</v>
      </c>
      <c r="AE509">
        <v>13.1</v>
      </c>
      <c r="AF509">
        <v>22.442</v>
      </c>
      <c r="AG509">
        <v>52.292999999999999</v>
      </c>
      <c r="AH509">
        <v>77.376999999999995</v>
      </c>
      <c r="AI509">
        <v>8.9979999999999993</v>
      </c>
      <c r="AJ509">
        <v>0.91500000000000004</v>
      </c>
      <c r="AK509">
        <v>1.5389999999999999</v>
      </c>
      <c r="AL509">
        <v>-9.952</v>
      </c>
      <c r="AM509">
        <v>77.376999999999995</v>
      </c>
      <c r="AN509">
        <v>52.292999999999999</v>
      </c>
      <c r="AO509">
        <v>22.442</v>
      </c>
      <c r="AP509">
        <v>9.952</v>
      </c>
      <c r="AQ509">
        <v>99.084999999999994</v>
      </c>
      <c r="AR509">
        <v>91.001999999999995</v>
      </c>
      <c r="AS509">
        <v>98.460999999999999</v>
      </c>
    </row>
    <row r="510" spans="1:45" x14ac:dyDescent="0.25">
      <c r="A510">
        <v>19</v>
      </c>
      <c r="B510">
        <v>-7</v>
      </c>
      <c r="C510">
        <v>0</v>
      </c>
      <c r="D510">
        <v>2019</v>
      </c>
      <c r="E510">
        <v>17</v>
      </c>
      <c r="F510" t="str">
        <f>IFERROR(VLOOKUP(G510, Map!$A$1:$B$33, 2, FALSE),"WAS")</f>
        <v>BUF</v>
      </c>
      <c r="G510" t="s">
        <v>165</v>
      </c>
      <c r="H510" t="str">
        <f>IFERROR(VLOOKUP(I510, Map!$A$1:$B$33, 2, FALSE),"WAS")</f>
        <v>NYJ</v>
      </c>
      <c r="I510" t="s">
        <v>166</v>
      </c>
      <c r="J510" t="s">
        <v>180</v>
      </c>
      <c r="K510" t="s">
        <v>172</v>
      </c>
      <c r="L510">
        <v>0</v>
      </c>
      <c r="M510">
        <v>0</v>
      </c>
      <c r="N510">
        <v>33.7916666666667</v>
      </c>
      <c r="O510">
        <v>0.16666666666666699</v>
      </c>
      <c r="P510">
        <v>1</v>
      </c>
      <c r="Q510">
        <v>36.5</v>
      </c>
      <c r="R510">
        <v>16.100000000000001</v>
      </c>
      <c r="S510">
        <v>19.899999999999999</v>
      </c>
      <c r="T510">
        <v>13.8</v>
      </c>
      <c r="U510">
        <v>16.100000000000001</v>
      </c>
      <c r="V510">
        <v>7.4</v>
      </c>
      <c r="W510">
        <v>0</v>
      </c>
      <c r="X510">
        <v>13</v>
      </c>
      <c r="Y510">
        <v>7.4</v>
      </c>
      <c r="Z510">
        <v>21.5</v>
      </c>
      <c r="AA510">
        <v>41</v>
      </c>
      <c r="AB510">
        <v>155</v>
      </c>
      <c r="AC510">
        <v>95</v>
      </c>
      <c r="AD510">
        <v>22.6</v>
      </c>
      <c r="AE510">
        <v>12.5</v>
      </c>
      <c r="AF510">
        <v>76.363</v>
      </c>
      <c r="AG510">
        <v>32.420999999999999</v>
      </c>
      <c r="AH510">
        <v>23.449000000000002</v>
      </c>
      <c r="AI510">
        <v>63.552</v>
      </c>
      <c r="AJ510">
        <v>6.3769999999999998</v>
      </c>
      <c r="AK510">
        <v>28.47</v>
      </c>
      <c r="AL510">
        <v>9.5139999999999993</v>
      </c>
      <c r="AM510">
        <v>23.449000000000002</v>
      </c>
      <c r="AN510">
        <v>32.420999999999999</v>
      </c>
      <c r="AO510">
        <v>76.363</v>
      </c>
      <c r="AP510">
        <v>-9.5139999999999993</v>
      </c>
      <c r="AQ510">
        <v>93.623000000000005</v>
      </c>
      <c r="AR510">
        <v>36.448</v>
      </c>
      <c r="AS510">
        <v>71.53</v>
      </c>
    </row>
    <row r="511" spans="1:45" x14ac:dyDescent="0.25">
      <c r="A511">
        <v>43</v>
      </c>
      <c r="B511">
        <v>-3</v>
      </c>
      <c r="C511">
        <v>0</v>
      </c>
      <c r="D511">
        <v>2019</v>
      </c>
      <c r="E511">
        <v>17</v>
      </c>
      <c r="F511" t="str">
        <f>IFERROR(VLOOKUP(G511, Map!$A$1:$B$33, 2, FALSE),"WAS")</f>
        <v>DET</v>
      </c>
      <c r="G511" t="s">
        <v>164</v>
      </c>
      <c r="H511" t="str">
        <f>IFERROR(VLOOKUP(I511, Map!$A$1:$B$33, 2, FALSE),"WAS")</f>
        <v>GB</v>
      </c>
      <c r="I511" t="s">
        <v>154</v>
      </c>
      <c r="J511" t="s">
        <v>173</v>
      </c>
      <c r="K511" t="s">
        <v>200</v>
      </c>
      <c r="L511">
        <v>0</v>
      </c>
      <c r="M511">
        <v>0</v>
      </c>
      <c r="N511">
        <v>36.4583333333333</v>
      </c>
      <c r="O511">
        <v>11.4583333333333</v>
      </c>
      <c r="P511">
        <v>9.5</v>
      </c>
      <c r="Q511">
        <v>0</v>
      </c>
      <c r="R511">
        <v>5.2</v>
      </c>
      <c r="S511">
        <v>10.7</v>
      </c>
      <c r="T511">
        <v>0.3</v>
      </c>
      <c r="U511">
        <v>1.8</v>
      </c>
      <c r="V511">
        <v>16.5</v>
      </c>
      <c r="W511">
        <v>0</v>
      </c>
      <c r="X511">
        <v>12</v>
      </c>
      <c r="Y511">
        <v>16.5</v>
      </c>
      <c r="Z511">
        <v>21.7</v>
      </c>
      <c r="AA511">
        <v>39.200000000000003</v>
      </c>
      <c r="AB511">
        <v>111</v>
      </c>
      <c r="AC511">
        <v>92</v>
      </c>
      <c r="AD511">
        <v>24.6</v>
      </c>
      <c r="AE511">
        <v>14.2</v>
      </c>
      <c r="AF511">
        <v>30.010999999999999</v>
      </c>
      <c r="AG511">
        <v>40.994999999999997</v>
      </c>
      <c r="AH511">
        <v>69.748000000000005</v>
      </c>
      <c r="AI511">
        <v>51.539000000000001</v>
      </c>
      <c r="AJ511">
        <v>45.356999999999999</v>
      </c>
      <c r="AK511">
        <v>51.601999999999997</v>
      </c>
      <c r="AL511">
        <v>-6.8689999999999998</v>
      </c>
      <c r="AM511">
        <v>69.748000000000005</v>
      </c>
      <c r="AN511">
        <v>40.994999999999997</v>
      </c>
      <c r="AO511">
        <v>30.010999999999999</v>
      </c>
      <c r="AP511">
        <v>6.8689999999999998</v>
      </c>
      <c r="AQ511">
        <v>54.643000000000001</v>
      </c>
      <c r="AR511">
        <v>48.460999999999999</v>
      </c>
      <c r="AS511">
        <v>48.398000000000003</v>
      </c>
    </row>
    <row r="512" spans="1:45" x14ac:dyDescent="0.25">
      <c r="A512">
        <v>38</v>
      </c>
      <c r="B512">
        <v>18</v>
      </c>
      <c r="C512">
        <v>1</v>
      </c>
      <c r="D512">
        <v>2019</v>
      </c>
      <c r="E512">
        <v>17</v>
      </c>
      <c r="F512" t="str">
        <f>IFERROR(VLOOKUP(G512, Map!$A$1:$B$33, 2, FALSE),"WAS")</f>
        <v>BAL</v>
      </c>
      <c r="G512" t="s">
        <v>146</v>
      </c>
      <c r="H512" t="str">
        <f>IFERROR(VLOOKUP(I512, Map!$A$1:$B$33, 2, FALSE),"WAS")</f>
        <v>PIT</v>
      </c>
      <c r="I512" t="s">
        <v>145</v>
      </c>
      <c r="J512" t="s">
        <v>181</v>
      </c>
      <c r="K512" t="s">
        <v>170</v>
      </c>
      <c r="L512">
        <v>1</v>
      </c>
      <c r="M512">
        <v>0</v>
      </c>
      <c r="N512">
        <v>32.2083333333333</v>
      </c>
      <c r="O512">
        <v>1.0416666666666701</v>
      </c>
      <c r="P512">
        <v>0</v>
      </c>
      <c r="Q512">
        <v>35</v>
      </c>
      <c r="R512">
        <v>6.4</v>
      </c>
      <c r="S512">
        <v>9.1999999999999993</v>
      </c>
      <c r="T512">
        <v>3.8</v>
      </c>
      <c r="U512">
        <v>3.9</v>
      </c>
      <c r="V512">
        <v>12</v>
      </c>
      <c r="W512">
        <v>0</v>
      </c>
      <c r="X512">
        <v>9</v>
      </c>
      <c r="Y512">
        <v>12</v>
      </c>
      <c r="Z512">
        <v>12.8</v>
      </c>
      <c r="AA512">
        <v>24.8</v>
      </c>
      <c r="AB512">
        <v>86</v>
      </c>
      <c r="AC512">
        <v>91</v>
      </c>
      <c r="AD512">
        <v>14.3</v>
      </c>
      <c r="AE512">
        <v>8.6</v>
      </c>
      <c r="AF512">
        <v>85.120999999999995</v>
      </c>
      <c r="AG512">
        <v>53.874000000000002</v>
      </c>
      <c r="AH512">
        <v>14.760999999999999</v>
      </c>
      <c r="AI512">
        <v>82.454999999999998</v>
      </c>
      <c r="AJ512">
        <v>46.076000000000001</v>
      </c>
      <c r="AK512">
        <v>78.283000000000001</v>
      </c>
      <c r="AL512">
        <v>13.776</v>
      </c>
      <c r="AM512">
        <v>14.760999999999999</v>
      </c>
      <c r="AN512">
        <v>53.874000000000002</v>
      </c>
      <c r="AO512">
        <v>85.120999999999995</v>
      </c>
      <c r="AP512">
        <v>-13.776</v>
      </c>
      <c r="AQ512">
        <v>53.923999999999999</v>
      </c>
      <c r="AR512">
        <v>17.545000000000002</v>
      </c>
      <c r="AS512">
        <v>21.716999999999999</v>
      </c>
    </row>
    <row r="513" spans="1:45" x14ac:dyDescent="0.25">
      <c r="A513">
        <v>56</v>
      </c>
      <c r="B513">
        <v>10</v>
      </c>
      <c r="C513">
        <v>1</v>
      </c>
      <c r="D513">
        <v>2019</v>
      </c>
      <c r="E513">
        <v>17</v>
      </c>
      <c r="F513" t="str">
        <f>IFERROR(VLOOKUP(G513, Map!$A$1:$B$33, 2, FALSE),"WAS")</f>
        <v>CIN</v>
      </c>
      <c r="G513" t="s">
        <v>161</v>
      </c>
      <c r="H513" t="str">
        <f>IFERROR(VLOOKUP(I513, Map!$A$1:$B$33, 2, FALSE),"WAS")</f>
        <v>CLE</v>
      </c>
      <c r="I513" t="s">
        <v>162</v>
      </c>
      <c r="J513" t="s">
        <v>176</v>
      </c>
      <c r="K513" t="s">
        <v>171</v>
      </c>
      <c r="L513">
        <v>1</v>
      </c>
      <c r="M513">
        <v>0</v>
      </c>
      <c r="N513">
        <v>36.4166666666667</v>
      </c>
      <c r="O513">
        <v>2.375</v>
      </c>
      <c r="P513">
        <v>2.5</v>
      </c>
      <c r="Q513">
        <v>0</v>
      </c>
      <c r="R513">
        <v>14.1</v>
      </c>
      <c r="S513">
        <v>17.100000000000001</v>
      </c>
      <c r="T513">
        <v>12</v>
      </c>
      <c r="U513">
        <v>13</v>
      </c>
      <c r="V513">
        <v>24.2</v>
      </c>
      <c r="W513">
        <v>0</v>
      </c>
      <c r="X513">
        <v>18</v>
      </c>
      <c r="Y513">
        <v>24.2</v>
      </c>
      <c r="Z513">
        <v>21.5</v>
      </c>
      <c r="AA513">
        <v>58</v>
      </c>
      <c r="AB513">
        <v>156</v>
      </c>
      <c r="AC513">
        <v>93</v>
      </c>
      <c r="AD513">
        <v>33.6</v>
      </c>
      <c r="AE513">
        <v>14.5</v>
      </c>
      <c r="AF513">
        <v>36.889000000000003</v>
      </c>
      <c r="AG513">
        <v>13.085000000000001</v>
      </c>
      <c r="AH513">
        <v>62.814999999999998</v>
      </c>
      <c r="AI513">
        <v>80.340999999999994</v>
      </c>
      <c r="AJ513">
        <v>76.563000000000002</v>
      </c>
      <c r="AK513">
        <v>82.878</v>
      </c>
      <c r="AL513">
        <v>-4.3650000000000002</v>
      </c>
      <c r="AM513">
        <v>62.814999999999998</v>
      </c>
      <c r="AN513">
        <v>13.085000000000001</v>
      </c>
      <c r="AO513">
        <v>36.889000000000003</v>
      </c>
      <c r="AP513">
        <v>4.3650000000000002</v>
      </c>
      <c r="AQ513">
        <v>23.437000000000001</v>
      </c>
      <c r="AR513">
        <v>19.658999999999999</v>
      </c>
      <c r="AS513">
        <v>17.122</v>
      </c>
    </row>
    <row r="514" spans="1:45" x14ac:dyDescent="0.25">
      <c r="A514">
        <v>44</v>
      </c>
      <c r="B514">
        <v>10</v>
      </c>
      <c r="C514">
        <v>1</v>
      </c>
      <c r="D514">
        <v>2020</v>
      </c>
      <c r="E514">
        <v>1</v>
      </c>
      <c r="F514" t="str">
        <f>IFERROR(VLOOKUP(G514, Map!$A$1:$B$33, 2, FALSE),"WAS")</f>
        <v>WAS</v>
      </c>
      <c r="G514" t="s">
        <v>169</v>
      </c>
      <c r="H514" t="str">
        <f>IFERROR(VLOOKUP(I514, Map!$A$1:$B$33, 2, FALSE),"WAS")</f>
        <v>PHI</v>
      </c>
      <c r="I514" t="s">
        <v>147</v>
      </c>
      <c r="J514" t="s">
        <v>205</v>
      </c>
      <c r="K514" t="s">
        <v>206</v>
      </c>
      <c r="L514">
        <v>1</v>
      </c>
      <c r="M514">
        <v>0</v>
      </c>
      <c r="N514">
        <v>37.6</v>
      </c>
      <c r="O514">
        <v>4.4000000000000004</v>
      </c>
      <c r="P514">
        <v>5.5</v>
      </c>
      <c r="Q514">
        <v>41</v>
      </c>
      <c r="R514">
        <v>20.3</v>
      </c>
      <c r="S514">
        <v>26.7</v>
      </c>
      <c r="T514">
        <v>15.9</v>
      </c>
      <c r="U514">
        <v>21.5</v>
      </c>
      <c r="V514">
        <v>0</v>
      </c>
      <c r="W514">
        <v>0</v>
      </c>
      <c r="X514">
        <v>0</v>
      </c>
      <c r="Y514">
        <v>0</v>
      </c>
      <c r="Z514">
        <v>12.6</v>
      </c>
      <c r="AA514">
        <v>26.6</v>
      </c>
      <c r="AB514">
        <v>131</v>
      </c>
      <c r="AC514">
        <v>79</v>
      </c>
      <c r="AD514">
        <v>16.2</v>
      </c>
      <c r="AE514">
        <v>7.5</v>
      </c>
      <c r="AF514">
        <v>29.718</v>
      </c>
      <c r="AG514">
        <v>33.082999999999998</v>
      </c>
      <c r="AH514">
        <v>70.043000000000006</v>
      </c>
      <c r="AI514">
        <v>85.355000000000004</v>
      </c>
      <c r="AJ514">
        <v>42.085000000000001</v>
      </c>
      <c r="AK514">
        <v>70.694000000000003</v>
      </c>
      <c r="AL514">
        <v>-7.609</v>
      </c>
      <c r="AM514">
        <v>70.043000000000006</v>
      </c>
      <c r="AN514">
        <v>33.082999999999998</v>
      </c>
      <c r="AO514">
        <v>29.718</v>
      </c>
      <c r="AP514">
        <v>7.609</v>
      </c>
      <c r="AQ514">
        <v>57.914999999999999</v>
      </c>
      <c r="AR514">
        <v>14.645</v>
      </c>
      <c r="AS514">
        <v>29.306000000000001</v>
      </c>
    </row>
    <row r="515" spans="1:45" x14ac:dyDescent="0.25">
      <c r="A515">
        <v>30</v>
      </c>
      <c r="B515">
        <v>-2</v>
      </c>
      <c r="C515">
        <v>0</v>
      </c>
      <c r="D515">
        <v>2020</v>
      </c>
      <c r="E515">
        <v>1</v>
      </c>
      <c r="F515" t="str">
        <f>IFERROR(VLOOKUP(G515, Map!$A$1:$B$33, 2, FALSE),"WAS")</f>
        <v>DEN</v>
      </c>
      <c r="G515" t="s">
        <v>159</v>
      </c>
      <c r="H515" t="str">
        <f>IFERROR(VLOOKUP(I515, Map!$A$1:$B$33, 2, FALSE),"WAS")</f>
        <v>TEN</v>
      </c>
      <c r="I515" t="s">
        <v>140</v>
      </c>
      <c r="J515" t="s">
        <v>183</v>
      </c>
      <c r="K515" t="s">
        <v>174</v>
      </c>
      <c r="L515">
        <v>0</v>
      </c>
      <c r="M515">
        <v>0</v>
      </c>
      <c r="N515">
        <v>37.5</v>
      </c>
      <c r="O515">
        <v>1.63636363636364</v>
      </c>
      <c r="P515">
        <v>-1.5</v>
      </c>
      <c r="Q515">
        <v>40.5</v>
      </c>
      <c r="R515">
        <v>20.2</v>
      </c>
      <c r="S515">
        <v>30.2</v>
      </c>
      <c r="T515">
        <v>10.8</v>
      </c>
      <c r="U515">
        <v>17.3</v>
      </c>
      <c r="V515">
        <v>0</v>
      </c>
      <c r="W515">
        <v>0</v>
      </c>
      <c r="X515">
        <v>0</v>
      </c>
      <c r="Y515">
        <v>0</v>
      </c>
      <c r="Z515">
        <v>13.3</v>
      </c>
      <c r="AA515">
        <v>27.7</v>
      </c>
      <c r="AB515">
        <v>263</v>
      </c>
      <c r="AC515">
        <v>32</v>
      </c>
      <c r="AD515">
        <v>17.399999999999999</v>
      </c>
      <c r="AE515">
        <v>8.9</v>
      </c>
      <c r="AF515">
        <v>53.279000000000003</v>
      </c>
      <c r="AG515">
        <v>42.131999999999998</v>
      </c>
      <c r="AH515">
        <v>46.347999999999999</v>
      </c>
      <c r="AI515">
        <v>33.375999999999998</v>
      </c>
      <c r="AJ515">
        <v>40.886000000000003</v>
      </c>
      <c r="AK515">
        <v>47.161000000000001</v>
      </c>
      <c r="AL515">
        <v>1.2509999999999999</v>
      </c>
      <c r="AM515">
        <v>46.347999999999999</v>
      </c>
      <c r="AN515">
        <v>42.131999999999998</v>
      </c>
      <c r="AO515">
        <v>53.279000000000003</v>
      </c>
      <c r="AP515">
        <v>-1.2509999999999999</v>
      </c>
      <c r="AQ515">
        <v>59.113999999999997</v>
      </c>
      <c r="AR515">
        <v>66.623999999999995</v>
      </c>
      <c r="AS515">
        <v>52.838999999999999</v>
      </c>
    </row>
    <row r="516" spans="1:45" x14ac:dyDescent="0.25">
      <c r="A516">
        <v>44</v>
      </c>
      <c r="B516">
        <v>10</v>
      </c>
      <c r="C516">
        <v>1</v>
      </c>
      <c r="D516">
        <v>2020</v>
      </c>
      <c r="E516">
        <v>1</v>
      </c>
      <c r="F516" t="str">
        <f>IFERROR(VLOOKUP(G516, Map!$A$1:$B$33, 2, FALSE),"WAS")</f>
        <v>BUF</v>
      </c>
      <c r="G516" t="s">
        <v>165</v>
      </c>
      <c r="H516" t="str">
        <f>IFERROR(VLOOKUP(I516, Map!$A$1:$B$33, 2, FALSE),"WAS")</f>
        <v>NYJ</v>
      </c>
      <c r="I516" t="s">
        <v>166</v>
      </c>
      <c r="J516" t="s">
        <v>180</v>
      </c>
      <c r="K516" t="s">
        <v>172</v>
      </c>
      <c r="L516">
        <v>1</v>
      </c>
      <c r="M516">
        <v>0</v>
      </c>
      <c r="N516">
        <v>35.681818181818201</v>
      </c>
      <c r="O516">
        <v>-5.2272727272727302</v>
      </c>
      <c r="P516">
        <v>-6</v>
      </c>
      <c r="Q516">
        <v>38.5</v>
      </c>
      <c r="R516">
        <v>23.1</v>
      </c>
      <c r="S516">
        <v>29.5</v>
      </c>
      <c r="T516">
        <v>18.100000000000001</v>
      </c>
      <c r="U516">
        <v>25.4</v>
      </c>
      <c r="V516">
        <v>0</v>
      </c>
      <c r="W516">
        <v>0</v>
      </c>
      <c r="X516">
        <v>0</v>
      </c>
      <c r="Y516">
        <v>0</v>
      </c>
      <c r="Z516">
        <v>14.4</v>
      </c>
      <c r="AA516">
        <v>24.5</v>
      </c>
      <c r="AB516">
        <v>72</v>
      </c>
      <c r="AC516">
        <v>78</v>
      </c>
      <c r="AD516">
        <v>17.8</v>
      </c>
      <c r="AE516">
        <v>8.1</v>
      </c>
      <c r="AF516">
        <v>63.454000000000001</v>
      </c>
      <c r="AG516">
        <v>48.777999999999999</v>
      </c>
      <c r="AH516">
        <v>36.255000000000003</v>
      </c>
      <c r="AI516">
        <v>92.884</v>
      </c>
      <c r="AJ516">
        <v>81.454999999999998</v>
      </c>
      <c r="AK516">
        <v>92.634</v>
      </c>
      <c r="AL516">
        <v>5.0010000000000003</v>
      </c>
      <c r="AM516">
        <v>36.255000000000003</v>
      </c>
      <c r="AN516">
        <v>48.777999999999999</v>
      </c>
      <c r="AO516">
        <v>63.454000000000001</v>
      </c>
      <c r="AP516">
        <v>-5.0010000000000003</v>
      </c>
      <c r="AQ516">
        <v>18.545000000000002</v>
      </c>
      <c r="AR516">
        <v>7.1159999999999997</v>
      </c>
      <c r="AS516">
        <v>7.3659999999999997</v>
      </c>
    </row>
    <row r="517" spans="1:45" x14ac:dyDescent="0.25">
      <c r="A517">
        <v>57</v>
      </c>
      <c r="B517">
        <v>11</v>
      </c>
      <c r="C517">
        <v>1</v>
      </c>
      <c r="D517">
        <v>2020</v>
      </c>
      <c r="E517">
        <v>1</v>
      </c>
      <c r="F517" t="str">
        <f>IFERROR(VLOOKUP(G517, Map!$A$1:$B$33, 2, FALSE),"WAS")</f>
        <v>NO</v>
      </c>
      <c r="G517" t="s">
        <v>168</v>
      </c>
      <c r="H517" t="str">
        <f>IFERROR(VLOOKUP(I517, Map!$A$1:$B$33, 2, FALSE),"WAS")</f>
        <v>TB</v>
      </c>
      <c r="I517" t="s">
        <v>141</v>
      </c>
      <c r="J517" t="s">
        <v>192</v>
      </c>
      <c r="K517" t="s">
        <v>186</v>
      </c>
      <c r="L517">
        <v>1</v>
      </c>
      <c r="M517">
        <v>0</v>
      </c>
      <c r="N517">
        <v>44.045454545454497</v>
      </c>
      <c r="O517">
        <v>-3.2272727272727302</v>
      </c>
      <c r="P517">
        <v>-3.5</v>
      </c>
      <c r="Q517">
        <v>47.5</v>
      </c>
      <c r="R517">
        <v>27.3</v>
      </c>
      <c r="S517">
        <v>30.2</v>
      </c>
      <c r="T517">
        <v>25.4</v>
      </c>
      <c r="U517">
        <v>31.2</v>
      </c>
      <c r="V517">
        <v>3.4</v>
      </c>
      <c r="W517">
        <v>0</v>
      </c>
      <c r="X517">
        <v>9</v>
      </c>
      <c r="Y517">
        <v>3.4</v>
      </c>
      <c r="Z517">
        <v>24.3</v>
      </c>
      <c r="AA517">
        <v>45.4</v>
      </c>
      <c r="AB517">
        <v>69</v>
      </c>
      <c r="AC517">
        <v>83</v>
      </c>
      <c r="AD517">
        <v>30.9</v>
      </c>
      <c r="AE517">
        <v>15.9</v>
      </c>
      <c r="AF517">
        <v>59.134999999999998</v>
      </c>
      <c r="AG517">
        <v>96.98</v>
      </c>
      <c r="AH517">
        <v>40.54</v>
      </c>
      <c r="AI517">
        <v>72.216999999999999</v>
      </c>
      <c r="AJ517">
        <v>65.921999999999997</v>
      </c>
      <c r="AK517">
        <v>84.203999999999994</v>
      </c>
      <c r="AL517">
        <v>3.3820000000000001</v>
      </c>
      <c r="AM517">
        <v>40.54</v>
      </c>
      <c r="AN517">
        <v>96.98</v>
      </c>
      <c r="AO517">
        <v>59.134999999999998</v>
      </c>
      <c r="AP517">
        <v>-3.3820000000000001</v>
      </c>
      <c r="AQ517">
        <v>34.078000000000003</v>
      </c>
      <c r="AR517">
        <v>27.783000000000001</v>
      </c>
      <c r="AS517">
        <v>15.795999999999999</v>
      </c>
    </row>
    <row r="518" spans="1:45" x14ac:dyDescent="0.25">
      <c r="A518">
        <v>54</v>
      </c>
      <c r="B518">
        <v>14</v>
      </c>
      <c r="C518">
        <v>1</v>
      </c>
      <c r="D518">
        <v>2020</v>
      </c>
      <c r="E518">
        <v>1</v>
      </c>
      <c r="F518" t="str">
        <f>IFERROR(VLOOKUP(G518, Map!$A$1:$B$33, 2, FALSE),"WAS")</f>
        <v>KC</v>
      </c>
      <c r="G518" t="s">
        <v>158</v>
      </c>
      <c r="H518" t="str">
        <f>IFERROR(VLOOKUP(I518, Map!$A$1:$B$33, 2, FALSE),"WAS")</f>
        <v>HOU</v>
      </c>
      <c r="I518" t="s">
        <v>137</v>
      </c>
      <c r="J518" t="s">
        <v>202</v>
      </c>
      <c r="K518" t="s">
        <v>209</v>
      </c>
      <c r="L518">
        <v>1</v>
      </c>
      <c r="M518">
        <v>0</v>
      </c>
      <c r="N518">
        <v>48.3</v>
      </c>
      <c r="O518">
        <v>-7.45</v>
      </c>
      <c r="P518">
        <v>-9</v>
      </c>
      <c r="Q518">
        <v>53</v>
      </c>
      <c r="R518">
        <v>15.2</v>
      </c>
      <c r="S518">
        <v>19.5</v>
      </c>
      <c r="T518">
        <v>13.7</v>
      </c>
      <c r="U518">
        <v>15.3</v>
      </c>
      <c r="V518">
        <v>6</v>
      </c>
      <c r="W518">
        <v>0</v>
      </c>
      <c r="X518">
        <v>14</v>
      </c>
      <c r="Y518">
        <v>6</v>
      </c>
      <c r="Z518">
        <v>11.9</v>
      </c>
      <c r="AA518">
        <v>23.4</v>
      </c>
      <c r="AB518">
        <v>347</v>
      </c>
      <c r="AC518">
        <v>90</v>
      </c>
      <c r="AD518">
        <v>16.2</v>
      </c>
      <c r="AE518">
        <v>7.2</v>
      </c>
      <c r="AF518">
        <v>77.13</v>
      </c>
      <c r="AG518">
        <v>55.935000000000002</v>
      </c>
      <c r="AH518">
        <v>22.687999999999999</v>
      </c>
      <c r="AI518">
        <v>30.812000000000001</v>
      </c>
      <c r="AJ518">
        <v>93.811999999999998</v>
      </c>
      <c r="AK518">
        <v>86.650999999999996</v>
      </c>
      <c r="AL518">
        <v>10.73</v>
      </c>
      <c r="AM518">
        <v>22.687999999999999</v>
      </c>
      <c r="AN518">
        <v>55.935000000000002</v>
      </c>
      <c r="AO518">
        <v>77.13</v>
      </c>
      <c r="AP518">
        <v>-10.73</v>
      </c>
      <c r="AQ518">
        <v>6.1879999999999997</v>
      </c>
      <c r="AR518">
        <v>69.188000000000002</v>
      </c>
      <c r="AS518">
        <v>13.349</v>
      </c>
    </row>
    <row r="519" spans="1:45" x14ac:dyDescent="0.25">
      <c r="A519">
        <v>29</v>
      </c>
      <c r="B519">
        <v>-3</v>
      </c>
      <c r="C519">
        <v>0</v>
      </c>
      <c r="D519">
        <v>2020</v>
      </c>
      <c r="E519">
        <v>1</v>
      </c>
      <c r="F519" t="str">
        <f>IFERROR(VLOOKUP(G519, Map!$A$1:$B$33, 2, FALSE),"WAS")</f>
        <v>CIN</v>
      </c>
      <c r="G519" t="s">
        <v>161</v>
      </c>
      <c r="H519" t="str">
        <f>IFERROR(VLOOKUP(I519, Map!$A$1:$B$33, 2, FALSE),"WAS")</f>
        <v>LAC</v>
      </c>
      <c r="I519" t="s">
        <v>160</v>
      </c>
      <c r="J519" t="s">
        <v>176</v>
      </c>
      <c r="K519" t="s">
        <v>210</v>
      </c>
      <c r="L519">
        <v>0</v>
      </c>
      <c r="M519">
        <v>0</v>
      </c>
      <c r="N519">
        <v>37.818181818181799</v>
      </c>
      <c r="O519">
        <v>2.4545454545454501</v>
      </c>
      <c r="P519">
        <v>2.5</v>
      </c>
      <c r="Q519">
        <v>41</v>
      </c>
      <c r="R519">
        <v>24.6</v>
      </c>
      <c r="S519">
        <v>28.3</v>
      </c>
      <c r="T519">
        <v>21.9</v>
      </c>
      <c r="U519">
        <v>27.6</v>
      </c>
      <c r="V519">
        <v>20.9</v>
      </c>
      <c r="W519">
        <v>0</v>
      </c>
      <c r="X519">
        <v>14</v>
      </c>
      <c r="Y519">
        <v>20.9</v>
      </c>
      <c r="Z519">
        <v>13.9</v>
      </c>
      <c r="AA519">
        <v>28.8</v>
      </c>
      <c r="AB519">
        <v>244</v>
      </c>
      <c r="AC519">
        <v>81</v>
      </c>
      <c r="AD519">
        <v>22</v>
      </c>
      <c r="AE519">
        <v>9.1999999999999993</v>
      </c>
      <c r="AF519">
        <v>43.137999999999998</v>
      </c>
      <c r="AG519">
        <v>27.175999999999998</v>
      </c>
      <c r="AH519">
        <v>56.515999999999998</v>
      </c>
      <c r="AI519">
        <v>66.897000000000006</v>
      </c>
      <c r="AJ519">
        <v>19.866</v>
      </c>
      <c r="AK519">
        <v>45.225999999999999</v>
      </c>
      <c r="AL519">
        <v>-2.423</v>
      </c>
      <c r="AM519">
        <v>56.515999999999998</v>
      </c>
      <c r="AN519">
        <v>27.175999999999998</v>
      </c>
      <c r="AO519">
        <v>43.137999999999998</v>
      </c>
      <c r="AP519">
        <v>2.423</v>
      </c>
      <c r="AQ519">
        <v>80.134</v>
      </c>
      <c r="AR519">
        <v>33.103000000000002</v>
      </c>
      <c r="AS519">
        <v>54.774000000000001</v>
      </c>
    </row>
    <row r="520" spans="1:45" x14ac:dyDescent="0.25">
      <c r="A520">
        <v>44</v>
      </c>
      <c r="B520">
        <v>32</v>
      </c>
      <c r="C520">
        <v>1</v>
      </c>
      <c r="D520">
        <v>2020</v>
      </c>
      <c r="E520">
        <v>1</v>
      </c>
      <c r="F520" t="str">
        <f>IFERROR(VLOOKUP(G520, Map!$A$1:$B$33, 2, FALSE),"WAS")</f>
        <v>BAL</v>
      </c>
      <c r="G520" t="s">
        <v>146</v>
      </c>
      <c r="H520" t="str">
        <f>IFERROR(VLOOKUP(I520, Map!$A$1:$B$33, 2, FALSE),"WAS")</f>
        <v>CLE</v>
      </c>
      <c r="I520" t="s">
        <v>162</v>
      </c>
      <c r="J520" t="s">
        <v>181</v>
      </c>
      <c r="K520" t="s">
        <v>171</v>
      </c>
      <c r="L520">
        <v>1</v>
      </c>
      <c r="M520">
        <v>0</v>
      </c>
      <c r="N520">
        <v>43.409090909090899</v>
      </c>
      <c r="O520">
        <v>-5.9090909090909101</v>
      </c>
      <c r="P520">
        <v>-7</v>
      </c>
      <c r="Q520">
        <v>47.5</v>
      </c>
      <c r="R520">
        <v>20.2</v>
      </c>
      <c r="S520">
        <v>25.3</v>
      </c>
      <c r="T520">
        <v>16</v>
      </c>
      <c r="U520">
        <v>21.6</v>
      </c>
      <c r="V520">
        <v>0.5</v>
      </c>
      <c r="W520">
        <v>0</v>
      </c>
      <c r="X520">
        <v>4</v>
      </c>
      <c r="Y520">
        <v>0.5</v>
      </c>
      <c r="Z520">
        <v>14.7</v>
      </c>
      <c r="AA520">
        <v>29.9</v>
      </c>
      <c r="AB520">
        <v>110</v>
      </c>
      <c r="AC520">
        <v>83</v>
      </c>
      <c r="AD520">
        <v>17.100000000000001</v>
      </c>
      <c r="AE520">
        <v>8</v>
      </c>
      <c r="AF520">
        <v>69.796000000000006</v>
      </c>
      <c r="AG520">
        <v>63.978999999999999</v>
      </c>
      <c r="AH520">
        <v>29.963000000000001</v>
      </c>
      <c r="AI520">
        <v>68.498999999999995</v>
      </c>
      <c r="AJ520">
        <v>95.546000000000006</v>
      </c>
      <c r="AK520">
        <v>96.528000000000006</v>
      </c>
      <c r="AL520">
        <v>7.5069999999999997</v>
      </c>
      <c r="AM520">
        <v>29.963000000000001</v>
      </c>
      <c r="AN520">
        <v>63.978999999999999</v>
      </c>
      <c r="AO520">
        <v>69.796000000000006</v>
      </c>
      <c r="AP520">
        <v>-7.5069999999999997</v>
      </c>
      <c r="AQ520">
        <v>4.4539999999999997</v>
      </c>
      <c r="AR520">
        <v>31.501000000000001</v>
      </c>
      <c r="AS520">
        <v>3.472</v>
      </c>
    </row>
    <row r="521" spans="1:45" x14ac:dyDescent="0.25">
      <c r="A521">
        <v>63</v>
      </c>
      <c r="B521">
        <v>-13</v>
      </c>
      <c r="C521">
        <v>0</v>
      </c>
      <c r="D521">
        <v>2020</v>
      </c>
      <c r="E521">
        <v>1</v>
      </c>
      <c r="F521" t="str">
        <f>IFERROR(VLOOKUP(G521, Map!$A$1:$B$33, 2, FALSE),"WAS")</f>
        <v>ATL</v>
      </c>
      <c r="G521" t="s">
        <v>167</v>
      </c>
      <c r="H521" t="str">
        <f>IFERROR(VLOOKUP(I521, Map!$A$1:$B$33, 2, FALSE),"WAS")</f>
        <v>SEA</v>
      </c>
      <c r="I521" t="s">
        <v>144</v>
      </c>
      <c r="J521" t="s">
        <v>188</v>
      </c>
      <c r="K521" t="s">
        <v>182</v>
      </c>
      <c r="L521">
        <v>0</v>
      </c>
      <c r="M521">
        <v>0</v>
      </c>
      <c r="N521">
        <v>44.636363636363598</v>
      </c>
      <c r="O521">
        <v>-0.81818181818181801</v>
      </c>
      <c r="P521">
        <v>-1</v>
      </c>
      <c r="Q521">
        <v>48.5</v>
      </c>
      <c r="R521">
        <v>25.1</v>
      </c>
      <c r="S521">
        <v>29.5</v>
      </c>
      <c r="T521">
        <v>21.9</v>
      </c>
      <c r="U521">
        <v>27.3</v>
      </c>
      <c r="V521">
        <v>1.3</v>
      </c>
      <c r="W521">
        <v>0</v>
      </c>
      <c r="X521">
        <v>6</v>
      </c>
      <c r="Y521">
        <v>1.3</v>
      </c>
      <c r="Z521">
        <v>18.2</v>
      </c>
      <c r="AA521">
        <v>34.6</v>
      </c>
      <c r="AB521">
        <v>100</v>
      </c>
      <c r="AC521">
        <v>79</v>
      </c>
      <c r="AD521">
        <v>28.1</v>
      </c>
      <c r="AE521">
        <v>14.5</v>
      </c>
      <c r="AF521">
        <v>48.201999999999998</v>
      </c>
      <c r="AG521">
        <v>70.343999999999994</v>
      </c>
      <c r="AH521">
        <v>51.411000000000001</v>
      </c>
      <c r="AI521">
        <v>9.218</v>
      </c>
      <c r="AJ521">
        <v>43.1</v>
      </c>
      <c r="AK521">
        <v>17.263999999999999</v>
      </c>
      <c r="AL521">
        <v>-0.57899999999999996</v>
      </c>
      <c r="AM521">
        <v>51.411000000000001</v>
      </c>
      <c r="AN521">
        <v>70.343999999999994</v>
      </c>
      <c r="AO521">
        <v>48.201999999999998</v>
      </c>
      <c r="AP521">
        <v>0.57899999999999996</v>
      </c>
      <c r="AQ521">
        <v>56.9</v>
      </c>
      <c r="AR521">
        <v>90.781999999999996</v>
      </c>
      <c r="AS521">
        <v>82.736000000000004</v>
      </c>
    </row>
    <row r="522" spans="1:45" x14ac:dyDescent="0.25">
      <c r="A522">
        <v>47</v>
      </c>
      <c r="B522">
        <v>7</v>
      </c>
      <c r="C522">
        <v>1</v>
      </c>
      <c r="D522">
        <v>2020</v>
      </c>
      <c r="E522">
        <v>1</v>
      </c>
      <c r="F522" t="str">
        <f>IFERROR(VLOOKUP(G522, Map!$A$1:$B$33, 2, FALSE),"WAS")</f>
        <v>JAX</v>
      </c>
      <c r="G522" t="s">
        <v>139</v>
      </c>
      <c r="H522" t="str">
        <f>IFERROR(VLOOKUP(I522, Map!$A$1:$B$33, 2, FALSE),"WAS")</f>
        <v>IND</v>
      </c>
      <c r="I522" t="s">
        <v>138</v>
      </c>
      <c r="J522" t="s">
        <v>220</v>
      </c>
      <c r="K522" t="s">
        <v>177</v>
      </c>
      <c r="L522">
        <v>1</v>
      </c>
      <c r="M522">
        <v>0</v>
      </c>
      <c r="N522">
        <v>40.272727272727302</v>
      </c>
      <c r="O522">
        <v>5.8636363636363598</v>
      </c>
      <c r="P522">
        <v>7</v>
      </c>
      <c r="Q522">
        <v>43.5</v>
      </c>
      <c r="R522">
        <v>27.2</v>
      </c>
      <c r="S522">
        <v>30.8</v>
      </c>
      <c r="T522">
        <v>24.6</v>
      </c>
      <c r="U522">
        <v>30.7</v>
      </c>
      <c r="V522">
        <v>4</v>
      </c>
      <c r="W522">
        <v>0</v>
      </c>
      <c r="X522">
        <v>18</v>
      </c>
      <c r="Y522">
        <v>4</v>
      </c>
      <c r="Z522">
        <v>25</v>
      </c>
      <c r="AA522">
        <v>43.6</v>
      </c>
      <c r="AB522">
        <v>102</v>
      </c>
      <c r="AC522">
        <v>83</v>
      </c>
      <c r="AD522">
        <v>33.200000000000003</v>
      </c>
      <c r="AE522">
        <v>17.899999999999999</v>
      </c>
      <c r="AF522">
        <v>33.113</v>
      </c>
      <c r="AG522">
        <v>22.37</v>
      </c>
      <c r="AH522">
        <v>66.620999999999995</v>
      </c>
      <c r="AI522">
        <v>42.189</v>
      </c>
      <c r="AJ522">
        <v>82.293000000000006</v>
      </c>
      <c r="AK522">
        <v>67.647000000000006</v>
      </c>
      <c r="AL522">
        <v>-6.2290000000000001</v>
      </c>
      <c r="AM522">
        <v>66.620999999999995</v>
      </c>
      <c r="AN522">
        <v>22.37</v>
      </c>
      <c r="AO522">
        <v>33.113</v>
      </c>
      <c r="AP522">
        <v>6.2290000000000001</v>
      </c>
      <c r="AQ522">
        <v>17.707000000000001</v>
      </c>
      <c r="AR522">
        <v>57.811</v>
      </c>
      <c r="AS522">
        <v>32.353000000000002</v>
      </c>
    </row>
    <row r="523" spans="1:45" x14ac:dyDescent="0.25">
      <c r="A523">
        <v>50</v>
      </c>
      <c r="B523">
        <v>-4</v>
      </c>
      <c r="C523">
        <v>0</v>
      </c>
      <c r="D523">
        <v>2020</v>
      </c>
      <c r="E523">
        <v>1</v>
      </c>
      <c r="F523" t="str">
        <f>IFERROR(VLOOKUP(G523, Map!$A$1:$B$33, 2, FALSE),"WAS")</f>
        <v>DET</v>
      </c>
      <c r="G523" t="s">
        <v>164</v>
      </c>
      <c r="H523" t="str">
        <f>IFERROR(VLOOKUP(I523, Map!$A$1:$B$33, 2, FALSE),"WAS")</f>
        <v>CHI</v>
      </c>
      <c r="I523" t="s">
        <v>163</v>
      </c>
      <c r="J523" t="s">
        <v>173</v>
      </c>
      <c r="K523" t="s">
        <v>216</v>
      </c>
      <c r="L523">
        <v>0</v>
      </c>
      <c r="M523">
        <v>0</v>
      </c>
      <c r="N523">
        <v>38.772727272727302</v>
      </c>
      <c r="O523">
        <v>-1.9545454545454499</v>
      </c>
      <c r="P523">
        <v>-2</v>
      </c>
      <c r="Q523">
        <v>42</v>
      </c>
      <c r="R523">
        <v>21.9</v>
      </c>
      <c r="S523">
        <v>25</v>
      </c>
      <c r="T523">
        <v>19.399999999999999</v>
      </c>
      <c r="U523">
        <v>22.2</v>
      </c>
      <c r="V523">
        <v>4.3</v>
      </c>
      <c r="W523">
        <v>0</v>
      </c>
      <c r="X523">
        <v>5</v>
      </c>
      <c r="Y523">
        <v>4.3</v>
      </c>
      <c r="Z523">
        <v>23.8</v>
      </c>
      <c r="AA523">
        <v>42.5</v>
      </c>
      <c r="AB523">
        <v>259</v>
      </c>
      <c r="AC523">
        <v>76</v>
      </c>
      <c r="AD523">
        <v>30.6</v>
      </c>
      <c r="AE523">
        <v>16.8</v>
      </c>
      <c r="AF523">
        <v>48.161999999999999</v>
      </c>
      <c r="AG523">
        <v>20.122</v>
      </c>
      <c r="AH523">
        <v>51.451000000000001</v>
      </c>
      <c r="AI523">
        <v>33.201000000000001</v>
      </c>
      <c r="AJ523">
        <v>60.063000000000002</v>
      </c>
      <c r="AK523">
        <v>48.540999999999997</v>
      </c>
      <c r="AL523">
        <v>-0.59299999999999997</v>
      </c>
      <c r="AM523">
        <v>51.451000000000001</v>
      </c>
      <c r="AN523">
        <v>20.122</v>
      </c>
      <c r="AO523">
        <v>48.161999999999999</v>
      </c>
      <c r="AP523">
        <v>0.59299999999999997</v>
      </c>
      <c r="AQ523">
        <v>39.936999999999998</v>
      </c>
      <c r="AR523">
        <v>66.799000000000007</v>
      </c>
      <c r="AS523">
        <v>51.459000000000003</v>
      </c>
    </row>
    <row r="524" spans="1:45" x14ac:dyDescent="0.25">
      <c r="A524">
        <v>44</v>
      </c>
      <c r="B524">
        <v>-4</v>
      </c>
      <c r="C524">
        <v>0</v>
      </c>
      <c r="D524">
        <v>2020</v>
      </c>
      <c r="E524">
        <v>1</v>
      </c>
      <c r="F524" t="str">
        <f>IFERROR(VLOOKUP(G524, Map!$A$1:$B$33, 2, FALSE),"WAS")</f>
        <v>SF</v>
      </c>
      <c r="G524" t="s">
        <v>143</v>
      </c>
      <c r="H524" t="str">
        <f>IFERROR(VLOOKUP(I524, Map!$A$1:$B$33, 2, FALSE),"WAS")</f>
        <v>ARI</v>
      </c>
      <c r="I524" t="s">
        <v>156</v>
      </c>
      <c r="J524" t="s">
        <v>197</v>
      </c>
      <c r="K524" t="s">
        <v>190</v>
      </c>
      <c r="L524">
        <v>0</v>
      </c>
      <c r="M524">
        <v>0</v>
      </c>
      <c r="N524">
        <v>43.772727272727302</v>
      </c>
      <c r="O524">
        <v>-5.4090909090909101</v>
      </c>
      <c r="P524">
        <v>-6.5</v>
      </c>
      <c r="Q524">
        <v>47.5</v>
      </c>
      <c r="R524">
        <v>18.2</v>
      </c>
      <c r="S524">
        <v>28</v>
      </c>
      <c r="T524">
        <v>12.7</v>
      </c>
      <c r="U524">
        <v>18.100000000000001</v>
      </c>
      <c r="V524">
        <v>0.2</v>
      </c>
      <c r="W524">
        <v>0</v>
      </c>
      <c r="X524">
        <v>2</v>
      </c>
      <c r="Y524">
        <v>0.2</v>
      </c>
      <c r="Z524">
        <v>22.2</v>
      </c>
      <c r="AA524">
        <v>41.8</v>
      </c>
      <c r="AB524">
        <v>329</v>
      </c>
      <c r="AC524">
        <v>75</v>
      </c>
      <c r="AD524">
        <v>19.399999999999999</v>
      </c>
      <c r="AE524">
        <v>8.8000000000000007</v>
      </c>
      <c r="AF524">
        <v>69.293000000000006</v>
      </c>
      <c r="AG524">
        <v>65.450999999999993</v>
      </c>
      <c r="AH524">
        <v>30.463000000000001</v>
      </c>
      <c r="AI524">
        <v>37.831000000000003</v>
      </c>
      <c r="AJ524">
        <v>48.884</v>
      </c>
      <c r="AK524">
        <v>43.691000000000003</v>
      </c>
      <c r="AL524">
        <v>7.3</v>
      </c>
      <c r="AM524">
        <v>30.463000000000001</v>
      </c>
      <c r="AN524">
        <v>65.450999999999993</v>
      </c>
      <c r="AO524">
        <v>69.293000000000006</v>
      </c>
      <c r="AP524">
        <v>-7.3</v>
      </c>
      <c r="AQ524">
        <v>51.116</v>
      </c>
      <c r="AR524">
        <v>62.168999999999997</v>
      </c>
      <c r="AS524">
        <v>56.308999999999997</v>
      </c>
    </row>
    <row r="525" spans="1:45" x14ac:dyDescent="0.25">
      <c r="A525">
        <v>64</v>
      </c>
      <c r="B525">
        <v>-4</v>
      </c>
      <c r="C525">
        <v>0</v>
      </c>
      <c r="D525">
        <v>2020</v>
      </c>
      <c r="E525">
        <v>1</v>
      </c>
      <c r="F525" t="str">
        <f>IFERROR(VLOOKUP(G525, Map!$A$1:$B$33, 2, FALSE),"WAS")</f>
        <v>CAR</v>
      </c>
      <c r="G525" t="s">
        <v>142</v>
      </c>
      <c r="H525" t="str">
        <f>IFERROR(VLOOKUP(I525, Map!$A$1:$B$33, 2, FALSE),"WAS")</f>
        <v>LV</v>
      </c>
      <c r="I525" t="s">
        <v>157</v>
      </c>
      <c r="J525" t="s">
        <v>185</v>
      </c>
      <c r="K525" t="s">
        <v>179</v>
      </c>
      <c r="L525">
        <v>0</v>
      </c>
      <c r="M525">
        <v>0</v>
      </c>
      <c r="N525">
        <v>47.8</v>
      </c>
      <c r="O525">
        <v>2.4</v>
      </c>
      <c r="P525">
        <v>1</v>
      </c>
      <c r="Q525">
        <v>47.5</v>
      </c>
      <c r="R525">
        <v>23</v>
      </c>
      <c r="S525">
        <v>29.1</v>
      </c>
      <c r="T525">
        <v>18</v>
      </c>
      <c r="U525">
        <v>25.3</v>
      </c>
      <c r="V525">
        <v>0.1</v>
      </c>
      <c r="W525">
        <v>0</v>
      </c>
      <c r="X525">
        <v>1</v>
      </c>
      <c r="Y525">
        <v>0.1</v>
      </c>
      <c r="Z525">
        <v>13.4</v>
      </c>
      <c r="AA525">
        <v>23</v>
      </c>
      <c r="AB525">
        <v>70</v>
      </c>
      <c r="AC525">
        <v>80</v>
      </c>
      <c r="AD525">
        <v>17.899999999999999</v>
      </c>
      <c r="AE525">
        <v>8.1</v>
      </c>
      <c r="AF525">
        <v>46.837000000000003</v>
      </c>
      <c r="AG525">
        <v>37.951000000000001</v>
      </c>
      <c r="AH525">
        <v>52.786999999999999</v>
      </c>
      <c r="AI525">
        <v>8.2690000000000001</v>
      </c>
      <c r="AJ525">
        <v>80.114999999999995</v>
      </c>
      <c r="AK525">
        <v>36.210999999999999</v>
      </c>
      <c r="AL525">
        <v>-1.073</v>
      </c>
      <c r="AM525">
        <v>52.786999999999999</v>
      </c>
      <c r="AN525">
        <v>37.951000000000001</v>
      </c>
      <c r="AO525">
        <v>46.837000000000003</v>
      </c>
      <c r="AP525">
        <v>1.073</v>
      </c>
      <c r="AQ525">
        <v>19.885000000000002</v>
      </c>
      <c r="AR525">
        <v>91.730999999999995</v>
      </c>
      <c r="AS525">
        <v>63.789000000000001</v>
      </c>
    </row>
    <row r="526" spans="1:45" x14ac:dyDescent="0.25">
      <c r="A526">
        <v>37</v>
      </c>
      <c r="B526">
        <v>3</v>
      </c>
      <c r="C526">
        <v>1</v>
      </c>
      <c r="D526">
        <v>2020</v>
      </c>
      <c r="E526">
        <v>1</v>
      </c>
      <c r="F526" t="str">
        <f>IFERROR(VLOOKUP(G526, Map!$A$1:$B$33, 2, FALSE),"WAS")</f>
        <v>LA</v>
      </c>
      <c r="G526" t="s">
        <v>155</v>
      </c>
      <c r="H526" t="str">
        <f>IFERROR(VLOOKUP(I526, Map!$A$1:$B$33, 2, FALSE),"WAS")</f>
        <v>DAL</v>
      </c>
      <c r="I526" t="s">
        <v>150</v>
      </c>
      <c r="J526" t="s">
        <v>178</v>
      </c>
      <c r="K526" t="s">
        <v>184</v>
      </c>
      <c r="L526">
        <v>1</v>
      </c>
      <c r="M526">
        <v>0</v>
      </c>
      <c r="N526">
        <v>46.5</v>
      </c>
      <c r="O526">
        <v>0.65</v>
      </c>
      <c r="P526">
        <v>0</v>
      </c>
      <c r="Q526">
        <v>51.5</v>
      </c>
      <c r="R526">
        <v>21.5</v>
      </c>
      <c r="S526">
        <v>30.6</v>
      </c>
      <c r="T526">
        <v>15.2</v>
      </c>
      <c r="U526">
        <v>21.6</v>
      </c>
      <c r="V526">
        <v>0</v>
      </c>
      <c r="W526">
        <v>0</v>
      </c>
      <c r="X526">
        <v>0</v>
      </c>
      <c r="Y526">
        <v>0</v>
      </c>
      <c r="Z526">
        <v>24.6</v>
      </c>
      <c r="AA526">
        <v>44.6</v>
      </c>
      <c r="AB526">
        <v>222</v>
      </c>
      <c r="AC526">
        <v>67</v>
      </c>
      <c r="AD526">
        <v>20.399999999999999</v>
      </c>
      <c r="AE526">
        <v>10.1</v>
      </c>
      <c r="AF526">
        <v>48.728999999999999</v>
      </c>
      <c r="AG526">
        <v>57.279000000000003</v>
      </c>
      <c r="AH526">
        <v>50.878999999999998</v>
      </c>
      <c r="AI526">
        <v>44.645000000000003</v>
      </c>
      <c r="AJ526">
        <v>63.36</v>
      </c>
      <c r="AK526">
        <v>55.015000000000001</v>
      </c>
      <c r="AL526">
        <v>-0.38800000000000001</v>
      </c>
      <c r="AM526">
        <v>50.878999999999998</v>
      </c>
      <c r="AN526">
        <v>57.279000000000003</v>
      </c>
      <c r="AO526">
        <v>48.728999999999999</v>
      </c>
      <c r="AP526">
        <v>0.38800000000000001</v>
      </c>
      <c r="AQ526">
        <v>36.64</v>
      </c>
      <c r="AR526">
        <v>55.354999999999997</v>
      </c>
      <c r="AS526">
        <v>44.984999999999999</v>
      </c>
    </row>
    <row r="527" spans="1:45" x14ac:dyDescent="0.25">
      <c r="A527">
        <v>77</v>
      </c>
      <c r="B527">
        <v>-9</v>
      </c>
      <c r="C527">
        <v>0</v>
      </c>
      <c r="D527">
        <v>2020</v>
      </c>
      <c r="E527">
        <v>1</v>
      </c>
      <c r="F527" t="str">
        <f>IFERROR(VLOOKUP(G527, Map!$A$1:$B$33, 2, FALSE),"WAS")</f>
        <v>MIN</v>
      </c>
      <c r="G527" t="s">
        <v>153</v>
      </c>
      <c r="H527" t="str">
        <f>IFERROR(VLOOKUP(I527, Map!$A$1:$B$33, 2, FALSE),"WAS")</f>
        <v>GB</v>
      </c>
      <c r="I527" t="s">
        <v>154</v>
      </c>
      <c r="J527" t="s">
        <v>214</v>
      </c>
      <c r="K527" t="s">
        <v>200</v>
      </c>
      <c r="L527">
        <v>0</v>
      </c>
      <c r="M527">
        <v>0</v>
      </c>
      <c r="N527">
        <v>40.818181818181799</v>
      </c>
      <c r="O527">
        <v>-1.1818181818181801</v>
      </c>
      <c r="P527">
        <v>-1</v>
      </c>
      <c r="Q527">
        <v>44.5</v>
      </c>
      <c r="R527">
        <v>15.6</v>
      </c>
      <c r="S527">
        <v>23.1</v>
      </c>
      <c r="T527">
        <v>10</v>
      </c>
      <c r="U527">
        <v>15.3</v>
      </c>
      <c r="V527">
        <v>0</v>
      </c>
      <c r="W527">
        <v>0</v>
      </c>
      <c r="X527">
        <v>0</v>
      </c>
      <c r="Y527">
        <v>0</v>
      </c>
      <c r="Z527">
        <v>10</v>
      </c>
      <c r="AA527">
        <v>19.8</v>
      </c>
      <c r="AB527">
        <v>264</v>
      </c>
      <c r="AC527">
        <v>81</v>
      </c>
      <c r="AD527">
        <v>14.9</v>
      </c>
      <c r="AE527">
        <v>6.5</v>
      </c>
      <c r="AF527">
        <v>52.957999999999998</v>
      </c>
      <c r="AG527">
        <v>79.387</v>
      </c>
      <c r="AH527">
        <v>46.667000000000002</v>
      </c>
      <c r="AI527">
        <v>9.6359999999999992</v>
      </c>
      <c r="AJ527">
        <v>74.659000000000006</v>
      </c>
      <c r="AK527">
        <v>15.141999999999999</v>
      </c>
      <c r="AL527">
        <v>1.135</v>
      </c>
      <c r="AM527">
        <v>46.667000000000002</v>
      </c>
      <c r="AN527">
        <v>79.387</v>
      </c>
      <c r="AO527">
        <v>52.957999999999998</v>
      </c>
      <c r="AP527">
        <v>-1.135</v>
      </c>
      <c r="AQ527">
        <v>25.341000000000001</v>
      </c>
      <c r="AR527">
        <v>90.364000000000004</v>
      </c>
      <c r="AS527">
        <v>84.858000000000004</v>
      </c>
    </row>
    <row r="528" spans="1:45" x14ac:dyDescent="0.25">
      <c r="A528">
        <v>32</v>
      </c>
      <c r="B528">
        <v>10</v>
      </c>
      <c r="C528">
        <v>1</v>
      </c>
      <c r="D528">
        <v>2020</v>
      </c>
      <c r="E528">
        <v>1</v>
      </c>
      <c r="F528" t="str">
        <f>IFERROR(VLOOKUP(G528, Map!$A$1:$B$33, 2, FALSE),"WAS")</f>
        <v>NE</v>
      </c>
      <c r="G528" t="s">
        <v>151</v>
      </c>
      <c r="H528" t="str">
        <f>IFERROR(VLOOKUP(I528, Map!$A$1:$B$33, 2, FALSE),"WAS")</f>
        <v>MIA</v>
      </c>
      <c r="I528" t="s">
        <v>152</v>
      </c>
      <c r="J528" t="s">
        <v>187</v>
      </c>
      <c r="K528" t="s">
        <v>175</v>
      </c>
      <c r="L528">
        <v>1</v>
      </c>
      <c r="M528">
        <v>0</v>
      </c>
      <c r="N528">
        <v>37.681818181818201</v>
      </c>
      <c r="O528">
        <v>-5.5909090909090899</v>
      </c>
      <c r="P528">
        <v>-6.5</v>
      </c>
      <c r="Q528">
        <v>41</v>
      </c>
      <c r="R528">
        <v>16.399999999999999</v>
      </c>
      <c r="S528">
        <v>22.9</v>
      </c>
      <c r="T528">
        <v>11.7</v>
      </c>
      <c r="U528">
        <v>15.5</v>
      </c>
      <c r="V528">
        <v>0</v>
      </c>
      <c r="W528">
        <v>0</v>
      </c>
      <c r="X528">
        <v>0</v>
      </c>
      <c r="Y528">
        <v>0</v>
      </c>
      <c r="Z528">
        <v>19.100000000000001</v>
      </c>
      <c r="AA528">
        <v>45.7</v>
      </c>
      <c r="AB528">
        <v>154</v>
      </c>
      <c r="AC528">
        <v>75</v>
      </c>
      <c r="AD528">
        <v>24.7</v>
      </c>
      <c r="AE528">
        <v>10.6</v>
      </c>
      <c r="AF528">
        <v>69.852999999999994</v>
      </c>
      <c r="AG528">
        <v>45.338999999999999</v>
      </c>
      <c r="AH528">
        <v>29.905999999999999</v>
      </c>
      <c r="AI528">
        <v>61.326000000000001</v>
      </c>
      <c r="AJ528">
        <v>89.94</v>
      </c>
      <c r="AK528">
        <v>81.087000000000003</v>
      </c>
      <c r="AL528">
        <v>7.53</v>
      </c>
      <c r="AM528">
        <v>29.905999999999999</v>
      </c>
      <c r="AN528">
        <v>45.338999999999999</v>
      </c>
      <c r="AO528">
        <v>69.852999999999994</v>
      </c>
      <c r="AP528">
        <v>-7.53</v>
      </c>
      <c r="AQ528">
        <v>10.06</v>
      </c>
      <c r="AR528">
        <v>38.673999999999999</v>
      </c>
      <c r="AS528">
        <v>18.913</v>
      </c>
    </row>
    <row r="529" spans="1:45" x14ac:dyDescent="0.25">
      <c r="A529">
        <v>42</v>
      </c>
      <c r="B529">
        <v>-10</v>
      </c>
      <c r="C529">
        <v>0</v>
      </c>
      <c r="D529">
        <v>2020</v>
      </c>
      <c r="E529">
        <v>1</v>
      </c>
      <c r="F529" t="str">
        <f>IFERROR(VLOOKUP(G529, Map!$A$1:$B$33, 2, FALSE),"WAS")</f>
        <v>NYG</v>
      </c>
      <c r="G529" t="s">
        <v>149</v>
      </c>
      <c r="H529" t="str">
        <f>IFERROR(VLOOKUP(I529, Map!$A$1:$B$33, 2, FALSE),"WAS")</f>
        <v>PIT</v>
      </c>
      <c r="I529" t="s">
        <v>145</v>
      </c>
      <c r="J529" t="s">
        <v>219</v>
      </c>
      <c r="K529" t="s">
        <v>170</v>
      </c>
      <c r="L529">
        <v>0</v>
      </c>
      <c r="M529">
        <v>0</v>
      </c>
      <c r="N529">
        <v>40.727272727272698</v>
      </c>
      <c r="O529">
        <v>4.5909090909090899</v>
      </c>
      <c r="P529">
        <v>3.5</v>
      </c>
      <c r="Q529">
        <v>44</v>
      </c>
      <c r="R529">
        <v>21.2</v>
      </c>
      <c r="S529">
        <v>24.8</v>
      </c>
      <c r="T529">
        <v>18.399999999999999</v>
      </c>
      <c r="U529">
        <v>21.1</v>
      </c>
      <c r="V529">
        <v>0</v>
      </c>
      <c r="W529">
        <v>0</v>
      </c>
      <c r="X529">
        <v>0</v>
      </c>
      <c r="Y529">
        <v>0</v>
      </c>
      <c r="Z529">
        <v>19.8</v>
      </c>
      <c r="AA529">
        <v>40.700000000000003</v>
      </c>
      <c r="AB529">
        <v>316</v>
      </c>
      <c r="AC529">
        <v>69</v>
      </c>
      <c r="AD529">
        <v>27.7</v>
      </c>
      <c r="AE529">
        <v>13.6</v>
      </c>
      <c r="AF529">
        <v>38.985999999999997</v>
      </c>
      <c r="AG529">
        <v>48.874000000000002</v>
      </c>
      <c r="AH529">
        <v>60.701000000000001</v>
      </c>
      <c r="AI529">
        <v>26.370999999999999</v>
      </c>
      <c r="AJ529">
        <v>19.805</v>
      </c>
      <c r="AK529">
        <v>26.369</v>
      </c>
      <c r="AL529">
        <v>-3.964</v>
      </c>
      <c r="AM529">
        <v>60.701000000000001</v>
      </c>
      <c r="AN529">
        <v>48.874000000000002</v>
      </c>
      <c r="AO529">
        <v>38.985999999999997</v>
      </c>
      <c r="AP529">
        <v>3.964</v>
      </c>
      <c r="AQ529">
        <v>80.194999999999993</v>
      </c>
      <c r="AR529">
        <v>73.629000000000005</v>
      </c>
      <c r="AS529">
        <v>73.631</v>
      </c>
    </row>
    <row r="530" spans="1:45" x14ac:dyDescent="0.25">
      <c r="A530">
        <v>63</v>
      </c>
      <c r="B530">
        <v>21</v>
      </c>
      <c r="C530">
        <v>1</v>
      </c>
      <c r="D530">
        <v>2020</v>
      </c>
      <c r="E530">
        <v>2</v>
      </c>
      <c r="F530" t="str">
        <f>IFERROR(VLOOKUP(G530, Map!$A$1:$B$33, 2, FALSE),"WAS")</f>
        <v>GB</v>
      </c>
      <c r="G530" t="s">
        <v>154</v>
      </c>
      <c r="H530" t="str">
        <f>IFERROR(VLOOKUP(I530, Map!$A$1:$B$33, 2, FALSE),"WAS")</f>
        <v>DET</v>
      </c>
      <c r="I530" t="s">
        <v>164</v>
      </c>
      <c r="J530" t="s">
        <v>200</v>
      </c>
      <c r="K530" t="s">
        <v>173</v>
      </c>
      <c r="L530">
        <v>1</v>
      </c>
      <c r="M530">
        <v>0</v>
      </c>
      <c r="N530">
        <v>45.5</v>
      </c>
      <c r="O530">
        <v>-5.35</v>
      </c>
      <c r="P530">
        <v>-6.5</v>
      </c>
      <c r="Q530">
        <v>49.5</v>
      </c>
      <c r="R530">
        <v>13.7</v>
      </c>
      <c r="S530">
        <v>20.7</v>
      </c>
      <c r="T530">
        <v>8.3000000000000007</v>
      </c>
      <c r="U530">
        <v>11.3</v>
      </c>
      <c r="V530">
        <v>0</v>
      </c>
      <c r="W530">
        <v>0</v>
      </c>
      <c r="X530">
        <v>0</v>
      </c>
      <c r="Y530">
        <v>0</v>
      </c>
      <c r="Z530">
        <v>18.3</v>
      </c>
      <c r="AA530">
        <v>37.1</v>
      </c>
      <c r="AB530">
        <v>179</v>
      </c>
      <c r="AC530">
        <v>65</v>
      </c>
      <c r="AD530">
        <v>22.5</v>
      </c>
      <c r="AE530">
        <v>11.4</v>
      </c>
      <c r="AF530">
        <v>68.03</v>
      </c>
      <c r="AG530">
        <v>50.244</v>
      </c>
      <c r="AH530">
        <v>31.715</v>
      </c>
      <c r="AI530">
        <v>44.488</v>
      </c>
      <c r="AJ530">
        <v>96.933999999999997</v>
      </c>
      <c r="AK530">
        <v>88.977000000000004</v>
      </c>
      <c r="AL530">
        <v>6.68</v>
      </c>
      <c r="AM530">
        <v>31.715</v>
      </c>
      <c r="AN530">
        <v>50.244</v>
      </c>
      <c r="AO530">
        <v>68.03</v>
      </c>
      <c r="AP530">
        <v>-6.68</v>
      </c>
      <c r="AQ530">
        <v>3.0659999999999998</v>
      </c>
      <c r="AR530">
        <v>55.512</v>
      </c>
      <c r="AS530">
        <v>11.023</v>
      </c>
    </row>
    <row r="531" spans="1:45" x14ac:dyDescent="0.25">
      <c r="A531">
        <v>58</v>
      </c>
      <c r="B531">
        <v>10</v>
      </c>
      <c r="C531">
        <v>1</v>
      </c>
      <c r="D531">
        <v>2020</v>
      </c>
      <c r="E531">
        <v>2</v>
      </c>
      <c r="F531" t="str">
        <f>IFERROR(VLOOKUP(G531, Map!$A$1:$B$33, 2, FALSE),"WAS")</f>
        <v>LV</v>
      </c>
      <c r="G531" t="s">
        <v>157</v>
      </c>
      <c r="H531" t="str">
        <f>IFERROR(VLOOKUP(I531, Map!$A$1:$B$33, 2, FALSE),"WAS")</f>
        <v>NO</v>
      </c>
      <c r="I531" t="s">
        <v>168</v>
      </c>
      <c r="J531" t="s">
        <v>179</v>
      </c>
      <c r="K531" t="s">
        <v>192</v>
      </c>
      <c r="L531">
        <v>1</v>
      </c>
      <c r="M531">
        <v>0</v>
      </c>
      <c r="N531">
        <v>48</v>
      </c>
      <c r="O531">
        <v>3.8888888888888902</v>
      </c>
      <c r="P531">
        <v>4</v>
      </c>
      <c r="Q531">
        <v>47.5</v>
      </c>
      <c r="R531">
        <v>31.3</v>
      </c>
      <c r="S531">
        <v>37.200000000000003</v>
      </c>
      <c r="T531">
        <v>23.1</v>
      </c>
      <c r="U531">
        <v>28.5</v>
      </c>
      <c r="V531">
        <v>0</v>
      </c>
      <c r="W531">
        <v>0</v>
      </c>
      <c r="X531">
        <v>0</v>
      </c>
      <c r="Y531">
        <v>0</v>
      </c>
      <c r="Z531">
        <v>23.8</v>
      </c>
      <c r="AA531">
        <v>40.700000000000003</v>
      </c>
      <c r="AB531">
        <v>189</v>
      </c>
      <c r="AC531">
        <v>19</v>
      </c>
      <c r="AD531">
        <v>20.399999999999999</v>
      </c>
      <c r="AE531">
        <v>10.7</v>
      </c>
      <c r="AF531">
        <v>41.514000000000003</v>
      </c>
      <c r="AG531">
        <v>75.379000000000005</v>
      </c>
      <c r="AH531">
        <v>58.152999999999999</v>
      </c>
      <c r="AI531">
        <v>21.622</v>
      </c>
      <c r="AJ531">
        <v>89.613</v>
      </c>
      <c r="AK531">
        <v>75.983000000000004</v>
      </c>
      <c r="AL531">
        <v>-2.972</v>
      </c>
      <c r="AM531">
        <v>58.152999999999999</v>
      </c>
      <c r="AN531">
        <v>75.379000000000005</v>
      </c>
      <c r="AO531">
        <v>41.514000000000003</v>
      </c>
      <c r="AP531">
        <v>2.972</v>
      </c>
      <c r="AQ531">
        <v>10.387</v>
      </c>
      <c r="AR531">
        <v>78.378</v>
      </c>
      <c r="AS531">
        <v>24.016999999999999</v>
      </c>
    </row>
    <row r="532" spans="1:45" x14ac:dyDescent="0.25">
      <c r="A532">
        <v>47</v>
      </c>
      <c r="B532">
        <v>5</v>
      </c>
      <c r="C532">
        <v>1</v>
      </c>
      <c r="D532">
        <v>2020</v>
      </c>
      <c r="E532">
        <v>2</v>
      </c>
      <c r="F532" t="str">
        <f>IFERROR(VLOOKUP(G532, Map!$A$1:$B$33, 2, FALSE),"WAS")</f>
        <v>PIT</v>
      </c>
      <c r="G532" t="s">
        <v>145</v>
      </c>
      <c r="H532" t="str">
        <f>IFERROR(VLOOKUP(I532, Map!$A$1:$B$33, 2, FALSE),"WAS")</f>
        <v>DEN</v>
      </c>
      <c r="I532" t="s">
        <v>159</v>
      </c>
      <c r="J532" t="s">
        <v>170</v>
      </c>
      <c r="K532" t="s">
        <v>183</v>
      </c>
      <c r="L532">
        <v>1</v>
      </c>
      <c r="M532">
        <v>0</v>
      </c>
      <c r="N532">
        <v>37.045454545454497</v>
      </c>
      <c r="O532">
        <v>-5.3181818181818201</v>
      </c>
      <c r="P532">
        <v>-6.5</v>
      </c>
      <c r="Q532">
        <v>40.5</v>
      </c>
      <c r="R532">
        <v>12.6</v>
      </c>
      <c r="S532">
        <v>19.399999999999999</v>
      </c>
      <c r="T532">
        <v>6.2</v>
      </c>
      <c r="U532">
        <v>10</v>
      </c>
      <c r="V532">
        <v>0</v>
      </c>
      <c r="W532">
        <v>0</v>
      </c>
      <c r="X532">
        <v>0</v>
      </c>
      <c r="Y532">
        <v>0</v>
      </c>
      <c r="Z532">
        <v>10.199999999999999</v>
      </c>
      <c r="AA532">
        <v>25.6</v>
      </c>
      <c r="AB532">
        <v>59</v>
      </c>
      <c r="AC532">
        <v>57</v>
      </c>
      <c r="AD532">
        <v>18.8</v>
      </c>
      <c r="AE532">
        <v>8.4</v>
      </c>
      <c r="AF532">
        <v>66.816000000000003</v>
      </c>
      <c r="AG532">
        <v>49.744999999999997</v>
      </c>
      <c r="AH532">
        <v>32.92</v>
      </c>
      <c r="AI532">
        <v>73.727999999999994</v>
      </c>
      <c r="AJ532">
        <v>63.301000000000002</v>
      </c>
      <c r="AK532">
        <v>76.405000000000001</v>
      </c>
      <c r="AL532">
        <v>6.2039999999999997</v>
      </c>
      <c r="AM532">
        <v>32.92</v>
      </c>
      <c r="AN532">
        <v>49.744999999999997</v>
      </c>
      <c r="AO532">
        <v>66.816000000000003</v>
      </c>
      <c r="AP532">
        <v>-6.2039999999999997</v>
      </c>
      <c r="AQ532">
        <v>36.698999999999998</v>
      </c>
      <c r="AR532">
        <v>26.271999999999998</v>
      </c>
      <c r="AS532">
        <v>23.594999999999999</v>
      </c>
    </row>
    <row r="533" spans="1:45" x14ac:dyDescent="0.25">
      <c r="A533">
        <v>48</v>
      </c>
      <c r="B533">
        <v>14</v>
      </c>
      <c r="C533">
        <v>1</v>
      </c>
      <c r="D533">
        <v>2020</v>
      </c>
      <c r="E533">
        <v>2</v>
      </c>
      <c r="F533" t="str">
        <f>IFERROR(VLOOKUP(G533, Map!$A$1:$B$33, 2, FALSE),"WAS")</f>
        <v>TB</v>
      </c>
      <c r="G533" t="s">
        <v>141</v>
      </c>
      <c r="H533" t="str">
        <f>IFERROR(VLOOKUP(I533, Map!$A$1:$B$33, 2, FALSE),"WAS")</f>
        <v>CAR</v>
      </c>
      <c r="I533" t="s">
        <v>142</v>
      </c>
      <c r="J533" t="s">
        <v>186</v>
      </c>
      <c r="K533" t="s">
        <v>185</v>
      </c>
      <c r="L533">
        <v>1</v>
      </c>
      <c r="M533">
        <v>0</v>
      </c>
      <c r="N533">
        <v>43</v>
      </c>
      <c r="O533">
        <v>-6.5</v>
      </c>
      <c r="P533">
        <v>-7.5</v>
      </c>
      <c r="Q533">
        <v>47</v>
      </c>
      <c r="R533">
        <v>25.6</v>
      </c>
      <c r="S533">
        <v>28.2</v>
      </c>
      <c r="T533">
        <v>24.2</v>
      </c>
      <c r="U533">
        <v>28</v>
      </c>
      <c r="V533">
        <v>29.4</v>
      </c>
      <c r="W533">
        <v>0</v>
      </c>
      <c r="X533">
        <v>9</v>
      </c>
      <c r="Y533">
        <v>29.4</v>
      </c>
      <c r="Z533">
        <v>33.200000000000003</v>
      </c>
      <c r="AA533">
        <v>54.4</v>
      </c>
      <c r="AB533">
        <v>35</v>
      </c>
      <c r="AC533">
        <v>89</v>
      </c>
      <c r="AD533">
        <v>40.799999999999997</v>
      </c>
      <c r="AE533">
        <v>23.9</v>
      </c>
      <c r="AF533">
        <v>72.471000000000004</v>
      </c>
      <c r="AG533">
        <v>57.468000000000004</v>
      </c>
      <c r="AH533">
        <v>27.309000000000001</v>
      </c>
      <c r="AI533">
        <v>82.444000000000003</v>
      </c>
      <c r="AJ533">
        <v>79.165000000000006</v>
      </c>
      <c r="AK533">
        <v>90.134</v>
      </c>
      <c r="AL533">
        <v>8.4920000000000009</v>
      </c>
      <c r="AM533">
        <v>27.309000000000001</v>
      </c>
      <c r="AN533">
        <v>57.468000000000004</v>
      </c>
      <c r="AO533">
        <v>72.471000000000004</v>
      </c>
      <c r="AP533">
        <v>-8.4920000000000009</v>
      </c>
      <c r="AQ533">
        <v>20.835000000000001</v>
      </c>
      <c r="AR533">
        <v>17.556000000000001</v>
      </c>
      <c r="AS533">
        <v>9.8659999999999997</v>
      </c>
    </row>
    <row r="534" spans="1:45" x14ac:dyDescent="0.25">
      <c r="A534">
        <v>56</v>
      </c>
      <c r="B534">
        <v>-18</v>
      </c>
      <c r="C534">
        <v>0</v>
      </c>
      <c r="D534">
        <v>2020</v>
      </c>
      <c r="E534">
        <v>2</v>
      </c>
      <c r="F534" t="str">
        <f>IFERROR(VLOOKUP(G534, Map!$A$1:$B$33, 2, FALSE),"WAS")</f>
        <v>PHI</v>
      </c>
      <c r="G534" t="s">
        <v>147</v>
      </c>
      <c r="H534" t="str">
        <f>IFERROR(VLOOKUP(I534, Map!$A$1:$B$33, 2, FALSE),"WAS")</f>
        <v>LA</v>
      </c>
      <c r="I534" t="s">
        <v>155</v>
      </c>
      <c r="J534" t="s">
        <v>206</v>
      </c>
      <c r="K534" t="s">
        <v>178</v>
      </c>
      <c r="L534">
        <v>0</v>
      </c>
      <c r="M534">
        <v>0</v>
      </c>
      <c r="N534">
        <v>41.35</v>
      </c>
      <c r="O534">
        <v>-1.4</v>
      </c>
      <c r="P534">
        <v>-1.5</v>
      </c>
      <c r="Q534">
        <v>45.5</v>
      </c>
      <c r="R534">
        <v>13</v>
      </c>
      <c r="S534">
        <v>18.3</v>
      </c>
      <c r="T534">
        <v>8.8000000000000007</v>
      </c>
      <c r="U534">
        <v>9.6</v>
      </c>
      <c r="V534">
        <v>0</v>
      </c>
      <c r="W534">
        <v>0</v>
      </c>
      <c r="X534">
        <v>0</v>
      </c>
      <c r="Y534">
        <v>0</v>
      </c>
      <c r="Z534">
        <v>16.899999999999999</v>
      </c>
      <c r="AA534">
        <v>34.9</v>
      </c>
      <c r="AB534">
        <v>37</v>
      </c>
      <c r="AC534">
        <v>48</v>
      </c>
      <c r="AD534">
        <v>24.1</v>
      </c>
      <c r="AE534">
        <v>12.2</v>
      </c>
      <c r="AF534">
        <v>53.77</v>
      </c>
      <c r="AG534">
        <v>61.384</v>
      </c>
      <c r="AH534">
        <v>45.862000000000002</v>
      </c>
      <c r="AI534">
        <v>5.23</v>
      </c>
      <c r="AJ534">
        <v>44.866</v>
      </c>
      <c r="AK534">
        <v>18.588000000000001</v>
      </c>
      <c r="AL534">
        <v>1.405</v>
      </c>
      <c r="AM534">
        <v>45.862000000000002</v>
      </c>
      <c r="AN534">
        <v>61.384</v>
      </c>
      <c r="AO534">
        <v>53.77</v>
      </c>
      <c r="AP534">
        <v>-1.405</v>
      </c>
      <c r="AQ534">
        <v>55.134</v>
      </c>
      <c r="AR534">
        <v>94.77</v>
      </c>
      <c r="AS534">
        <v>81.412000000000006</v>
      </c>
    </row>
    <row r="535" spans="1:45" x14ac:dyDescent="0.25">
      <c r="A535">
        <v>39</v>
      </c>
      <c r="B535">
        <v>17</v>
      </c>
      <c r="C535">
        <v>1</v>
      </c>
      <c r="D535">
        <v>2020</v>
      </c>
      <c r="E535">
        <v>2</v>
      </c>
      <c r="F535" t="str">
        <f>IFERROR(VLOOKUP(G535, Map!$A$1:$B$33, 2, FALSE),"WAS")</f>
        <v>IND</v>
      </c>
      <c r="G535" t="s">
        <v>138</v>
      </c>
      <c r="H535" t="str">
        <f>IFERROR(VLOOKUP(I535, Map!$A$1:$B$33, 2, FALSE),"WAS")</f>
        <v>MIN</v>
      </c>
      <c r="I535" t="s">
        <v>153</v>
      </c>
      <c r="J535" t="s">
        <v>177</v>
      </c>
      <c r="K535" t="s">
        <v>214</v>
      </c>
      <c r="L535">
        <v>1</v>
      </c>
      <c r="M535">
        <v>0</v>
      </c>
      <c r="N535">
        <v>43.8</v>
      </c>
      <c r="O535">
        <v>-2.75</v>
      </c>
      <c r="P535">
        <v>-3</v>
      </c>
      <c r="Q535">
        <v>46.5</v>
      </c>
      <c r="R535">
        <v>14.5</v>
      </c>
      <c r="S535">
        <v>21.7</v>
      </c>
      <c r="T535">
        <v>8.4</v>
      </c>
      <c r="U535">
        <v>11.3</v>
      </c>
      <c r="V535">
        <v>0</v>
      </c>
      <c r="W535">
        <v>0</v>
      </c>
      <c r="X535">
        <v>0</v>
      </c>
      <c r="Y535">
        <v>0</v>
      </c>
      <c r="Z535">
        <v>16.899999999999999</v>
      </c>
      <c r="AA535">
        <v>36</v>
      </c>
      <c r="AB535">
        <v>85</v>
      </c>
      <c r="AC535">
        <v>46</v>
      </c>
      <c r="AD535">
        <v>22.9</v>
      </c>
      <c r="AE535">
        <v>11.4</v>
      </c>
      <c r="AF535">
        <v>51.396000000000001</v>
      </c>
      <c r="AG535">
        <v>56.578000000000003</v>
      </c>
      <c r="AH535">
        <v>48.216999999999999</v>
      </c>
      <c r="AI535">
        <v>92.311999999999998</v>
      </c>
      <c r="AJ535">
        <v>54.445</v>
      </c>
      <c r="AK535">
        <v>88.594999999999999</v>
      </c>
      <c r="AL535">
        <v>0.56399999999999995</v>
      </c>
      <c r="AM535">
        <v>48.216999999999999</v>
      </c>
      <c r="AN535">
        <v>56.578000000000003</v>
      </c>
      <c r="AO535">
        <v>51.396000000000001</v>
      </c>
      <c r="AP535">
        <v>-0.56399999999999995</v>
      </c>
      <c r="AQ535">
        <v>45.555</v>
      </c>
      <c r="AR535">
        <v>7.6879999999999997</v>
      </c>
      <c r="AS535">
        <v>11.404999999999999</v>
      </c>
    </row>
    <row r="536" spans="1:45" x14ac:dyDescent="0.25">
      <c r="A536">
        <v>59</v>
      </c>
      <c r="B536">
        <v>-3</v>
      </c>
      <c r="C536">
        <v>0</v>
      </c>
      <c r="D536">
        <v>2020</v>
      </c>
      <c r="E536">
        <v>2</v>
      </c>
      <c r="F536" t="str">
        <f>IFERROR(VLOOKUP(G536, Map!$A$1:$B$33, 2, FALSE),"WAS")</f>
        <v>MIA</v>
      </c>
      <c r="G536" t="s">
        <v>152</v>
      </c>
      <c r="H536" t="str">
        <f>IFERROR(VLOOKUP(I536, Map!$A$1:$B$33, 2, FALSE),"WAS")</f>
        <v>BUF</v>
      </c>
      <c r="I536" t="s">
        <v>165</v>
      </c>
      <c r="J536" t="s">
        <v>175</v>
      </c>
      <c r="K536" t="s">
        <v>180</v>
      </c>
      <c r="L536">
        <v>0</v>
      </c>
      <c r="M536">
        <v>0</v>
      </c>
      <c r="N536">
        <v>37.950000000000003</v>
      </c>
      <c r="O536">
        <v>4.25</v>
      </c>
      <c r="P536">
        <v>4</v>
      </c>
      <c r="Q536">
        <v>41.5</v>
      </c>
      <c r="R536">
        <v>27.5</v>
      </c>
      <c r="S536">
        <v>31.5</v>
      </c>
      <c r="T536">
        <v>24.6</v>
      </c>
      <c r="U536">
        <v>33.9</v>
      </c>
      <c r="V536">
        <v>11</v>
      </c>
      <c r="W536">
        <v>0</v>
      </c>
      <c r="X536">
        <v>13</v>
      </c>
      <c r="Y536">
        <v>11</v>
      </c>
      <c r="Z536">
        <v>7.9</v>
      </c>
      <c r="AA536">
        <v>26.3</v>
      </c>
      <c r="AB536">
        <v>51</v>
      </c>
      <c r="AC536">
        <v>88</v>
      </c>
      <c r="AD536">
        <v>12.4</v>
      </c>
      <c r="AE536">
        <v>4.2</v>
      </c>
      <c r="AF536">
        <v>34.375999999999998</v>
      </c>
      <c r="AG536">
        <v>68.89</v>
      </c>
      <c r="AH536">
        <v>65.347999999999999</v>
      </c>
      <c r="AI536">
        <v>5.2830000000000004</v>
      </c>
      <c r="AJ536">
        <v>62.508000000000003</v>
      </c>
      <c r="AK536">
        <v>32.048000000000002</v>
      </c>
      <c r="AL536">
        <v>-5.6379999999999999</v>
      </c>
      <c r="AM536">
        <v>65.347999999999999</v>
      </c>
      <c r="AN536">
        <v>68.89</v>
      </c>
      <c r="AO536">
        <v>34.375999999999998</v>
      </c>
      <c r="AP536">
        <v>5.6379999999999999</v>
      </c>
      <c r="AQ536">
        <v>37.491999999999997</v>
      </c>
      <c r="AR536">
        <v>94.716999999999999</v>
      </c>
      <c r="AS536">
        <v>67.951999999999998</v>
      </c>
    </row>
    <row r="537" spans="1:45" x14ac:dyDescent="0.25">
      <c r="A537">
        <v>63</v>
      </c>
      <c r="B537">
        <v>3</v>
      </c>
      <c r="C537">
        <v>1</v>
      </c>
      <c r="D537">
        <v>2020</v>
      </c>
      <c r="E537">
        <v>2</v>
      </c>
      <c r="F537" t="str">
        <f>IFERROR(VLOOKUP(G537, Map!$A$1:$B$33, 2, FALSE),"WAS")</f>
        <v>TEN</v>
      </c>
      <c r="G537" t="s">
        <v>140</v>
      </c>
      <c r="H537" t="str">
        <f>IFERROR(VLOOKUP(I537, Map!$A$1:$B$33, 2, FALSE),"WAS")</f>
        <v>JAX</v>
      </c>
      <c r="I537" t="s">
        <v>139</v>
      </c>
      <c r="J537" t="s">
        <v>174</v>
      </c>
      <c r="K537" t="s">
        <v>220</v>
      </c>
      <c r="L537">
        <v>1</v>
      </c>
      <c r="M537">
        <v>0</v>
      </c>
      <c r="N537">
        <v>40.227272727272698</v>
      </c>
      <c r="O537">
        <v>-5.8636363636363598</v>
      </c>
      <c r="P537">
        <v>-7</v>
      </c>
      <c r="Q537">
        <v>42.5</v>
      </c>
      <c r="R537">
        <v>18.100000000000001</v>
      </c>
      <c r="S537">
        <v>24.4</v>
      </c>
      <c r="T537">
        <v>12.9</v>
      </c>
      <c r="U537">
        <v>18</v>
      </c>
      <c r="V537">
        <v>0</v>
      </c>
      <c r="W537">
        <v>0</v>
      </c>
      <c r="X537">
        <v>0</v>
      </c>
      <c r="Y537">
        <v>0</v>
      </c>
      <c r="Z537">
        <v>10.199999999999999</v>
      </c>
      <c r="AA537">
        <v>24.8</v>
      </c>
      <c r="AB537">
        <v>44</v>
      </c>
      <c r="AC537">
        <v>72</v>
      </c>
      <c r="AD537">
        <v>16.600000000000001</v>
      </c>
      <c r="AE537">
        <v>7.9</v>
      </c>
      <c r="AF537">
        <v>72.403999999999996</v>
      </c>
      <c r="AG537">
        <v>40.597000000000001</v>
      </c>
      <c r="AH537">
        <v>27.376000000000001</v>
      </c>
      <c r="AI537">
        <v>22.265000000000001</v>
      </c>
      <c r="AJ537">
        <v>88.831999999999994</v>
      </c>
      <c r="AK537">
        <v>67.171000000000006</v>
      </c>
      <c r="AL537">
        <v>8.4640000000000004</v>
      </c>
      <c r="AM537">
        <v>27.376000000000001</v>
      </c>
      <c r="AN537">
        <v>40.597000000000001</v>
      </c>
      <c r="AO537">
        <v>72.403999999999996</v>
      </c>
      <c r="AP537">
        <v>-8.4640000000000004</v>
      </c>
      <c r="AQ537">
        <v>11.167999999999999</v>
      </c>
      <c r="AR537">
        <v>77.734999999999999</v>
      </c>
      <c r="AS537">
        <v>32.829000000000001</v>
      </c>
    </row>
    <row r="538" spans="1:45" x14ac:dyDescent="0.25">
      <c r="A538">
        <v>43</v>
      </c>
      <c r="B538">
        <v>-3</v>
      </c>
      <c r="C538">
        <v>0</v>
      </c>
      <c r="D538">
        <v>2020</v>
      </c>
      <c r="E538">
        <v>2</v>
      </c>
      <c r="F538" t="str">
        <f>IFERROR(VLOOKUP(G538, Map!$A$1:$B$33, 2, FALSE),"WAS")</f>
        <v>LAC</v>
      </c>
      <c r="G538" t="s">
        <v>160</v>
      </c>
      <c r="H538" t="str">
        <f>IFERROR(VLOOKUP(I538, Map!$A$1:$B$33, 2, FALSE),"WAS")</f>
        <v>KC</v>
      </c>
      <c r="I538" t="s">
        <v>158</v>
      </c>
      <c r="J538" t="s">
        <v>210</v>
      </c>
      <c r="K538" t="s">
        <v>202</v>
      </c>
      <c r="L538">
        <v>0</v>
      </c>
      <c r="M538">
        <v>0</v>
      </c>
      <c r="N538">
        <v>42.75</v>
      </c>
      <c r="O538">
        <v>6.7</v>
      </c>
      <c r="P538">
        <v>7</v>
      </c>
      <c r="Q538">
        <v>46.5</v>
      </c>
      <c r="R538">
        <v>20.8</v>
      </c>
      <c r="S538">
        <v>28.7</v>
      </c>
      <c r="T538">
        <v>14.9</v>
      </c>
      <c r="U538">
        <v>21.5</v>
      </c>
      <c r="V538">
        <v>0</v>
      </c>
      <c r="W538">
        <v>0</v>
      </c>
      <c r="X538">
        <v>0</v>
      </c>
      <c r="Y538">
        <v>0</v>
      </c>
      <c r="Z538">
        <v>18.5</v>
      </c>
      <c r="AA538">
        <v>34.9</v>
      </c>
      <c r="AB538">
        <v>201</v>
      </c>
      <c r="AC538">
        <v>73</v>
      </c>
      <c r="AD538">
        <v>17.3</v>
      </c>
      <c r="AE538">
        <v>8.3000000000000007</v>
      </c>
      <c r="AF538">
        <v>28.725999999999999</v>
      </c>
      <c r="AG538">
        <v>78.213999999999999</v>
      </c>
      <c r="AH538">
        <v>71.043000000000006</v>
      </c>
      <c r="AI538">
        <v>32.715000000000003</v>
      </c>
      <c r="AJ538">
        <v>70.415999999999997</v>
      </c>
      <c r="AK538">
        <v>47.52</v>
      </c>
      <c r="AL538">
        <v>-7.8959999999999999</v>
      </c>
      <c r="AM538">
        <v>71.043000000000006</v>
      </c>
      <c r="AN538">
        <v>78.213999999999999</v>
      </c>
      <c r="AO538">
        <v>28.725999999999999</v>
      </c>
      <c r="AP538">
        <v>7.8959999999999999</v>
      </c>
      <c r="AQ538">
        <v>29.584</v>
      </c>
      <c r="AR538">
        <v>67.284999999999997</v>
      </c>
      <c r="AS538">
        <v>52.48</v>
      </c>
    </row>
    <row r="539" spans="1:45" x14ac:dyDescent="0.25">
      <c r="A539">
        <v>44</v>
      </c>
      <c r="B539">
        <v>-18</v>
      </c>
      <c r="C539">
        <v>0</v>
      </c>
      <c r="D539">
        <v>2020</v>
      </c>
      <c r="E539">
        <v>2</v>
      </c>
      <c r="F539" t="str">
        <f>IFERROR(VLOOKUP(G539, Map!$A$1:$B$33, 2, FALSE),"WAS")</f>
        <v>NYJ</v>
      </c>
      <c r="G539" t="s">
        <v>166</v>
      </c>
      <c r="H539" t="str">
        <f>IFERROR(VLOOKUP(I539, Map!$A$1:$B$33, 2, FALSE),"WAS")</f>
        <v>SF</v>
      </c>
      <c r="I539" t="s">
        <v>143</v>
      </c>
      <c r="J539" t="s">
        <v>172</v>
      </c>
      <c r="K539" t="s">
        <v>197</v>
      </c>
      <c r="L539">
        <v>0</v>
      </c>
      <c r="M539">
        <v>0</v>
      </c>
      <c r="N539">
        <v>37.909090909090899</v>
      </c>
      <c r="O539">
        <v>5.6818181818181799</v>
      </c>
      <c r="P539">
        <v>6.5</v>
      </c>
      <c r="Q539">
        <v>41.5</v>
      </c>
      <c r="R539">
        <v>12.4</v>
      </c>
      <c r="S539">
        <v>17</v>
      </c>
      <c r="T539">
        <v>8.6999999999999993</v>
      </c>
      <c r="U539">
        <v>9</v>
      </c>
      <c r="V539">
        <v>0</v>
      </c>
      <c r="W539">
        <v>0</v>
      </c>
      <c r="X539">
        <v>0</v>
      </c>
      <c r="Y539">
        <v>0</v>
      </c>
      <c r="Z539">
        <v>16.3</v>
      </c>
      <c r="AA539">
        <v>36</v>
      </c>
      <c r="AB539">
        <v>27</v>
      </c>
      <c r="AC539">
        <v>51</v>
      </c>
      <c r="AD539">
        <v>25.2</v>
      </c>
      <c r="AE539">
        <v>12.1</v>
      </c>
      <c r="AF539">
        <v>38.606999999999999</v>
      </c>
      <c r="AG539">
        <v>34.573</v>
      </c>
      <c r="AH539">
        <v>61.082999999999998</v>
      </c>
      <c r="AI539">
        <v>5.5979999999999999</v>
      </c>
      <c r="AJ539">
        <v>22.693999999999999</v>
      </c>
      <c r="AK539">
        <v>5.4660000000000002</v>
      </c>
      <c r="AL539">
        <v>-4.04</v>
      </c>
      <c r="AM539">
        <v>61.082999999999998</v>
      </c>
      <c r="AN539">
        <v>34.573</v>
      </c>
      <c r="AO539">
        <v>38.606999999999999</v>
      </c>
      <c r="AP539">
        <v>4.04</v>
      </c>
      <c r="AQ539">
        <v>77.305999999999997</v>
      </c>
      <c r="AR539">
        <v>94.402000000000001</v>
      </c>
      <c r="AS539">
        <v>94.534000000000006</v>
      </c>
    </row>
    <row r="540" spans="1:45" x14ac:dyDescent="0.25">
      <c r="A540">
        <v>65</v>
      </c>
      <c r="B540">
        <v>5</v>
      </c>
      <c r="C540">
        <v>1</v>
      </c>
      <c r="D540">
        <v>2020</v>
      </c>
      <c r="E540">
        <v>2</v>
      </c>
      <c r="F540" t="str">
        <f>IFERROR(VLOOKUP(G540, Map!$A$1:$B$33, 2, FALSE),"WAS")</f>
        <v>SEA</v>
      </c>
      <c r="G540" t="s">
        <v>144</v>
      </c>
      <c r="H540" t="str">
        <f>IFERROR(VLOOKUP(I540, Map!$A$1:$B$33, 2, FALSE),"WAS")</f>
        <v>NE</v>
      </c>
      <c r="I540" t="s">
        <v>151</v>
      </c>
      <c r="J540" t="s">
        <v>182</v>
      </c>
      <c r="K540" t="s">
        <v>187</v>
      </c>
      <c r="L540">
        <v>1</v>
      </c>
      <c r="M540">
        <v>0</v>
      </c>
      <c r="N540">
        <v>39.7222222222222</v>
      </c>
      <c r="O540">
        <v>-3.1111111111111098</v>
      </c>
      <c r="P540">
        <v>-3.5</v>
      </c>
      <c r="Q540">
        <v>44</v>
      </c>
      <c r="R540">
        <v>16</v>
      </c>
      <c r="S540">
        <v>20</v>
      </c>
      <c r="T540">
        <v>13.6</v>
      </c>
      <c r="U540">
        <v>16.3</v>
      </c>
      <c r="V540">
        <v>0.2</v>
      </c>
      <c r="W540">
        <v>0</v>
      </c>
      <c r="X540">
        <v>1</v>
      </c>
      <c r="Y540">
        <v>0.2</v>
      </c>
      <c r="Z540">
        <v>8.4</v>
      </c>
      <c r="AA540">
        <v>22.7</v>
      </c>
      <c r="AB540">
        <v>134</v>
      </c>
      <c r="AC540">
        <v>85</v>
      </c>
      <c r="AD540">
        <v>12.7</v>
      </c>
      <c r="AE540">
        <v>5.0999999999999996</v>
      </c>
      <c r="AF540">
        <v>61.758000000000003</v>
      </c>
      <c r="AG540">
        <v>57.718000000000004</v>
      </c>
      <c r="AH540">
        <v>37.936999999999998</v>
      </c>
      <c r="AI540">
        <v>31.824999999999999</v>
      </c>
      <c r="AJ540">
        <v>78.930999999999997</v>
      </c>
      <c r="AK540">
        <v>67.826999999999998</v>
      </c>
      <c r="AL540">
        <v>4.2889999999999997</v>
      </c>
      <c r="AM540">
        <v>37.936999999999998</v>
      </c>
      <c r="AN540">
        <v>57.718000000000004</v>
      </c>
      <c r="AO540">
        <v>61.758000000000003</v>
      </c>
      <c r="AP540">
        <v>-4.2889999999999997</v>
      </c>
      <c r="AQ540">
        <v>21.068999999999999</v>
      </c>
      <c r="AR540">
        <v>68.174999999999997</v>
      </c>
      <c r="AS540">
        <v>32.173000000000002</v>
      </c>
    </row>
    <row r="541" spans="1:45" x14ac:dyDescent="0.25">
      <c r="A541">
        <v>65</v>
      </c>
      <c r="B541">
        <v>5</v>
      </c>
      <c r="C541">
        <v>1</v>
      </c>
      <c r="D541">
        <v>2020</v>
      </c>
      <c r="E541">
        <v>2</v>
      </c>
      <c r="F541" t="str">
        <f>IFERROR(VLOOKUP(G541, Map!$A$1:$B$33, 2, FALSE),"WAS")</f>
        <v>CLE</v>
      </c>
      <c r="G541" t="s">
        <v>162</v>
      </c>
      <c r="H541" t="str">
        <f>IFERROR(VLOOKUP(I541, Map!$A$1:$B$33, 2, FALSE),"WAS")</f>
        <v>CIN</v>
      </c>
      <c r="I541" t="s">
        <v>161</v>
      </c>
      <c r="J541" t="s">
        <v>171</v>
      </c>
      <c r="K541" t="s">
        <v>176</v>
      </c>
      <c r="L541">
        <v>1</v>
      </c>
      <c r="M541">
        <v>0</v>
      </c>
      <c r="N541">
        <v>39.950000000000003</v>
      </c>
      <c r="O541">
        <v>-4.75</v>
      </c>
      <c r="P541">
        <v>-5.5</v>
      </c>
      <c r="Q541">
        <v>43.5</v>
      </c>
      <c r="R541">
        <v>14.9</v>
      </c>
      <c r="S541">
        <v>17</v>
      </c>
      <c r="T541">
        <v>13.6</v>
      </c>
      <c r="U541">
        <v>10.8</v>
      </c>
      <c r="V541">
        <v>0.1</v>
      </c>
      <c r="W541">
        <v>0</v>
      </c>
      <c r="X541">
        <v>1</v>
      </c>
      <c r="Y541">
        <v>0.1</v>
      </c>
      <c r="Z541">
        <v>30.5</v>
      </c>
      <c r="AA541">
        <v>50.8</v>
      </c>
      <c r="AB541">
        <v>15</v>
      </c>
      <c r="AC541">
        <v>62</v>
      </c>
      <c r="AD541">
        <v>42.4</v>
      </c>
      <c r="AE541">
        <v>25</v>
      </c>
      <c r="AF541">
        <v>62.402999999999999</v>
      </c>
      <c r="AG541">
        <v>36.392000000000003</v>
      </c>
      <c r="AH541">
        <v>37.296999999999997</v>
      </c>
      <c r="AI541">
        <v>53.679000000000002</v>
      </c>
      <c r="AJ541">
        <v>96.495000000000005</v>
      </c>
      <c r="AK541">
        <v>82.709000000000003</v>
      </c>
      <c r="AL541">
        <v>4.5279999999999996</v>
      </c>
      <c r="AM541">
        <v>37.296999999999997</v>
      </c>
      <c r="AN541">
        <v>36.392000000000003</v>
      </c>
      <c r="AO541">
        <v>62.402999999999999</v>
      </c>
      <c r="AP541">
        <v>-4.5279999999999996</v>
      </c>
      <c r="AQ541">
        <v>3.5049999999999999</v>
      </c>
      <c r="AR541">
        <v>46.320999999999998</v>
      </c>
      <c r="AS541">
        <v>17.291</v>
      </c>
    </row>
    <row r="542" spans="1:45" x14ac:dyDescent="0.25">
      <c r="A542">
        <v>45</v>
      </c>
      <c r="B542">
        <v>15</v>
      </c>
      <c r="C542">
        <v>1</v>
      </c>
      <c r="D542">
        <v>2020</v>
      </c>
      <c r="E542">
        <v>2</v>
      </c>
      <c r="F542" t="str">
        <f>IFERROR(VLOOKUP(G542, Map!$A$1:$B$33, 2, FALSE),"WAS")</f>
        <v>ARI</v>
      </c>
      <c r="G542" t="s">
        <v>156</v>
      </c>
      <c r="H542" t="str">
        <f>IFERROR(VLOOKUP(I542, Map!$A$1:$B$33, 2, FALSE),"WAS")</f>
        <v>WAS</v>
      </c>
      <c r="I542" t="s">
        <v>169</v>
      </c>
      <c r="J542" t="s">
        <v>190</v>
      </c>
      <c r="K542" t="s">
        <v>205</v>
      </c>
      <c r="L542">
        <v>1</v>
      </c>
      <c r="M542">
        <v>0</v>
      </c>
      <c r="N542">
        <v>46.35</v>
      </c>
      <c r="O542">
        <v>-6.2</v>
      </c>
      <c r="P542">
        <v>-6.5</v>
      </c>
      <c r="Q542">
        <v>46</v>
      </c>
      <c r="R542">
        <v>22.5</v>
      </c>
      <c r="S542">
        <v>31.3</v>
      </c>
      <c r="T542">
        <v>15.8</v>
      </c>
      <c r="U542">
        <v>22.9</v>
      </c>
      <c r="V542">
        <v>0</v>
      </c>
      <c r="W542">
        <v>0</v>
      </c>
      <c r="X542">
        <v>0</v>
      </c>
      <c r="Y542">
        <v>0</v>
      </c>
      <c r="Z542">
        <v>12.6</v>
      </c>
      <c r="AA542">
        <v>32</v>
      </c>
      <c r="AB542">
        <v>166</v>
      </c>
      <c r="AC542">
        <v>59</v>
      </c>
      <c r="AD542">
        <v>15.7</v>
      </c>
      <c r="AE542">
        <v>5.9</v>
      </c>
      <c r="AF542">
        <v>68.242999999999995</v>
      </c>
      <c r="AG542">
        <v>46.521000000000001</v>
      </c>
      <c r="AH542">
        <v>31.504000000000001</v>
      </c>
      <c r="AI542">
        <v>88.622</v>
      </c>
      <c r="AJ542">
        <v>62.164000000000001</v>
      </c>
      <c r="AK542">
        <v>93.033000000000001</v>
      </c>
      <c r="AL542">
        <v>6.7640000000000002</v>
      </c>
      <c r="AM542">
        <v>31.504000000000001</v>
      </c>
      <c r="AN542">
        <v>46.521000000000001</v>
      </c>
      <c r="AO542">
        <v>68.242999999999995</v>
      </c>
      <c r="AP542">
        <v>-6.7640000000000002</v>
      </c>
      <c r="AQ542">
        <v>37.835999999999999</v>
      </c>
      <c r="AR542">
        <v>11.378</v>
      </c>
      <c r="AS542">
        <v>6.9669999999999996</v>
      </c>
    </row>
    <row r="543" spans="1:45" x14ac:dyDescent="0.25">
      <c r="A543">
        <v>30</v>
      </c>
      <c r="B543">
        <v>4</v>
      </c>
      <c r="C543">
        <v>1</v>
      </c>
      <c r="D543">
        <v>2020</v>
      </c>
      <c r="E543">
        <v>2</v>
      </c>
      <c r="F543" t="str">
        <f>IFERROR(VLOOKUP(G543, Map!$A$1:$B$33, 2, FALSE),"WAS")</f>
        <v>CHI</v>
      </c>
      <c r="G543" t="s">
        <v>163</v>
      </c>
      <c r="H543" t="str">
        <f>IFERROR(VLOOKUP(I543, Map!$A$1:$B$33, 2, FALSE),"WAS")</f>
        <v>NYG</v>
      </c>
      <c r="I543" t="s">
        <v>149</v>
      </c>
      <c r="J543" t="s">
        <v>216</v>
      </c>
      <c r="K543" t="s">
        <v>219</v>
      </c>
      <c r="L543">
        <v>1</v>
      </c>
      <c r="M543">
        <v>0</v>
      </c>
      <c r="N543">
        <v>38.636363636363598</v>
      </c>
      <c r="O543">
        <v>-3.9545454545454501</v>
      </c>
      <c r="P543">
        <v>-4.5</v>
      </c>
      <c r="Q543">
        <v>42.5</v>
      </c>
      <c r="R543">
        <v>14.5</v>
      </c>
      <c r="S543">
        <v>20.6</v>
      </c>
      <c r="T543">
        <v>9.8000000000000007</v>
      </c>
      <c r="U543">
        <v>12</v>
      </c>
      <c r="V543">
        <v>0</v>
      </c>
      <c r="W543">
        <v>0</v>
      </c>
      <c r="X543">
        <v>0</v>
      </c>
      <c r="Y543">
        <v>0</v>
      </c>
      <c r="Z543">
        <v>18.7</v>
      </c>
      <c r="AA543">
        <v>32.799999999999997</v>
      </c>
      <c r="AB543">
        <v>142</v>
      </c>
      <c r="AC543">
        <v>64</v>
      </c>
      <c r="AD543">
        <v>20.9</v>
      </c>
      <c r="AE543">
        <v>13.5</v>
      </c>
      <c r="AF543">
        <v>65.483999999999995</v>
      </c>
      <c r="AG543">
        <v>36.271999999999998</v>
      </c>
      <c r="AH543">
        <v>34.241</v>
      </c>
      <c r="AI543">
        <v>79.912000000000006</v>
      </c>
      <c r="AJ543">
        <v>60.887999999999998</v>
      </c>
      <c r="AK543">
        <v>75.215000000000003</v>
      </c>
      <c r="AL543">
        <v>5.69</v>
      </c>
      <c r="AM543">
        <v>34.241</v>
      </c>
      <c r="AN543">
        <v>36.271999999999998</v>
      </c>
      <c r="AO543">
        <v>65.483999999999995</v>
      </c>
      <c r="AP543">
        <v>-5.69</v>
      </c>
      <c r="AQ543">
        <v>39.112000000000002</v>
      </c>
      <c r="AR543">
        <v>20.088000000000001</v>
      </c>
      <c r="AS543">
        <v>24.785</v>
      </c>
    </row>
    <row r="544" spans="1:45" x14ac:dyDescent="0.25">
      <c r="A544">
        <v>79</v>
      </c>
      <c r="B544">
        <v>1</v>
      </c>
      <c r="C544">
        <v>1</v>
      </c>
      <c r="D544">
        <v>2020</v>
      </c>
      <c r="E544">
        <v>2</v>
      </c>
      <c r="F544" t="str">
        <f>IFERROR(VLOOKUP(G544, Map!$A$1:$B$33, 2, FALSE),"WAS")</f>
        <v>DAL</v>
      </c>
      <c r="G544" t="s">
        <v>150</v>
      </c>
      <c r="H544" t="str">
        <f>IFERROR(VLOOKUP(I544, Map!$A$1:$B$33, 2, FALSE),"WAS")</f>
        <v>ATL</v>
      </c>
      <c r="I544" t="s">
        <v>167</v>
      </c>
      <c r="J544" t="s">
        <v>184</v>
      </c>
      <c r="K544" t="s">
        <v>188</v>
      </c>
      <c r="L544">
        <v>1</v>
      </c>
      <c r="M544">
        <v>0</v>
      </c>
      <c r="N544">
        <v>48.590909090909101</v>
      </c>
      <c r="O544">
        <v>-2.5454545454545499</v>
      </c>
      <c r="P544">
        <v>-3</v>
      </c>
      <c r="Q544">
        <v>52.5</v>
      </c>
      <c r="R544">
        <v>20.5</v>
      </c>
      <c r="S544">
        <v>27.1</v>
      </c>
      <c r="T544">
        <v>14.8</v>
      </c>
      <c r="U544">
        <v>20.100000000000001</v>
      </c>
      <c r="V544">
        <v>0</v>
      </c>
      <c r="W544">
        <v>0</v>
      </c>
      <c r="X544">
        <v>0</v>
      </c>
      <c r="Y544">
        <v>0</v>
      </c>
      <c r="Z544">
        <v>18.399999999999999</v>
      </c>
      <c r="AA544">
        <v>35.6</v>
      </c>
      <c r="AB544">
        <v>47</v>
      </c>
      <c r="AC544">
        <v>63</v>
      </c>
      <c r="AD544">
        <v>22.1</v>
      </c>
      <c r="AE544">
        <v>11.8</v>
      </c>
      <c r="AF544">
        <v>64.41</v>
      </c>
      <c r="AG544">
        <v>48.204000000000001</v>
      </c>
      <c r="AH544">
        <v>35.307000000000002</v>
      </c>
      <c r="AI544">
        <v>17.795999999999999</v>
      </c>
      <c r="AJ544">
        <v>65.41</v>
      </c>
      <c r="AK544">
        <v>35.808</v>
      </c>
      <c r="AL544">
        <v>5.2809999999999997</v>
      </c>
      <c r="AM544">
        <v>35.307000000000002</v>
      </c>
      <c r="AN544">
        <v>48.204000000000001</v>
      </c>
      <c r="AO544">
        <v>64.41</v>
      </c>
      <c r="AP544">
        <v>-5.2809999999999997</v>
      </c>
      <c r="AQ544">
        <v>34.590000000000003</v>
      </c>
      <c r="AR544">
        <v>82.203999999999994</v>
      </c>
      <c r="AS544">
        <v>64.191999999999993</v>
      </c>
    </row>
    <row r="545" spans="1:45" x14ac:dyDescent="0.25">
      <c r="A545">
        <v>49</v>
      </c>
      <c r="B545">
        <v>-17</v>
      </c>
      <c r="C545">
        <v>0</v>
      </c>
      <c r="D545">
        <v>2020</v>
      </c>
      <c r="E545">
        <v>2</v>
      </c>
      <c r="F545" t="str">
        <f>IFERROR(VLOOKUP(G545, Map!$A$1:$B$33, 2, FALSE),"WAS")</f>
        <v>HOU</v>
      </c>
      <c r="G545" t="s">
        <v>137</v>
      </c>
      <c r="H545" t="str">
        <f>IFERROR(VLOOKUP(I545, Map!$A$1:$B$33, 2, FALSE),"WAS")</f>
        <v>BAL</v>
      </c>
      <c r="I545" t="s">
        <v>146</v>
      </c>
      <c r="J545" t="s">
        <v>209</v>
      </c>
      <c r="K545" t="s">
        <v>181</v>
      </c>
      <c r="L545">
        <v>0</v>
      </c>
      <c r="M545">
        <v>0</v>
      </c>
      <c r="N545">
        <v>45.227272727272698</v>
      </c>
      <c r="O545">
        <v>6</v>
      </c>
      <c r="P545">
        <v>6.5</v>
      </c>
      <c r="Q545">
        <v>48.5</v>
      </c>
      <c r="R545">
        <v>22.7</v>
      </c>
      <c r="S545">
        <v>27.2</v>
      </c>
      <c r="T545">
        <v>19.899999999999999</v>
      </c>
      <c r="U545">
        <v>21.7</v>
      </c>
      <c r="V545">
        <v>13.5</v>
      </c>
      <c r="W545">
        <v>0</v>
      </c>
      <c r="X545">
        <v>10</v>
      </c>
      <c r="Y545">
        <v>13.5</v>
      </c>
      <c r="Z545">
        <v>33.5</v>
      </c>
      <c r="AA545">
        <v>54.4</v>
      </c>
      <c r="AB545">
        <v>18</v>
      </c>
      <c r="AC545">
        <v>67</v>
      </c>
      <c r="AD545">
        <v>36.4</v>
      </c>
      <c r="AE545">
        <v>21.9</v>
      </c>
      <c r="AF545">
        <v>31.058</v>
      </c>
      <c r="AG545">
        <v>67.790999999999997</v>
      </c>
      <c r="AH545">
        <v>68.692999999999998</v>
      </c>
      <c r="AI545">
        <v>19.518000000000001</v>
      </c>
      <c r="AJ545">
        <v>7.5</v>
      </c>
      <c r="AK545">
        <v>8.2620000000000005</v>
      </c>
      <c r="AL545">
        <v>-6.9429999999999996</v>
      </c>
      <c r="AM545">
        <v>68.692999999999998</v>
      </c>
      <c r="AN545">
        <v>67.790999999999997</v>
      </c>
      <c r="AO545">
        <v>31.058</v>
      </c>
      <c r="AP545">
        <v>6.9429999999999996</v>
      </c>
      <c r="AQ545">
        <v>92.5</v>
      </c>
      <c r="AR545">
        <v>80.481999999999999</v>
      </c>
      <c r="AS545">
        <v>91.738</v>
      </c>
    </row>
    <row r="546" spans="1:45" x14ac:dyDescent="0.25">
      <c r="A546">
        <v>49</v>
      </c>
      <c r="B546">
        <v>-3</v>
      </c>
      <c r="C546">
        <v>0</v>
      </c>
      <c r="D546">
        <v>2020</v>
      </c>
      <c r="E546">
        <v>3</v>
      </c>
      <c r="F546" t="str">
        <f>IFERROR(VLOOKUP(G546, Map!$A$1:$B$33, 2, FALSE),"WAS")</f>
        <v>ARI</v>
      </c>
      <c r="G546" t="s">
        <v>156</v>
      </c>
      <c r="H546" t="str">
        <f>IFERROR(VLOOKUP(I546, Map!$A$1:$B$33, 2, FALSE),"WAS")</f>
        <v>DET</v>
      </c>
      <c r="I546" t="s">
        <v>164</v>
      </c>
      <c r="J546" t="s">
        <v>190</v>
      </c>
      <c r="K546" t="s">
        <v>173</v>
      </c>
      <c r="L546">
        <v>0</v>
      </c>
      <c r="M546">
        <v>0</v>
      </c>
      <c r="N546">
        <v>46.769230769230802</v>
      </c>
      <c r="O546">
        <v>-4.2307692307692299</v>
      </c>
      <c r="P546">
        <v>-4.5</v>
      </c>
      <c r="Q546">
        <v>0</v>
      </c>
      <c r="R546">
        <v>21.4</v>
      </c>
      <c r="S546">
        <v>31.3</v>
      </c>
      <c r="T546">
        <v>16.8</v>
      </c>
      <c r="U546">
        <v>22.8</v>
      </c>
      <c r="V546">
        <v>0</v>
      </c>
      <c r="W546">
        <v>0</v>
      </c>
      <c r="X546">
        <v>0</v>
      </c>
      <c r="Y546">
        <v>0</v>
      </c>
      <c r="Z546">
        <v>11</v>
      </c>
      <c r="AA546">
        <v>32</v>
      </c>
      <c r="AB546">
        <v>181</v>
      </c>
      <c r="AC546">
        <v>75</v>
      </c>
      <c r="AD546">
        <v>14.3</v>
      </c>
      <c r="AE546">
        <v>4.9000000000000004</v>
      </c>
      <c r="AF546">
        <v>67.786000000000001</v>
      </c>
      <c r="AG546">
        <v>41.820999999999998</v>
      </c>
      <c r="AH546">
        <v>31.957000000000001</v>
      </c>
      <c r="AI546">
        <v>41.206000000000003</v>
      </c>
      <c r="AJ546">
        <v>54.743000000000002</v>
      </c>
      <c r="AK546">
        <v>44.39</v>
      </c>
      <c r="AL546">
        <v>6.4980000000000002</v>
      </c>
      <c r="AM546">
        <v>31.957000000000001</v>
      </c>
      <c r="AN546">
        <v>41.820999999999998</v>
      </c>
      <c r="AO546">
        <v>67.786000000000001</v>
      </c>
      <c r="AP546">
        <v>-6.4980000000000002</v>
      </c>
      <c r="AQ546">
        <v>45.256999999999998</v>
      </c>
      <c r="AR546">
        <v>58.793999999999997</v>
      </c>
      <c r="AS546">
        <v>55.61</v>
      </c>
    </row>
    <row r="547" spans="1:45" x14ac:dyDescent="0.25">
      <c r="A547">
        <v>61</v>
      </c>
      <c r="B547">
        <v>-1</v>
      </c>
      <c r="C547">
        <v>0</v>
      </c>
      <c r="D547">
        <v>2020</v>
      </c>
      <c r="E547">
        <v>3</v>
      </c>
      <c r="F547" t="str">
        <f>IFERROR(VLOOKUP(G547, Map!$A$1:$B$33, 2, FALSE),"WAS")</f>
        <v>MIN</v>
      </c>
      <c r="G547" t="s">
        <v>153</v>
      </c>
      <c r="H547" t="str">
        <f>IFERROR(VLOOKUP(I547, Map!$A$1:$B$33, 2, FALSE),"WAS")</f>
        <v>TEN</v>
      </c>
      <c r="I547" t="s">
        <v>140</v>
      </c>
      <c r="J547" t="s">
        <v>214</v>
      </c>
      <c r="K547" t="s">
        <v>174</v>
      </c>
      <c r="L547">
        <v>0</v>
      </c>
      <c r="M547">
        <v>0</v>
      </c>
      <c r="N547">
        <v>41.615384615384599</v>
      </c>
      <c r="O547">
        <v>1.92307692307692</v>
      </c>
      <c r="P547">
        <v>1.5</v>
      </c>
      <c r="Q547">
        <v>0</v>
      </c>
      <c r="R547">
        <v>15</v>
      </c>
      <c r="S547">
        <v>18.8</v>
      </c>
      <c r="T547">
        <v>11.8</v>
      </c>
      <c r="U547">
        <v>13</v>
      </c>
      <c r="V547">
        <v>1.5</v>
      </c>
      <c r="W547">
        <v>0</v>
      </c>
      <c r="X547">
        <v>5</v>
      </c>
      <c r="Y547">
        <v>1.5</v>
      </c>
      <c r="Z547">
        <v>29.9</v>
      </c>
      <c r="AA547">
        <v>58.3</v>
      </c>
      <c r="AB547">
        <v>273</v>
      </c>
      <c r="AC547">
        <v>76</v>
      </c>
      <c r="AD547">
        <v>30</v>
      </c>
      <c r="AE547">
        <v>15</v>
      </c>
      <c r="AF547">
        <v>52.045999999999999</v>
      </c>
      <c r="AG547">
        <v>57.896000000000001</v>
      </c>
      <c r="AH547">
        <v>47.572000000000003</v>
      </c>
      <c r="AI547">
        <v>50.128999999999998</v>
      </c>
      <c r="AJ547">
        <v>77.135999999999996</v>
      </c>
      <c r="AK547">
        <v>52.308</v>
      </c>
      <c r="AL547">
        <v>0.78300000000000003</v>
      </c>
      <c r="AM547">
        <v>47.572000000000003</v>
      </c>
      <c r="AN547">
        <v>57.896000000000001</v>
      </c>
      <c r="AO547">
        <v>52.045999999999999</v>
      </c>
      <c r="AP547">
        <v>-0.78300000000000003</v>
      </c>
      <c r="AQ547">
        <v>22.864000000000001</v>
      </c>
      <c r="AR547">
        <v>49.871000000000002</v>
      </c>
      <c r="AS547">
        <v>47.692</v>
      </c>
    </row>
    <row r="548" spans="1:45" x14ac:dyDescent="0.25">
      <c r="A548">
        <v>38</v>
      </c>
      <c r="B548">
        <v>-18</v>
      </c>
      <c r="C548">
        <v>0</v>
      </c>
      <c r="D548">
        <v>2020</v>
      </c>
      <c r="E548">
        <v>3</v>
      </c>
      <c r="F548" t="str">
        <f>IFERROR(VLOOKUP(G548, Map!$A$1:$B$33, 2, FALSE),"WAS")</f>
        <v>DEN</v>
      </c>
      <c r="G548" t="s">
        <v>159</v>
      </c>
      <c r="H548" t="str">
        <f>IFERROR(VLOOKUP(I548, Map!$A$1:$B$33, 2, FALSE),"WAS")</f>
        <v>TB</v>
      </c>
      <c r="I548" t="s">
        <v>141</v>
      </c>
      <c r="J548" t="s">
        <v>183</v>
      </c>
      <c r="K548" t="s">
        <v>186</v>
      </c>
      <c r="L548">
        <v>0</v>
      </c>
      <c r="M548">
        <v>0</v>
      </c>
      <c r="N548">
        <v>36</v>
      </c>
      <c r="O548">
        <v>4.5769230769230802</v>
      </c>
      <c r="P548">
        <v>5.5</v>
      </c>
      <c r="Q548">
        <v>0</v>
      </c>
      <c r="R548">
        <v>14.8</v>
      </c>
      <c r="S548">
        <v>26.1</v>
      </c>
      <c r="T548">
        <v>9.3000000000000007</v>
      </c>
      <c r="U548">
        <v>11.1</v>
      </c>
      <c r="V548">
        <v>0</v>
      </c>
      <c r="W548">
        <v>0</v>
      </c>
      <c r="X548">
        <v>0</v>
      </c>
      <c r="Y548">
        <v>0</v>
      </c>
      <c r="Z548">
        <v>25</v>
      </c>
      <c r="AA548">
        <v>50.8</v>
      </c>
      <c r="AB548">
        <v>33</v>
      </c>
      <c r="AC548">
        <v>41</v>
      </c>
      <c r="AD548">
        <v>23.7</v>
      </c>
      <c r="AE548">
        <v>11.9</v>
      </c>
      <c r="AF548">
        <v>41.286999999999999</v>
      </c>
      <c r="AG548">
        <v>58.866999999999997</v>
      </c>
      <c r="AH548">
        <v>58.381</v>
      </c>
      <c r="AI548">
        <v>26.591999999999999</v>
      </c>
      <c r="AJ548">
        <v>8.83</v>
      </c>
      <c r="AK548">
        <v>7.6059999999999999</v>
      </c>
      <c r="AL548">
        <v>-3.0150000000000001</v>
      </c>
      <c r="AM548">
        <v>58.381</v>
      </c>
      <c r="AN548">
        <v>58.866999999999997</v>
      </c>
      <c r="AO548">
        <v>41.286999999999999</v>
      </c>
      <c r="AP548">
        <v>3.0150000000000001</v>
      </c>
      <c r="AQ548">
        <v>91.17</v>
      </c>
      <c r="AR548">
        <v>73.408000000000001</v>
      </c>
      <c r="AS548">
        <v>92.394000000000005</v>
      </c>
    </row>
    <row r="549" spans="1:45" x14ac:dyDescent="0.25">
      <c r="A549">
        <v>49</v>
      </c>
      <c r="B549">
        <v>7</v>
      </c>
      <c r="C549">
        <v>1</v>
      </c>
      <c r="D549">
        <v>2020</v>
      </c>
      <c r="E549">
        <v>3</v>
      </c>
      <c r="F549" t="str">
        <f>IFERROR(VLOOKUP(G549, Map!$A$1:$B$33, 2, FALSE),"WAS")</f>
        <v>PIT</v>
      </c>
      <c r="G549" t="s">
        <v>145</v>
      </c>
      <c r="H549" t="str">
        <f>IFERROR(VLOOKUP(I549, Map!$A$1:$B$33, 2, FALSE),"WAS")</f>
        <v>HOU</v>
      </c>
      <c r="I549" t="s">
        <v>137</v>
      </c>
      <c r="J549" t="s">
        <v>170</v>
      </c>
      <c r="K549" t="s">
        <v>209</v>
      </c>
      <c r="L549">
        <v>1</v>
      </c>
      <c r="M549">
        <v>0</v>
      </c>
      <c r="N549">
        <v>39.115384615384599</v>
      </c>
      <c r="O549">
        <v>-3.0769230769230802</v>
      </c>
      <c r="P549">
        <v>-3.5</v>
      </c>
      <c r="Q549">
        <v>0</v>
      </c>
      <c r="R549">
        <v>20.399999999999999</v>
      </c>
      <c r="S549">
        <v>27</v>
      </c>
      <c r="T549">
        <v>14.9</v>
      </c>
      <c r="U549">
        <v>20.3</v>
      </c>
      <c r="V549">
        <v>0</v>
      </c>
      <c r="W549">
        <v>0</v>
      </c>
      <c r="X549">
        <v>0</v>
      </c>
      <c r="Y549">
        <v>0</v>
      </c>
      <c r="Z549">
        <v>16.399999999999999</v>
      </c>
      <c r="AA549">
        <v>36.4</v>
      </c>
      <c r="AB549">
        <v>193</v>
      </c>
      <c r="AC549">
        <v>73</v>
      </c>
      <c r="AD549">
        <v>24.8</v>
      </c>
      <c r="AE549">
        <v>11.7</v>
      </c>
      <c r="AF549">
        <v>65.495999999999995</v>
      </c>
      <c r="AG549">
        <v>51.843000000000004</v>
      </c>
      <c r="AH549">
        <v>34.228999999999999</v>
      </c>
      <c r="AI549">
        <v>37.215000000000003</v>
      </c>
      <c r="AJ549">
        <v>78.444000000000003</v>
      </c>
      <c r="AK549">
        <v>66.3</v>
      </c>
      <c r="AL549">
        <v>5.6210000000000004</v>
      </c>
      <c r="AM549">
        <v>34.228999999999999</v>
      </c>
      <c r="AN549">
        <v>51.843000000000004</v>
      </c>
      <c r="AO549">
        <v>65.495999999999995</v>
      </c>
      <c r="AP549">
        <v>-5.6210000000000004</v>
      </c>
      <c r="AQ549">
        <v>21.556000000000001</v>
      </c>
      <c r="AR549">
        <v>62.784999999999997</v>
      </c>
      <c r="AS549">
        <v>33.700000000000003</v>
      </c>
    </row>
    <row r="550" spans="1:45" x14ac:dyDescent="0.25">
      <c r="A550">
        <v>46</v>
      </c>
      <c r="B550">
        <v>0</v>
      </c>
      <c r="C550">
        <v>0</v>
      </c>
      <c r="D550">
        <v>2020</v>
      </c>
      <c r="E550">
        <v>3</v>
      </c>
      <c r="F550" t="str">
        <f>IFERROR(VLOOKUP(G550, Map!$A$1:$B$33, 2, FALSE),"WAS")</f>
        <v>PHI</v>
      </c>
      <c r="G550" t="s">
        <v>147</v>
      </c>
      <c r="H550" t="str">
        <f>IFERROR(VLOOKUP(I550, Map!$A$1:$B$33, 2, FALSE),"WAS")</f>
        <v>CIN</v>
      </c>
      <c r="I550" t="s">
        <v>161</v>
      </c>
      <c r="J550" t="s">
        <v>206</v>
      </c>
      <c r="K550" t="s">
        <v>176</v>
      </c>
      <c r="L550">
        <v>0</v>
      </c>
      <c r="M550">
        <v>0</v>
      </c>
      <c r="N550">
        <v>39.5</v>
      </c>
      <c r="O550">
        <v>-4.5</v>
      </c>
      <c r="P550">
        <v>-4.5</v>
      </c>
      <c r="Q550">
        <v>0</v>
      </c>
      <c r="R550">
        <v>21.8</v>
      </c>
      <c r="S550">
        <v>25.9</v>
      </c>
      <c r="T550">
        <v>19.100000000000001</v>
      </c>
      <c r="U550">
        <v>24.4</v>
      </c>
      <c r="V550">
        <v>0.4</v>
      </c>
      <c r="W550">
        <v>0</v>
      </c>
      <c r="X550">
        <v>2</v>
      </c>
      <c r="Y550">
        <v>0.4</v>
      </c>
      <c r="Z550">
        <v>11.2</v>
      </c>
      <c r="AA550">
        <v>19.8</v>
      </c>
      <c r="AB550">
        <v>120</v>
      </c>
      <c r="AC550">
        <v>85</v>
      </c>
      <c r="AD550">
        <v>13</v>
      </c>
      <c r="AE550">
        <v>5.6</v>
      </c>
      <c r="AF550">
        <v>60.387</v>
      </c>
      <c r="AG550">
        <v>27.459</v>
      </c>
      <c r="AH550">
        <v>39.296999999999997</v>
      </c>
      <c r="AI550">
        <v>52.332000000000001</v>
      </c>
      <c r="AJ550">
        <v>43.128</v>
      </c>
      <c r="AK550">
        <v>49.457000000000001</v>
      </c>
      <c r="AL550">
        <v>3.7349999999999999</v>
      </c>
      <c r="AM550">
        <v>39.296999999999997</v>
      </c>
      <c r="AN550">
        <v>27.459</v>
      </c>
      <c r="AO550">
        <v>60.387</v>
      </c>
      <c r="AP550">
        <v>-3.7349999999999999</v>
      </c>
      <c r="AQ550">
        <v>56.872</v>
      </c>
      <c r="AR550">
        <v>47.667999999999999</v>
      </c>
      <c r="AS550">
        <v>50.542999999999999</v>
      </c>
    </row>
    <row r="551" spans="1:45" x14ac:dyDescent="0.25">
      <c r="A551">
        <v>56</v>
      </c>
      <c r="B551">
        <v>16</v>
      </c>
      <c r="C551">
        <v>1</v>
      </c>
      <c r="D551">
        <v>2020</v>
      </c>
      <c r="E551">
        <v>3</v>
      </c>
      <c r="F551" t="str">
        <f>IFERROR(VLOOKUP(G551, Map!$A$1:$B$33, 2, FALSE),"WAS")</f>
        <v>NE</v>
      </c>
      <c r="G551" t="s">
        <v>151</v>
      </c>
      <c r="H551" t="str">
        <f>IFERROR(VLOOKUP(I551, Map!$A$1:$B$33, 2, FALSE),"WAS")</f>
        <v>LV</v>
      </c>
      <c r="I551" t="s">
        <v>157</v>
      </c>
      <c r="J551" t="s">
        <v>187</v>
      </c>
      <c r="K551" t="s">
        <v>179</v>
      </c>
      <c r="L551">
        <v>1</v>
      </c>
      <c r="M551">
        <v>0</v>
      </c>
      <c r="N551">
        <v>47.0833333333333</v>
      </c>
      <c r="O551">
        <v>-6.3333333333333304</v>
      </c>
      <c r="P551">
        <v>-6.5</v>
      </c>
      <c r="Q551">
        <v>46.5</v>
      </c>
      <c r="R551">
        <v>20.100000000000001</v>
      </c>
      <c r="S551">
        <v>25.1</v>
      </c>
      <c r="T551">
        <v>17.100000000000001</v>
      </c>
      <c r="U551">
        <v>21.3</v>
      </c>
      <c r="V551">
        <v>0.7</v>
      </c>
      <c r="W551">
        <v>0</v>
      </c>
      <c r="X551">
        <v>5</v>
      </c>
      <c r="Y551">
        <v>0.7</v>
      </c>
      <c r="Z551">
        <v>16.899999999999999</v>
      </c>
      <c r="AA551">
        <v>40</v>
      </c>
      <c r="AB551">
        <v>181</v>
      </c>
      <c r="AC551">
        <v>88</v>
      </c>
      <c r="AD551">
        <v>25.2</v>
      </c>
      <c r="AE551">
        <v>10.7</v>
      </c>
      <c r="AF551">
        <v>63.822000000000003</v>
      </c>
      <c r="AG551">
        <v>44.789000000000001</v>
      </c>
      <c r="AH551">
        <v>35.889000000000003</v>
      </c>
      <c r="AI551">
        <v>59.944000000000003</v>
      </c>
      <c r="AJ551">
        <v>67.561000000000007</v>
      </c>
      <c r="AK551">
        <v>80.119</v>
      </c>
      <c r="AL551">
        <v>4.9930000000000003</v>
      </c>
      <c r="AM551">
        <v>35.889000000000003</v>
      </c>
      <c r="AN551">
        <v>44.789000000000001</v>
      </c>
      <c r="AO551">
        <v>63.822000000000003</v>
      </c>
      <c r="AP551">
        <v>-4.9930000000000003</v>
      </c>
      <c r="AQ551">
        <v>32.439</v>
      </c>
      <c r="AR551">
        <v>40.055999999999997</v>
      </c>
      <c r="AS551">
        <v>19.881</v>
      </c>
    </row>
    <row r="552" spans="1:45" x14ac:dyDescent="0.25">
      <c r="A552">
        <v>67</v>
      </c>
      <c r="B552">
        <v>3</v>
      </c>
      <c r="C552">
        <v>1</v>
      </c>
      <c r="D552">
        <v>2020</v>
      </c>
      <c r="E552">
        <v>3</v>
      </c>
      <c r="F552" t="str">
        <f>IFERROR(VLOOKUP(G552, Map!$A$1:$B$33, 2, FALSE),"WAS")</f>
        <v>BUF</v>
      </c>
      <c r="G552" t="s">
        <v>165</v>
      </c>
      <c r="H552" t="str">
        <f>IFERROR(VLOOKUP(I552, Map!$A$1:$B$33, 2, FALSE),"WAS")</f>
        <v>LA</v>
      </c>
      <c r="I552" t="s">
        <v>155</v>
      </c>
      <c r="J552" t="s">
        <v>180</v>
      </c>
      <c r="K552" t="s">
        <v>178</v>
      </c>
      <c r="L552">
        <v>1</v>
      </c>
      <c r="M552">
        <v>0</v>
      </c>
      <c r="N552">
        <v>39.5</v>
      </c>
      <c r="O552">
        <v>-1.4615384615384599</v>
      </c>
      <c r="P552">
        <v>-1.5</v>
      </c>
      <c r="Q552">
        <v>0</v>
      </c>
      <c r="R552">
        <v>19.899999999999999</v>
      </c>
      <c r="S552">
        <v>23.8</v>
      </c>
      <c r="T552">
        <v>16</v>
      </c>
      <c r="U552">
        <v>21.7</v>
      </c>
      <c r="V552">
        <v>0.2</v>
      </c>
      <c r="W552">
        <v>0</v>
      </c>
      <c r="X552">
        <v>2</v>
      </c>
      <c r="Y552">
        <v>0.2</v>
      </c>
      <c r="Z552">
        <v>8.4</v>
      </c>
      <c r="AA552">
        <v>18.7</v>
      </c>
      <c r="AB552">
        <v>233</v>
      </c>
      <c r="AC552">
        <v>86</v>
      </c>
      <c r="AD552">
        <v>11.2</v>
      </c>
      <c r="AE552">
        <v>5.3</v>
      </c>
      <c r="AF552">
        <v>53.421999999999997</v>
      </c>
      <c r="AG552">
        <v>79.016000000000005</v>
      </c>
      <c r="AH552">
        <v>46.207000000000001</v>
      </c>
      <c r="AI552">
        <v>15.858000000000001</v>
      </c>
      <c r="AJ552">
        <v>84.522999999999996</v>
      </c>
      <c r="AK552">
        <v>68.856999999999999</v>
      </c>
      <c r="AL552">
        <v>1.2649999999999999</v>
      </c>
      <c r="AM552">
        <v>46.207000000000001</v>
      </c>
      <c r="AN552">
        <v>79.016000000000005</v>
      </c>
      <c r="AO552">
        <v>53.421999999999997</v>
      </c>
      <c r="AP552">
        <v>-1.2649999999999999</v>
      </c>
      <c r="AQ552">
        <v>15.477</v>
      </c>
      <c r="AR552">
        <v>84.141999999999996</v>
      </c>
      <c r="AS552">
        <v>31.143000000000001</v>
      </c>
    </row>
    <row r="553" spans="1:45" x14ac:dyDescent="0.25">
      <c r="A553">
        <v>45</v>
      </c>
      <c r="B553">
        <v>-27</v>
      </c>
      <c r="C553">
        <v>0</v>
      </c>
      <c r="D553">
        <v>2020</v>
      </c>
      <c r="E553">
        <v>3</v>
      </c>
      <c r="F553" t="str">
        <f>IFERROR(VLOOKUP(G553, Map!$A$1:$B$33, 2, FALSE),"WAS")</f>
        <v>NYG</v>
      </c>
      <c r="G553" t="s">
        <v>149</v>
      </c>
      <c r="H553" t="str">
        <f>IFERROR(VLOOKUP(I553, Map!$A$1:$B$33, 2, FALSE),"WAS")</f>
        <v>SF</v>
      </c>
      <c r="I553" t="s">
        <v>143</v>
      </c>
      <c r="J553" t="s">
        <v>219</v>
      </c>
      <c r="K553" t="s">
        <v>197</v>
      </c>
      <c r="L553">
        <v>0</v>
      </c>
      <c r="M553">
        <v>0</v>
      </c>
      <c r="N553">
        <v>36.615384615384599</v>
      </c>
      <c r="O553">
        <v>2.4615384615384599</v>
      </c>
      <c r="P553">
        <v>3</v>
      </c>
      <c r="Q553">
        <v>0</v>
      </c>
      <c r="R553">
        <v>20.8</v>
      </c>
      <c r="S553">
        <v>25.1</v>
      </c>
      <c r="T553">
        <v>18.3</v>
      </c>
      <c r="U553">
        <v>23.1</v>
      </c>
      <c r="V553">
        <v>0.3</v>
      </c>
      <c r="W553">
        <v>0</v>
      </c>
      <c r="X553">
        <v>2</v>
      </c>
      <c r="Y553">
        <v>0.3</v>
      </c>
      <c r="Z553">
        <v>16.100000000000001</v>
      </c>
      <c r="AA553">
        <v>33.799999999999997</v>
      </c>
      <c r="AB553">
        <v>131</v>
      </c>
      <c r="AC553">
        <v>89</v>
      </c>
      <c r="AD553">
        <v>16</v>
      </c>
      <c r="AE553">
        <v>6.6</v>
      </c>
      <c r="AF553">
        <v>33.646000000000001</v>
      </c>
      <c r="AG553">
        <v>39.796999999999997</v>
      </c>
      <c r="AH553">
        <v>66.084000000000003</v>
      </c>
      <c r="AI553">
        <v>17.513999999999999</v>
      </c>
      <c r="AJ553">
        <v>10.18</v>
      </c>
      <c r="AK553">
        <v>10.545999999999999</v>
      </c>
      <c r="AL553">
        <v>-5.843</v>
      </c>
      <c r="AM553">
        <v>66.084000000000003</v>
      </c>
      <c r="AN553">
        <v>39.796999999999997</v>
      </c>
      <c r="AO553">
        <v>33.646000000000001</v>
      </c>
      <c r="AP553">
        <v>5.843</v>
      </c>
      <c r="AQ553">
        <v>89.82</v>
      </c>
      <c r="AR553">
        <v>82.486000000000004</v>
      </c>
      <c r="AS553">
        <v>89.453999999999994</v>
      </c>
    </row>
    <row r="554" spans="1:45" x14ac:dyDescent="0.25">
      <c r="A554">
        <v>69</v>
      </c>
      <c r="B554">
        <v>7</v>
      </c>
      <c r="C554">
        <v>1</v>
      </c>
      <c r="D554">
        <v>2020</v>
      </c>
      <c r="E554">
        <v>3</v>
      </c>
      <c r="F554" t="str">
        <f>IFERROR(VLOOKUP(G554, Map!$A$1:$B$33, 2, FALSE),"WAS")</f>
        <v>SEA</v>
      </c>
      <c r="G554" t="s">
        <v>144</v>
      </c>
      <c r="H554" t="str">
        <f>IFERROR(VLOOKUP(I554, Map!$A$1:$B$33, 2, FALSE),"WAS")</f>
        <v>DAL</v>
      </c>
      <c r="I554" t="s">
        <v>150</v>
      </c>
      <c r="J554" t="s">
        <v>182</v>
      </c>
      <c r="K554" t="s">
        <v>184</v>
      </c>
      <c r="L554">
        <v>1</v>
      </c>
      <c r="M554">
        <v>0</v>
      </c>
      <c r="N554">
        <v>52.384615384615401</v>
      </c>
      <c r="O554">
        <v>-4.5</v>
      </c>
      <c r="P554">
        <v>-4.5</v>
      </c>
      <c r="Q554">
        <v>55.5</v>
      </c>
      <c r="R554">
        <v>13.9</v>
      </c>
      <c r="S554">
        <v>17.5</v>
      </c>
      <c r="T554">
        <v>11.8</v>
      </c>
      <c r="U554">
        <v>13.5</v>
      </c>
      <c r="V554">
        <v>0</v>
      </c>
      <c r="W554">
        <v>0</v>
      </c>
      <c r="X554">
        <v>0</v>
      </c>
      <c r="Y554">
        <v>0</v>
      </c>
      <c r="Z554">
        <v>13.1</v>
      </c>
      <c r="AA554">
        <v>42.8</v>
      </c>
      <c r="AB554">
        <v>197</v>
      </c>
      <c r="AC554">
        <v>86</v>
      </c>
      <c r="AD554">
        <v>15.3</v>
      </c>
      <c r="AE554">
        <v>6</v>
      </c>
      <c r="AF554">
        <v>60.609000000000002</v>
      </c>
      <c r="AG554">
        <v>56.679000000000002</v>
      </c>
      <c r="AH554">
        <v>39.076999999999998</v>
      </c>
      <c r="AI554">
        <v>38.646999999999998</v>
      </c>
      <c r="AJ554">
        <v>81.013000000000005</v>
      </c>
      <c r="AK554">
        <v>68.308000000000007</v>
      </c>
      <c r="AL554">
        <v>3.8149999999999999</v>
      </c>
      <c r="AM554">
        <v>39.076999999999998</v>
      </c>
      <c r="AN554">
        <v>56.679000000000002</v>
      </c>
      <c r="AO554">
        <v>60.609000000000002</v>
      </c>
      <c r="AP554">
        <v>-3.8149999999999999</v>
      </c>
      <c r="AQ554">
        <v>18.986999999999998</v>
      </c>
      <c r="AR554">
        <v>61.353000000000002</v>
      </c>
      <c r="AS554">
        <v>31.692</v>
      </c>
    </row>
    <row r="555" spans="1:45" x14ac:dyDescent="0.25">
      <c r="A555">
        <v>44</v>
      </c>
      <c r="B555">
        <v>-18</v>
      </c>
      <c r="C555">
        <v>0</v>
      </c>
      <c r="D555">
        <v>2020</v>
      </c>
      <c r="E555">
        <v>3</v>
      </c>
      <c r="F555" t="str">
        <f>IFERROR(VLOOKUP(G555, Map!$A$1:$B$33, 2, FALSE),"WAS")</f>
        <v>JAX</v>
      </c>
      <c r="G555" t="s">
        <v>139</v>
      </c>
      <c r="H555" t="str">
        <f>IFERROR(VLOOKUP(I555, Map!$A$1:$B$33, 2, FALSE),"WAS")</f>
        <v>MIA</v>
      </c>
      <c r="I555" t="s">
        <v>152</v>
      </c>
      <c r="J555" t="s">
        <v>220</v>
      </c>
      <c r="K555" t="s">
        <v>175</v>
      </c>
      <c r="L555">
        <v>0</v>
      </c>
      <c r="M555">
        <v>0</v>
      </c>
      <c r="N555">
        <v>40.181818181818201</v>
      </c>
      <c r="O555">
        <v>-1.9090909090909101</v>
      </c>
      <c r="P555">
        <v>-2.5</v>
      </c>
      <c r="Q555">
        <v>0</v>
      </c>
      <c r="R555">
        <v>26.7</v>
      </c>
      <c r="S555">
        <v>31.8</v>
      </c>
      <c r="T555">
        <v>23.4</v>
      </c>
      <c r="U555">
        <v>30.8</v>
      </c>
      <c r="V555">
        <v>0</v>
      </c>
      <c r="W555">
        <v>0</v>
      </c>
      <c r="X555">
        <v>0</v>
      </c>
      <c r="Y555">
        <v>0</v>
      </c>
      <c r="Z555">
        <v>18.399999999999999</v>
      </c>
      <c r="AA555">
        <v>31</v>
      </c>
      <c r="AB555">
        <v>158</v>
      </c>
      <c r="AC555">
        <v>80</v>
      </c>
      <c r="AD555">
        <v>20</v>
      </c>
      <c r="AE555">
        <v>10.1</v>
      </c>
      <c r="AF555">
        <v>52.993000000000002</v>
      </c>
      <c r="AG555">
        <v>13.423999999999999</v>
      </c>
      <c r="AH555">
        <v>46.633000000000003</v>
      </c>
      <c r="AI555">
        <v>5.9480000000000004</v>
      </c>
      <c r="AJ555">
        <v>34.351999999999997</v>
      </c>
      <c r="AK555">
        <v>7.742</v>
      </c>
      <c r="AL555">
        <v>1.1140000000000001</v>
      </c>
      <c r="AM555">
        <v>46.633000000000003</v>
      </c>
      <c r="AN555">
        <v>13.423999999999999</v>
      </c>
      <c r="AO555">
        <v>52.993000000000002</v>
      </c>
      <c r="AP555">
        <v>-1.1140000000000001</v>
      </c>
      <c r="AQ555">
        <v>65.647999999999996</v>
      </c>
      <c r="AR555">
        <v>94.052000000000007</v>
      </c>
      <c r="AS555">
        <v>92.257999999999996</v>
      </c>
    </row>
    <row r="556" spans="1:45" x14ac:dyDescent="0.25">
      <c r="A556">
        <v>54</v>
      </c>
      <c r="B556">
        <v>14</v>
      </c>
      <c r="C556">
        <v>1</v>
      </c>
      <c r="D556">
        <v>2020</v>
      </c>
      <c r="E556">
        <v>3</v>
      </c>
      <c r="F556" t="str">
        <f>IFERROR(VLOOKUP(G556, Map!$A$1:$B$33, 2, FALSE),"WAS")</f>
        <v>CLE</v>
      </c>
      <c r="G556" t="s">
        <v>162</v>
      </c>
      <c r="H556" t="str">
        <f>IFERROR(VLOOKUP(I556, Map!$A$1:$B$33, 2, FALSE),"WAS")</f>
        <v>WAS</v>
      </c>
      <c r="I556" t="s">
        <v>169</v>
      </c>
      <c r="J556" t="s">
        <v>171</v>
      </c>
      <c r="K556" t="s">
        <v>205</v>
      </c>
      <c r="L556">
        <v>1</v>
      </c>
      <c r="M556">
        <v>0</v>
      </c>
      <c r="N556">
        <v>40.818181818181799</v>
      </c>
      <c r="O556">
        <v>-6.5</v>
      </c>
      <c r="P556">
        <v>-7</v>
      </c>
      <c r="Q556">
        <v>0</v>
      </c>
      <c r="R556">
        <v>22</v>
      </c>
      <c r="S556">
        <v>27.1</v>
      </c>
      <c r="T556">
        <v>18.2</v>
      </c>
      <c r="U556">
        <v>21.1</v>
      </c>
      <c r="V556">
        <v>0</v>
      </c>
      <c r="W556">
        <v>0</v>
      </c>
      <c r="X556">
        <v>0</v>
      </c>
      <c r="Y556">
        <v>0</v>
      </c>
      <c r="Z556">
        <v>24.5</v>
      </c>
      <c r="AA556">
        <v>39.6</v>
      </c>
      <c r="AB556">
        <v>194</v>
      </c>
      <c r="AC556">
        <v>68</v>
      </c>
      <c r="AD556">
        <v>32.6</v>
      </c>
      <c r="AE556">
        <v>20</v>
      </c>
      <c r="AF556">
        <v>62.933999999999997</v>
      </c>
      <c r="AG556">
        <v>42.256999999999998</v>
      </c>
      <c r="AH556">
        <v>36.771000000000001</v>
      </c>
      <c r="AI556">
        <v>69.659000000000006</v>
      </c>
      <c r="AJ556">
        <v>70.691999999999993</v>
      </c>
      <c r="AK556">
        <v>75.953000000000003</v>
      </c>
      <c r="AL556">
        <v>4.6639999999999997</v>
      </c>
      <c r="AM556">
        <v>36.771000000000001</v>
      </c>
      <c r="AN556">
        <v>42.256999999999998</v>
      </c>
      <c r="AO556">
        <v>62.933999999999997</v>
      </c>
      <c r="AP556">
        <v>-4.6639999999999997</v>
      </c>
      <c r="AQ556">
        <v>29.308</v>
      </c>
      <c r="AR556">
        <v>30.341000000000001</v>
      </c>
      <c r="AS556">
        <v>24.047000000000001</v>
      </c>
    </row>
    <row r="557" spans="1:45" x14ac:dyDescent="0.25">
      <c r="A557">
        <v>43</v>
      </c>
      <c r="B557">
        <v>29</v>
      </c>
      <c r="C557">
        <v>1</v>
      </c>
      <c r="D557">
        <v>2020</v>
      </c>
      <c r="E557">
        <v>3</v>
      </c>
      <c r="F557" t="str">
        <f>IFERROR(VLOOKUP(G557, Map!$A$1:$B$33, 2, FALSE),"WAS")</f>
        <v>IND</v>
      </c>
      <c r="G557" t="s">
        <v>138</v>
      </c>
      <c r="H557" t="str">
        <f>IFERROR(VLOOKUP(I557, Map!$A$1:$B$33, 2, FALSE),"WAS")</f>
        <v>NYJ</v>
      </c>
      <c r="I557" t="s">
        <v>166</v>
      </c>
      <c r="J557" t="s">
        <v>177</v>
      </c>
      <c r="K557" t="s">
        <v>172</v>
      </c>
      <c r="L557">
        <v>1</v>
      </c>
      <c r="M557">
        <v>0</v>
      </c>
      <c r="N557">
        <v>37.076923076923102</v>
      </c>
      <c r="O557">
        <v>-9.8076923076923102</v>
      </c>
      <c r="P557">
        <v>-11.5</v>
      </c>
      <c r="Q557">
        <v>0</v>
      </c>
      <c r="R557">
        <v>21</v>
      </c>
      <c r="S557">
        <v>27.4</v>
      </c>
      <c r="T557">
        <v>16.2</v>
      </c>
      <c r="U557">
        <v>20.5</v>
      </c>
      <c r="V557">
        <v>0</v>
      </c>
      <c r="W557">
        <v>0</v>
      </c>
      <c r="X557">
        <v>0</v>
      </c>
      <c r="Y557">
        <v>0</v>
      </c>
      <c r="Z557">
        <v>21.7</v>
      </c>
      <c r="AA557">
        <v>42.8</v>
      </c>
      <c r="AB557">
        <v>209</v>
      </c>
      <c r="AC557">
        <v>73</v>
      </c>
      <c r="AD557">
        <v>33</v>
      </c>
      <c r="AE557">
        <v>16.5</v>
      </c>
      <c r="AF557">
        <v>64.447000000000003</v>
      </c>
      <c r="AG557">
        <v>41.435000000000002</v>
      </c>
      <c r="AH557">
        <v>35.270000000000003</v>
      </c>
      <c r="AI557">
        <v>95.448999999999998</v>
      </c>
      <c r="AJ557">
        <v>86.105000000000004</v>
      </c>
      <c r="AK557">
        <v>96.174000000000007</v>
      </c>
      <c r="AL557">
        <v>5.226</v>
      </c>
      <c r="AM557">
        <v>35.270000000000003</v>
      </c>
      <c r="AN557">
        <v>41.435000000000002</v>
      </c>
      <c r="AO557">
        <v>64.447000000000003</v>
      </c>
      <c r="AP557">
        <v>-5.226</v>
      </c>
      <c r="AQ557">
        <v>13.895</v>
      </c>
      <c r="AR557">
        <v>4.5510000000000002</v>
      </c>
      <c r="AS557">
        <v>3.8260000000000001</v>
      </c>
    </row>
    <row r="558" spans="1:45" x14ac:dyDescent="0.25">
      <c r="A558">
        <v>54</v>
      </c>
      <c r="B558">
        <v>-14</v>
      </c>
      <c r="C558">
        <v>0</v>
      </c>
      <c r="D558">
        <v>2020</v>
      </c>
      <c r="E558">
        <v>3</v>
      </c>
      <c r="F558" t="str">
        <f>IFERROR(VLOOKUP(G558, Map!$A$1:$B$33, 2, FALSE),"WAS")</f>
        <v>BAL</v>
      </c>
      <c r="G558" t="s">
        <v>146</v>
      </c>
      <c r="H558" t="str">
        <f>IFERROR(VLOOKUP(I558, Map!$A$1:$B$33, 2, FALSE),"WAS")</f>
        <v>KC</v>
      </c>
      <c r="I558" t="s">
        <v>158</v>
      </c>
      <c r="J558" t="s">
        <v>181</v>
      </c>
      <c r="K558" t="s">
        <v>202</v>
      </c>
      <c r="L558">
        <v>0</v>
      </c>
      <c r="M558">
        <v>0</v>
      </c>
      <c r="N558">
        <v>46.153846153846203</v>
      </c>
      <c r="O558">
        <v>-2.6538461538461502</v>
      </c>
      <c r="P558">
        <v>-3</v>
      </c>
      <c r="Q558">
        <v>0</v>
      </c>
      <c r="R558">
        <v>21.4</v>
      </c>
      <c r="S558">
        <v>24.7</v>
      </c>
      <c r="T558">
        <v>19</v>
      </c>
      <c r="U558">
        <v>23.5</v>
      </c>
      <c r="V558">
        <v>6.5</v>
      </c>
      <c r="W558">
        <v>0</v>
      </c>
      <c r="X558">
        <v>11</v>
      </c>
      <c r="Y558">
        <v>6.5</v>
      </c>
      <c r="Z558">
        <v>19.899999999999999</v>
      </c>
      <c r="AA558">
        <v>40.299999999999997</v>
      </c>
      <c r="AB558">
        <v>184</v>
      </c>
      <c r="AC558">
        <v>91</v>
      </c>
      <c r="AD558">
        <v>26.8</v>
      </c>
      <c r="AE558">
        <v>12.1</v>
      </c>
      <c r="AF558">
        <v>60.298999999999999</v>
      </c>
      <c r="AG558">
        <v>94.575000000000003</v>
      </c>
      <c r="AH558">
        <v>39.384999999999998</v>
      </c>
      <c r="AI558">
        <v>2.851</v>
      </c>
      <c r="AJ558">
        <v>31.295999999999999</v>
      </c>
      <c r="AK558">
        <v>9.93</v>
      </c>
      <c r="AL558">
        <v>3.7040000000000002</v>
      </c>
      <c r="AM558">
        <v>39.384999999999998</v>
      </c>
      <c r="AN558">
        <v>94.575000000000003</v>
      </c>
      <c r="AO558">
        <v>60.298999999999999</v>
      </c>
      <c r="AP558">
        <v>-3.7040000000000002</v>
      </c>
      <c r="AQ558">
        <v>68.703999999999994</v>
      </c>
      <c r="AR558">
        <v>97.149000000000001</v>
      </c>
      <c r="AS558">
        <v>90.07</v>
      </c>
    </row>
    <row r="559" spans="1:45" x14ac:dyDescent="0.25">
      <c r="A559">
        <v>56</v>
      </c>
      <c r="B559">
        <v>-4</v>
      </c>
      <c r="C559">
        <v>0</v>
      </c>
      <c r="D559">
        <v>2020</v>
      </c>
      <c r="E559">
        <v>3</v>
      </c>
      <c r="F559" t="str">
        <f>IFERROR(VLOOKUP(G559, Map!$A$1:$B$33, 2, FALSE),"WAS")</f>
        <v>ATL</v>
      </c>
      <c r="G559" t="s">
        <v>167</v>
      </c>
      <c r="H559" t="str">
        <f>IFERROR(VLOOKUP(I559, Map!$A$1:$B$33, 2, FALSE),"WAS")</f>
        <v>CHI</v>
      </c>
      <c r="I559" t="s">
        <v>163</v>
      </c>
      <c r="J559" t="s">
        <v>188</v>
      </c>
      <c r="K559" t="s">
        <v>216</v>
      </c>
      <c r="L559">
        <v>0</v>
      </c>
      <c r="M559">
        <v>0</v>
      </c>
      <c r="N559">
        <v>39.269230769230802</v>
      </c>
      <c r="O559">
        <v>-1.9615384615384599</v>
      </c>
      <c r="P559">
        <v>-2.5</v>
      </c>
      <c r="Q559">
        <v>0</v>
      </c>
      <c r="R559">
        <v>21</v>
      </c>
      <c r="S559">
        <v>26</v>
      </c>
      <c r="T559">
        <v>18</v>
      </c>
      <c r="U559">
        <v>23</v>
      </c>
      <c r="V559">
        <v>13.7</v>
      </c>
      <c r="W559">
        <v>0</v>
      </c>
      <c r="X559">
        <v>13</v>
      </c>
      <c r="Y559">
        <v>13.7</v>
      </c>
      <c r="Z559">
        <v>17</v>
      </c>
      <c r="AA559">
        <v>32.799999999999997</v>
      </c>
      <c r="AB559">
        <v>159</v>
      </c>
      <c r="AC559">
        <v>86</v>
      </c>
      <c r="AD559">
        <v>17.8</v>
      </c>
      <c r="AE559">
        <v>7.9</v>
      </c>
      <c r="AF559">
        <v>54.887</v>
      </c>
      <c r="AG559">
        <v>49.124000000000002</v>
      </c>
      <c r="AH559">
        <v>44.753</v>
      </c>
      <c r="AI559">
        <v>49.918999999999997</v>
      </c>
      <c r="AJ559">
        <v>68.28</v>
      </c>
      <c r="AK559">
        <v>58.02</v>
      </c>
      <c r="AL559">
        <v>1.7789999999999999</v>
      </c>
      <c r="AM559">
        <v>44.753</v>
      </c>
      <c r="AN559">
        <v>49.124000000000002</v>
      </c>
      <c r="AO559">
        <v>54.887</v>
      </c>
      <c r="AP559">
        <v>-1.7789999999999999</v>
      </c>
      <c r="AQ559">
        <v>31.72</v>
      </c>
      <c r="AR559">
        <v>50.081000000000003</v>
      </c>
      <c r="AS559">
        <v>41.98</v>
      </c>
    </row>
    <row r="560" spans="1:45" x14ac:dyDescent="0.25">
      <c r="A560">
        <v>37</v>
      </c>
      <c r="B560">
        <v>-5</v>
      </c>
      <c r="C560">
        <v>0</v>
      </c>
      <c r="D560">
        <v>2020</v>
      </c>
      <c r="E560">
        <v>3</v>
      </c>
      <c r="F560" t="str">
        <f>IFERROR(VLOOKUP(G560, Map!$A$1:$B$33, 2, FALSE),"WAS")</f>
        <v>LAC</v>
      </c>
      <c r="G560" t="s">
        <v>160</v>
      </c>
      <c r="H560" t="str">
        <f>IFERROR(VLOOKUP(I560, Map!$A$1:$B$33, 2, FALSE),"WAS")</f>
        <v>CAR</v>
      </c>
      <c r="I560" t="s">
        <v>142</v>
      </c>
      <c r="J560" t="s">
        <v>210</v>
      </c>
      <c r="K560" t="s">
        <v>185</v>
      </c>
      <c r="L560">
        <v>0</v>
      </c>
      <c r="M560">
        <v>0</v>
      </c>
      <c r="N560">
        <v>40.153846153846203</v>
      </c>
      <c r="O560">
        <v>-5.1538461538461497</v>
      </c>
      <c r="P560">
        <v>-6</v>
      </c>
      <c r="Q560">
        <v>43.5</v>
      </c>
      <c r="R560">
        <v>21.4</v>
      </c>
      <c r="S560">
        <v>27.7</v>
      </c>
      <c r="T560">
        <v>18.100000000000001</v>
      </c>
      <c r="U560">
        <v>23.1</v>
      </c>
      <c r="V560">
        <v>0</v>
      </c>
      <c r="W560">
        <v>0</v>
      </c>
      <c r="X560">
        <v>0</v>
      </c>
      <c r="Y560">
        <v>0</v>
      </c>
      <c r="Z560">
        <v>17.7</v>
      </c>
      <c r="AA560">
        <v>36.4</v>
      </c>
      <c r="AB560">
        <v>213</v>
      </c>
      <c r="AC560">
        <v>80</v>
      </c>
      <c r="AD560">
        <v>16.5</v>
      </c>
      <c r="AE560">
        <v>7.4</v>
      </c>
      <c r="AF560">
        <v>58.892000000000003</v>
      </c>
      <c r="AG560">
        <v>29.622</v>
      </c>
      <c r="AH560">
        <v>40.78</v>
      </c>
      <c r="AI560">
        <v>44.387999999999998</v>
      </c>
      <c r="AJ560">
        <v>20.431999999999999</v>
      </c>
      <c r="AK560">
        <v>23.484999999999999</v>
      </c>
      <c r="AL560">
        <v>3.198</v>
      </c>
      <c r="AM560">
        <v>40.78</v>
      </c>
      <c r="AN560">
        <v>29.622</v>
      </c>
      <c r="AO560">
        <v>58.892000000000003</v>
      </c>
      <c r="AP560">
        <v>-3.198</v>
      </c>
      <c r="AQ560">
        <v>79.567999999999998</v>
      </c>
      <c r="AR560">
        <v>55.612000000000002</v>
      </c>
      <c r="AS560">
        <v>76.515000000000001</v>
      </c>
    </row>
    <row r="561" spans="1:45" x14ac:dyDescent="0.25">
      <c r="A561">
        <v>67</v>
      </c>
      <c r="B561">
        <v>-7</v>
      </c>
      <c r="C561">
        <v>0</v>
      </c>
      <c r="D561">
        <v>2020</v>
      </c>
      <c r="E561">
        <v>3</v>
      </c>
      <c r="F561" t="str">
        <f>IFERROR(VLOOKUP(G561, Map!$A$1:$B$33, 2, FALSE),"WAS")</f>
        <v>NO</v>
      </c>
      <c r="G561" t="s">
        <v>168</v>
      </c>
      <c r="H561" t="str">
        <f>IFERROR(VLOOKUP(I561, Map!$A$1:$B$33, 2, FALSE),"WAS")</f>
        <v>GB</v>
      </c>
      <c r="I561" t="s">
        <v>154</v>
      </c>
      <c r="J561" t="s">
        <v>192</v>
      </c>
      <c r="K561" t="s">
        <v>200</v>
      </c>
      <c r="L561">
        <v>0</v>
      </c>
      <c r="M561">
        <v>0</v>
      </c>
      <c r="N561">
        <v>47.625</v>
      </c>
      <c r="O561">
        <v>-2.4583333333333299</v>
      </c>
      <c r="P561">
        <v>-3</v>
      </c>
      <c r="Q561">
        <v>51.5</v>
      </c>
      <c r="R561">
        <v>25.6</v>
      </c>
      <c r="S561">
        <v>28.5</v>
      </c>
      <c r="T561">
        <v>23.5</v>
      </c>
      <c r="U561">
        <v>30.2</v>
      </c>
      <c r="V561">
        <v>4.3</v>
      </c>
      <c r="W561">
        <v>0</v>
      </c>
      <c r="X561">
        <v>10</v>
      </c>
      <c r="Y561">
        <v>4.3</v>
      </c>
      <c r="Z561">
        <v>20.399999999999999</v>
      </c>
      <c r="AA561">
        <v>37.799999999999997</v>
      </c>
      <c r="AB561">
        <v>227</v>
      </c>
      <c r="AC561">
        <v>91</v>
      </c>
      <c r="AD561">
        <v>21.6</v>
      </c>
      <c r="AE561">
        <v>10</v>
      </c>
      <c r="AF561">
        <v>53.226999999999997</v>
      </c>
      <c r="AG561">
        <v>92.602000000000004</v>
      </c>
      <c r="AH561">
        <v>46.4</v>
      </c>
      <c r="AI561">
        <v>11.648999999999999</v>
      </c>
      <c r="AJ561">
        <v>77.801000000000002</v>
      </c>
      <c r="AK561">
        <v>32.17</v>
      </c>
      <c r="AL561">
        <v>1.196</v>
      </c>
      <c r="AM561">
        <v>46.4</v>
      </c>
      <c r="AN561">
        <v>92.602000000000004</v>
      </c>
      <c r="AO561">
        <v>53.226999999999997</v>
      </c>
      <c r="AP561">
        <v>-1.196</v>
      </c>
      <c r="AQ561">
        <v>22.199000000000002</v>
      </c>
      <c r="AR561">
        <v>88.350999999999999</v>
      </c>
      <c r="AS561">
        <v>67.83</v>
      </c>
    </row>
    <row r="562" spans="1:45" x14ac:dyDescent="0.25">
      <c r="A562">
        <v>30</v>
      </c>
      <c r="B562">
        <v>-8</v>
      </c>
      <c r="C562">
        <v>0</v>
      </c>
      <c r="D562">
        <v>2020</v>
      </c>
      <c r="E562">
        <v>4</v>
      </c>
      <c r="F562" t="str">
        <f>IFERROR(VLOOKUP(G562, Map!$A$1:$B$33, 2, FALSE),"WAS")</f>
        <v>CHI</v>
      </c>
      <c r="G562" t="s">
        <v>163</v>
      </c>
      <c r="H562" t="str">
        <f>IFERROR(VLOOKUP(I562, Map!$A$1:$B$33, 2, FALSE),"WAS")</f>
        <v>IND</v>
      </c>
      <c r="I562" t="s">
        <v>138</v>
      </c>
      <c r="J562" t="s">
        <v>216</v>
      </c>
      <c r="K562" t="s">
        <v>177</v>
      </c>
      <c r="L562">
        <v>0</v>
      </c>
      <c r="M562">
        <v>0</v>
      </c>
      <c r="N562">
        <v>39.5833333333333</v>
      </c>
      <c r="O562">
        <v>2.7916666666666701</v>
      </c>
      <c r="P562">
        <v>3</v>
      </c>
      <c r="Q562">
        <v>42.5</v>
      </c>
      <c r="R562">
        <v>9.1999999999999993</v>
      </c>
      <c r="S562">
        <v>11.6</v>
      </c>
      <c r="T562">
        <v>6.2</v>
      </c>
      <c r="U562">
        <v>5.4</v>
      </c>
      <c r="V562">
        <v>4.8</v>
      </c>
      <c r="W562">
        <v>0</v>
      </c>
      <c r="X562">
        <v>10</v>
      </c>
      <c r="Y562">
        <v>4.8</v>
      </c>
      <c r="Z562">
        <v>27.2</v>
      </c>
      <c r="AA562">
        <v>43.2</v>
      </c>
      <c r="AB562">
        <v>334</v>
      </c>
      <c r="AC562">
        <v>76</v>
      </c>
      <c r="AD562">
        <v>28.3</v>
      </c>
      <c r="AE562">
        <v>18</v>
      </c>
      <c r="AF562">
        <v>43.453000000000003</v>
      </c>
      <c r="AG562">
        <v>49.966999999999999</v>
      </c>
      <c r="AH562">
        <v>56.198</v>
      </c>
      <c r="AI562">
        <v>42.076999999999998</v>
      </c>
      <c r="AJ562">
        <v>24.154</v>
      </c>
      <c r="AK562">
        <v>17.821000000000002</v>
      </c>
      <c r="AL562">
        <v>-2.2160000000000002</v>
      </c>
      <c r="AM562">
        <v>56.198</v>
      </c>
      <c r="AN562">
        <v>49.966999999999999</v>
      </c>
      <c r="AO562">
        <v>43.453000000000003</v>
      </c>
      <c r="AP562">
        <v>2.2160000000000002</v>
      </c>
      <c r="AQ562">
        <v>75.846000000000004</v>
      </c>
      <c r="AR562">
        <v>57.923000000000002</v>
      </c>
      <c r="AS562">
        <v>82.179000000000002</v>
      </c>
    </row>
    <row r="563" spans="1:45" x14ac:dyDescent="0.25">
      <c r="A563">
        <v>69</v>
      </c>
      <c r="B563">
        <v>7</v>
      </c>
      <c r="C563">
        <v>1</v>
      </c>
      <c r="D563">
        <v>2020</v>
      </c>
      <c r="E563">
        <v>4</v>
      </c>
      <c r="F563" t="str">
        <f>IFERROR(VLOOKUP(G563, Map!$A$1:$B$33, 2, FALSE),"WAS")</f>
        <v>TB</v>
      </c>
      <c r="G563" t="s">
        <v>141</v>
      </c>
      <c r="H563" t="str">
        <f>IFERROR(VLOOKUP(I563, Map!$A$1:$B$33, 2, FALSE),"WAS")</f>
        <v>LAC</v>
      </c>
      <c r="I563" t="s">
        <v>160</v>
      </c>
      <c r="J563" t="s">
        <v>186</v>
      </c>
      <c r="K563" t="s">
        <v>210</v>
      </c>
      <c r="L563">
        <v>1</v>
      </c>
      <c r="M563">
        <v>0</v>
      </c>
      <c r="N563">
        <v>39.076923076923102</v>
      </c>
      <c r="O563">
        <v>-5.6923076923076898</v>
      </c>
      <c r="P563">
        <v>-7</v>
      </c>
      <c r="Q563">
        <v>42</v>
      </c>
      <c r="R563">
        <v>22.6</v>
      </c>
      <c r="S563">
        <v>24.2</v>
      </c>
      <c r="T563">
        <v>21.5</v>
      </c>
      <c r="U563">
        <v>24.9</v>
      </c>
      <c r="V563">
        <v>25.5</v>
      </c>
      <c r="W563">
        <v>0</v>
      </c>
      <c r="X563">
        <v>24</v>
      </c>
      <c r="Y563">
        <v>25.5</v>
      </c>
      <c r="Z563">
        <v>20.399999999999999</v>
      </c>
      <c r="AA563">
        <v>34.200000000000003</v>
      </c>
      <c r="AB563">
        <v>43</v>
      </c>
      <c r="AC563">
        <v>94</v>
      </c>
      <c r="AD563">
        <v>28.4</v>
      </c>
      <c r="AE563">
        <v>16.5</v>
      </c>
      <c r="AF563">
        <v>78.555999999999997</v>
      </c>
      <c r="AG563">
        <v>52.106000000000002</v>
      </c>
      <c r="AH563">
        <v>21.273</v>
      </c>
      <c r="AI563">
        <v>17.957000000000001</v>
      </c>
      <c r="AJ563">
        <v>82.908000000000001</v>
      </c>
      <c r="AK563">
        <v>66.994</v>
      </c>
      <c r="AL563">
        <v>10.968</v>
      </c>
      <c r="AM563">
        <v>21.273</v>
      </c>
      <c r="AN563">
        <v>52.106000000000002</v>
      </c>
      <c r="AO563">
        <v>78.555999999999997</v>
      </c>
      <c r="AP563">
        <v>-10.968</v>
      </c>
      <c r="AQ563">
        <v>17.091999999999999</v>
      </c>
      <c r="AR563">
        <v>82.043000000000006</v>
      </c>
      <c r="AS563">
        <v>33.006</v>
      </c>
    </row>
    <row r="564" spans="1:45" x14ac:dyDescent="0.25">
      <c r="A564">
        <v>54</v>
      </c>
      <c r="B564">
        <v>-8</v>
      </c>
      <c r="C564">
        <v>0</v>
      </c>
      <c r="D564">
        <v>2020</v>
      </c>
      <c r="E564">
        <v>4</v>
      </c>
      <c r="F564" t="str">
        <f>IFERROR(VLOOKUP(G564, Map!$A$1:$B$33, 2, FALSE),"WAS")</f>
        <v>MIA</v>
      </c>
      <c r="G564" t="s">
        <v>152</v>
      </c>
      <c r="H564" t="str">
        <f>IFERROR(VLOOKUP(I564, Map!$A$1:$B$33, 2, FALSE),"WAS")</f>
        <v>SEA</v>
      </c>
      <c r="I564" t="s">
        <v>144</v>
      </c>
      <c r="J564" t="s">
        <v>175</v>
      </c>
      <c r="K564" t="s">
        <v>182</v>
      </c>
      <c r="L564">
        <v>0</v>
      </c>
      <c r="M564">
        <v>0</v>
      </c>
      <c r="N564">
        <v>45.7916666666667</v>
      </c>
      <c r="O564">
        <v>3.9583333333333299</v>
      </c>
      <c r="P564">
        <v>4</v>
      </c>
      <c r="Q564">
        <v>0</v>
      </c>
      <c r="R564">
        <v>27.5</v>
      </c>
      <c r="S564">
        <v>30.3</v>
      </c>
      <c r="T564">
        <v>25.3</v>
      </c>
      <c r="U564">
        <v>32.1</v>
      </c>
      <c r="V564">
        <v>2.8</v>
      </c>
      <c r="W564">
        <v>0</v>
      </c>
      <c r="X564">
        <v>9</v>
      </c>
      <c r="Y564">
        <v>2.8</v>
      </c>
      <c r="Z564">
        <v>20.9</v>
      </c>
      <c r="AA564">
        <v>41.4</v>
      </c>
      <c r="AB564">
        <v>118</v>
      </c>
      <c r="AC564">
        <v>83</v>
      </c>
      <c r="AD564">
        <v>25.3</v>
      </c>
      <c r="AE564">
        <v>12.2</v>
      </c>
      <c r="AF564">
        <v>37.17</v>
      </c>
      <c r="AG564">
        <v>64.221000000000004</v>
      </c>
      <c r="AH564">
        <v>62.531999999999996</v>
      </c>
      <c r="AI564">
        <v>12.087</v>
      </c>
      <c r="AJ564">
        <v>49.851999999999997</v>
      </c>
      <c r="AK564">
        <v>25.940999999999999</v>
      </c>
      <c r="AL564">
        <v>-4.4669999999999996</v>
      </c>
      <c r="AM564">
        <v>62.531999999999996</v>
      </c>
      <c r="AN564">
        <v>64.221000000000004</v>
      </c>
      <c r="AO564">
        <v>37.17</v>
      </c>
      <c r="AP564">
        <v>4.4669999999999996</v>
      </c>
      <c r="AQ564">
        <v>50.148000000000003</v>
      </c>
      <c r="AR564">
        <v>87.912999999999997</v>
      </c>
      <c r="AS564">
        <v>74.058999999999997</v>
      </c>
    </row>
    <row r="565" spans="1:45" x14ac:dyDescent="0.25">
      <c r="A565">
        <v>48</v>
      </c>
      <c r="B565">
        <v>-14</v>
      </c>
      <c r="C565">
        <v>0</v>
      </c>
      <c r="D565">
        <v>2020</v>
      </c>
      <c r="E565">
        <v>4</v>
      </c>
      <c r="F565" t="str">
        <f>IFERROR(VLOOKUP(G565, Map!$A$1:$B$33, 2, FALSE),"WAS")</f>
        <v>WAS</v>
      </c>
      <c r="G565" t="s">
        <v>169</v>
      </c>
      <c r="H565" t="str">
        <f>IFERROR(VLOOKUP(I565, Map!$A$1:$B$33, 2, FALSE),"WAS")</f>
        <v>BAL</v>
      </c>
      <c r="I565" t="s">
        <v>146</v>
      </c>
      <c r="J565" t="s">
        <v>205</v>
      </c>
      <c r="K565" t="s">
        <v>181</v>
      </c>
      <c r="L565">
        <v>0</v>
      </c>
      <c r="M565">
        <v>0</v>
      </c>
      <c r="N565">
        <v>45.090909090909101</v>
      </c>
      <c r="O565">
        <v>12.636363636363599</v>
      </c>
      <c r="P565">
        <v>13.5</v>
      </c>
      <c r="Q565">
        <v>44.5</v>
      </c>
      <c r="R565">
        <v>13.1</v>
      </c>
      <c r="S565">
        <v>19.399999999999999</v>
      </c>
      <c r="T565">
        <v>6.6</v>
      </c>
      <c r="U565">
        <v>11.6</v>
      </c>
      <c r="V565">
        <v>0</v>
      </c>
      <c r="W565">
        <v>0</v>
      </c>
      <c r="X565">
        <v>0</v>
      </c>
      <c r="Y565">
        <v>0</v>
      </c>
      <c r="Z565">
        <v>9.4</v>
      </c>
      <c r="AA565">
        <v>22.7</v>
      </c>
      <c r="AB565">
        <v>27</v>
      </c>
      <c r="AC565">
        <v>69</v>
      </c>
      <c r="AD565">
        <v>12.1</v>
      </c>
      <c r="AE565">
        <v>5.8</v>
      </c>
      <c r="AF565">
        <v>19.329999999999998</v>
      </c>
      <c r="AG565">
        <v>67.206999999999994</v>
      </c>
      <c r="AH565">
        <v>80.515000000000001</v>
      </c>
      <c r="AI565">
        <v>14.323</v>
      </c>
      <c r="AJ565">
        <v>32.81</v>
      </c>
      <c r="AK565">
        <v>8.51</v>
      </c>
      <c r="AL565">
        <v>-11.92</v>
      </c>
      <c r="AM565">
        <v>80.515000000000001</v>
      </c>
      <c r="AN565">
        <v>67.206999999999994</v>
      </c>
      <c r="AO565">
        <v>19.329999999999998</v>
      </c>
      <c r="AP565">
        <v>11.92</v>
      </c>
      <c r="AQ565">
        <v>67.19</v>
      </c>
      <c r="AR565">
        <v>85.677000000000007</v>
      </c>
      <c r="AS565">
        <v>91.49</v>
      </c>
    </row>
    <row r="566" spans="1:45" x14ac:dyDescent="0.25">
      <c r="A566">
        <v>26</v>
      </c>
      <c r="B566">
        <v>8</v>
      </c>
      <c r="C566">
        <v>1</v>
      </c>
      <c r="D566">
        <v>2020</v>
      </c>
      <c r="E566">
        <v>4</v>
      </c>
      <c r="F566" t="str">
        <f>IFERROR(VLOOKUP(G566, Map!$A$1:$B$33, 2, FALSE),"WAS")</f>
        <v>LA</v>
      </c>
      <c r="G566" t="s">
        <v>155</v>
      </c>
      <c r="H566" t="str">
        <f>IFERROR(VLOOKUP(I566, Map!$A$1:$B$33, 2, FALSE),"WAS")</f>
        <v>NYG</v>
      </c>
      <c r="I566" t="s">
        <v>149</v>
      </c>
      <c r="J566" t="s">
        <v>178</v>
      </c>
      <c r="K566" t="s">
        <v>219</v>
      </c>
      <c r="L566">
        <v>1</v>
      </c>
      <c r="M566">
        <v>0</v>
      </c>
      <c r="N566">
        <v>40.8333333333333</v>
      </c>
      <c r="O566">
        <v>-11.25</v>
      </c>
      <c r="P566">
        <v>-13.5</v>
      </c>
      <c r="Q566">
        <v>0</v>
      </c>
      <c r="R566">
        <v>24.3</v>
      </c>
      <c r="S566">
        <v>34</v>
      </c>
      <c r="T566">
        <v>18</v>
      </c>
      <c r="U566">
        <v>24.6</v>
      </c>
      <c r="V566">
        <v>0</v>
      </c>
      <c r="W566">
        <v>0</v>
      </c>
      <c r="X566">
        <v>0</v>
      </c>
      <c r="Y566">
        <v>0</v>
      </c>
      <c r="Z566">
        <v>18.399999999999999</v>
      </c>
      <c r="AA566">
        <v>37.799999999999997</v>
      </c>
      <c r="AB566">
        <v>227</v>
      </c>
      <c r="AC566">
        <v>58</v>
      </c>
      <c r="AD566">
        <v>16.2</v>
      </c>
      <c r="AE566">
        <v>7.6</v>
      </c>
      <c r="AF566">
        <v>84.763000000000005</v>
      </c>
      <c r="AG566">
        <v>50.95</v>
      </c>
      <c r="AH566">
        <v>15.116</v>
      </c>
      <c r="AI566">
        <v>80.405000000000001</v>
      </c>
      <c r="AJ566">
        <v>47.917999999999999</v>
      </c>
      <c r="AK566">
        <v>71.510000000000005</v>
      </c>
      <c r="AL566">
        <v>14.212</v>
      </c>
      <c r="AM566">
        <v>15.116</v>
      </c>
      <c r="AN566">
        <v>50.95</v>
      </c>
      <c r="AO566">
        <v>84.763000000000005</v>
      </c>
      <c r="AP566">
        <v>-14.212</v>
      </c>
      <c r="AQ566">
        <v>52.082000000000001</v>
      </c>
      <c r="AR566">
        <v>19.594999999999999</v>
      </c>
      <c r="AS566">
        <v>28.49</v>
      </c>
    </row>
    <row r="567" spans="1:45" x14ac:dyDescent="0.25">
      <c r="A567">
        <v>36</v>
      </c>
      <c r="B567">
        <v>16</v>
      </c>
      <c r="C567">
        <v>1</v>
      </c>
      <c r="D567">
        <v>2020</v>
      </c>
      <c r="E567">
        <v>4</v>
      </c>
      <c r="F567" t="str">
        <f>IFERROR(VLOOKUP(G567, Map!$A$1:$B$33, 2, FALSE),"WAS")</f>
        <v>KC</v>
      </c>
      <c r="G567" t="s">
        <v>158</v>
      </c>
      <c r="H567" t="str">
        <f>IFERROR(VLOOKUP(I567, Map!$A$1:$B$33, 2, FALSE),"WAS")</f>
        <v>NE</v>
      </c>
      <c r="I567" t="s">
        <v>151</v>
      </c>
      <c r="J567" t="s">
        <v>202</v>
      </c>
      <c r="K567" t="s">
        <v>187</v>
      </c>
      <c r="L567">
        <v>1</v>
      </c>
      <c r="M567">
        <v>0</v>
      </c>
      <c r="N567">
        <v>44.272727272727302</v>
      </c>
      <c r="O567">
        <v>-9.1818181818181799</v>
      </c>
      <c r="P567">
        <v>-10</v>
      </c>
      <c r="Q567">
        <v>48.5</v>
      </c>
      <c r="R567">
        <v>13.3</v>
      </c>
      <c r="S567">
        <v>22.3</v>
      </c>
      <c r="T567">
        <v>8.1</v>
      </c>
      <c r="U567">
        <v>10</v>
      </c>
      <c r="V567">
        <v>0</v>
      </c>
      <c r="W567">
        <v>0</v>
      </c>
      <c r="X567">
        <v>0</v>
      </c>
      <c r="Y567">
        <v>0</v>
      </c>
      <c r="Z567">
        <v>22.8</v>
      </c>
      <c r="AA567">
        <v>43.6</v>
      </c>
      <c r="AB567">
        <v>169</v>
      </c>
      <c r="AC567">
        <v>61</v>
      </c>
      <c r="AD567">
        <v>28.6</v>
      </c>
      <c r="AE567">
        <v>15.3</v>
      </c>
      <c r="AF567">
        <v>79.78</v>
      </c>
      <c r="AG567">
        <v>52.104999999999997</v>
      </c>
      <c r="AH567">
        <v>20.058</v>
      </c>
      <c r="AI567">
        <v>84.712000000000003</v>
      </c>
      <c r="AJ567">
        <v>73.106999999999999</v>
      </c>
      <c r="AK567">
        <v>82.525999999999996</v>
      </c>
      <c r="AL567">
        <v>11.557</v>
      </c>
      <c r="AM567">
        <v>20.058</v>
      </c>
      <c r="AN567">
        <v>52.104999999999997</v>
      </c>
      <c r="AO567">
        <v>79.78</v>
      </c>
      <c r="AP567">
        <v>-11.557</v>
      </c>
      <c r="AQ567">
        <v>26.893000000000001</v>
      </c>
      <c r="AR567">
        <v>15.288</v>
      </c>
      <c r="AS567">
        <v>17.474</v>
      </c>
    </row>
    <row r="568" spans="1:45" x14ac:dyDescent="0.25">
      <c r="A568">
        <v>65</v>
      </c>
      <c r="B568">
        <v>-9</v>
      </c>
      <c r="C568">
        <v>0</v>
      </c>
      <c r="D568">
        <v>2020</v>
      </c>
      <c r="E568">
        <v>4</v>
      </c>
      <c r="F568" t="str">
        <f>IFERROR(VLOOKUP(G568, Map!$A$1:$B$33, 2, FALSE),"WAS")</f>
        <v>NYJ</v>
      </c>
      <c r="G568" t="s">
        <v>166</v>
      </c>
      <c r="H568" t="str">
        <f>IFERROR(VLOOKUP(I568, Map!$A$1:$B$33, 2, FALSE),"WAS")</f>
        <v>DEN</v>
      </c>
      <c r="I568" t="s">
        <v>159</v>
      </c>
      <c r="J568" t="s">
        <v>172</v>
      </c>
      <c r="K568" t="s">
        <v>183</v>
      </c>
      <c r="L568">
        <v>0</v>
      </c>
      <c r="M568">
        <v>0</v>
      </c>
      <c r="N568">
        <v>34.615384615384599</v>
      </c>
      <c r="O568">
        <v>-0.73076923076923095</v>
      </c>
      <c r="P568">
        <v>0</v>
      </c>
      <c r="Q568">
        <v>0</v>
      </c>
      <c r="R568">
        <v>15.5</v>
      </c>
      <c r="S568">
        <v>18.2</v>
      </c>
      <c r="T568">
        <v>13.5</v>
      </c>
      <c r="U568">
        <v>14.4</v>
      </c>
      <c r="V568">
        <v>4.5</v>
      </c>
      <c r="W568">
        <v>0</v>
      </c>
      <c r="X568">
        <v>11</v>
      </c>
      <c r="Y568">
        <v>4.5</v>
      </c>
      <c r="Z568">
        <v>16.2</v>
      </c>
      <c r="AA568">
        <v>33.799999999999997</v>
      </c>
      <c r="AB568">
        <v>270</v>
      </c>
      <c r="AC568">
        <v>75</v>
      </c>
      <c r="AD568">
        <v>19.399999999999999</v>
      </c>
      <c r="AE568">
        <v>9.1</v>
      </c>
      <c r="AF568">
        <v>49.545000000000002</v>
      </c>
      <c r="AG568">
        <v>7.2220000000000004</v>
      </c>
      <c r="AH568">
        <v>50.057000000000002</v>
      </c>
      <c r="AI568">
        <v>38.343000000000004</v>
      </c>
      <c r="AJ568">
        <v>32.152000000000001</v>
      </c>
      <c r="AK568">
        <v>29.951000000000001</v>
      </c>
      <c r="AL568">
        <v>-8.8999999999999996E-2</v>
      </c>
      <c r="AM568">
        <v>50.057000000000002</v>
      </c>
      <c r="AN568">
        <v>7.2220000000000004</v>
      </c>
      <c r="AO568">
        <v>49.545000000000002</v>
      </c>
      <c r="AP568">
        <v>8.8999999999999996E-2</v>
      </c>
      <c r="AQ568">
        <v>67.847999999999999</v>
      </c>
      <c r="AR568">
        <v>61.656999999999996</v>
      </c>
      <c r="AS568">
        <v>70.049000000000007</v>
      </c>
    </row>
    <row r="569" spans="1:45" x14ac:dyDescent="0.25">
      <c r="A569">
        <v>52</v>
      </c>
      <c r="B569">
        <v>10</v>
      </c>
      <c r="C569">
        <v>1</v>
      </c>
      <c r="D569">
        <v>2020</v>
      </c>
      <c r="E569">
        <v>4</v>
      </c>
      <c r="F569" t="str">
        <f>IFERROR(VLOOKUP(G569, Map!$A$1:$B$33, 2, FALSE),"WAS")</f>
        <v>CAR</v>
      </c>
      <c r="G569" t="s">
        <v>142</v>
      </c>
      <c r="H569" t="str">
        <f>IFERROR(VLOOKUP(I569, Map!$A$1:$B$33, 2, FALSE),"WAS")</f>
        <v>ARI</v>
      </c>
      <c r="I569" t="s">
        <v>156</v>
      </c>
      <c r="J569" t="s">
        <v>185</v>
      </c>
      <c r="K569" t="s">
        <v>190</v>
      </c>
      <c r="L569">
        <v>1</v>
      </c>
      <c r="M569">
        <v>0</v>
      </c>
      <c r="N569">
        <v>43.4166666666667</v>
      </c>
      <c r="O569">
        <v>2.7083333333333299</v>
      </c>
      <c r="P569">
        <v>3</v>
      </c>
      <c r="Q569">
        <v>0</v>
      </c>
      <c r="R569">
        <v>14.1</v>
      </c>
      <c r="S569">
        <v>20.8</v>
      </c>
      <c r="T569">
        <v>8.4</v>
      </c>
      <c r="U569">
        <v>12.8</v>
      </c>
      <c r="V569">
        <v>0</v>
      </c>
      <c r="W569">
        <v>0</v>
      </c>
      <c r="X569">
        <v>0</v>
      </c>
      <c r="Y569">
        <v>0</v>
      </c>
      <c r="Z569">
        <v>11.2</v>
      </c>
      <c r="AA569">
        <v>24.8</v>
      </c>
      <c r="AB569">
        <v>48</v>
      </c>
      <c r="AC569">
        <v>71</v>
      </c>
      <c r="AD569">
        <v>15.9</v>
      </c>
      <c r="AE569">
        <v>7.5</v>
      </c>
      <c r="AF569">
        <v>49.668999999999997</v>
      </c>
      <c r="AG569">
        <v>45.872999999999998</v>
      </c>
      <c r="AH569">
        <v>49.932000000000002</v>
      </c>
      <c r="AI569">
        <v>52.845999999999997</v>
      </c>
      <c r="AJ569">
        <v>92.268000000000001</v>
      </c>
      <c r="AK569">
        <v>88.341999999999999</v>
      </c>
      <c r="AL569">
        <v>-4.5999999999999999E-2</v>
      </c>
      <c r="AM569">
        <v>49.932000000000002</v>
      </c>
      <c r="AN569">
        <v>45.872999999999998</v>
      </c>
      <c r="AO569">
        <v>49.668999999999997</v>
      </c>
      <c r="AP569">
        <v>4.5999999999999999E-2</v>
      </c>
      <c r="AQ569">
        <v>7.7320000000000002</v>
      </c>
      <c r="AR569">
        <v>47.154000000000003</v>
      </c>
      <c r="AS569">
        <v>11.657999999999999</v>
      </c>
    </row>
    <row r="570" spans="1:45" x14ac:dyDescent="0.25">
      <c r="A570">
        <v>53</v>
      </c>
      <c r="B570">
        <v>-7</v>
      </c>
      <c r="C570">
        <v>0</v>
      </c>
      <c r="D570">
        <v>2020</v>
      </c>
      <c r="E570">
        <v>4</v>
      </c>
      <c r="F570" t="str">
        <f>IFERROR(VLOOKUP(G570, Map!$A$1:$B$33, 2, FALSE),"WAS")</f>
        <v>LV</v>
      </c>
      <c r="G570" t="s">
        <v>157</v>
      </c>
      <c r="H570" t="str">
        <f>IFERROR(VLOOKUP(I570, Map!$A$1:$B$33, 2, FALSE),"WAS")</f>
        <v>BUF</v>
      </c>
      <c r="I570" t="s">
        <v>165</v>
      </c>
      <c r="J570" t="s">
        <v>179</v>
      </c>
      <c r="K570" t="s">
        <v>180</v>
      </c>
      <c r="L570">
        <v>0</v>
      </c>
      <c r="M570">
        <v>0</v>
      </c>
      <c r="N570">
        <v>48.2083333333333</v>
      </c>
      <c r="O570">
        <v>2.875</v>
      </c>
      <c r="P570">
        <v>2.5</v>
      </c>
      <c r="Q570">
        <v>0</v>
      </c>
      <c r="R570">
        <v>28.5</v>
      </c>
      <c r="S570">
        <v>36.4</v>
      </c>
      <c r="T570">
        <v>21.6</v>
      </c>
      <c r="U570">
        <v>24.5</v>
      </c>
      <c r="V570">
        <v>0</v>
      </c>
      <c r="W570">
        <v>0</v>
      </c>
      <c r="X570">
        <v>0</v>
      </c>
      <c r="Y570">
        <v>0</v>
      </c>
      <c r="Z570">
        <v>13.6</v>
      </c>
      <c r="AA570">
        <v>20.9</v>
      </c>
      <c r="AB570">
        <v>272</v>
      </c>
      <c r="AC570">
        <v>9</v>
      </c>
      <c r="AD570">
        <v>13.7</v>
      </c>
      <c r="AE570">
        <v>7.3</v>
      </c>
      <c r="AF570">
        <v>49.383000000000003</v>
      </c>
      <c r="AG570">
        <v>67.227999999999994</v>
      </c>
      <c r="AH570">
        <v>50.22</v>
      </c>
      <c r="AI570">
        <v>5.9169999999999998</v>
      </c>
      <c r="AJ570">
        <v>51.378</v>
      </c>
      <c r="AK570">
        <v>22.989000000000001</v>
      </c>
      <c r="AL570">
        <v>-0.14499999999999999</v>
      </c>
      <c r="AM570">
        <v>50.22</v>
      </c>
      <c r="AN570">
        <v>67.227999999999994</v>
      </c>
      <c r="AO570">
        <v>49.383000000000003</v>
      </c>
      <c r="AP570">
        <v>0.14499999999999999</v>
      </c>
      <c r="AQ570">
        <v>48.622</v>
      </c>
      <c r="AR570">
        <v>94.082999999999998</v>
      </c>
      <c r="AS570">
        <v>77.010999999999996</v>
      </c>
    </row>
    <row r="571" spans="1:45" x14ac:dyDescent="0.25">
      <c r="A571">
        <v>64</v>
      </c>
      <c r="B571">
        <v>-6</v>
      </c>
      <c r="C571">
        <v>0</v>
      </c>
      <c r="D571">
        <v>2020</v>
      </c>
      <c r="E571">
        <v>4</v>
      </c>
      <c r="F571" t="str">
        <f>IFERROR(VLOOKUP(G571, Map!$A$1:$B$33, 2, FALSE),"WAS")</f>
        <v>DET</v>
      </c>
      <c r="G571" t="s">
        <v>164</v>
      </c>
      <c r="H571" t="str">
        <f>IFERROR(VLOOKUP(I571, Map!$A$1:$B$33, 2, FALSE),"WAS")</f>
        <v>NO</v>
      </c>
      <c r="I571" t="s">
        <v>168</v>
      </c>
      <c r="J571" t="s">
        <v>173</v>
      </c>
      <c r="K571" t="s">
        <v>192</v>
      </c>
      <c r="L571">
        <v>0</v>
      </c>
      <c r="M571">
        <v>0</v>
      </c>
      <c r="N571">
        <v>47.846153846153797</v>
      </c>
      <c r="O571">
        <v>2.3076923076923102</v>
      </c>
      <c r="P571">
        <v>3</v>
      </c>
      <c r="Q571">
        <v>51</v>
      </c>
      <c r="R571">
        <v>11</v>
      </c>
      <c r="S571">
        <v>12.8</v>
      </c>
      <c r="T571">
        <v>9.8000000000000007</v>
      </c>
      <c r="U571">
        <v>8.6</v>
      </c>
      <c r="V571">
        <v>4.3</v>
      </c>
      <c r="W571">
        <v>0</v>
      </c>
      <c r="X571">
        <v>13</v>
      </c>
      <c r="Y571">
        <v>4.3</v>
      </c>
      <c r="Z571">
        <v>15.1</v>
      </c>
      <c r="AA571">
        <v>27</v>
      </c>
      <c r="AB571">
        <v>229</v>
      </c>
      <c r="AC571">
        <v>75</v>
      </c>
      <c r="AD571">
        <v>19.5</v>
      </c>
      <c r="AE571">
        <v>10.9</v>
      </c>
      <c r="AF571">
        <v>33.726999999999997</v>
      </c>
      <c r="AG571">
        <v>53.524999999999999</v>
      </c>
      <c r="AH571">
        <v>66.001999999999995</v>
      </c>
      <c r="AI571">
        <v>3.2530000000000001</v>
      </c>
      <c r="AJ571">
        <v>71.013000000000005</v>
      </c>
      <c r="AK571">
        <v>15.305999999999999</v>
      </c>
      <c r="AL571">
        <v>-5.7489999999999997</v>
      </c>
      <c r="AM571">
        <v>66.001999999999995</v>
      </c>
      <c r="AN571">
        <v>53.524999999999999</v>
      </c>
      <c r="AO571">
        <v>33.726999999999997</v>
      </c>
      <c r="AP571">
        <v>5.7489999999999997</v>
      </c>
      <c r="AQ571">
        <v>28.986999999999998</v>
      </c>
      <c r="AR571">
        <v>96.747</v>
      </c>
      <c r="AS571">
        <v>84.694000000000003</v>
      </c>
    </row>
    <row r="572" spans="1:45" x14ac:dyDescent="0.25">
      <c r="A572">
        <v>58</v>
      </c>
      <c r="B572">
        <v>8</v>
      </c>
      <c r="C572">
        <v>1</v>
      </c>
      <c r="D572">
        <v>2020</v>
      </c>
      <c r="E572">
        <v>4</v>
      </c>
      <c r="F572" t="str">
        <f>IFERROR(VLOOKUP(G572, Map!$A$1:$B$33, 2, FALSE),"WAS")</f>
        <v>CIN</v>
      </c>
      <c r="G572" t="s">
        <v>161</v>
      </c>
      <c r="H572" t="str">
        <f>IFERROR(VLOOKUP(I572, Map!$A$1:$B$33, 2, FALSE),"WAS")</f>
        <v>JAX</v>
      </c>
      <c r="I572" t="s">
        <v>139</v>
      </c>
      <c r="J572" t="s">
        <v>176</v>
      </c>
      <c r="K572" t="s">
        <v>220</v>
      </c>
      <c r="L572">
        <v>1</v>
      </c>
      <c r="M572">
        <v>0</v>
      </c>
      <c r="N572">
        <v>41.692307692307701</v>
      </c>
      <c r="O572">
        <v>-1.07692307692308</v>
      </c>
      <c r="P572">
        <v>-1</v>
      </c>
      <c r="Q572">
        <v>0</v>
      </c>
      <c r="R572">
        <v>13.7</v>
      </c>
      <c r="S572">
        <v>18.5</v>
      </c>
      <c r="T572">
        <v>11.1</v>
      </c>
      <c r="U572">
        <v>11.9</v>
      </c>
      <c r="V572">
        <v>4.0999999999999996</v>
      </c>
      <c r="W572">
        <v>0</v>
      </c>
      <c r="X572">
        <v>5</v>
      </c>
      <c r="Y572">
        <v>4.0999999999999996</v>
      </c>
      <c r="Z572">
        <v>16.899999999999999</v>
      </c>
      <c r="AA572">
        <v>37.1</v>
      </c>
      <c r="AB572">
        <v>217</v>
      </c>
      <c r="AC572">
        <v>69</v>
      </c>
      <c r="AD572">
        <v>18.7</v>
      </c>
      <c r="AE572">
        <v>8.6</v>
      </c>
      <c r="AF572">
        <v>61.259</v>
      </c>
      <c r="AG572">
        <v>12.977</v>
      </c>
      <c r="AH572">
        <v>38.433</v>
      </c>
      <c r="AI572">
        <v>35.576000000000001</v>
      </c>
      <c r="AJ572">
        <v>89.534000000000006</v>
      </c>
      <c r="AK572">
        <v>77.358000000000004</v>
      </c>
      <c r="AL572">
        <v>4.0069999999999997</v>
      </c>
      <c r="AM572">
        <v>38.433</v>
      </c>
      <c r="AN572">
        <v>12.977</v>
      </c>
      <c r="AO572">
        <v>61.259</v>
      </c>
      <c r="AP572">
        <v>-4.0069999999999997</v>
      </c>
      <c r="AQ572">
        <v>10.465999999999999</v>
      </c>
      <c r="AR572">
        <v>64.424000000000007</v>
      </c>
      <c r="AS572">
        <v>22.641999999999999</v>
      </c>
    </row>
    <row r="573" spans="1:45" x14ac:dyDescent="0.25">
      <c r="A573">
        <v>54</v>
      </c>
      <c r="B573">
        <v>-8</v>
      </c>
      <c r="C573">
        <v>0</v>
      </c>
      <c r="D573">
        <v>2020</v>
      </c>
      <c r="E573">
        <v>4</v>
      </c>
      <c r="F573" t="str">
        <f>IFERROR(VLOOKUP(G573, Map!$A$1:$B$33, 2, FALSE),"WAS")</f>
        <v>HOU</v>
      </c>
      <c r="G573" t="s">
        <v>137</v>
      </c>
      <c r="H573" t="str">
        <f>IFERROR(VLOOKUP(I573, Map!$A$1:$B$33, 2, FALSE),"WAS")</f>
        <v>MIN</v>
      </c>
      <c r="I573" t="s">
        <v>153</v>
      </c>
      <c r="J573" t="s">
        <v>209</v>
      </c>
      <c r="K573" t="s">
        <v>214</v>
      </c>
      <c r="L573">
        <v>0</v>
      </c>
      <c r="M573">
        <v>0</v>
      </c>
      <c r="N573">
        <v>48.884615384615401</v>
      </c>
      <c r="O573">
        <v>-2.9230769230769198</v>
      </c>
      <c r="P573">
        <v>-3</v>
      </c>
      <c r="Q573">
        <v>52.5</v>
      </c>
      <c r="R573">
        <v>21.3</v>
      </c>
      <c r="S573">
        <v>28.4</v>
      </c>
      <c r="T573">
        <v>14.9</v>
      </c>
      <c r="U573">
        <v>22.5</v>
      </c>
      <c r="V573">
        <v>0</v>
      </c>
      <c r="W573">
        <v>0</v>
      </c>
      <c r="X573">
        <v>0</v>
      </c>
      <c r="Y573">
        <v>0</v>
      </c>
      <c r="Z573">
        <v>12</v>
      </c>
      <c r="AA573">
        <v>27.4</v>
      </c>
      <c r="AB573">
        <v>80</v>
      </c>
      <c r="AC573">
        <v>75</v>
      </c>
      <c r="AD573">
        <v>15.3</v>
      </c>
      <c r="AE573">
        <v>7.5</v>
      </c>
      <c r="AF573">
        <v>46.835999999999999</v>
      </c>
      <c r="AG573">
        <v>40.942999999999998</v>
      </c>
      <c r="AH573">
        <v>52.787999999999997</v>
      </c>
      <c r="AI573">
        <v>11.612</v>
      </c>
      <c r="AJ573">
        <v>47.206000000000003</v>
      </c>
      <c r="AK573">
        <v>21.568999999999999</v>
      </c>
      <c r="AL573">
        <v>-1.0309999999999999</v>
      </c>
      <c r="AM573">
        <v>52.787999999999997</v>
      </c>
      <c r="AN573">
        <v>40.942999999999998</v>
      </c>
      <c r="AO573">
        <v>46.835999999999999</v>
      </c>
      <c r="AP573">
        <v>1.0309999999999999</v>
      </c>
      <c r="AQ573">
        <v>52.793999999999997</v>
      </c>
      <c r="AR573">
        <v>88.388000000000005</v>
      </c>
      <c r="AS573">
        <v>78.430999999999997</v>
      </c>
    </row>
    <row r="574" spans="1:45" x14ac:dyDescent="0.25">
      <c r="A574">
        <v>87</v>
      </c>
      <c r="B574">
        <v>-11</v>
      </c>
      <c r="C574">
        <v>0</v>
      </c>
      <c r="D574">
        <v>2020</v>
      </c>
      <c r="E574">
        <v>4</v>
      </c>
      <c r="F574" t="str">
        <f>IFERROR(VLOOKUP(G574, Map!$A$1:$B$33, 2, FALSE),"WAS")</f>
        <v>DAL</v>
      </c>
      <c r="G574" t="s">
        <v>150</v>
      </c>
      <c r="H574" t="str">
        <f>IFERROR(VLOOKUP(I574, Map!$A$1:$B$33, 2, FALSE),"WAS")</f>
        <v>CLE</v>
      </c>
      <c r="I574" t="s">
        <v>162</v>
      </c>
      <c r="J574" t="s">
        <v>184</v>
      </c>
      <c r="K574" t="s">
        <v>171</v>
      </c>
      <c r="L574">
        <v>0</v>
      </c>
      <c r="M574">
        <v>0</v>
      </c>
      <c r="N574">
        <v>46.7916666666667</v>
      </c>
      <c r="O574">
        <v>-2.875</v>
      </c>
      <c r="P574">
        <v>-3</v>
      </c>
      <c r="Q574">
        <v>0</v>
      </c>
      <c r="R574">
        <v>21</v>
      </c>
      <c r="S574">
        <v>25.5</v>
      </c>
      <c r="T574">
        <v>16.600000000000001</v>
      </c>
      <c r="U574">
        <v>19.399999999999999</v>
      </c>
      <c r="V574">
        <v>0.4</v>
      </c>
      <c r="W574">
        <v>0</v>
      </c>
      <c r="X574">
        <v>2</v>
      </c>
      <c r="Y574">
        <v>0.4</v>
      </c>
      <c r="Z574">
        <v>19.600000000000001</v>
      </c>
      <c r="AA574">
        <v>38.200000000000003</v>
      </c>
      <c r="AB574">
        <v>49</v>
      </c>
      <c r="AC574">
        <v>54</v>
      </c>
      <c r="AD574">
        <v>26.4</v>
      </c>
      <c r="AE574">
        <v>14.1</v>
      </c>
      <c r="AF574">
        <v>66.864000000000004</v>
      </c>
      <c r="AG574">
        <v>45.029000000000003</v>
      </c>
      <c r="AH574">
        <v>32.871000000000002</v>
      </c>
      <c r="AI574">
        <v>1.3260000000000001</v>
      </c>
      <c r="AJ574">
        <v>75.245999999999995</v>
      </c>
      <c r="AK574">
        <v>11.808</v>
      </c>
      <c r="AL574">
        <v>6.0750000000000002</v>
      </c>
      <c r="AM574">
        <v>32.871000000000002</v>
      </c>
      <c r="AN574">
        <v>45.029000000000003</v>
      </c>
      <c r="AO574">
        <v>66.864000000000004</v>
      </c>
      <c r="AP574">
        <v>-6.0750000000000002</v>
      </c>
      <c r="AQ574">
        <v>24.754000000000001</v>
      </c>
      <c r="AR574">
        <v>98.674000000000007</v>
      </c>
      <c r="AS574">
        <v>88.191999999999993</v>
      </c>
    </row>
    <row r="575" spans="1:45" x14ac:dyDescent="0.25">
      <c r="A575">
        <v>46</v>
      </c>
      <c r="B575">
        <v>14</v>
      </c>
      <c r="C575">
        <v>1</v>
      </c>
      <c r="D575">
        <v>2020</v>
      </c>
      <c r="E575">
        <v>4</v>
      </c>
      <c r="F575" t="str">
        <f>IFERROR(VLOOKUP(G575, Map!$A$1:$B$33, 2, FALSE),"WAS")</f>
        <v>GB</v>
      </c>
      <c r="G575" t="s">
        <v>154</v>
      </c>
      <c r="H575" t="str">
        <f>IFERROR(VLOOKUP(I575, Map!$A$1:$B$33, 2, FALSE),"WAS")</f>
        <v>ATL</v>
      </c>
      <c r="I575" t="s">
        <v>167</v>
      </c>
      <c r="J575" t="s">
        <v>200</v>
      </c>
      <c r="K575" t="s">
        <v>188</v>
      </c>
      <c r="L575">
        <v>1</v>
      </c>
      <c r="M575">
        <v>0</v>
      </c>
      <c r="N575">
        <v>52.153846153846203</v>
      </c>
      <c r="O575">
        <v>-4.4230769230769198</v>
      </c>
      <c r="P575">
        <v>-5</v>
      </c>
      <c r="Q575">
        <v>56.5</v>
      </c>
      <c r="R575">
        <v>14.2</v>
      </c>
      <c r="S575">
        <v>20.8</v>
      </c>
      <c r="T575">
        <v>8.5</v>
      </c>
      <c r="U575">
        <v>10.7</v>
      </c>
      <c r="V575">
        <v>0.2</v>
      </c>
      <c r="W575">
        <v>0</v>
      </c>
      <c r="X575">
        <v>1</v>
      </c>
      <c r="Y575">
        <v>0.2</v>
      </c>
      <c r="Z575">
        <v>25.6</v>
      </c>
      <c r="AA575">
        <v>49</v>
      </c>
      <c r="AB575">
        <v>229</v>
      </c>
      <c r="AC575">
        <v>60</v>
      </c>
      <c r="AD575">
        <v>35.4</v>
      </c>
      <c r="AE575">
        <v>17.3</v>
      </c>
      <c r="AF575">
        <v>68.573999999999998</v>
      </c>
      <c r="AG575">
        <v>66.626000000000005</v>
      </c>
      <c r="AH575">
        <v>31.175000000000001</v>
      </c>
      <c r="AI575">
        <v>45.959000000000003</v>
      </c>
      <c r="AJ575">
        <v>96.393000000000001</v>
      </c>
      <c r="AK575">
        <v>89.135999999999996</v>
      </c>
      <c r="AL575">
        <v>6.7320000000000002</v>
      </c>
      <c r="AM575">
        <v>31.175000000000001</v>
      </c>
      <c r="AN575">
        <v>66.626000000000005</v>
      </c>
      <c r="AO575">
        <v>68.573999999999998</v>
      </c>
      <c r="AP575">
        <v>-6.7320000000000002</v>
      </c>
      <c r="AQ575">
        <v>3.6070000000000002</v>
      </c>
      <c r="AR575">
        <v>54.040999999999997</v>
      </c>
      <c r="AS575">
        <v>10.864000000000001</v>
      </c>
    </row>
    <row r="576" spans="1:45" x14ac:dyDescent="0.25">
      <c r="A576">
        <v>45</v>
      </c>
      <c r="B576">
        <v>-5</v>
      </c>
      <c r="C576">
        <v>0</v>
      </c>
      <c r="D576">
        <v>2020</v>
      </c>
      <c r="E576">
        <v>4</v>
      </c>
      <c r="F576" t="str">
        <f>IFERROR(VLOOKUP(G576, Map!$A$1:$B$33, 2, FALSE),"WAS")</f>
        <v>SF</v>
      </c>
      <c r="G576" t="s">
        <v>143</v>
      </c>
      <c r="H576" t="str">
        <f>IFERROR(VLOOKUP(I576, Map!$A$1:$B$33, 2, FALSE),"WAS")</f>
        <v>PHI</v>
      </c>
      <c r="I576" t="s">
        <v>147</v>
      </c>
      <c r="J576" t="s">
        <v>197</v>
      </c>
      <c r="K576" t="s">
        <v>206</v>
      </c>
      <c r="L576">
        <v>0</v>
      </c>
      <c r="M576">
        <v>0</v>
      </c>
      <c r="N576">
        <v>37.318181818181799</v>
      </c>
      <c r="O576">
        <v>-6.7272727272727302</v>
      </c>
      <c r="P576">
        <v>-7.5</v>
      </c>
      <c r="Q576">
        <v>0</v>
      </c>
      <c r="R576">
        <v>19.7</v>
      </c>
      <c r="S576">
        <v>31.6</v>
      </c>
      <c r="T576">
        <v>12.3</v>
      </c>
      <c r="U576">
        <v>19.399999999999999</v>
      </c>
      <c r="V576">
        <v>0</v>
      </c>
      <c r="W576">
        <v>0</v>
      </c>
      <c r="X576">
        <v>0</v>
      </c>
      <c r="Y576">
        <v>0</v>
      </c>
      <c r="Z576">
        <v>15.8</v>
      </c>
      <c r="AA576">
        <v>32.799999999999997</v>
      </c>
      <c r="AB576">
        <v>319</v>
      </c>
      <c r="AC576">
        <v>67</v>
      </c>
      <c r="AD576">
        <v>14.8</v>
      </c>
      <c r="AE576">
        <v>6.9</v>
      </c>
      <c r="AF576">
        <v>77.866</v>
      </c>
      <c r="AG576">
        <v>48.079000000000001</v>
      </c>
      <c r="AH576">
        <v>21.957999999999998</v>
      </c>
      <c r="AI576">
        <v>52.927999999999997</v>
      </c>
      <c r="AJ576">
        <v>26.024000000000001</v>
      </c>
      <c r="AK576">
        <v>31.283000000000001</v>
      </c>
      <c r="AL576">
        <v>10.645</v>
      </c>
      <c r="AM576">
        <v>21.957999999999998</v>
      </c>
      <c r="AN576">
        <v>48.079000000000001</v>
      </c>
      <c r="AO576">
        <v>77.866</v>
      </c>
      <c r="AP576">
        <v>-10.645</v>
      </c>
      <c r="AQ576">
        <v>73.975999999999999</v>
      </c>
      <c r="AR576">
        <v>47.072000000000003</v>
      </c>
      <c r="AS576">
        <v>68.716999999999999</v>
      </c>
    </row>
    <row r="577" spans="1:45" x14ac:dyDescent="0.25">
      <c r="A577">
        <v>67</v>
      </c>
      <c r="B577">
        <v>9</v>
      </c>
      <c r="C577">
        <v>1</v>
      </c>
      <c r="D577">
        <v>2020</v>
      </c>
      <c r="E577">
        <v>5</v>
      </c>
      <c r="F577" t="str">
        <f>IFERROR(VLOOKUP(G577, Map!$A$1:$B$33, 2, FALSE),"WAS")</f>
        <v>PIT</v>
      </c>
      <c r="G577" t="s">
        <v>145</v>
      </c>
      <c r="H577" t="str">
        <f>IFERROR(VLOOKUP(I577, Map!$A$1:$B$33, 2, FALSE),"WAS")</f>
        <v>PHI</v>
      </c>
      <c r="I577" t="s">
        <v>147</v>
      </c>
      <c r="J577" t="s">
        <v>170</v>
      </c>
      <c r="K577" t="s">
        <v>206</v>
      </c>
      <c r="L577">
        <v>1</v>
      </c>
      <c r="M577">
        <v>0</v>
      </c>
      <c r="N577">
        <v>40.4583333333333</v>
      </c>
      <c r="O577">
        <v>-6.25</v>
      </c>
      <c r="P577">
        <v>-7.5</v>
      </c>
      <c r="Q577">
        <v>43.5</v>
      </c>
      <c r="R577">
        <v>18.2</v>
      </c>
      <c r="S577">
        <v>22.1</v>
      </c>
      <c r="T577">
        <v>15.2</v>
      </c>
      <c r="U577">
        <v>19.2</v>
      </c>
      <c r="V577">
        <v>0.6</v>
      </c>
      <c r="W577">
        <v>0</v>
      </c>
      <c r="X577">
        <v>6</v>
      </c>
      <c r="Y577">
        <v>0.6</v>
      </c>
      <c r="Z577">
        <v>13.2</v>
      </c>
      <c r="AA577">
        <v>29.2</v>
      </c>
      <c r="AB577">
        <v>116</v>
      </c>
      <c r="AC577">
        <v>88</v>
      </c>
      <c r="AD577">
        <v>18.600000000000001</v>
      </c>
      <c r="AE577">
        <v>8.1</v>
      </c>
      <c r="AF577">
        <v>67.450999999999993</v>
      </c>
      <c r="AG577">
        <v>52.33</v>
      </c>
      <c r="AH577">
        <v>32.29</v>
      </c>
      <c r="AI577">
        <v>22.038</v>
      </c>
      <c r="AJ577">
        <v>87.67</v>
      </c>
      <c r="AK577">
        <v>74.831999999999994</v>
      </c>
      <c r="AL577">
        <v>6.2560000000000002</v>
      </c>
      <c r="AM577">
        <v>32.29</v>
      </c>
      <c r="AN577">
        <v>52.33</v>
      </c>
      <c r="AO577">
        <v>67.450999999999993</v>
      </c>
      <c r="AP577">
        <v>-6.2560000000000002</v>
      </c>
      <c r="AQ577">
        <v>12.33</v>
      </c>
      <c r="AR577">
        <v>77.962000000000003</v>
      </c>
      <c r="AS577">
        <v>25.167999999999999</v>
      </c>
    </row>
    <row r="578" spans="1:45" x14ac:dyDescent="0.25">
      <c r="A578">
        <v>55</v>
      </c>
      <c r="B578">
        <v>9</v>
      </c>
      <c r="C578">
        <v>1</v>
      </c>
      <c r="D578">
        <v>2020</v>
      </c>
      <c r="E578">
        <v>5</v>
      </c>
      <c r="F578" t="str">
        <f>IFERROR(VLOOKUP(G578, Map!$A$1:$B$33, 2, FALSE),"WAS")</f>
        <v>CLE</v>
      </c>
      <c r="G578" t="s">
        <v>162</v>
      </c>
      <c r="H578" t="str">
        <f>IFERROR(VLOOKUP(I578, Map!$A$1:$B$33, 2, FALSE),"WAS")</f>
        <v>IND</v>
      </c>
      <c r="I578" t="s">
        <v>138</v>
      </c>
      <c r="J578" t="s">
        <v>171</v>
      </c>
      <c r="K578" t="s">
        <v>177</v>
      </c>
      <c r="L578">
        <v>1</v>
      </c>
      <c r="M578">
        <v>0</v>
      </c>
      <c r="N578">
        <v>44.090909090909101</v>
      </c>
      <c r="O578">
        <v>-0.90909090909090895</v>
      </c>
      <c r="P578">
        <v>-1</v>
      </c>
      <c r="Q578">
        <v>47.5</v>
      </c>
      <c r="R578">
        <v>15.9</v>
      </c>
      <c r="S578">
        <v>19</v>
      </c>
      <c r="T578">
        <v>13.5</v>
      </c>
      <c r="U578">
        <v>13.9</v>
      </c>
      <c r="V578">
        <v>1.4</v>
      </c>
      <c r="W578">
        <v>0</v>
      </c>
      <c r="X578">
        <v>3</v>
      </c>
      <c r="Y578">
        <v>1.4</v>
      </c>
      <c r="Z578">
        <v>26.9</v>
      </c>
      <c r="AA578">
        <v>43.9</v>
      </c>
      <c r="AB578">
        <v>46</v>
      </c>
      <c r="AC578">
        <v>78</v>
      </c>
      <c r="AD578">
        <v>31.1</v>
      </c>
      <c r="AE578">
        <v>18.399999999999999</v>
      </c>
      <c r="AF578">
        <v>50.334000000000003</v>
      </c>
      <c r="AG578">
        <v>55.917999999999999</v>
      </c>
      <c r="AH578">
        <v>49.27</v>
      </c>
      <c r="AI578">
        <v>75.251999999999995</v>
      </c>
      <c r="AJ578">
        <v>75.747</v>
      </c>
      <c r="AK578">
        <v>80.706000000000003</v>
      </c>
      <c r="AL578">
        <v>0.183</v>
      </c>
      <c r="AM578">
        <v>49.27</v>
      </c>
      <c r="AN578">
        <v>55.917999999999999</v>
      </c>
      <c r="AO578">
        <v>50.334000000000003</v>
      </c>
      <c r="AP578">
        <v>-0.183</v>
      </c>
      <c r="AQ578">
        <v>24.253</v>
      </c>
      <c r="AR578">
        <v>24.748000000000001</v>
      </c>
      <c r="AS578">
        <v>19.294</v>
      </c>
    </row>
    <row r="579" spans="1:45" x14ac:dyDescent="0.25">
      <c r="A579">
        <v>30</v>
      </c>
      <c r="B579">
        <v>24</v>
      </c>
      <c r="C579">
        <v>1</v>
      </c>
      <c r="D579">
        <v>2020</v>
      </c>
      <c r="E579">
        <v>5</v>
      </c>
      <c r="F579" t="str">
        <f>IFERROR(VLOOKUP(G579, Map!$A$1:$B$33, 2, FALSE),"WAS")</f>
        <v>BAL</v>
      </c>
      <c r="G579" t="s">
        <v>146</v>
      </c>
      <c r="H579" t="str">
        <f>IFERROR(VLOOKUP(I579, Map!$A$1:$B$33, 2, FALSE),"WAS")</f>
        <v>CIN</v>
      </c>
      <c r="I579" t="s">
        <v>161</v>
      </c>
      <c r="J579" t="s">
        <v>181</v>
      </c>
      <c r="K579" t="s">
        <v>176</v>
      </c>
      <c r="L579">
        <v>1</v>
      </c>
      <c r="M579">
        <v>0</v>
      </c>
      <c r="N579">
        <v>45.1666666666667</v>
      </c>
      <c r="O579">
        <v>-10.0833333333333</v>
      </c>
      <c r="P579">
        <v>-11</v>
      </c>
      <c r="Q579">
        <v>48.5</v>
      </c>
      <c r="R579">
        <v>18.7</v>
      </c>
      <c r="S579">
        <v>20.6</v>
      </c>
      <c r="T579">
        <v>16.2</v>
      </c>
      <c r="U579">
        <v>19.899999999999999</v>
      </c>
      <c r="V579">
        <v>3.8</v>
      </c>
      <c r="W579">
        <v>0</v>
      </c>
      <c r="X579">
        <v>8</v>
      </c>
      <c r="Y579">
        <v>3.8</v>
      </c>
      <c r="Z579">
        <v>16.600000000000001</v>
      </c>
      <c r="AA579">
        <v>30.2</v>
      </c>
      <c r="AB579">
        <v>215</v>
      </c>
      <c r="AC579">
        <v>91</v>
      </c>
      <c r="AD579">
        <v>18.3</v>
      </c>
      <c r="AE579">
        <v>9.4</v>
      </c>
      <c r="AF579">
        <v>81.584999999999994</v>
      </c>
      <c r="AG579">
        <v>51.274999999999999</v>
      </c>
      <c r="AH579">
        <v>18.268000000000001</v>
      </c>
      <c r="AI579">
        <v>99.352000000000004</v>
      </c>
      <c r="AJ579">
        <v>63.537999999999997</v>
      </c>
      <c r="AK579">
        <v>95.944000000000003</v>
      </c>
      <c r="AL579">
        <v>12.38</v>
      </c>
      <c r="AM579">
        <v>18.268000000000001</v>
      </c>
      <c r="AN579">
        <v>51.274999999999999</v>
      </c>
      <c r="AO579">
        <v>81.584999999999994</v>
      </c>
      <c r="AP579">
        <v>-12.38</v>
      </c>
      <c r="AQ579">
        <v>36.462000000000003</v>
      </c>
      <c r="AR579">
        <v>0.64800000000000002</v>
      </c>
      <c r="AS579">
        <v>4.056</v>
      </c>
    </row>
    <row r="580" spans="1:45" x14ac:dyDescent="0.25">
      <c r="A580">
        <v>40</v>
      </c>
      <c r="B580">
        <v>-20</v>
      </c>
      <c r="C580">
        <v>0</v>
      </c>
      <c r="D580">
        <v>2020</v>
      </c>
      <c r="E580">
        <v>5</v>
      </c>
      <c r="F580" t="str">
        <f>IFERROR(VLOOKUP(G580, Map!$A$1:$B$33, 2, FALSE),"WAS")</f>
        <v>NYJ</v>
      </c>
      <c r="G580" t="s">
        <v>166</v>
      </c>
      <c r="H580" t="str">
        <f>IFERROR(VLOOKUP(I580, Map!$A$1:$B$33, 2, FALSE),"WAS")</f>
        <v>ARI</v>
      </c>
      <c r="I580" t="s">
        <v>156</v>
      </c>
      <c r="J580" t="s">
        <v>172</v>
      </c>
      <c r="K580" t="s">
        <v>190</v>
      </c>
      <c r="L580">
        <v>0</v>
      </c>
      <c r="M580">
        <v>0</v>
      </c>
      <c r="N580">
        <v>44.125</v>
      </c>
      <c r="O580">
        <v>5.7916666666666696</v>
      </c>
      <c r="P580">
        <v>6.5</v>
      </c>
      <c r="Q580">
        <v>47</v>
      </c>
      <c r="R580">
        <v>17.7</v>
      </c>
      <c r="S580">
        <v>19.8</v>
      </c>
      <c r="T580">
        <v>16.3</v>
      </c>
      <c r="U580">
        <v>16.899999999999999</v>
      </c>
      <c r="V580">
        <v>0</v>
      </c>
      <c r="W580">
        <v>0</v>
      </c>
      <c r="X580">
        <v>0</v>
      </c>
      <c r="Y580">
        <v>0</v>
      </c>
      <c r="Z580">
        <v>19.2</v>
      </c>
      <c r="AA580">
        <v>36</v>
      </c>
      <c r="AB580">
        <v>327</v>
      </c>
      <c r="AC580">
        <v>75</v>
      </c>
      <c r="AD580">
        <v>27.4</v>
      </c>
      <c r="AE580">
        <v>13.3</v>
      </c>
      <c r="AF580">
        <v>42.944000000000003</v>
      </c>
      <c r="AG580">
        <v>23.79</v>
      </c>
      <c r="AH580">
        <v>56.710999999999999</v>
      </c>
      <c r="AI580">
        <v>19.718</v>
      </c>
      <c r="AJ580">
        <v>22.408000000000001</v>
      </c>
      <c r="AK580">
        <v>11.475</v>
      </c>
      <c r="AL580">
        <v>-2.379</v>
      </c>
      <c r="AM580">
        <v>56.710999999999999</v>
      </c>
      <c r="AN580">
        <v>23.79</v>
      </c>
      <c r="AO580">
        <v>42.944000000000003</v>
      </c>
      <c r="AP580">
        <v>2.379</v>
      </c>
      <c r="AQ580">
        <v>77.591999999999999</v>
      </c>
      <c r="AR580">
        <v>80.281999999999996</v>
      </c>
      <c r="AS580">
        <v>88.525000000000006</v>
      </c>
    </row>
    <row r="581" spans="1:45" x14ac:dyDescent="0.25">
      <c r="A581">
        <v>58</v>
      </c>
      <c r="B581">
        <v>26</v>
      </c>
      <c r="C581">
        <v>1</v>
      </c>
      <c r="D581">
        <v>2020</v>
      </c>
      <c r="E581">
        <v>5</v>
      </c>
      <c r="F581" t="str">
        <f>IFERROR(VLOOKUP(G581, Map!$A$1:$B$33, 2, FALSE),"WAS")</f>
        <v>TEN</v>
      </c>
      <c r="G581" t="s">
        <v>140</v>
      </c>
      <c r="H581" t="str">
        <f>IFERROR(VLOOKUP(I581, Map!$A$1:$B$33, 2, FALSE),"WAS")</f>
        <v>BUF</v>
      </c>
      <c r="I581" t="s">
        <v>165</v>
      </c>
      <c r="J581" t="s">
        <v>174</v>
      </c>
      <c r="K581" t="s">
        <v>180</v>
      </c>
      <c r="L581">
        <v>1</v>
      </c>
      <c r="M581">
        <v>0</v>
      </c>
      <c r="N581">
        <v>47.7083333333333</v>
      </c>
      <c r="O581">
        <v>2.5416666666666701</v>
      </c>
      <c r="P581">
        <v>3</v>
      </c>
      <c r="Q581">
        <v>51.5</v>
      </c>
      <c r="R581">
        <v>16.100000000000001</v>
      </c>
      <c r="S581">
        <v>21.6</v>
      </c>
      <c r="T581">
        <v>10.1</v>
      </c>
      <c r="U581">
        <v>15.6</v>
      </c>
      <c r="V581">
        <v>3.7</v>
      </c>
      <c r="W581">
        <v>0</v>
      </c>
      <c r="X581">
        <v>3</v>
      </c>
      <c r="Y581">
        <v>3.7</v>
      </c>
      <c r="Z581">
        <v>17.7</v>
      </c>
      <c r="AA581">
        <v>42.8</v>
      </c>
      <c r="AB581">
        <v>357</v>
      </c>
      <c r="AC581">
        <v>75</v>
      </c>
      <c r="AD581">
        <v>19.5</v>
      </c>
      <c r="AE581">
        <v>8.6</v>
      </c>
      <c r="AF581">
        <v>45.561</v>
      </c>
      <c r="AG581">
        <v>75.963999999999999</v>
      </c>
      <c r="AH581">
        <v>54.073</v>
      </c>
      <c r="AI581">
        <v>80.025999999999996</v>
      </c>
      <c r="AJ581">
        <v>88.682000000000002</v>
      </c>
      <c r="AK581">
        <v>91.370999999999995</v>
      </c>
      <c r="AL581">
        <v>-1.466</v>
      </c>
      <c r="AM581">
        <v>54.073</v>
      </c>
      <c r="AN581">
        <v>75.963999999999999</v>
      </c>
      <c r="AO581">
        <v>45.561</v>
      </c>
      <c r="AP581">
        <v>1.466</v>
      </c>
      <c r="AQ581">
        <v>11.318</v>
      </c>
      <c r="AR581">
        <v>19.974</v>
      </c>
      <c r="AS581">
        <v>8.6289999999999996</v>
      </c>
    </row>
    <row r="582" spans="1:45" x14ac:dyDescent="0.25">
      <c r="A582">
        <v>60</v>
      </c>
      <c r="B582">
        <v>-26</v>
      </c>
      <c r="C582">
        <v>0</v>
      </c>
      <c r="D582">
        <v>2020</v>
      </c>
      <c r="E582">
        <v>5</v>
      </c>
      <c r="F582" t="str">
        <f>IFERROR(VLOOKUP(G582, Map!$A$1:$B$33, 2, FALSE),"WAS")</f>
        <v>SF</v>
      </c>
      <c r="G582" t="s">
        <v>143</v>
      </c>
      <c r="H582" t="str">
        <f>IFERROR(VLOOKUP(I582, Map!$A$1:$B$33, 2, FALSE),"WAS")</f>
        <v>MIA</v>
      </c>
      <c r="I582" t="s">
        <v>152</v>
      </c>
      <c r="J582" t="s">
        <v>197</v>
      </c>
      <c r="K582" t="s">
        <v>175</v>
      </c>
      <c r="L582">
        <v>0</v>
      </c>
      <c r="M582">
        <v>0</v>
      </c>
      <c r="N582">
        <v>46.3333333333333</v>
      </c>
      <c r="O582">
        <v>-6.75</v>
      </c>
      <c r="P582">
        <v>-7.5</v>
      </c>
      <c r="Q582">
        <v>50.5</v>
      </c>
      <c r="R582">
        <v>19.100000000000001</v>
      </c>
      <c r="S582">
        <v>26.5</v>
      </c>
      <c r="T582">
        <v>13.5</v>
      </c>
      <c r="U582">
        <v>18.5</v>
      </c>
      <c r="V582">
        <v>0</v>
      </c>
      <c r="W582">
        <v>0</v>
      </c>
      <c r="X582">
        <v>0</v>
      </c>
      <c r="Y582">
        <v>0</v>
      </c>
      <c r="Z582">
        <v>22.5</v>
      </c>
      <c r="AA582">
        <v>40.299999999999997</v>
      </c>
      <c r="AB582">
        <v>309</v>
      </c>
      <c r="AC582">
        <v>72</v>
      </c>
      <c r="AD582">
        <v>21.1</v>
      </c>
      <c r="AE582">
        <v>11.3</v>
      </c>
      <c r="AF582">
        <v>79.935000000000002</v>
      </c>
      <c r="AG582">
        <v>56.082000000000001</v>
      </c>
      <c r="AH582">
        <v>19.905000000000001</v>
      </c>
      <c r="AI582">
        <v>2.8</v>
      </c>
      <c r="AJ582">
        <v>17.925999999999998</v>
      </c>
      <c r="AK582">
        <v>3.008</v>
      </c>
      <c r="AL582">
        <v>11.553000000000001</v>
      </c>
      <c r="AM582">
        <v>19.905000000000001</v>
      </c>
      <c r="AN582">
        <v>56.082000000000001</v>
      </c>
      <c r="AO582">
        <v>79.935000000000002</v>
      </c>
      <c r="AP582">
        <v>-11.553000000000001</v>
      </c>
      <c r="AQ582">
        <v>82.073999999999998</v>
      </c>
      <c r="AR582">
        <v>97.2</v>
      </c>
      <c r="AS582">
        <v>96.992000000000004</v>
      </c>
    </row>
    <row r="583" spans="1:45" x14ac:dyDescent="0.25">
      <c r="A583">
        <v>57</v>
      </c>
      <c r="B583">
        <v>3</v>
      </c>
      <c r="C583">
        <v>1</v>
      </c>
      <c r="D583">
        <v>2020</v>
      </c>
      <c r="E583">
        <v>5</v>
      </c>
      <c r="F583" t="str">
        <f>IFERROR(VLOOKUP(G583, Map!$A$1:$B$33, 2, FALSE),"WAS")</f>
        <v>NO</v>
      </c>
      <c r="G583" t="s">
        <v>168</v>
      </c>
      <c r="H583" t="str">
        <f>IFERROR(VLOOKUP(I583, Map!$A$1:$B$33, 2, FALSE),"WAS")</f>
        <v>LAC</v>
      </c>
      <c r="I583" t="s">
        <v>160</v>
      </c>
      <c r="J583" t="s">
        <v>192</v>
      </c>
      <c r="K583" t="s">
        <v>210</v>
      </c>
      <c r="L583">
        <v>1</v>
      </c>
      <c r="M583">
        <v>0</v>
      </c>
      <c r="N583">
        <v>41.692307692307701</v>
      </c>
      <c r="O583">
        <v>-6</v>
      </c>
      <c r="P583">
        <v>-7</v>
      </c>
      <c r="Q583">
        <v>0</v>
      </c>
      <c r="R583">
        <v>24.6</v>
      </c>
      <c r="S583">
        <v>27.5</v>
      </c>
      <c r="T583">
        <v>22.6</v>
      </c>
      <c r="U583">
        <v>28.2</v>
      </c>
      <c r="V583">
        <v>0</v>
      </c>
      <c r="W583">
        <v>0</v>
      </c>
      <c r="X583">
        <v>0</v>
      </c>
      <c r="Y583">
        <v>0</v>
      </c>
      <c r="Z583">
        <v>12.7</v>
      </c>
      <c r="AA583">
        <v>25.6</v>
      </c>
      <c r="AB583">
        <v>299</v>
      </c>
      <c r="AC583">
        <v>85</v>
      </c>
      <c r="AD583">
        <v>19.7</v>
      </c>
      <c r="AE583">
        <v>9.4</v>
      </c>
      <c r="AF583">
        <v>77.677999999999997</v>
      </c>
      <c r="AG583">
        <v>52.466999999999999</v>
      </c>
      <c r="AH583">
        <v>22.143999999999998</v>
      </c>
      <c r="AI583">
        <v>33.57</v>
      </c>
      <c r="AJ583">
        <v>51.259</v>
      </c>
      <c r="AK583">
        <v>48.122999999999998</v>
      </c>
      <c r="AL583">
        <v>10.486000000000001</v>
      </c>
      <c r="AM583">
        <v>22.143999999999998</v>
      </c>
      <c r="AN583">
        <v>52.466999999999999</v>
      </c>
      <c r="AO583">
        <v>77.677999999999997</v>
      </c>
      <c r="AP583">
        <v>-10.486000000000001</v>
      </c>
      <c r="AQ583">
        <v>48.741</v>
      </c>
      <c r="AR583">
        <v>66.430000000000007</v>
      </c>
      <c r="AS583">
        <v>51.877000000000002</v>
      </c>
    </row>
    <row r="584" spans="1:45" x14ac:dyDescent="0.25">
      <c r="A584">
        <v>44</v>
      </c>
      <c r="B584">
        <v>16</v>
      </c>
      <c r="C584">
        <v>1</v>
      </c>
      <c r="D584">
        <v>2020</v>
      </c>
      <c r="E584">
        <v>5</v>
      </c>
      <c r="F584" t="str">
        <f>IFERROR(VLOOKUP(G584, Map!$A$1:$B$33, 2, FALSE),"WAS")</f>
        <v>HOU</v>
      </c>
      <c r="G584" t="s">
        <v>137</v>
      </c>
      <c r="H584" t="str">
        <f>IFERROR(VLOOKUP(I584, Map!$A$1:$B$33, 2, FALSE),"WAS")</f>
        <v>JAX</v>
      </c>
      <c r="I584" t="s">
        <v>139</v>
      </c>
      <c r="J584" t="s">
        <v>209</v>
      </c>
      <c r="K584" t="s">
        <v>220</v>
      </c>
      <c r="L584">
        <v>1</v>
      </c>
      <c r="M584">
        <v>0</v>
      </c>
      <c r="N584">
        <v>45.4166666666667</v>
      </c>
      <c r="O584">
        <v>-5.125</v>
      </c>
      <c r="P584">
        <v>-5.5</v>
      </c>
      <c r="Q584">
        <v>0</v>
      </c>
      <c r="R584">
        <v>26.1</v>
      </c>
      <c r="S584">
        <v>32</v>
      </c>
      <c r="T584">
        <v>21.2</v>
      </c>
      <c r="U584">
        <v>30.1</v>
      </c>
      <c r="V584">
        <v>0</v>
      </c>
      <c r="W584">
        <v>0</v>
      </c>
      <c r="X584">
        <v>0</v>
      </c>
      <c r="Y584">
        <v>0</v>
      </c>
      <c r="Z584">
        <v>15.5</v>
      </c>
      <c r="AA584">
        <v>29.9</v>
      </c>
      <c r="AB584">
        <v>196</v>
      </c>
      <c r="AC584">
        <v>83</v>
      </c>
      <c r="AD584">
        <v>17.5</v>
      </c>
      <c r="AE584">
        <v>9.9</v>
      </c>
      <c r="AF584">
        <v>66.043999999999997</v>
      </c>
      <c r="AG584">
        <v>26.161000000000001</v>
      </c>
      <c r="AH584">
        <v>33.685000000000002</v>
      </c>
      <c r="AI584">
        <v>57.933</v>
      </c>
      <c r="AJ584">
        <v>83.245999999999995</v>
      </c>
      <c r="AK584">
        <v>82.066999999999993</v>
      </c>
      <c r="AL584">
        <v>5.726</v>
      </c>
      <c r="AM584">
        <v>33.685000000000002</v>
      </c>
      <c r="AN584">
        <v>26.161000000000001</v>
      </c>
      <c r="AO584">
        <v>66.043999999999997</v>
      </c>
      <c r="AP584">
        <v>-5.726</v>
      </c>
      <c r="AQ584">
        <v>16.754000000000001</v>
      </c>
      <c r="AR584">
        <v>42.067</v>
      </c>
      <c r="AS584">
        <v>17.933</v>
      </c>
    </row>
    <row r="585" spans="1:45" x14ac:dyDescent="0.25">
      <c r="A585">
        <v>72</v>
      </c>
      <c r="B585">
        <v>-8</v>
      </c>
      <c r="C585">
        <v>0</v>
      </c>
      <c r="D585">
        <v>2020</v>
      </c>
      <c r="E585">
        <v>5</v>
      </c>
      <c r="F585" t="str">
        <f>IFERROR(VLOOKUP(G585, Map!$A$1:$B$33, 2, FALSE),"WAS")</f>
        <v>KC</v>
      </c>
      <c r="G585" t="s">
        <v>158</v>
      </c>
      <c r="H585" t="str">
        <f>IFERROR(VLOOKUP(I585, Map!$A$1:$B$33, 2, FALSE),"WAS")</f>
        <v>LV</v>
      </c>
      <c r="I585" t="s">
        <v>157</v>
      </c>
      <c r="J585" t="s">
        <v>202</v>
      </c>
      <c r="K585" t="s">
        <v>179</v>
      </c>
      <c r="L585">
        <v>0</v>
      </c>
      <c r="M585">
        <v>0</v>
      </c>
      <c r="N585">
        <v>54.681818181818201</v>
      </c>
      <c r="O585">
        <v>-9.5454545454545396</v>
      </c>
      <c r="P585">
        <v>-10</v>
      </c>
      <c r="Q585">
        <v>54</v>
      </c>
      <c r="R585">
        <v>21.9</v>
      </c>
      <c r="S585">
        <v>28.9</v>
      </c>
      <c r="T585">
        <v>17.399999999999999</v>
      </c>
      <c r="U585">
        <v>22.4</v>
      </c>
      <c r="V585">
        <v>0</v>
      </c>
      <c r="W585">
        <v>0</v>
      </c>
      <c r="X585">
        <v>0</v>
      </c>
      <c r="Y585">
        <v>0</v>
      </c>
      <c r="Z585">
        <v>24.7</v>
      </c>
      <c r="AA585">
        <v>46.8</v>
      </c>
      <c r="AB585">
        <v>153</v>
      </c>
      <c r="AC585">
        <v>75</v>
      </c>
      <c r="AD585">
        <v>24.5</v>
      </c>
      <c r="AE585">
        <v>13.3</v>
      </c>
      <c r="AF585">
        <v>82.099000000000004</v>
      </c>
      <c r="AG585">
        <v>59.191000000000003</v>
      </c>
      <c r="AH585">
        <v>17.757999999999999</v>
      </c>
      <c r="AI585">
        <v>11.063000000000001</v>
      </c>
      <c r="AJ585">
        <v>71.938999999999993</v>
      </c>
      <c r="AK585">
        <v>34.432000000000002</v>
      </c>
      <c r="AL585">
        <v>12.647</v>
      </c>
      <c r="AM585">
        <v>17.757999999999999</v>
      </c>
      <c r="AN585">
        <v>59.191000000000003</v>
      </c>
      <c r="AO585">
        <v>82.099000000000004</v>
      </c>
      <c r="AP585">
        <v>-12.647</v>
      </c>
      <c r="AQ585">
        <v>28.061</v>
      </c>
      <c r="AR585">
        <v>88.936999999999998</v>
      </c>
      <c r="AS585">
        <v>65.567999999999998</v>
      </c>
    </row>
    <row r="586" spans="1:45" x14ac:dyDescent="0.25">
      <c r="A586">
        <v>53</v>
      </c>
      <c r="B586">
        <v>1</v>
      </c>
      <c r="C586">
        <v>1</v>
      </c>
      <c r="D586">
        <v>2020</v>
      </c>
      <c r="E586">
        <v>5</v>
      </c>
      <c r="F586" t="str">
        <f>IFERROR(VLOOKUP(G586, Map!$A$1:$B$33, 2, FALSE),"WAS")</f>
        <v>SEA</v>
      </c>
      <c r="G586" t="s">
        <v>144</v>
      </c>
      <c r="H586" t="str">
        <f>IFERROR(VLOOKUP(I586, Map!$A$1:$B$33, 2, FALSE),"WAS")</f>
        <v>MIN</v>
      </c>
      <c r="I586" t="s">
        <v>153</v>
      </c>
      <c r="J586" t="s">
        <v>182</v>
      </c>
      <c r="K586" t="s">
        <v>214</v>
      </c>
      <c r="L586">
        <v>1</v>
      </c>
      <c r="M586">
        <v>0</v>
      </c>
      <c r="N586">
        <v>45.125</v>
      </c>
      <c r="O586">
        <v>-5.375</v>
      </c>
      <c r="P586">
        <v>-6</v>
      </c>
      <c r="Q586">
        <v>0</v>
      </c>
      <c r="R586">
        <v>13</v>
      </c>
      <c r="S586">
        <v>15.4</v>
      </c>
      <c r="T586">
        <v>11.3</v>
      </c>
      <c r="U586">
        <v>10.199999999999999</v>
      </c>
      <c r="V586">
        <v>7.8</v>
      </c>
      <c r="W586">
        <v>0</v>
      </c>
      <c r="X586">
        <v>9</v>
      </c>
      <c r="Y586">
        <v>7.8</v>
      </c>
      <c r="Z586">
        <v>38.299999999999997</v>
      </c>
      <c r="AA586">
        <v>74.900000000000006</v>
      </c>
      <c r="AB586">
        <v>192</v>
      </c>
      <c r="AC586">
        <v>83</v>
      </c>
      <c r="AD586">
        <v>41.4</v>
      </c>
      <c r="AE586">
        <v>19.899999999999999</v>
      </c>
      <c r="AF586">
        <v>65.731999999999999</v>
      </c>
      <c r="AG586">
        <v>61.814</v>
      </c>
      <c r="AH586">
        <v>33.994999999999997</v>
      </c>
      <c r="AI586">
        <v>37.901000000000003</v>
      </c>
      <c r="AJ586">
        <v>69.069000000000003</v>
      </c>
      <c r="AK586">
        <v>45.826999999999998</v>
      </c>
      <c r="AL586">
        <v>5.609</v>
      </c>
      <c r="AM586">
        <v>33.994999999999997</v>
      </c>
      <c r="AN586">
        <v>61.814</v>
      </c>
      <c r="AO586">
        <v>65.731999999999999</v>
      </c>
      <c r="AP586">
        <v>-5.609</v>
      </c>
      <c r="AQ586">
        <v>30.931000000000001</v>
      </c>
      <c r="AR586">
        <v>62.098999999999997</v>
      </c>
      <c r="AS586">
        <v>54.173000000000002</v>
      </c>
    </row>
    <row r="587" spans="1:45" x14ac:dyDescent="0.25">
      <c r="A587">
        <v>39</v>
      </c>
      <c r="B587">
        <v>1</v>
      </c>
      <c r="C587">
        <v>1</v>
      </c>
      <c r="D587">
        <v>2020</v>
      </c>
      <c r="E587">
        <v>5</v>
      </c>
      <c r="F587" t="str">
        <f>IFERROR(VLOOKUP(G587, Map!$A$1:$B$33, 2, FALSE),"WAS")</f>
        <v>CHI</v>
      </c>
      <c r="G587" t="s">
        <v>163</v>
      </c>
      <c r="H587" t="str">
        <f>IFERROR(VLOOKUP(I587, Map!$A$1:$B$33, 2, FALSE),"WAS")</f>
        <v>TB</v>
      </c>
      <c r="I587" t="s">
        <v>141</v>
      </c>
      <c r="J587" t="s">
        <v>216</v>
      </c>
      <c r="K587" t="s">
        <v>186</v>
      </c>
      <c r="L587">
        <v>1</v>
      </c>
      <c r="M587">
        <v>0</v>
      </c>
      <c r="N587">
        <v>40.5416666666667</v>
      </c>
      <c r="O587">
        <v>2.875</v>
      </c>
      <c r="P587">
        <v>3</v>
      </c>
      <c r="Q587">
        <v>44</v>
      </c>
      <c r="R587">
        <v>16.7</v>
      </c>
      <c r="S587">
        <v>25.9</v>
      </c>
      <c r="T587">
        <v>10.7</v>
      </c>
      <c r="U587">
        <v>13.9</v>
      </c>
      <c r="V587">
        <v>0</v>
      </c>
      <c r="W587">
        <v>0</v>
      </c>
      <c r="X587">
        <v>0</v>
      </c>
      <c r="Y587">
        <v>0</v>
      </c>
      <c r="Z587">
        <v>34.200000000000003</v>
      </c>
      <c r="AA587">
        <v>52.6</v>
      </c>
      <c r="AB587">
        <v>181</v>
      </c>
      <c r="AC587">
        <v>67</v>
      </c>
      <c r="AD587">
        <v>30.6</v>
      </c>
      <c r="AE587">
        <v>20.6</v>
      </c>
      <c r="AF587">
        <v>34.165999999999997</v>
      </c>
      <c r="AG587">
        <v>77.022999999999996</v>
      </c>
      <c r="AH587">
        <v>65.558999999999997</v>
      </c>
      <c r="AI587">
        <v>61.468000000000004</v>
      </c>
      <c r="AJ587">
        <v>39.933</v>
      </c>
      <c r="AK587">
        <v>52.786999999999999</v>
      </c>
      <c r="AL587">
        <v>-5.5449999999999999</v>
      </c>
      <c r="AM587">
        <v>65.558999999999997</v>
      </c>
      <c r="AN587">
        <v>77.022999999999996</v>
      </c>
      <c r="AO587">
        <v>34.165999999999997</v>
      </c>
      <c r="AP587">
        <v>5.5449999999999999</v>
      </c>
      <c r="AQ587">
        <v>60.067</v>
      </c>
      <c r="AR587">
        <v>38.531999999999996</v>
      </c>
      <c r="AS587">
        <v>47.213000000000001</v>
      </c>
    </row>
    <row r="588" spans="1:45" x14ac:dyDescent="0.25">
      <c r="A588">
        <v>71</v>
      </c>
      <c r="B588">
        <v>3</v>
      </c>
      <c r="C588">
        <v>1</v>
      </c>
      <c r="D588">
        <v>2020</v>
      </c>
      <c r="E588">
        <v>5</v>
      </c>
      <c r="F588" t="str">
        <f>IFERROR(VLOOKUP(G588, Map!$A$1:$B$33, 2, FALSE),"WAS")</f>
        <v>DAL</v>
      </c>
      <c r="G588" t="s">
        <v>150</v>
      </c>
      <c r="H588" t="str">
        <f>IFERROR(VLOOKUP(I588, Map!$A$1:$B$33, 2, FALSE),"WAS")</f>
        <v>NYG</v>
      </c>
      <c r="I588" t="s">
        <v>149</v>
      </c>
      <c r="J588" t="s">
        <v>184</v>
      </c>
      <c r="K588" t="s">
        <v>219</v>
      </c>
      <c r="L588">
        <v>1</v>
      </c>
      <c r="M588">
        <v>0</v>
      </c>
      <c r="N588">
        <v>43.5416666666667</v>
      </c>
      <c r="O588">
        <v>-6.25</v>
      </c>
      <c r="P588">
        <v>-7.5</v>
      </c>
      <c r="Q588">
        <v>0</v>
      </c>
      <c r="R588">
        <v>26.6</v>
      </c>
      <c r="S588">
        <v>35.1</v>
      </c>
      <c r="T588">
        <v>21.3</v>
      </c>
      <c r="U588">
        <v>27.4</v>
      </c>
      <c r="V588">
        <v>0</v>
      </c>
      <c r="W588">
        <v>0</v>
      </c>
      <c r="X588">
        <v>0</v>
      </c>
      <c r="Y588">
        <v>0</v>
      </c>
      <c r="Z588">
        <v>22.3</v>
      </c>
      <c r="AA588">
        <v>38.5</v>
      </c>
      <c r="AB588">
        <v>158</v>
      </c>
      <c r="AC588">
        <v>61</v>
      </c>
      <c r="AD588">
        <v>24.7</v>
      </c>
      <c r="AE588">
        <v>14.2</v>
      </c>
      <c r="AF588">
        <v>79.522000000000006</v>
      </c>
      <c r="AG588">
        <v>35.908000000000001</v>
      </c>
      <c r="AH588">
        <v>20.315000000000001</v>
      </c>
      <c r="AI588">
        <v>53.128</v>
      </c>
      <c r="AJ588">
        <v>68.186000000000007</v>
      </c>
      <c r="AK588">
        <v>54.191000000000003</v>
      </c>
      <c r="AL588">
        <v>11.352</v>
      </c>
      <c r="AM588">
        <v>20.315000000000001</v>
      </c>
      <c r="AN588">
        <v>35.908000000000001</v>
      </c>
      <c r="AO588">
        <v>79.522000000000006</v>
      </c>
      <c r="AP588">
        <v>-11.352</v>
      </c>
      <c r="AQ588">
        <v>31.814</v>
      </c>
      <c r="AR588">
        <v>46.872</v>
      </c>
      <c r="AS588">
        <v>45.808999999999997</v>
      </c>
    </row>
    <row r="589" spans="1:45" x14ac:dyDescent="0.25">
      <c r="A589">
        <v>39</v>
      </c>
      <c r="B589">
        <v>-7</v>
      </c>
      <c r="C589">
        <v>0</v>
      </c>
      <c r="D589">
        <v>2020</v>
      </c>
      <c r="E589">
        <v>5</v>
      </c>
      <c r="F589" t="str">
        <f>IFERROR(VLOOKUP(G589, Map!$A$1:$B$33, 2, FALSE),"WAS")</f>
        <v>ATL</v>
      </c>
      <c r="G589" t="s">
        <v>167</v>
      </c>
      <c r="H589" t="str">
        <f>IFERROR(VLOOKUP(I589, Map!$A$1:$B$33, 2, FALSE),"WAS")</f>
        <v>CAR</v>
      </c>
      <c r="I589" t="s">
        <v>142</v>
      </c>
      <c r="J589" t="s">
        <v>188</v>
      </c>
      <c r="K589" t="s">
        <v>185</v>
      </c>
      <c r="L589">
        <v>0</v>
      </c>
      <c r="M589">
        <v>0</v>
      </c>
      <c r="N589">
        <v>49.0833333333333</v>
      </c>
      <c r="O589">
        <v>-2.0833333333333299</v>
      </c>
      <c r="P589">
        <v>-2</v>
      </c>
      <c r="Q589">
        <v>53</v>
      </c>
      <c r="R589">
        <v>21.9</v>
      </c>
      <c r="S589">
        <v>24.1</v>
      </c>
      <c r="T589">
        <v>20.5</v>
      </c>
      <c r="U589">
        <v>23.4</v>
      </c>
      <c r="V589">
        <v>11.7</v>
      </c>
      <c r="W589">
        <v>0</v>
      </c>
      <c r="X589">
        <v>18</v>
      </c>
      <c r="Y589">
        <v>11.7</v>
      </c>
      <c r="Z589">
        <v>24</v>
      </c>
      <c r="AA589">
        <v>46.4</v>
      </c>
      <c r="AB589">
        <v>191</v>
      </c>
      <c r="AC589">
        <v>90</v>
      </c>
      <c r="AD589">
        <v>33.1</v>
      </c>
      <c r="AE589">
        <v>16.2</v>
      </c>
      <c r="AF589">
        <v>55.295999999999999</v>
      </c>
      <c r="AG589">
        <v>45.417999999999999</v>
      </c>
      <c r="AH589">
        <v>44.347999999999999</v>
      </c>
      <c r="AI589">
        <v>9.9380000000000006</v>
      </c>
      <c r="AJ589">
        <v>48.018000000000001</v>
      </c>
      <c r="AK589">
        <v>23.645</v>
      </c>
      <c r="AL589">
        <v>1.8879999999999999</v>
      </c>
      <c r="AM589">
        <v>44.347999999999999</v>
      </c>
      <c r="AN589">
        <v>45.417999999999999</v>
      </c>
      <c r="AO589">
        <v>55.295999999999999</v>
      </c>
      <c r="AP589">
        <v>-1.8879999999999999</v>
      </c>
      <c r="AQ589">
        <v>51.981999999999999</v>
      </c>
      <c r="AR589">
        <v>90.061999999999998</v>
      </c>
      <c r="AS589">
        <v>76.355000000000004</v>
      </c>
    </row>
    <row r="590" spans="1:45" x14ac:dyDescent="0.25">
      <c r="A590">
        <v>40</v>
      </c>
      <c r="B590">
        <v>-20</v>
      </c>
      <c r="C590">
        <v>0</v>
      </c>
      <c r="D590">
        <v>2020</v>
      </c>
      <c r="E590">
        <v>5</v>
      </c>
      <c r="F590" t="str">
        <f>IFERROR(VLOOKUP(G590, Map!$A$1:$B$33, 2, FALSE),"WAS")</f>
        <v>WAS</v>
      </c>
      <c r="G590" t="s">
        <v>169</v>
      </c>
      <c r="H590" t="str">
        <f>IFERROR(VLOOKUP(I590, Map!$A$1:$B$33, 2, FALSE),"WAS")</f>
        <v>LA</v>
      </c>
      <c r="I590" t="s">
        <v>155</v>
      </c>
      <c r="J590" t="s">
        <v>205</v>
      </c>
      <c r="K590" t="s">
        <v>178</v>
      </c>
      <c r="L590">
        <v>0</v>
      </c>
      <c r="M590">
        <v>0</v>
      </c>
      <c r="N590">
        <v>40.681818181818201</v>
      </c>
      <c r="O590">
        <v>6.6363636363636402</v>
      </c>
      <c r="P590">
        <v>7</v>
      </c>
      <c r="Q590">
        <v>0</v>
      </c>
      <c r="R590">
        <v>18.8</v>
      </c>
      <c r="S590">
        <v>20.7</v>
      </c>
      <c r="T590">
        <v>16.600000000000001</v>
      </c>
      <c r="U590">
        <v>20.100000000000001</v>
      </c>
      <c r="V590">
        <v>4</v>
      </c>
      <c r="W590">
        <v>0</v>
      </c>
      <c r="X590">
        <v>9</v>
      </c>
      <c r="Y590">
        <v>4</v>
      </c>
      <c r="Z590">
        <v>15.6</v>
      </c>
      <c r="AA590">
        <v>31.7</v>
      </c>
      <c r="AB590">
        <v>198</v>
      </c>
      <c r="AC590">
        <v>90</v>
      </c>
      <c r="AD590">
        <v>18</v>
      </c>
      <c r="AE590">
        <v>8.8000000000000007</v>
      </c>
      <c r="AF590">
        <v>32.970999999999997</v>
      </c>
      <c r="AG590">
        <v>63.192</v>
      </c>
      <c r="AH590">
        <v>66.763999999999996</v>
      </c>
      <c r="AI590">
        <v>8.8879999999999999</v>
      </c>
      <c r="AJ590">
        <v>17.989000000000001</v>
      </c>
      <c r="AK590">
        <v>10.037000000000001</v>
      </c>
      <c r="AL590">
        <v>-5.9960000000000004</v>
      </c>
      <c r="AM590">
        <v>66.763999999999996</v>
      </c>
      <c r="AN590">
        <v>63.192</v>
      </c>
      <c r="AO590">
        <v>32.970999999999997</v>
      </c>
      <c r="AP590">
        <v>5.9960000000000004</v>
      </c>
      <c r="AQ590">
        <v>82.010999999999996</v>
      </c>
      <c r="AR590">
        <v>91.111999999999995</v>
      </c>
      <c r="AS590">
        <v>89.962999999999994</v>
      </c>
    </row>
    <row r="591" spans="1:45" x14ac:dyDescent="0.25">
      <c r="A591">
        <v>24</v>
      </c>
      <c r="B591">
        <v>24</v>
      </c>
      <c r="C591">
        <v>1</v>
      </c>
      <c r="D591">
        <v>2020</v>
      </c>
      <c r="E591">
        <v>6</v>
      </c>
      <c r="F591" t="str">
        <f>IFERROR(VLOOKUP(G591, Map!$A$1:$B$33, 2, FALSE),"WAS")</f>
        <v>MIA</v>
      </c>
      <c r="G591" t="s">
        <v>152</v>
      </c>
      <c r="H591" t="str">
        <f>IFERROR(VLOOKUP(I591, Map!$A$1:$B$33, 2, FALSE),"WAS")</f>
        <v>NYJ</v>
      </c>
      <c r="I591" t="s">
        <v>166</v>
      </c>
      <c r="J591" t="s">
        <v>175</v>
      </c>
      <c r="K591" t="s">
        <v>172</v>
      </c>
      <c r="L591">
        <v>1</v>
      </c>
      <c r="M591">
        <v>0</v>
      </c>
      <c r="N591">
        <v>42.5</v>
      </c>
      <c r="O591">
        <v>-7.125</v>
      </c>
      <c r="P591">
        <v>-8.5</v>
      </c>
      <c r="Q591">
        <v>46</v>
      </c>
      <c r="R591">
        <v>26.1</v>
      </c>
      <c r="S591">
        <v>29.1</v>
      </c>
      <c r="T591">
        <v>24.2</v>
      </c>
      <c r="U591">
        <v>29.2</v>
      </c>
      <c r="V591">
        <v>6.1</v>
      </c>
      <c r="W591">
        <v>0</v>
      </c>
      <c r="X591">
        <v>12</v>
      </c>
      <c r="Y591">
        <v>6.1</v>
      </c>
      <c r="Z591">
        <v>21.4</v>
      </c>
      <c r="AA591">
        <v>43.2</v>
      </c>
      <c r="AB591">
        <v>54</v>
      </c>
      <c r="AC591">
        <v>80</v>
      </c>
      <c r="AD591">
        <v>30.3</v>
      </c>
      <c r="AE591">
        <v>14.6</v>
      </c>
      <c r="AF591">
        <v>73.16</v>
      </c>
      <c r="AG591">
        <v>33.567</v>
      </c>
      <c r="AH591">
        <v>26.626999999999999</v>
      </c>
      <c r="AI591">
        <v>96.215999999999994</v>
      </c>
      <c r="AJ591">
        <v>69.376999999999995</v>
      </c>
      <c r="AK591">
        <v>96.37</v>
      </c>
      <c r="AL591">
        <v>8.4740000000000002</v>
      </c>
      <c r="AM591">
        <v>26.626999999999999</v>
      </c>
      <c r="AN591">
        <v>33.567</v>
      </c>
      <c r="AO591">
        <v>73.16</v>
      </c>
      <c r="AP591">
        <v>-8.4740000000000002</v>
      </c>
      <c r="AQ591">
        <v>30.623000000000001</v>
      </c>
      <c r="AR591">
        <v>3.7839999999999998</v>
      </c>
      <c r="AS591">
        <v>3.63</v>
      </c>
    </row>
    <row r="592" spans="1:45" x14ac:dyDescent="0.25">
      <c r="A592">
        <v>39</v>
      </c>
      <c r="B592">
        <v>-7</v>
      </c>
      <c r="C592">
        <v>0</v>
      </c>
      <c r="D592">
        <v>2020</v>
      </c>
      <c r="E592">
        <v>6</v>
      </c>
      <c r="F592" t="str">
        <f>IFERROR(VLOOKUP(G592, Map!$A$1:$B$33, 2, FALSE),"WAS")</f>
        <v>CAR</v>
      </c>
      <c r="G592" t="s">
        <v>142</v>
      </c>
      <c r="H592" t="str">
        <f>IFERROR(VLOOKUP(I592, Map!$A$1:$B$33, 2, FALSE),"WAS")</f>
        <v>CHI</v>
      </c>
      <c r="I592" t="s">
        <v>163</v>
      </c>
      <c r="J592" t="s">
        <v>185</v>
      </c>
      <c r="K592" t="s">
        <v>216</v>
      </c>
      <c r="L592">
        <v>0</v>
      </c>
      <c r="M592">
        <v>0</v>
      </c>
      <c r="N592">
        <v>37.5</v>
      </c>
      <c r="O592">
        <v>-1.2916666666666701</v>
      </c>
      <c r="P592">
        <v>-1.5</v>
      </c>
      <c r="Q592">
        <v>0</v>
      </c>
      <c r="R592">
        <v>11.4</v>
      </c>
      <c r="S592">
        <v>18.100000000000001</v>
      </c>
      <c r="T592">
        <v>6.1</v>
      </c>
      <c r="U592">
        <v>9.5</v>
      </c>
      <c r="V592">
        <v>0</v>
      </c>
      <c r="W592">
        <v>0</v>
      </c>
      <c r="X592">
        <v>0</v>
      </c>
      <c r="Y592">
        <v>0</v>
      </c>
      <c r="Z592">
        <v>10</v>
      </c>
      <c r="AA592">
        <v>20.9</v>
      </c>
      <c r="AB592">
        <v>79</v>
      </c>
      <c r="AC592">
        <v>71</v>
      </c>
      <c r="AD592">
        <v>15.3</v>
      </c>
      <c r="AE592">
        <v>7.2</v>
      </c>
      <c r="AF592">
        <v>54.265999999999998</v>
      </c>
      <c r="AG592">
        <v>35.552</v>
      </c>
      <c r="AH592">
        <v>45.37</v>
      </c>
      <c r="AI592">
        <v>47.292000000000002</v>
      </c>
      <c r="AJ592">
        <v>20.948</v>
      </c>
      <c r="AK592">
        <v>20.809000000000001</v>
      </c>
      <c r="AL592">
        <v>1.5249999999999999</v>
      </c>
      <c r="AM592">
        <v>45.37</v>
      </c>
      <c r="AN592">
        <v>35.552</v>
      </c>
      <c r="AO592">
        <v>54.265999999999998</v>
      </c>
      <c r="AP592">
        <v>-1.5249999999999999</v>
      </c>
      <c r="AQ592">
        <v>79.052000000000007</v>
      </c>
      <c r="AR592">
        <v>52.707999999999998</v>
      </c>
      <c r="AS592">
        <v>79.191000000000003</v>
      </c>
    </row>
    <row r="593" spans="1:45" x14ac:dyDescent="0.25">
      <c r="A593">
        <v>30</v>
      </c>
      <c r="B593">
        <v>-6</v>
      </c>
      <c r="C593">
        <v>0</v>
      </c>
      <c r="D593">
        <v>2020</v>
      </c>
      <c r="E593">
        <v>6</v>
      </c>
      <c r="F593" t="str">
        <f>IFERROR(VLOOKUP(G593, Map!$A$1:$B$33, 2, FALSE),"WAS")</f>
        <v>NE</v>
      </c>
      <c r="G593" t="s">
        <v>151</v>
      </c>
      <c r="H593" t="str">
        <f>IFERROR(VLOOKUP(I593, Map!$A$1:$B$33, 2, FALSE),"WAS")</f>
        <v>DEN</v>
      </c>
      <c r="I593" t="s">
        <v>159</v>
      </c>
      <c r="J593" t="s">
        <v>187</v>
      </c>
      <c r="K593" t="s">
        <v>183</v>
      </c>
      <c r="L593">
        <v>0</v>
      </c>
      <c r="M593">
        <v>0</v>
      </c>
      <c r="N593">
        <v>40.136363636363598</v>
      </c>
      <c r="O593">
        <v>-5.8181818181818201</v>
      </c>
      <c r="P593">
        <v>-7</v>
      </c>
      <c r="Q593">
        <v>44</v>
      </c>
      <c r="R593">
        <v>9.1999999999999993</v>
      </c>
      <c r="S593">
        <v>15.3</v>
      </c>
      <c r="T593">
        <v>4.5999999999999996</v>
      </c>
      <c r="U593">
        <v>6.5</v>
      </c>
      <c r="V593">
        <v>0</v>
      </c>
      <c r="W593">
        <v>0</v>
      </c>
      <c r="X593">
        <v>0</v>
      </c>
      <c r="Y593">
        <v>0</v>
      </c>
      <c r="Z593">
        <v>12.2</v>
      </c>
      <c r="AA593">
        <v>28.1</v>
      </c>
      <c r="AB593">
        <v>128</v>
      </c>
      <c r="AC593">
        <v>68</v>
      </c>
      <c r="AD593">
        <v>16.2</v>
      </c>
      <c r="AE593">
        <v>7.6</v>
      </c>
      <c r="AF593">
        <v>67.216999999999999</v>
      </c>
      <c r="AG593">
        <v>37.637999999999998</v>
      </c>
      <c r="AH593">
        <v>32.521000000000001</v>
      </c>
      <c r="AI593">
        <v>55.235999999999997</v>
      </c>
      <c r="AJ593">
        <v>8.4879999999999995</v>
      </c>
      <c r="AK593">
        <v>18.18</v>
      </c>
      <c r="AL593">
        <v>6.1349999999999998</v>
      </c>
      <c r="AM593">
        <v>32.521000000000001</v>
      </c>
      <c r="AN593">
        <v>37.637999999999998</v>
      </c>
      <c r="AO593">
        <v>67.216999999999999</v>
      </c>
      <c r="AP593">
        <v>-6.1349999999999998</v>
      </c>
      <c r="AQ593">
        <v>91.512</v>
      </c>
      <c r="AR593">
        <v>44.764000000000003</v>
      </c>
      <c r="AS593">
        <v>81.819999999999993</v>
      </c>
    </row>
    <row r="594" spans="1:45" x14ac:dyDescent="0.25">
      <c r="A594">
        <v>43</v>
      </c>
      <c r="B594">
        <v>-9</v>
      </c>
      <c r="C594">
        <v>0</v>
      </c>
      <c r="D594">
        <v>2020</v>
      </c>
      <c r="E594">
        <v>6</v>
      </c>
      <c r="F594" t="str">
        <f>IFERROR(VLOOKUP(G594, Map!$A$1:$B$33, 2, FALSE),"WAS")</f>
        <v>BUF</v>
      </c>
      <c r="G594" t="s">
        <v>165</v>
      </c>
      <c r="H594" t="str">
        <f>IFERROR(VLOOKUP(I594, Map!$A$1:$B$33, 2, FALSE),"WAS")</f>
        <v>KC</v>
      </c>
      <c r="I594" t="s">
        <v>158</v>
      </c>
      <c r="J594" t="s">
        <v>180</v>
      </c>
      <c r="K594" t="s">
        <v>202</v>
      </c>
      <c r="L594">
        <v>0</v>
      </c>
      <c r="M594">
        <v>0</v>
      </c>
      <c r="N594">
        <v>50.4583333333333</v>
      </c>
      <c r="O594">
        <v>4.4166666666666696</v>
      </c>
      <c r="P594">
        <v>3.5</v>
      </c>
      <c r="Q594">
        <v>54.5</v>
      </c>
      <c r="R594">
        <v>13.6</v>
      </c>
      <c r="S594">
        <v>21.6</v>
      </c>
      <c r="T594">
        <v>7.9</v>
      </c>
      <c r="U594">
        <v>12.9</v>
      </c>
      <c r="V594">
        <v>0</v>
      </c>
      <c r="W594">
        <v>0</v>
      </c>
      <c r="X594">
        <v>0</v>
      </c>
      <c r="Y594">
        <v>0</v>
      </c>
      <c r="Z594">
        <v>9.8000000000000007</v>
      </c>
      <c r="AA594">
        <v>16.899999999999999</v>
      </c>
      <c r="AB594">
        <v>30</v>
      </c>
      <c r="AC594">
        <v>78</v>
      </c>
      <c r="AD594">
        <v>11.8</v>
      </c>
      <c r="AE594">
        <v>5.7</v>
      </c>
      <c r="AF594">
        <v>32.664000000000001</v>
      </c>
      <c r="AG594">
        <v>94.55</v>
      </c>
      <c r="AH594">
        <v>67.073999999999998</v>
      </c>
      <c r="AI594">
        <v>6.3529999999999998</v>
      </c>
      <c r="AJ594">
        <v>63.002000000000002</v>
      </c>
      <c r="AK594">
        <v>23.742000000000001</v>
      </c>
      <c r="AL594">
        <v>-6.0810000000000004</v>
      </c>
      <c r="AM594">
        <v>67.073999999999998</v>
      </c>
      <c r="AN594">
        <v>94.55</v>
      </c>
      <c r="AO594">
        <v>32.664000000000001</v>
      </c>
      <c r="AP594">
        <v>6.0810000000000004</v>
      </c>
      <c r="AQ594">
        <v>36.997999999999998</v>
      </c>
      <c r="AR594">
        <v>93.647000000000006</v>
      </c>
      <c r="AS594">
        <v>76.257999999999996</v>
      </c>
    </row>
    <row r="595" spans="1:45" x14ac:dyDescent="0.25">
      <c r="A595">
        <v>48</v>
      </c>
      <c r="B595">
        <v>28</v>
      </c>
      <c r="C595">
        <v>1</v>
      </c>
      <c r="D595">
        <v>2020</v>
      </c>
      <c r="E595">
        <v>6</v>
      </c>
      <c r="F595" t="str">
        <f>IFERROR(VLOOKUP(G595, Map!$A$1:$B$33, 2, FALSE),"WAS")</f>
        <v>TB</v>
      </c>
      <c r="G595" t="s">
        <v>141</v>
      </c>
      <c r="H595" t="str">
        <f>IFERROR(VLOOKUP(I595, Map!$A$1:$B$33, 2, FALSE),"WAS")</f>
        <v>GB</v>
      </c>
      <c r="I595" t="s">
        <v>154</v>
      </c>
      <c r="J595" t="s">
        <v>186</v>
      </c>
      <c r="K595" t="s">
        <v>200</v>
      </c>
      <c r="L595">
        <v>1</v>
      </c>
      <c r="M595">
        <v>0</v>
      </c>
      <c r="N595">
        <v>46.384615384615401</v>
      </c>
      <c r="O595">
        <v>2.0769230769230802</v>
      </c>
      <c r="P595">
        <v>1</v>
      </c>
      <c r="Q595">
        <v>0</v>
      </c>
      <c r="R595">
        <v>25</v>
      </c>
      <c r="S595">
        <v>29.9</v>
      </c>
      <c r="T595">
        <v>22.1</v>
      </c>
      <c r="U595">
        <v>26.6</v>
      </c>
      <c r="V595">
        <v>0.6</v>
      </c>
      <c r="W595">
        <v>0</v>
      </c>
      <c r="X595">
        <v>3</v>
      </c>
      <c r="Y595">
        <v>0.6</v>
      </c>
      <c r="Z595">
        <v>28.2</v>
      </c>
      <c r="AA595">
        <v>50</v>
      </c>
      <c r="AB595">
        <v>49</v>
      </c>
      <c r="AC595">
        <v>79</v>
      </c>
      <c r="AD595">
        <v>32.799999999999997</v>
      </c>
      <c r="AE595">
        <v>18.899999999999999</v>
      </c>
      <c r="AF595">
        <v>53.048000000000002</v>
      </c>
      <c r="AG595">
        <v>93.388000000000005</v>
      </c>
      <c r="AH595">
        <v>46.578000000000003</v>
      </c>
      <c r="AI595">
        <v>95.822000000000003</v>
      </c>
      <c r="AJ595">
        <v>82.45</v>
      </c>
      <c r="AK595">
        <v>94.072000000000003</v>
      </c>
      <c r="AL595">
        <v>1.1080000000000001</v>
      </c>
      <c r="AM595">
        <v>46.578000000000003</v>
      </c>
      <c r="AN595">
        <v>93.388000000000005</v>
      </c>
      <c r="AO595">
        <v>53.048000000000002</v>
      </c>
      <c r="AP595">
        <v>-1.1080000000000001</v>
      </c>
      <c r="AQ595">
        <v>17.55</v>
      </c>
      <c r="AR595">
        <v>4.1779999999999999</v>
      </c>
      <c r="AS595">
        <v>5.9279999999999999</v>
      </c>
    </row>
    <row r="596" spans="1:45" x14ac:dyDescent="0.25">
      <c r="A596">
        <v>50</v>
      </c>
      <c r="B596">
        <v>-18</v>
      </c>
      <c r="C596">
        <v>0</v>
      </c>
      <c r="D596">
        <v>2020</v>
      </c>
      <c r="E596">
        <v>6</v>
      </c>
      <c r="F596" t="str">
        <f>IFERROR(VLOOKUP(G596, Map!$A$1:$B$33, 2, FALSE),"WAS")</f>
        <v>JAX</v>
      </c>
      <c r="G596" t="s">
        <v>139</v>
      </c>
      <c r="H596" t="str">
        <f>IFERROR(VLOOKUP(I596, Map!$A$1:$B$33, 2, FALSE),"WAS")</f>
        <v>DET</v>
      </c>
      <c r="I596" t="s">
        <v>164</v>
      </c>
      <c r="J596" t="s">
        <v>220</v>
      </c>
      <c r="K596" t="s">
        <v>173</v>
      </c>
      <c r="L596">
        <v>0</v>
      </c>
      <c r="M596">
        <v>0</v>
      </c>
      <c r="N596">
        <v>44.2916666666667</v>
      </c>
      <c r="O596">
        <v>2.5416666666666701</v>
      </c>
      <c r="P596">
        <v>3</v>
      </c>
      <c r="Q596">
        <v>0</v>
      </c>
      <c r="R596">
        <v>23.3</v>
      </c>
      <c r="S596">
        <v>25.9</v>
      </c>
      <c r="T596">
        <v>21.7</v>
      </c>
      <c r="U596">
        <v>24.5</v>
      </c>
      <c r="V596">
        <v>2.2999999999999998</v>
      </c>
      <c r="W596">
        <v>0</v>
      </c>
      <c r="X596">
        <v>8</v>
      </c>
      <c r="Y596">
        <v>2.2999999999999998</v>
      </c>
      <c r="Z596">
        <v>27.9</v>
      </c>
      <c r="AA596">
        <v>48.2</v>
      </c>
      <c r="AB596">
        <v>34</v>
      </c>
      <c r="AC596">
        <v>80</v>
      </c>
      <c r="AD596">
        <v>30.3</v>
      </c>
      <c r="AE596">
        <v>16.7</v>
      </c>
      <c r="AF596">
        <v>39.529000000000003</v>
      </c>
      <c r="AG596">
        <v>2.0670000000000002</v>
      </c>
      <c r="AH596">
        <v>60.152999999999999</v>
      </c>
      <c r="AI596">
        <v>13.887</v>
      </c>
      <c r="AJ596">
        <v>20.861999999999998</v>
      </c>
      <c r="AK596">
        <v>6.37</v>
      </c>
      <c r="AL596">
        <v>-3.5680000000000001</v>
      </c>
      <c r="AM596">
        <v>60.152999999999999</v>
      </c>
      <c r="AN596">
        <v>2.0670000000000002</v>
      </c>
      <c r="AO596">
        <v>39.529000000000003</v>
      </c>
      <c r="AP596">
        <v>3.5680000000000001</v>
      </c>
      <c r="AQ596">
        <v>79.138000000000005</v>
      </c>
      <c r="AR596">
        <v>86.113</v>
      </c>
      <c r="AS596">
        <v>93.63</v>
      </c>
    </row>
    <row r="597" spans="1:45" x14ac:dyDescent="0.25">
      <c r="A597">
        <v>39</v>
      </c>
      <c r="B597">
        <v>1</v>
      </c>
      <c r="C597">
        <v>1</v>
      </c>
      <c r="D597">
        <v>2020</v>
      </c>
      <c r="E597">
        <v>6</v>
      </c>
      <c r="F597" t="str">
        <f>IFERROR(VLOOKUP(G597, Map!$A$1:$B$33, 2, FALSE),"WAS")</f>
        <v>NYG</v>
      </c>
      <c r="G597" t="s">
        <v>149</v>
      </c>
      <c r="H597" t="str">
        <f>IFERROR(VLOOKUP(I597, Map!$A$1:$B$33, 2, FALSE),"WAS")</f>
        <v>WAS</v>
      </c>
      <c r="I597" t="s">
        <v>169</v>
      </c>
      <c r="J597" t="s">
        <v>219</v>
      </c>
      <c r="K597" t="s">
        <v>205</v>
      </c>
      <c r="L597">
        <v>1</v>
      </c>
      <c r="M597">
        <v>0</v>
      </c>
      <c r="N597">
        <v>38.8333333333333</v>
      </c>
      <c r="O597">
        <v>-1.5</v>
      </c>
      <c r="P597">
        <v>-1</v>
      </c>
      <c r="Q597">
        <v>0</v>
      </c>
      <c r="R597">
        <v>10.199999999999999</v>
      </c>
      <c r="S597">
        <v>17</v>
      </c>
      <c r="T597">
        <v>4.5</v>
      </c>
      <c r="U597">
        <v>7.6</v>
      </c>
      <c r="V597">
        <v>0</v>
      </c>
      <c r="W597">
        <v>0</v>
      </c>
      <c r="X597">
        <v>0</v>
      </c>
      <c r="Y597">
        <v>0</v>
      </c>
      <c r="Z597">
        <v>22.8</v>
      </c>
      <c r="AA597">
        <v>46.8</v>
      </c>
      <c r="AB597">
        <v>127</v>
      </c>
      <c r="AC597">
        <v>72</v>
      </c>
      <c r="AD597">
        <v>19.8</v>
      </c>
      <c r="AE597">
        <v>10</v>
      </c>
      <c r="AF597">
        <v>46.91</v>
      </c>
      <c r="AG597">
        <v>29.22</v>
      </c>
      <c r="AH597">
        <v>52.713999999999999</v>
      </c>
      <c r="AI597">
        <v>59.377000000000002</v>
      </c>
      <c r="AJ597">
        <v>49.381</v>
      </c>
      <c r="AK597">
        <v>56.128999999999998</v>
      </c>
      <c r="AL597">
        <v>-0.99399999999999999</v>
      </c>
      <c r="AM597">
        <v>52.713999999999999</v>
      </c>
      <c r="AN597">
        <v>29.22</v>
      </c>
      <c r="AO597">
        <v>46.91</v>
      </c>
      <c r="AP597">
        <v>0.99399999999999999</v>
      </c>
      <c r="AQ597">
        <v>50.619</v>
      </c>
      <c r="AR597">
        <v>40.622999999999998</v>
      </c>
      <c r="AS597">
        <v>43.871000000000002</v>
      </c>
    </row>
    <row r="598" spans="1:45" x14ac:dyDescent="0.25">
      <c r="A598">
        <v>78</v>
      </c>
      <c r="B598">
        <v>6</v>
      </c>
      <c r="C598">
        <v>1</v>
      </c>
      <c r="D598">
        <v>2020</v>
      </c>
      <c r="E598">
        <v>6</v>
      </c>
      <c r="F598" t="str">
        <f>IFERROR(VLOOKUP(G598, Map!$A$1:$B$33, 2, FALSE),"WAS")</f>
        <v>TEN</v>
      </c>
      <c r="G598" t="s">
        <v>140</v>
      </c>
      <c r="H598" t="str">
        <f>IFERROR(VLOOKUP(I598, Map!$A$1:$B$33, 2, FALSE),"WAS")</f>
        <v>HOU</v>
      </c>
      <c r="I598" t="s">
        <v>137</v>
      </c>
      <c r="J598" t="s">
        <v>174</v>
      </c>
      <c r="K598" t="s">
        <v>209</v>
      </c>
      <c r="L598">
        <v>1</v>
      </c>
      <c r="M598">
        <v>0</v>
      </c>
      <c r="N598">
        <v>47.8333333333333</v>
      </c>
      <c r="O598">
        <v>-3</v>
      </c>
      <c r="P598">
        <v>-3.5</v>
      </c>
      <c r="Q598">
        <v>51.5</v>
      </c>
      <c r="R598">
        <v>15</v>
      </c>
      <c r="S598">
        <v>22.2</v>
      </c>
      <c r="T598">
        <v>11.2</v>
      </c>
      <c r="U598">
        <v>13</v>
      </c>
      <c r="V598">
        <v>0.3</v>
      </c>
      <c r="W598">
        <v>0</v>
      </c>
      <c r="X598">
        <v>2</v>
      </c>
      <c r="Y598">
        <v>0.3</v>
      </c>
      <c r="Z598">
        <v>15.8</v>
      </c>
      <c r="AA598">
        <v>28.1</v>
      </c>
      <c r="AB598">
        <v>168</v>
      </c>
      <c r="AC598">
        <v>61</v>
      </c>
      <c r="AD598">
        <v>20.399999999999999</v>
      </c>
      <c r="AE598">
        <v>10.4</v>
      </c>
      <c r="AF598">
        <v>61.847000000000001</v>
      </c>
      <c r="AG598">
        <v>47.546999999999997</v>
      </c>
      <c r="AH598">
        <v>37.848999999999997</v>
      </c>
      <c r="AI598">
        <v>10.085000000000001</v>
      </c>
      <c r="AJ598">
        <v>97.185000000000002</v>
      </c>
      <c r="AK598">
        <v>64.965000000000003</v>
      </c>
      <c r="AL598">
        <v>4.1689999999999996</v>
      </c>
      <c r="AM598">
        <v>37.848999999999997</v>
      </c>
      <c r="AN598">
        <v>47.546999999999997</v>
      </c>
      <c r="AO598">
        <v>61.847000000000001</v>
      </c>
      <c r="AP598">
        <v>-4.1689999999999996</v>
      </c>
      <c r="AQ598">
        <v>2.8149999999999999</v>
      </c>
      <c r="AR598">
        <v>89.915000000000006</v>
      </c>
      <c r="AS598">
        <v>35.034999999999997</v>
      </c>
    </row>
    <row r="599" spans="1:45" x14ac:dyDescent="0.25">
      <c r="A599">
        <v>45</v>
      </c>
      <c r="B599">
        <v>31</v>
      </c>
      <c r="C599">
        <v>1</v>
      </c>
      <c r="D599">
        <v>2020</v>
      </c>
      <c r="E599">
        <v>6</v>
      </c>
      <c r="F599" t="str">
        <f>IFERROR(VLOOKUP(G599, Map!$A$1:$B$33, 2, FALSE),"WAS")</f>
        <v>PIT</v>
      </c>
      <c r="G599" t="s">
        <v>145</v>
      </c>
      <c r="H599" t="str">
        <f>IFERROR(VLOOKUP(I599, Map!$A$1:$B$33, 2, FALSE),"WAS")</f>
        <v>CLE</v>
      </c>
      <c r="I599" t="s">
        <v>162</v>
      </c>
      <c r="J599" t="s">
        <v>170</v>
      </c>
      <c r="K599" t="s">
        <v>171</v>
      </c>
      <c r="L599">
        <v>1</v>
      </c>
      <c r="M599">
        <v>0</v>
      </c>
      <c r="N599">
        <v>41.75</v>
      </c>
      <c r="O599">
        <v>-2.5416666666666701</v>
      </c>
      <c r="P599">
        <v>-3</v>
      </c>
      <c r="Q599">
        <v>0</v>
      </c>
      <c r="R599">
        <v>10.5</v>
      </c>
      <c r="S599">
        <v>17.3</v>
      </c>
      <c r="T599">
        <v>5.8</v>
      </c>
      <c r="U599">
        <v>6.9</v>
      </c>
      <c r="V599">
        <v>0.3</v>
      </c>
      <c r="W599">
        <v>0</v>
      </c>
      <c r="X599">
        <v>2</v>
      </c>
      <c r="Y599">
        <v>0.3</v>
      </c>
      <c r="Z599">
        <v>17.100000000000001</v>
      </c>
      <c r="AA599">
        <v>38.5</v>
      </c>
      <c r="AB599">
        <v>173</v>
      </c>
      <c r="AC599">
        <v>55</v>
      </c>
      <c r="AD599">
        <v>25.9</v>
      </c>
      <c r="AE599">
        <v>12.1</v>
      </c>
      <c r="AF599">
        <v>56.984999999999999</v>
      </c>
      <c r="AG599">
        <v>60.12</v>
      </c>
      <c r="AH599">
        <v>42.673000000000002</v>
      </c>
      <c r="AI599">
        <v>99.787000000000006</v>
      </c>
      <c r="AJ599">
        <v>69.498000000000005</v>
      </c>
      <c r="AK599">
        <v>98.308000000000007</v>
      </c>
      <c r="AL599">
        <v>2.4609999999999999</v>
      </c>
      <c r="AM599">
        <v>42.673000000000002</v>
      </c>
      <c r="AN599">
        <v>60.12</v>
      </c>
      <c r="AO599">
        <v>56.984999999999999</v>
      </c>
      <c r="AP599">
        <v>-2.4609999999999999</v>
      </c>
      <c r="AQ599">
        <v>30.501999999999999</v>
      </c>
      <c r="AR599">
        <v>0.21299999999999999</v>
      </c>
      <c r="AS599">
        <v>1.6919999999999999</v>
      </c>
    </row>
    <row r="600" spans="1:45" x14ac:dyDescent="0.25">
      <c r="A600">
        <v>48</v>
      </c>
      <c r="B600">
        <v>-28</v>
      </c>
      <c r="C600">
        <v>0</v>
      </c>
      <c r="D600">
        <v>2020</v>
      </c>
      <c r="E600">
        <v>6</v>
      </c>
      <c r="F600" t="str">
        <f>IFERROR(VLOOKUP(G600, Map!$A$1:$B$33, 2, FALSE),"WAS")</f>
        <v>DAL</v>
      </c>
      <c r="G600" t="s">
        <v>150</v>
      </c>
      <c r="H600" t="str">
        <f>IFERROR(VLOOKUP(I600, Map!$A$1:$B$33, 2, FALSE),"WAS")</f>
        <v>ARI</v>
      </c>
      <c r="I600" t="s">
        <v>156</v>
      </c>
      <c r="J600" t="s">
        <v>184</v>
      </c>
      <c r="K600" t="s">
        <v>190</v>
      </c>
      <c r="L600">
        <v>0</v>
      </c>
      <c r="M600">
        <v>0</v>
      </c>
      <c r="N600">
        <v>51.0833333333333</v>
      </c>
      <c r="O600">
        <v>-0.83333333333333304</v>
      </c>
      <c r="P600">
        <v>-1</v>
      </c>
      <c r="Q600">
        <v>54.5</v>
      </c>
      <c r="R600">
        <v>21.3</v>
      </c>
      <c r="S600">
        <v>29.2</v>
      </c>
      <c r="T600">
        <v>16.2</v>
      </c>
      <c r="U600">
        <v>21.8</v>
      </c>
      <c r="V600">
        <v>1.8</v>
      </c>
      <c r="W600">
        <v>0</v>
      </c>
      <c r="X600">
        <v>4</v>
      </c>
      <c r="Y600">
        <v>1.8</v>
      </c>
      <c r="Z600">
        <v>24.5</v>
      </c>
      <c r="AA600">
        <v>43.2</v>
      </c>
      <c r="AB600">
        <v>155</v>
      </c>
      <c r="AC600">
        <v>76</v>
      </c>
      <c r="AD600">
        <v>25</v>
      </c>
      <c r="AE600">
        <v>13.6</v>
      </c>
      <c r="AF600">
        <v>45.174999999999997</v>
      </c>
      <c r="AG600">
        <v>30.97</v>
      </c>
      <c r="AH600">
        <v>54.463000000000001</v>
      </c>
      <c r="AI600">
        <v>18.343</v>
      </c>
      <c r="AJ600">
        <v>5.7060000000000004</v>
      </c>
      <c r="AK600">
        <v>5.726</v>
      </c>
      <c r="AL600">
        <v>-1.5920000000000001</v>
      </c>
      <c r="AM600">
        <v>54.463000000000001</v>
      </c>
      <c r="AN600">
        <v>30.97</v>
      </c>
      <c r="AO600">
        <v>45.174999999999997</v>
      </c>
      <c r="AP600">
        <v>1.5920000000000001</v>
      </c>
      <c r="AQ600">
        <v>94.293999999999997</v>
      </c>
      <c r="AR600">
        <v>81.656999999999996</v>
      </c>
      <c r="AS600">
        <v>94.274000000000001</v>
      </c>
    </row>
    <row r="601" spans="1:45" x14ac:dyDescent="0.25">
      <c r="A601">
        <v>58</v>
      </c>
      <c r="B601">
        <v>-2</v>
      </c>
      <c r="C601">
        <v>0</v>
      </c>
      <c r="D601">
        <v>2020</v>
      </c>
      <c r="E601">
        <v>6</v>
      </c>
      <c r="F601" t="str">
        <f>IFERROR(VLOOKUP(G601, Map!$A$1:$B$33, 2, FALSE),"WAS")</f>
        <v>PHI</v>
      </c>
      <c r="G601" t="s">
        <v>147</v>
      </c>
      <c r="H601" t="str">
        <f>IFERROR(VLOOKUP(I601, Map!$A$1:$B$33, 2, FALSE),"WAS")</f>
        <v>BAL</v>
      </c>
      <c r="I601" t="s">
        <v>146</v>
      </c>
      <c r="J601" t="s">
        <v>206</v>
      </c>
      <c r="K601" t="s">
        <v>181</v>
      </c>
      <c r="L601">
        <v>0</v>
      </c>
      <c r="M601">
        <v>0</v>
      </c>
      <c r="N601">
        <v>39.461538461538503</v>
      </c>
      <c r="O601">
        <v>8.1538461538461497</v>
      </c>
      <c r="P601">
        <v>7</v>
      </c>
      <c r="Q601">
        <v>0</v>
      </c>
      <c r="R601">
        <v>11.5</v>
      </c>
      <c r="S601">
        <v>19</v>
      </c>
      <c r="T601">
        <v>4.9000000000000004</v>
      </c>
      <c r="U601">
        <v>9.1</v>
      </c>
      <c r="V601">
        <v>0</v>
      </c>
      <c r="W601">
        <v>0</v>
      </c>
      <c r="X601">
        <v>0</v>
      </c>
      <c r="Y601">
        <v>0</v>
      </c>
      <c r="Z601">
        <v>15.5</v>
      </c>
      <c r="AA601">
        <v>29.2</v>
      </c>
      <c r="AB601">
        <v>135</v>
      </c>
      <c r="AC601">
        <v>67</v>
      </c>
      <c r="AD601">
        <v>16.100000000000001</v>
      </c>
      <c r="AE601">
        <v>8.6</v>
      </c>
      <c r="AF601">
        <v>26.338000000000001</v>
      </c>
      <c r="AG601">
        <v>68.796000000000006</v>
      </c>
      <c r="AH601">
        <v>73.45</v>
      </c>
      <c r="AI601">
        <v>46.804000000000002</v>
      </c>
      <c r="AJ601">
        <v>25.776</v>
      </c>
      <c r="AK601">
        <v>19.806999999999999</v>
      </c>
      <c r="AL601">
        <v>-8.5939999999999994</v>
      </c>
      <c r="AM601">
        <v>73.45</v>
      </c>
      <c r="AN601">
        <v>68.796000000000006</v>
      </c>
      <c r="AO601">
        <v>26.338000000000001</v>
      </c>
      <c r="AP601">
        <v>8.5939999999999994</v>
      </c>
      <c r="AQ601">
        <v>74.224000000000004</v>
      </c>
      <c r="AR601">
        <v>53.195999999999998</v>
      </c>
      <c r="AS601">
        <v>80.192999999999998</v>
      </c>
    </row>
    <row r="602" spans="1:45" x14ac:dyDescent="0.25">
      <c r="A602">
        <v>58</v>
      </c>
      <c r="B602">
        <v>4</v>
      </c>
      <c r="C602">
        <v>1</v>
      </c>
      <c r="D602">
        <v>2020</v>
      </c>
      <c r="E602">
        <v>6</v>
      </c>
      <c r="F602" t="str">
        <f>IFERROR(VLOOKUP(G602, Map!$A$1:$B$33, 2, FALSE),"WAS")</f>
        <v>IND</v>
      </c>
      <c r="G602" t="s">
        <v>138</v>
      </c>
      <c r="H602" t="str">
        <f>IFERROR(VLOOKUP(I602, Map!$A$1:$B$33, 2, FALSE),"WAS")</f>
        <v>CIN</v>
      </c>
      <c r="I602" t="s">
        <v>161</v>
      </c>
      <c r="J602" t="s">
        <v>177</v>
      </c>
      <c r="K602" t="s">
        <v>176</v>
      </c>
      <c r="L602">
        <v>1</v>
      </c>
      <c r="M602">
        <v>0</v>
      </c>
      <c r="N602">
        <v>42.2083333333333</v>
      </c>
      <c r="O602">
        <v>-6.2083333333333304</v>
      </c>
      <c r="P602">
        <v>-7</v>
      </c>
      <c r="Q602">
        <v>45.5</v>
      </c>
      <c r="R602">
        <v>13.3</v>
      </c>
      <c r="S602">
        <v>18.7</v>
      </c>
      <c r="T602">
        <v>11.2</v>
      </c>
      <c r="U602">
        <v>9.1999999999999993</v>
      </c>
      <c r="V602">
        <v>0.7</v>
      </c>
      <c r="W602">
        <v>0</v>
      </c>
      <c r="X602">
        <v>2</v>
      </c>
      <c r="Y602">
        <v>0.7</v>
      </c>
      <c r="Z602">
        <v>22</v>
      </c>
      <c r="AA602">
        <v>40</v>
      </c>
      <c r="AB602">
        <v>193</v>
      </c>
      <c r="AC602">
        <v>50</v>
      </c>
      <c r="AD602">
        <v>34.1</v>
      </c>
      <c r="AE602">
        <v>17.399999999999999</v>
      </c>
      <c r="AF602">
        <v>67.557000000000002</v>
      </c>
      <c r="AG602">
        <v>42.134</v>
      </c>
      <c r="AH602">
        <v>32.183999999999997</v>
      </c>
      <c r="AI602">
        <v>36.625999999999998</v>
      </c>
      <c r="AJ602">
        <v>73.828999999999994</v>
      </c>
      <c r="AK602">
        <v>60.962000000000003</v>
      </c>
      <c r="AL602">
        <v>6.2640000000000002</v>
      </c>
      <c r="AM602">
        <v>32.183999999999997</v>
      </c>
      <c r="AN602">
        <v>42.134</v>
      </c>
      <c r="AO602">
        <v>67.557000000000002</v>
      </c>
      <c r="AP602">
        <v>-6.2640000000000002</v>
      </c>
      <c r="AQ602">
        <v>26.170999999999999</v>
      </c>
      <c r="AR602">
        <v>63.374000000000002</v>
      </c>
      <c r="AS602">
        <v>39.037999999999997</v>
      </c>
    </row>
    <row r="603" spans="1:45" x14ac:dyDescent="0.25">
      <c r="A603">
        <v>40</v>
      </c>
      <c r="B603">
        <v>8</v>
      </c>
      <c r="C603">
        <v>1</v>
      </c>
      <c r="D603">
        <v>2020</v>
      </c>
      <c r="E603">
        <v>6</v>
      </c>
      <c r="F603" t="str">
        <f>IFERROR(VLOOKUP(G603, Map!$A$1:$B$33, 2, FALSE),"WAS")</f>
        <v>SF</v>
      </c>
      <c r="G603" t="s">
        <v>143</v>
      </c>
      <c r="H603" t="str">
        <f>IFERROR(VLOOKUP(I603, Map!$A$1:$B$33, 2, FALSE),"WAS")</f>
        <v>LA</v>
      </c>
      <c r="I603" t="s">
        <v>155</v>
      </c>
      <c r="J603" t="s">
        <v>197</v>
      </c>
      <c r="K603" t="s">
        <v>178</v>
      </c>
      <c r="L603">
        <v>1</v>
      </c>
      <c r="M603">
        <v>0</v>
      </c>
      <c r="N603">
        <v>42.8333333333333</v>
      </c>
      <c r="O603">
        <v>2.0833333333333299</v>
      </c>
      <c r="P603">
        <v>2</v>
      </c>
      <c r="Q603">
        <v>0</v>
      </c>
      <c r="R603">
        <v>19.399999999999999</v>
      </c>
      <c r="S603">
        <v>28.5</v>
      </c>
      <c r="T603">
        <v>13.3</v>
      </c>
      <c r="U603">
        <v>19.100000000000001</v>
      </c>
      <c r="V603">
        <v>0</v>
      </c>
      <c r="W603">
        <v>0</v>
      </c>
      <c r="X603">
        <v>0</v>
      </c>
      <c r="Y603">
        <v>0</v>
      </c>
      <c r="Z603">
        <v>16.5</v>
      </c>
      <c r="AA603">
        <v>32</v>
      </c>
      <c r="AB603">
        <v>313</v>
      </c>
      <c r="AC603">
        <v>65</v>
      </c>
      <c r="AD603">
        <v>15.4</v>
      </c>
      <c r="AE603">
        <v>7.4</v>
      </c>
      <c r="AF603">
        <v>46.582999999999998</v>
      </c>
      <c r="AG603">
        <v>81.144999999999996</v>
      </c>
      <c r="AH603">
        <v>53.042999999999999</v>
      </c>
      <c r="AI603">
        <v>68.015000000000001</v>
      </c>
      <c r="AJ603">
        <v>85.102999999999994</v>
      </c>
      <c r="AK603">
        <v>84.025999999999996</v>
      </c>
      <c r="AL603">
        <v>-1.1060000000000001</v>
      </c>
      <c r="AM603">
        <v>53.042999999999999</v>
      </c>
      <c r="AN603">
        <v>81.144999999999996</v>
      </c>
      <c r="AO603">
        <v>46.582999999999998</v>
      </c>
      <c r="AP603">
        <v>1.1060000000000001</v>
      </c>
      <c r="AQ603">
        <v>14.897</v>
      </c>
      <c r="AR603">
        <v>31.984999999999999</v>
      </c>
      <c r="AS603">
        <v>15.974</v>
      </c>
    </row>
    <row r="604" spans="1:45" x14ac:dyDescent="0.25">
      <c r="A604">
        <v>63</v>
      </c>
      <c r="B604">
        <v>-17</v>
      </c>
      <c r="C604">
        <v>0</v>
      </c>
      <c r="D604">
        <v>2020</v>
      </c>
      <c r="E604">
        <v>6</v>
      </c>
      <c r="F604" t="str">
        <f>IFERROR(VLOOKUP(G604, Map!$A$1:$B$33, 2, FALSE),"WAS")</f>
        <v>MIN</v>
      </c>
      <c r="G604" t="s">
        <v>153</v>
      </c>
      <c r="H604" t="str">
        <f>IFERROR(VLOOKUP(I604, Map!$A$1:$B$33, 2, FALSE),"WAS")</f>
        <v>ATL</v>
      </c>
      <c r="I604" t="s">
        <v>167</v>
      </c>
      <c r="J604" t="s">
        <v>214</v>
      </c>
      <c r="K604" t="s">
        <v>188</v>
      </c>
      <c r="L604">
        <v>0</v>
      </c>
      <c r="M604">
        <v>0</v>
      </c>
      <c r="N604">
        <v>49.269230769230802</v>
      </c>
      <c r="O604">
        <v>-3.0384615384615401</v>
      </c>
      <c r="P604">
        <v>-3.5</v>
      </c>
      <c r="Q604">
        <v>53</v>
      </c>
      <c r="R604">
        <v>2</v>
      </c>
      <c r="S604">
        <v>5.7</v>
      </c>
      <c r="T604">
        <v>-1.6</v>
      </c>
      <c r="U604">
        <v>-2.9</v>
      </c>
      <c r="V604">
        <v>0</v>
      </c>
      <c r="W604">
        <v>0</v>
      </c>
      <c r="X604">
        <v>0</v>
      </c>
      <c r="Y604">
        <v>0</v>
      </c>
      <c r="Z604">
        <v>19.100000000000001</v>
      </c>
      <c r="AA604">
        <v>40</v>
      </c>
      <c r="AB604">
        <v>303</v>
      </c>
      <c r="AC604">
        <v>57</v>
      </c>
      <c r="AD604">
        <v>29.9</v>
      </c>
      <c r="AE604">
        <v>14.6</v>
      </c>
      <c r="AF604">
        <v>62.819000000000003</v>
      </c>
      <c r="AG604">
        <v>53.866</v>
      </c>
      <c r="AH604">
        <v>36.884</v>
      </c>
      <c r="AI604">
        <v>18.995000000000001</v>
      </c>
      <c r="AJ604">
        <v>8.3339999999999996</v>
      </c>
      <c r="AK604">
        <v>4.9160000000000004</v>
      </c>
      <c r="AL604">
        <v>4.5170000000000003</v>
      </c>
      <c r="AM604">
        <v>36.884</v>
      </c>
      <c r="AN604">
        <v>53.866</v>
      </c>
      <c r="AO604">
        <v>62.819000000000003</v>
      </c>
      <c r="AP604">
        <v>-4.5170000000000003</v>
      </c>
      <c r="AQ604">
        <v>91.665999999999997</v>
      </c>
      <c r="AR604">
        <v>81.004999999999995</v>
      </c>
      <c r="AS604">
        <v>95.084000000000003</v>
      </c>
    </row>
    <row r="605" spans="1:45" x14ac:dyDescent="0.25">
      <c r="A605">
        <v>39</v>
      </c>
      <c r="B605">
        <v>-27</v>
      </c>
      <c r="C605">
        <v>0</v>
      </c>
      <c r="D605">
        <v>2020</v>
      </c>
      <c r="E605">
        <v>7</v>
      </c>
      <c r="F605" t="str">
        <f>IFERROR(VLOOKUP(G605, Map!$A$1:$B$33, 2, FALSE),"WAS")</f>
        <v>NE</v>
      </c>
      <c r="G605" t="s">
        <v>151</v>
      </c>
      <c r="H605" t="str">
        <f>IFERROR(VLOOKUP(I605, Map!$A$1:$B$33, 2, FALSE),"WAS")</f>
        <v>SF</v>
      </c>
      <c r="I605" t="s">
        <v>143</v>
      </c>
      <c r="J605" t="s">
        <v>187</v>
      </c>
      <c r="K605" t="s">
        <v>197</v>
      </c>
      <c r="L605">
        <v>0</v>
      </c>
      <c r="M605">
        <v>0</v>
      </c>
      <c r="N605">
        <v>40.875</v>
      </c>
      <c r="O605">
        <v>-2.4166666666666701</v>
      </c>
      <c r="P605">
        <v>-2.5</v>
      </c>
      <c r="Q605">
        <v>44</v>
      </c>
      <c r="R605">
        <v>8</v>
      </c>
      <c r="S605">
        <v>15.3</v>
      </c>
      <c r="T605">
        <v>4.5999999999999996</v>
      </c>
      <c r="U605">
        <v>4.3</v>
      </c>
      <c r="V605">
        <v>0</v>
      </c>
      <c r="W605">
        <v>0</v>
      </c>
      <c r="X605">
        <v>0</v>
      </c>
      <c r="Y605">
        <v>0</v>
      </c>
      <c r="Z605">
        <v>19.399999999999999</v>
      </c>
      <c r="AA605">
        <v>43.2</v>
      </c>
      <c r="AB605">
        <v>4</v>
      </c>
      <c r="AC605">
        <v>64</v>
      </c>
      <c r="AD605">
        <v>31.4</v>
      </c>
      <c r="AE605">
        <v>13.1</v>
      </c>
      <c r="AF605">
        <v>50.305999999999997</v>
      </c>
      <c r="AG605">
        <v>64.576999999999998</v>
      </c>
      <c r="AH605">
        <v>49.298000000000002</v>
      </c>
      <c r="AI605">
        <v>9.1969999999999992</v>
      </c>
      <c r="AJ605">
        <v>3.855</v>
      </c>
      <c r="AK605">
        <v>3.03</v>
      </c>
      <c r="AL605">
        <v>0.17199999999999999</v>
      </c>
      <c r="AM605">
        <v>49.298000000000002</v>
      </c>
      <c r="AN605">
        <v>64.576999999999998</v>
      </c>
      <c r="AO605">
        <v>50.305999999999997</v>
      </c>
      <c r="AP605">
        <v>-0.17199999999999999</v>
      </c>
      <c r="AQ605">
        <v>96.144999999999996</v>
      </c>
      <c r="AR605">
        <v>90.802999999999997</v>
      </c>
      <c r="AS605">
        <v>96.97</v>
      </c>
    </row>
    <row r="606" spans="1:45" x14ac:dyDescent="0.25">
      <c r="A606">
        <v>59</v>
      </c>
      <c r="B606">
        <v>-27</v>
      </c>
      <c r="C606">
        <v>0</v>
      </c>
      <c r="D606">
        <v>2020</v>
      </c>
      <c r="E606">
        <v>7</v>
      </c>
      <c r="F606" t="str">
        <f>IFERROR(VLOOKUP(G606, Map!$A$1:$B$33, 2, FALSE),"WAS")</f>
        <v>DEN</v>
      </c>
      <c r="G606" t="s">
        <v>159</v>
      </c>
      <c r="H606" t="str">
        <f>IFERROR(VLOOKUP(I606, Map!$A$1:$B$33, 2, FALSE),"WAS")</f>
        <v>KC</v>
      </c>
      <c r="I606" t="s">
        <v>158</v>
      </c>
      <c r="J606" t="s">
        <v>183</v>
      </c>
      <c r="K606" t="s">
        <v>202</v>
      </c>
      <c r="L606">
        <v>0</v>
      </c>
      <c r="M606">
        <v>0</v>
      </c>
      <c r="N606">
        <v>42.038461538461497</v>
      </c>
      <c r="O606">
        <v>6.0769230769230802</v>
      </c>
      <c r="P606">
        <v>7</v>
      </c>
      <c r="Q606">
        <v>44.5</v>
      </c>
      <c r="R606">
        <v>-3.4</v>
      </c>
      <c r="S606">
        <v>8.4</v>
      </c>
      <c r="T606">
        <v>-9.4</v>
      </c>
      <c r="U606">
        <v>-8.8000000000000007</v>
      </c>
      <c r="V606">
        <v>4</v>
      </c>
      <c r="W606">
        <v>2.73</v>
      </c>
      <c r="X606">
        <v>14</v>
      </c>
      <c r="Y606">
        <v>0.1</v>
      </c>
      <c r="Z606">
        <v>21.1</v>
      </c>
      <c r="AA606">
        <v>41.8</v>
      </c>
      <c r="AB606">
        <v>359</v>
      </c>
      <c r="AC606">
        <v>63</v>
      </c>
      <c r="AD606">
        <v>29.9</v>
      </c>
      <c r="AE606">
        <v>15.4</v>
      </c>
      <c r="AF606">
        <v>23.876999999999999</v>
      </c>
      <c r="AG606">
        <v>66.899000000000001</v>
      </c>
      <c r="AH606">
        <v>75.930999999999997</v>
      </c>
      <c r="AI606">
        <v>51.426000000000002</v>
      </c>
      <c r="AJ606">
        <v>4.07</v>
      </c>
      <c r="AK606">
        <v>3.2160000000000002</v>
      </c>
      <c r="AL606">
        <v>-9.6059999999999999</v>
      </c>
      <c r="AM606">
        <v>75.930999999999997</v>
      </c>
      <c r="AN606">
        <v>66.899000000000001</v>
      </c>
      <c r="AO606">
        <v>23.876999999999999</v>
      </c>
      <c r="AP606">
        <v>9.6059999999999999</v>
      </c>
      <c r="AQ606">
        <v>95.93</v>
      </c>
      <c r="AR606">
        <v>48.573999999999998</v>
      </c>
      <c r="AS606">
        <v>96.784000000000006</v>
      </c>
    </row>
    <row r="607" spans="1:45" x14ac:dyDescent="0.25">
      <c r="A607">
        <v>43</v>
      </c>
      <c r="B607">
        <v>1</v>
      </c>
      <c r="C607">
        <v>1</v>
      </c>
      <c r="D607">
        <v>2020</v>
      </c>
      <c r="E607">
        <v>7</v>
      </c>
      <c r="F607" t="str">
        <f>IFERROR(VLOOKUP(G607, Map!$A$1:$B$33, 2, FALSE),"WAS")</f>
        <v>PHI</v>
      </c>
      <c r="G607" t="s">
        <v>147</v>
      </c>
      <c r="H607" t="str">
        <f>IFERROR(VLOOKUP(I607, Map!$A$1:$B$33, 2, FALSE),"WAS")</f>
        <v>NYG</v>
      </c>
      <c r="I607" t="s">
        <v>149</v>
      </c>
      <c r="J607" t="s">
        <v>206</v>
      </c>
      <c r="K607" t="s">
        <v>219</v>
      </c>
      <c r="L607">
        <v>1</v>
      </c>
      <c r="M607">
        <v>0</v>
      </c>
      <c r="N607">
        <v>41.076923076923102</v>
      </c>
      <c r="O607">
        <v>-4.1153846153846203</v>
      </c>
      <c r="P607">
        <v>-4.5</v>
      </c>
      <c r="Q607">
        <v>44.5</v>
      </c>
      <c r="R607">
        <v>18.600000000000001</v>
      </c>
      <c r="S607">
        <v>22.6</v>
      </c>
      <c r="T607">
        <v>16</v>
      </c>
      <c r="U607">
        <v>20</v>
      </c>
      <c r="V607">
        <v>0.1</v>
      </c>
      <c r="W607">
        <v>0</v>
      </c>
      <c r="X607">
        <v>1</v>
      </c>
      <c r="Y607">
        <v>0.1</v>
      </c>
      <c r="Z607">
        <v>10.8</v>
      </c>
      <c r="AA607">
        <v>23.4</v>
      </c>
      <c r="AB607">
        <v>165</v>
      </c>
      <c r="AC607">
        <v>89</v>
      </c>
      <c r="AD607">
        <v>13.2</v>
      </c>
      <c r="AE607">
        <v>5.9</v>
      </c>
      <c r="AF607">
        <v>69.608999999999995</v>
      </c>
      <c r="AG607">
        <v>30.646999999999998</v>
      </c>
      <c r="AH607">
        <v>30.149000000000001</v>
      </c>
      <c r="AI607">
        <v>42.085000000000001</v>
      </c>
      <c r="AJ607">
        <v>53</v>
      </c>
      <c r="AK607">
        <v>47.186</v>
      </c>
      <c r="AL607">
        <v>7.0179999999999998</v>
      </c>
      <c r="AM607">
        <v>30.149000000000001</v>
      </c>
      <c r="AN607">
        <v>30.646999999999998</v>
      </c>
      <c r="AO607">
        <v>69.608999999999995</v>
      </c>
      <c r="AP607">
        <v>-7.0179999999999998</v>
      </c>
      <c r="AQ607">
        <v>47</v>
      </c>
      <c r="AR607">
        <v>57.914999999999999</v>
      </c>
      <c r="AS607">
        <v>52.814</v>
      </c>
    </row>
    <row r="608" spans="1:45" x14ac:dyDescent="0.25">
      <c r="A608">
        <v>34</v>
      </c>
      <c r="B608">
        <v>14</v>
      </c>
      <c r="C608">
        <v>1</v>
      </c>
      <c r="D608">
        <v>2020</v>
      </c>
      <c r="E608">
        <v>7</v>
      </c>
      <c r="F608" t="str">
        <f>IFERROR(VLOOKUP(G608, Map!$A$1:$B$33, 2, FALSE),"WAS")</f>
        <v>LA</v>
      </c>
      <c r="G608" t="s">
        <v>155</v>
      </c>
      <c r="H608" t="str">
        <f>IFERROR(VLOOKUP(I608, Map!$A$1:$B$33, 2, FALSE),"WAS")</f>
        <v>CHI</v>
      </c>
      <c r="I608" t="s">
        <v>163</v>
      </c>
      <c r="J608" t="s">
        <v>178</v>
      </c>
      <c r="K608" t="s">
        <v>216</v>
      </c>
      <c r="L608">
        <v>1</v>
      </c>
      <c r="M608">
        <v>0</v>
      </c>
      <c r="N608">
        <v>40.375</v>
      </c>
      <c r="O608">
        <v>-5.4166666666666696</v>
      </c>
      <c r="P608">
        <v>-6.5</v>
      </c>
      <c r="Q608">
        <v>43.5</v>
      </c>
      <c r="R608">
        <v>17</v>
      </c>
      <c r="S608">
        <v>25.9</v>
      </c>
      <c r="T608">
        <v>8.6999999999999993</v>
      </c>
      <c r="U608">
        <v>12.4</v>
      </c>
      <c r="V608">
        <v>0</v>
      </c>
      <c r="W608">
        <v>0</v>
      </c>
      <c r="X608">
        <v>0</v>
      </c>
      <c r="Y608">
        <v>0</v>
      </c>
      <c r="Z608">
        <v>19.100000000000001</v>
      </c>
      <c r="AA608">
        <v>34.6</v>
      </c>
      <c r="AB608">
        <v>318</v>
      </c>
      <c r="AC608">
        <v>13</v>
      </c>
      <c r="AD608">
        <v>17.100000000000001</v>
      </c>
      <c r="AE608">
        <v>8.8000000000000007</v>
      </c>
      <c r="AF608">
        <v>69.896000000000001</v>
      </c>
      <c r="AG608">
        <v>55.603000000000002</v>
      </c>
      <c r="AH608">
        <v>29.864000000000001</v>
      </c>
      <c r="AI608">
        <v>94.135999999999996</v>
      </c>
      <c r="AJ608">
        <v>70.248000000000005</v>
      </c>
      <c r="AK608">
        <v>87.957999999999998</v>
      </c>
      <c r="AL608">
        <v>7.1289999999999996</v>
      </c>
      <c r="AM608">
        <v>29.864000000000001</v>
      </c>
      <c r="AN608">
        <v>55.603000000000002</v>
      </c>
      <c r="AO608">
        <v>69.896000000000001</v>
      </c>
      <c r="AP608">
        <v>-7.1289999999999996</v>
      </c>
      <c r="AQ608">
        <v>29.751999999999999</v>
      </c>
      <c r="AR608">
        <v>5.8639999999999999</v>
      </c>
      <c r="AS608">
        <v>12.042</v>
      </c>
    </row>
    <row r="609" spans="1:45" x14ac:dyDescent="0.25">
      <c r="A609">
        <v>28</v>
      </c>
      <c r="B609">
        <v>-8</v>
      </c>
      <c r="C609">
        <v>0</v>
      </c>
      <c r="D609">
        <v>2020</v>
      </c>
      <c r="E609">
        <v>7</v>
      </c>
      <c r="F609" t="str">
        <f>IFERROR(VLOOKUP(G609, Map!$A$1:$B$33, 2, FALSE),"WAS")</f>
        <v>NYJ</v>
      </c>
      <c r="G609" t="s">
        <v>166</v>
      </c>
      <c r="H609" t="str">
        <f>IFERROR(VLOOKUP(I609, Map!$A$1:$B$33, 2, FALSE),"WAS")</f>
        <v>BUF</v>
      </c>
      <c r="I609" t="s">
        <v>165</v>
      </c>
      <c r="J609" t="s">
        <v>172</v>
      </c>
      <c r="K609" t="s">
        <v>180</v>
      </c>
      <c r="L609">
        <v>0</v>
      </c>
      <c r="M609">
        <v>0</v>
      </c>
      <c r="N609">
        <v>42.730769230769198</v>
      </c>
      <c r="O609">
        <v>8.5</v>
      </c>
      <c r="P609">
        <v>9.5</v>
      </c>
      <c r="Q609">
        <v>45.5</v>
      </c>
      <c r="R609">
        <v>9.1</v>
      </c>
      <c r="S609">
        <v>13.3</v>
      </c>
      <c r="T609">
        <v>6.6</v>
      </c>
      <c r="U609">
        <v>5.3</v>
      </c>
      <c r="V609">
        <v>0.3</v>
      </c>
      <c r="W609">
        <v>0</v>
      </c>
      <c r="X609">
        <v>2</v>
      </c>
      <c r="Y609">
        <v>0.3</v>
      </c>
      <c r="Z609">
        <v>18.5</v>
      </c>
      <c r="AA609">
        <v>35.6</v>
      </c>
      <c r="AB609">
        <v>10</v>
      </c>
      <c r="AC609">
        <v>61</v>
      </c>
      <c r="AD609">
        <v>27.9</v>
      </c>
      <c r="AE609">
        <v>13.3</v>
      </c>
      <c r="AF609">
        <v>24.896999999999998</v>
      </c>
      <c r="AG609">
        <v>41.682000000000002</v>
      </c>
      <c r="AH609">
        <v>74.903000000000006</v>
      </c>
      <c r="AI609">
        <v>46.279000000000003</v>
      </c>
      <c r="AJ609">
        <v>29.047000000000001</v>
      </c>
      <c r="AK609">
        <v>33.054000000000002</v>
      </c>
      <c r="AL609">
        <v>-9.1630000000000003</v>
      </c>
      <c r="AM609">
        <v>74.903000000000006</v>
      </c>
      <c r="AN609">
        <v>41.682000000000002</v>
      </c>
      <c r="AO609">
        <v>24.896999999999998</v>
      </c>
      <c r="AP609">
        <v>9.1630000000000003</v>
      </c>
      <c r="AQ609">
        <v>70.953000000000003</v>
      </c>
      <c r="AR609">
        <v>53.720999999999997</v>
      </c>
      <c r="AS609">
        <v>66.945999999999998</v>
      </c>
    </row>
    <row r="610" spans="1:45" x14ac:dyDescent="0.25">
      <c r="A610">
        <v>28</v>
      </c>
      <c r="B610">
        <v>22</v>
      </c>
      <c r="C610">
        <v>1</v>
      </c>
      <c r="D610">
        <v>2020</v>
      </c>
      <c r="E610">
        <v>7</v>
      </c>
      <c r="F610" t="str">
        <f>IFERROR(VLOOKUP(G610, Map!$A$1:$B$33, 2, FALSE),"WAS")</f>
        <v>WAS</v>
      </c>
      <c r="G610" t="s">
        <v>169</v>
      </c>
      <c r="H610" t="str">
        <f>IFERROR(VLOOKUP(I610, Map!$A$1:$B$33, 2, FALSE),"WAS")</f>
        <v>DAL</v>
      </c>
      <c r="I610" t="s">
        <v>150</v>
      </c>
      <c r="J610" t="s">
        <v>205</v>
      </c>
      <c r="K610" t="s">
        <v>184</v>
      </c>
      <c r="L610">
        <v>1</v>
      </c>
      <c r="M610">
        <v>0</v>
      </c>
      <c r="N610">
        <v>45.0416666666667</v>
      </c>
      <c r="O610">
        <v>-0.41666666666666702</v>
      </c>
      <c r="P610">
        <v>0</v>
      </c>
      <c r="Q610">
        <v>44</v>
      </c>
      <c r="R610">
        <v>11</v>
      </c>
      <c r="S610">
        <v>17.100000000000001</v>
      </c>
      <c r="T610">
        <v>7.9</v>
      </c>
      <c r="U610">
        <v>8.3000000000000007</v>
      </c>
      <c r="V610">
        <v>12.4</v>
      </c>
      <c r="W610">
        <v>0</v>
      </c>
      <c r="X610">
        <v>14</v>
      </c>
      <c r="Y610">
        <v>12.4</v>
      </c>
      <c r="Z610">
        <v>15.8</v>
      </c>
      <c r="AA610">
        <v>30.2</v>
      </c>
      <c r="AB610">
        <v>26</v>
      </c>
      <c r="AC610">
        <v>77</v>
      </c>
      <c r="AD610">
        <v>26.9</v>
      </c>
      <c r="AE610">
        <v>13.7</v>
      </c>
      <c r="AF610">
        <v>58.097000000000001</v>
      </c>
      <c r="AG610">
        <v>32.923999999999999</v>
      </c>
      <c r="AH610">
        <v>41.569000000000003</v>
      </c>
      <c r="AI610">
        <v>94.896000000000001</v>
      </c>
      <c r="AJ610">
        <v>87.543000000000006</v>
      </c>
      <c r="AK610">
        <v>95.254999999999995</v>
      </c>
      <c r="AL610">
        <v>2.8340000000000001</v>
      </c>
      <c r="AM610">
        <v>41.569000000000003</v>
      </c>
      <c r="AN610">
        <v>32.923999999999999</v>
      </c>
      <c r="AO610">
        <v>58.097000000000001</v>
      </c>
      <c r="AP610">
        <v>-2.8340000000000001</v>
      </c>
      <c r="AQ610">
        <v>12.457000000000001</v>
      </c>
      <c r="AR610">
        <v>5.1040000000000001</v>
      </c>
      <c r="AS610">
        <v>4.7450000000000001</v>
      </c>
    </row>
    <row r="611" spans="1:45" x14ac:dyDescent="0.25">
      <c r="A611">
        <v>45</v>
      </c>
      <c r="B611">
        <v>-1</v>
      </c>
      <c r="C611">
        <v>0</v>
      </c>
      <c r="D611">
        <v>2020</v>
      </c>
      <c r="E611">
        <v>7</v>
      </c>
      <c r="F611" t="str">
        <f>IFERROR(VLOOKUP(G611, Map!$A$1:$B$33, 2, FALSE),"WAS")</f>
        <v>ATL</v>
      </c>
      <c r="G611" t="s">
        <v>167</v>
      </c>
      <c r="H611" t="str">
        <f>IFERROR(VLOOKUP(I611, Map!$A$1:$B$33, 2, FALSE),"WAS")</f>
        <v>DET</v>
      </c>
      <c r="I611" t="s">
        <v>164</v>
      </c>
      <c r="J611" t="s">
        <v>188</v>
      </c>
      <c r="K611" t="s">
        <v>173</v>
      </c>
      <c r="L611">
        <v>0</v>
      </c>
      <c r="M611">
        <v>0</v>
      </c>
      <c r="N611">
        <v>45.8333333333333</v>
      </c>
      <c r="O611">
        <v>-0.91666666666666696</v>
      </c>
      <c r="P611">
        <v>-1</v>
      </c>
      <c r="Q611">
        <v>0</v>
      </c>
      <c r="R611">
        <v>19.899999999999999</v>
      </c>
      <c r="S611">
        <v>23.4</v>
      </c>
      <c r="T611">
        <v>18.100000000000001</v>
      </c>
      <c r="U611">
        <v>21.8</v>
      </c>
      <c r="V611">
        <v>29</v>
      </c>
      <c r="W611">
        <v>0</v>
      </c>
      <c r="X611">
        <v>16</v>
      </c>
      <c r="Y611">
        <v>29</v>
      </c>
      <c r="Z611">
        <v>9.3000000000000007</v>
      </c>
      <c r="AA611">
        <v>27.7</v>
      </c>
      <c r="AB611">
        <v>2</v>
      </c>
      <c r="AC611">
        <v>89</v>
      </c>
      <c r="AD611">
        <v>16.5</v>
      </c>
      <c r="AE611">
        <v>6</v>
      </c>
      <c r="AF611">
        <v>59.125</v>
      </c>
      <c r="AG611">
        <v>38.905000000000001</v>
      </c>
      <c r="AH611">
        <v>40.549999999999997</v>
      </c>
      <c r="AI611">
        <v>30.641999999999999</v>
      </c>
      <c r="AJ611">
        <v>69.296000000000006</v>
      </c>
      <c r="AK611">
        <v>49.155000000000001</v>
      </c>
      <c r="AL611">
        <v>3.1909999999999998</v>
      </c>
      <c r="AM611">
        <v>40.549999999999997</v>
      </c>
      <c r="AN611">
        <v>38.905000000000001</v>
      </c>
      <c r="AO611">
        <v>59.125</v>
      </c>
      <c r="AP611">
        <v>-3.1909999999999998</v>
      </c>
      <c r="AQ611">
        <v>30.704000000000001</v>
      </c>
      <c r="AR611">
        <v>69.358000000000004</v>
      </c>
      <c r="AS611">
        <v>50.844999999999999</v>
      </c>
    </row>
    <row r="612" spans="1:45" x14ac:dyDescent="0.25">
      <c r="A612">
        <v>65</v>
      </c>
      <c r="B612">
        <v>-25</v>
      </c>
      <c r="C612">
        <v>0</v>
      </c>
      <c r="D612">
        <v>2020</v>
      </c>
      <c r="E612">
        <v>7</v>
      </c>
      <c r="F612" t="str">
        <f>IFERROR(VLOOKUP(G612, Map!$A$1:$B$33, 2, FALSE),"WAS")</f>
        <v>LV</v>
      </c>
      <c r="G612" t="s">
        <v>157</v>
      </c>
      <c r="H612" t="str">
        <f>IFERROR(VLOOKUP(I612, Map!$A$1:$B$33, 2, FALSE),"WAS")</f>
        <v>TB</v>
      </c>
      <c r="I612" t="s">
        <v>141</v>
      </c>
      <c r="J612" t="s">
        <v>179</v>
      </c>
      <c r="K612" t="s">
        <v>186</v>
      </c>
      <c r="L612">
        <v>0</v>
      </c>
      <c r="M612">
        <v>0</v>
      </c>
      <c r="N612">
        <v>51.5</v>
      </c>
      <c r="O612">
        <v>3.625</v>
      </c>
      <c r="P612">
        <v>3.5</v>
      </c>
      <c r="Q612">
        <v>51.5</v>
      </c>
      <c r="R612">
        <v>22.7</v>
      </c>
      <c r="S612">
        <v>28.8</v>
      </c>
      <c r="T612">
        <v>17.100000000000001</v>
      </c>
      <c r="U612">
        <v>17.7</v>
      </c>
      <c r="V612">
        <v>0</v>
      </c>
      <c r="W612">
        <v>0</v>
      </c>
      <c r="X612">
        <v>0</v>
      </c>
      <c r="Y612">
        <v>0</v>
      </c>
      <c r="Z612">
        <v>38.200000000000003</v>
      </c>
      <c r="AA612">
        <v>61.6</v>
      </c>
      <c r="AB612">
        <v>238</v>
      </c>
      <c r="AC612">
        <v>24</v>
      </c>
      <c r="AD612">
        <v>34.9</v>
      </c>
      <c r="AE612">
        <v>21</v>
      </c>
      <c r="AF612">
        <v>43.447000000000003</v>
      </c>
      <c r="AG612">
        <v>80.953999999999994</v>
      </c>
      <c r="AH612">
        <v>56.204000000000001</v>
      </c>
      <c r="AI612">
        <v>5.5279999999999996</v>
      </c>
      <c r="AJ612">
        <v>53.021999999999998</v>
      </c>
      <c r="AK612">
        <v>16.829999999999998</v>
      </c>
      <c r="AL612">
        <v>-2.181</v>
      </c>
      <c r="AM612">
        <v>56.204000000000001</v>
      </c>
      <c r="AN612">
        <v>80.953999999999994</v>
      </c>
      <c r="AO612">
        <v>43.447000000000003</v>
      </c>
      <c r="AP612">
        <v>2.181</v>
      </c>
      <c r="AQ612">
        <v>46.978000000000002</v>
      </c>
      <c r="AR612">
        <v>94.471999999999994</v>
      </c>
      <c r="AS612">
        <v>83.17</v>
      </c>
    </row>
    <row r="613" spans="1:45" x14ac:dyDescent="0.25">
      <c r="A613">
        <v>51</v>
      </c>
      <c r="B613">
        <v>-3</v>
      </c>
      <c r="C613">
        <v>0</v>
      </c>
      <c r="D613">
        <v>2020</v>
      </c>
      <c r="E613">
        <v>7</v>
      </c>
      <c r="F613" t="str">
        <f>IFERROR(VLOOKUP(G613, Map!$A$1:$B$33, 2, FALSE),"WAS")</f>
        <v>TEN</v>
      </c>
      <c r="G613" t="s">
        <v>140</v>
      </c>
      <c r="H613" t="str">
        <f>IFERROR(VLOOKUP(I613, Map!$A$1:$B$33, 2, FALSE),"WAS")</f>
        <v>PIT</v>
      </c>
      <c r="I613" t="s">
        <v>145</v>
      </c>
      <c r="J613" t="s">
        <v>174</v>
      </c>
      <c r="K613" t="s">
        <v>170</v>
      </c>
      <c r="L613">
        <v>0</v>
      </c>
      <c r="M613">
        <v>0</v>
      </c>
      <c r="N613">
        <v>42.3333333333333</v>
      </c>
      <c r="O613">
        <v>-1</v>
      </c>
      <c r="P613">
        <v>-1</v>
      </c>
      <c r="Q613">
        <v>0</v>
      </c>
      <c r="R613">
        <v>13.5</v>
      </c>
      <c r="S613">
        <v>19.2</v>
      </c>
      <c r="T613">
        <v>11.1</v>
      </c>
      <c r="U613">
        <v>12.8</v>
      </c>
      <c r="V613">
        <v>0.7</v>
      </c>
      <c r="W613">
        <v>0</v>
      </c>
      <c r="X613">
        <v>3</v>
      </c>
      <c r="Y613">
        <v>0.7</v>
      </c>
      <c r="Z613">
        <v>11.3</v>
      </c>
      <c r="AA613">
        <v>22.3</v>
      </c>
      <c r="AB613">
        <v>11</v>
      </c>
      <c r="AC613">
        <v>86</v>
      </c>
      <c r="AD613">
        <v>16.2</v>
      </c>
      <c r="AE613">
        <v>7.2</v>
      </c>
      <c r="AF613">
        <v>47.567</v>
      </c>
      <c r="AG613">
        <v>69.998000000000005</v>
      </c>
      <c r="AH613">
        <v>52.051000000000002</v>
      </c>
      <c r="AI613">
        <v>25.919</v>
      </c>
      <c r="AJ613">
        <v>62.682000000000002</v>
      </c>
      <c r="AK613">
        <v>30.053999999999998</v>
      </c>
      <c r="AL613">
        <v>-0.76400000000000001</v>
      </c>
      <c r="AM613">
        <v>52.051000000000002</v>
      </c>
      <c r="AN613">
        <v>69.998000000000005</v>
      </c>
      <c r="AO613">
        <v>47.567</v>
      </c>
      <c r="AP613">
        <v>0.76400000000000001</v>
      </c>
      <c r="AQ613">
        <v>37.317999999999998</v>
      </c>
      <c r="AR613">
        <v>74.081000000000003</v>
      </c>
      <c r="AS613">
        <v>69.945999999999998</v>
      </c>
    </row>
    <row r="614" spans="1:45" x14ac:dyDescent="0.25">
      <c r="A614">
        <v>71</v>
      </c>
      <c r="B614">
        <v>3</v>
      </c>
      <c r="C614">
        <v>1</v>
      </c>
      <c r="D614">
        <v>2020</v>
      </c>
      <c r="E614">
        <v>7</v>
      </c>
      <c r="F614" t="str">
        <f>IFERROR(VLOOKUP(G614, Map!$A$1:$B$33, 2, FALSE),"WAS")</f>
        <v>ARI</v>
      </c>
      <c r="G614" t="s">
        <v>156</v>
      </c>
      <c r="H614" t="str">
        <f>IFERROR(VLOOKUP(I614, Map!$A$1:$B$33, 2, FALSE),"WAS")</f>
        <v>SEA</v>
      </c>
      <c r="I614" t="s">
        <v>144</v>
      </c>
      <c r="J614" t="s">
        <v>190</v>
      </c>
      <c r="K614" t="s">
        <v>182</v>
      </c>
      <c r="L614">
        <v>1</v>
      </c>
      <c r="M614">
        <v>0</v>
      </c>
      <c r="N614">
        <v>50.227272727272698</v>
      </c>
      <c r="O614">
        <v>2.8181818181818201</v>
      </c>
      <c r="P614">
        <v>3</v>
      </c>
      <c r="Q614">
        <v>54.5</v>
      </c>
      <c r="R614">
        <v>16.399999999999999</v>
      </c>
      <c r="S614">
        <v>22.5</v>
      </c>
      <c r="T614">
        <v>11.4</v>
      </c>
      <c r="U614">
        <v>13.8</v>
      </c>
      <c r="V614">
        <v>0</v>
      </c>
      <c r="W614">
        <v>0</v>
      </c>
      <c r="X614">
        <v>0</v>
      </c>
      <c r="Y614">
        <v>0</v>
      </c>
      <c r="Z614">
        <v>13.7</v>
      </c>
      <c r="AA614">
        <v>31</v>
      </c>
      <c r="AB614">
        <v>305</v>
      </c>
      <c r="AC614">
        <v>44</v>
      </c>
      <c r="AD614">
        <v>19.5</v>
      </c>
      <c r="AE614">
        <v>7.3</v>
      </c>
      <c r="AF614">
        <v>41.671999999999997</v>
      </c>
      <c r="AG614">
        <v>72.507000000000005</v>
      </c>
      <c r="AH614">
        <v>57.993000000000002</v>
      </c>
      <c r="AI614">
        <v>30.427</v>
      </c>
      <c r="AJ614">
        <v>62.192999999999998</v>
      </c>
      <c r="AK614">
        <v>40.372999999999998</v>
      </c>
      <c r="AL614">
        <v>-2.798</v>
      </c>
      <c r="AM614">
        <v>57.993000000000002</v>
      </c>
      <c r="AN614">
        <v>72.507000000000005</v>
      </c>
      <c r="AO614">
        <v>41.671999999999997</v>
      </c>
      <c r="AP614">
        <v>2.798</v>
      </c>
      <c r="AQ614">
        <v>37.807000000000002</v>
      </c>
      <c r="AR614">
        <v>69.572999999999993</v>
      </c>
      <c r="AS614">
        <v>59.627000000000002</v>
      </c>
    </row>
    <row r="615" spans="1:45" x14ac:dyDescent="0.25">
      <c r="A615">
        <v>55</v>
      </c>
      <c r="B615">
        <v>-15</v>
      </c>
      <c r="C615">
        <v>0</v>
      </c>
      <c r="D615">
        <v>2020</v>
      </c>
      <c r="E615">
        <v>7</v>
      </c>
      <c r="F615" t="str">
        <f>IFERROR(VLOOKUP(G615, Map!$A$1:$B$33, 2, FALSE),"WAS")</f>
        <v>HOU</v>
      </c>
      <c r="G615" t="s">
        <v>137</v>
      </c>
      <c r="H615" t="str">
        <f>IFERROR(VLOOKUP(I615, Map!$A$1:$B$33, 2, FALSE),"WAS")</f>
        <v>GB</v>
      </c>
      <c r="I615" t="s">
        <v>154</v>
      </c>
      <c r="J615" t="s">
        <v>209</v>
      </c>
      <c r="K615" t="s">
        <v>200</v>
      </c>
      <c r="L615">
        <v>0</v>
      </c>
      <c r="M615">
        <v>0</v>
      </c>
      <c r="N615">
        <v>47.153846153846203</v>
      </c>
      <c r="O615">
        <v>2.5</v>
      </c>
      <c r="P615">
        <v>2.5</v>
      </c>
      <c r="Q615">
        <v>0</v>
      </c>
      <c r="R615">
        <v>19.7</v>
      </c>
      <c r="S615">
        <v>23.5</v>
      </c>
      <c r="T615">
        <v>17.2</v>
      </c>
      <c r="U615">
        <v>20.3</v>
      </c>
      <c r="V615">
        <v>0.3</v>
      </c>
      <c r="W615">
        <v>0</v>
      </c>
      <c r="X615">
        <v>2</v>
      </c>
      <c r="Y615">
        <v>0.3</v>
      </c>
      <c r="Z615">
        <v>19.5</v>
      </c>
      <c r="AA615">
        <v>32.4</v>
      </c>
      <c r="AB615">
        <v>98</v>
      </c>
      <c r="AC615">
        <v>77</v>
      </c>
      <c r="AD615">
        <v>16.899999999999999</v>
      </c>
      <c r="AE615">
        <v>9.1999999999999993</v>
      </c>
      <c r="AF615">
        <v>41.767000000000003</v>
      </c>
      <c r="AG615">
        <v>68.653999999999996</v>
      </c>
      <c r="AH615">
        <v>57.898000000000003</v>
      </c>
      <c r="AI615">
        <v>4.9740000000000002</v>
      </c>
      <c r="AJ615">
        <v>39.945999999999998</v>
      </c>
      <c r="AK615">
        <v>7.7240000000000002</v>
      </c>
      <c r="AL615">
        <v>-2.7650000000000001</v>
      </c>
      <c r="AM615">
        <v>57.898000000000003</v>
      </c>
      <c r="AN615">
        <v>68.653999999999996</v>
      </c>
      <c r="AO615">
        <v>41.767000000000003</v>
      </c>
      <c r="AP615">
        <v>2.7650000000000001</v>
      </c>
      <c r="AQ615">
        <v>60.054000000000002</v>
      </c>
      <c r="AR615">
        <v>95.025999999999996</v>
      </c>
      <c r="AS615">
        <v>92.275999999999996</v>
      </c>
    </row>
    <row r="616" spans="1:45" x14ac:dyDescent="0.25">
      <c r="A616">
        <v>71</v>
      </c>
      <c r="B616">
        <v>-3</v>
      </c>
      <c r="C616">
        <v>0</v>
      </c>
      <c r="D616">
        <v>2020</v>
      </c>
      <c r="E616">
        <v>7</v>
      </c>
      <c r="F616" t="str">
        <f>IFERROR(VLOOKUP(G616, Map!$A$1:$B$33, 2, FALSE),"WAS")</f>
        <v>CIN</v>
      </c>
      <c r="G616" t="s">
        <v>161</v>
      </c>
      <c r="H616" t="str">
        <f>IFERROR(VLOOKUP(I616, Map!$A$1:$B$33, 2, FALSE),"WAS")</f>
        <v>CLE</v>
      </c>
      <c r="I616" t="s">
        <v>162</v>
      </c>
      <c r="J616" t="s">
        <v>176</v>
      </c>
      <c r="K616" t="s">
        <v>171</v>
      </c>
      <c r="L616">
        <v>0</v>
      </c>
      <c r="M616">
        <v>0</v>
      </c>
      <c r="N616">
        <v>42.461538461538503</v>
      </c>
      <c r="O616">
        <v>3.3461538461538498</v>
      </c>
      <c r="P616">
        <v>3.5</v>
      </c>
      <c r="Q616">
        <v>0</v>
      </c>
      <c r="R616">
        <v>8.6999999999999993</v>
      </c>
      <c r="S616">
        <v>11.6</v>
      </c>
      <c r="T616">
        <v>7</v>
      </c>
      <c r="U616">
        <v>5.5</v>
      </c>
      <c r="V616">
        <v>2.2000000000000002</v>
      </c>
      <c r="W616">
        <v>0</v>
      </c>
      <c r="X616">
        <v>7</v>
      </c>
      <c r="Y616">
        <v>2.2000000000000002</v>
      </c>
      <c r="Z616">
        <v>14</v>
      </c>
      <c r="AA616">
        <v>30.6</v>
      </c>
      <c r="AB616">
        <v>53</v>
      </c>
      <c r="AC616">
        <v>71</v>
      </c>
      <c r="AD616">
        <v>26.7</v>
      </c>
      <c r="AE616">
        <v>12.2</v>
      </c>
      <c r="AF616">
        <v>44.387999999999998</v>
      </c>
      <c r="AG616">
        <v>28.745999999999999</v>
      </c>
      <c r="AH616">
        <v>55.255000000000003</v>
      </c>
      <c r="AI616">
        <v>1.7889999999999999</v>
      </c>
      <c r="AJ616">
        <v>89.623000000000005</v>
      </c>
      <c r="AK616">
        <v>45.317999999999998</v>
      </c>
      <c r="AL616">
        <v>-1.8560000000000001</v>
      </c>
      <c r="AM616">
        <v>55.255000000000003</v>
      </c>
      <c r="AN616">
        <v>28.745999999999999</v>
      </c>
      <c r="AO616">
        <v>44.387999999999998</v>
      </c>
      <c r="AP616">
        <v>1.8560000000000001</v>
      </c>
      <c r="AQ616">
        <v>10.377000000000001</v>
      </c>
      <c r="AR616">
        <v>98.210999999999999</v>
      </c>
      <c r="AS616">
        <v>54.682000000000002</v>
      </c>
    </row>
    <row r="617" spans="1:45" x14ac:dyDescent="0.25">
      <c r="A617">
        <v>68</v>
      </c>
      <c r="B617">
        <v>10</v>
      </c>
      <c r="C617">
        <v>1</v>
      </c>
      <c r="D617">
        <v>2020</v>
      </c>
      <c r="E617">
        <v>7</v>
      </c>
      <c r="F617" t="str">
        <f>IFERROR(VLOOKUP(G617, Map!$A$1:$B$33, 2, FALSE),"WAS")</f>
        <v>LAC</v>
      </c>
      <c r="G617" t="s">
        <v>160</v>
      </c>
      <c r="H617" t="str">
        <f>IFERROR(VLOOKUP(I617, Map!$A$1:$B$33, 2, FALSE),"WAS")</f>
        <v>JAX</v>
      </c>
      <c r="I617" t="s">
        <v>139</v>
      </c>
      <c r="J617" t="s">
        <v>210</v>
      </c>
      <c r="K617" t="s">
        <v>220</v>
      </c>
      <c r="L617">
        <v>1</v>
      </c>
      <c r="M617">
        <v>0</v>
      </c>
      <c r="N617">
        <v>40.5</v>
      </c>
      <c r="O617">
        <v>-6.4166666666666696</v>
      </c>
      <c r="P617">
        <v>-7.5</v>
      </c>
      <c r="Q617">
        <v>0</v>
      </c>
      <c r="R617">
        <v>18.3</v>
      </c>
      <c r="S617">
        <v>20.6</v>
      </c>
      <c r="T617">
        <v>16.2</v>
      </c>
      <c r="U617">
        <v>17.399999999999999</v>
      </c>
      <c r="V617">
        <v>0.4</v>
      </c>
      <c r="W617">
        <v>0</v>
      </c>
      <c r="X617">
        <v>3</v>
      </c>
      <c r="Y617">
        <v>0.4</v>
      </c>
      <c r="Z617">
        <v>23.9</v>
      </c>
      <c r="AA617">
        <v>41.4</v>
      </c>
      <c r="AB617">
        <v>255</v>
      </c>
      <c r="AC617">
        <v>73</v>
      </c>
      <c r="AD617">
        <v>23</v>
      </c>
      <c r="AE617">
        <v>13.3</v>
      </c>
      <c r="AF617">
        <v>71.724000000000004</v>
      </c>
      <c r="AG617">
        <v>29.974</v>
      </c>
      <c r="AH617">
        <v>28.050999999999998</v>
      </c>
      <c r="AI617">
        <v>59.655999999999999</v>
      </c>
      <c r="AJ617">
        <v>89.460999999999999</v>
      </c>
      <c r="AK617">
        <v>73.739999999999995</v>
      </c>
      <c r="AL617">
        <v>7.851</v>
      </c>
      <c r="AM617">
        <v>28.050999999999998</v>
      </c>
      <c r="AN617">
        <v>29.974</v>
      </c>
      <c r="AO617">
        <v>71.724000000000004</v>
      </c>
      <c r="AP617">
        <v>-7.851</v>
      </c>
      <c r="AQ617">
        <v>10.539</v>
      </c>
      <c r="AR617">
        <v>40.344000000000001</v>
      </c>
      <c r="AS617">
        <v>26.26</v>
      </c>
    </row>
    <row r="618" spans="1:45" x14ac:dyDescent="0.25">
      <c r="A618">
        <v>51</v>
      </c>
      <c r="B618">
        <v>3</v>
      </c>
      <c r="C618">
        <v>1</v>
      </c>
      <c r="D618">
        <v>2020</v>
      </c>
      <c r="E618">
        <v>7</v>
      </c>
      <c r="F618" t="str">
        <f>IFERROR(VLOOKUP(G618, Map!$A$1:$B$33, 2, FALSE),"WAS")</f>
        <v>NO</v>
      </c>
      <c r="G618" t="s">
        <v>168</v>
      </c>
      <c r="H618" t="str">
        <f>IFERROR(VLOOKUP(I618, Map!$A$1:$B$33, 2, FALSE),"WAS")</f>
        <v>CAR</v>
      </c>
      <c r="I618" t="s">
        <v>142</v>
      </c>
      <c r="J618" t="s">
        <v>192</v>
      </c>
      <c r="K618" t="s">
        <v>185</v>
      </c>
      <c r="L618">
        <v>1</v>
      </c>
      <c r="M618">
        <v>0</v>
      </c>
      <c r="N618">
        <v>46.115384615384599</v>
      </c>
      <c r="O618">
        <v>-5.8461538461538503</v>
      </c>
      <c r="P618">
        <v>-6.5</v>
      </c>
      <c r="Q618">
        <v>49.5</v>
      </c>
      <c r="R618">
        <v>19.5</v>
      </c>
      <c r="S618">
        <v>22.7</v>
      </c>
      <c r="T618">
        <v>17</v>
      </c>
      <c r="U618">
        <v>20.100000000000001</v>
      </c>
      <c r="V618">
        <v>0</v>
      </c>
      <c r="W618">
        <v>0</v>
      </c>
      <c r="X618">
        <v>0</v>
      </c>
      <c r="Y618">
        <v>0</v>
      </c>
      <c r="Z618">
        <v>17.2</v>
      </c>
      <c r="AA618">
        <v>30.6</v>
      </c>
      <c r="AB618">
        <v>360</v>
      </c>
      <c r="AC618">
        <v>80</v>
      </c>
      <c r="AD618">
        <v>24.2</v>
      </c>
      <c r="AE618">
        <v>11.6</v>
      </c>
      <c r="AF618">
        <v>69.924000000000007</v>
      </c>
      <c r="AG618">
        <v>54.197000000000003</v>
      </c>
      <c r="AH618">
        <v>29.837</v>
      </c>
      <c r="AI618">
        <v>8.1989999999999998</v>
      </c>
      <c r="AJ618">
        <v>87.23</v>
      </c>
      <c r="AK618">
        <v>62.695</v>
      </c>
      <c r="AL618">
        <v>7.14</v>
      </c>
      <c r="AM618">
        <v>29.837</v>
      </c>
      <c r="AN618">
        <v>54.197000000000003</v>
      </c>
      <c r="AO618">
        <v>69.924000000000007</v>
      </c>
      <c r="AP618">
        <v>-7.14</v>
      </c>
      <c r="AQ618">
        <v>12.77</v>
      </c>
      <c r="AR618">
        <v>91.801000000000002</v>
      </c>
      <c r="AS618">
        <v>37.305</v>
      </c>
    </row>
    <row r="619" spans="1:45" x14ac:dyDescent="0.25">
      <c r="A619">
        <v>50</v>
      </c>
      <c r="B619">
        <v>-6</v>
      </c>
      <c r="C619">
        <v>0</v>
      </c>
      <c r="D619">
        <v>2020</v>
      </c>
      <c r="E619">
        <v>8</v>
      </c>
      <c r="F619" t="str">
        <f>IFERROR(VLOOKUP(G619, Map!$A$1:$B$33, 2, FALSE),"WAS")</f>
        <v>GB</v>
      </c>
      <c r="G619" t="s">
        <v>154</v>
      </c>
      <c r="H619" t="str">
        <f>IFERROR(VLOOKUP(I619, Map!$A$1:$B$33, 2, FALSE),"WAS")</f>
        <v>MIN</v>
      </c>
      <c r="I619" t="s">
        <v>153</v>
      </c>
      <c r="J619" t="s">
        <v>200</v>
      </c>
      <c r="K619" t="s">
        <v>214</v>
      </c>
      <c r="L619">
        <v>0</v>
      </c>
      <c r="M619">
        <v>0</v>
      </c>
      <c r="N619">
        <v>44.125</v>
      </c>
      <c r="O619">
        <v>-4.9166666666666696</v>
      </c>
      <c r="P619">
        <v>-5.5</v>
      </c>
      <c r="Q619">
        <v>47.5</v>
      </c>
      <c r="R619">
        <v>3.7</v>
      </c>
      <c r="S619">
        <v>12.3</v>
      </c>
      <c r="T619">
        <v>-1.2</v>
      </c>
      <c r="U619">
        <v>-3.3</v>
      </c>
      <c r="V619">
        <v>1.1000000000000001</v>
      </c>
      <c r="W619">
        <v>0</v>
      </c>
      <c r="X619">
        <v>3</v>
      </c>
      <c r="Y619">
        <v>1.1000000000000001</v>
      </c>
      <c r="Z619">
        <v>39.200000000000003</v>
      </c>
      <c r="AA619">
        <v>81</v>
      </c>
      <c r="AB619">
        <v>290</v>
      </c>
      <c r="AC619">
        <v>52</v>
      </c>
      <c r="AD619">
        <v>60.4</v>
      </c>
      <c r="AE619">
        <v>29.4</v>
      </c>
      <c r="AF619">
        <v>60.752000000000002</v>
      </c>
      <c r="AG619">
        <v>71.191000000000003</v>
      </c>
      <c r="AH619">
        <v>38.935000000000002</v>
      </c>
      <c r="AI619">
        <v>1.9970000000000001</v>
      </c>
      <c r="AJ619">
        <v>74.978999999999999</v>
      </c>
      <c r="AK619">
        <v>21.474</v>
      </c>
      <c r="AL619">
        <v>3.7440000000000002</v>
      </c>
      <c r="AM619">
        <v>38.935000000000002</v>
      </c>
      <c r="AN619">
        <v>71.191000000000003</v>
      </c>
      <c r="AO619">
        <v>60.752000000000002</v>
      </c>
      <c r="AP619">
        <v>-3.7440000000000002</v>
      </c>
      <c r="AQ619">
        <v>25.021000000000001</v>
      </c>
      <c r="AR619">
        <v>98.003</v>
      </c>
      <c r="AS619">
        <v>78.525999999999996</v>
      </c>
    </row>
    <row r="620" spans="1:45" x14ac:dyDescent="0.25">
      <c r="A620">
        <v>22</v>
      </c>
      <c r="B620">
        <v>-10</v>
      </c>
      <c r="C620">
        <v>0</v>
      </c>
      <c r="D620">
        <v>2020</v>
      </c>
      <c r="E620">
        <v>8</v>
      </c>
      <c r="F620" t="str">
        <f>IFERROR(VLOOKUP(G620, Map!$A$1:$B$33, 2, FALSE),"WAS")</f>
        <v>CLE</v>
      </c>
      <c r="G620" t="s">
        <v>162</v>
      </c>
      <c r="H620" t="str">
        <f>IFERROR(VLOOKUP(I620, Map!$A$1:$B$33, 2, FALSE),"WAS")</f>
        <v>LV</v>
      </c>
      <c r="I620" t="s">
        <v>157</v>
      </c>
      <c r="J620" t="s">
        <v>171</v>
      </c>
      <c r="K620" t="s">
        <v>179</v>
      </c>
      <c r="L620">
        <v>0</v>
      </c>
      <c r="M620">
        <v>0</v>
      </c>
      <c r="N620">
        <v>47.545454545454497</v>
      </c>
      <c r="O620">
        <v>-1</v>
      </c>
      <c r="P620">
        <v>-1</v>
      </c>
      <c r="Q620">
        <v>47</v>
      </c>
      <c r="R620">
        <v>7.9</v>
      </c>
      <c r="S620">
        <v>11.7</v>
      </c>
      <c r="T620">
        <v>4</v>
      </c>
      <c r="U620">
        <v>1.1000000000000001</v>
      </c>
      <c r="V620">
        <v>4.8</v>
      </c>
      <c r="W620">
        <v>0.42</v>
      </c>
      <c r="X620">
        <v>11</v>
      </c>
      <c r="Y620">
        <v>4.2</v>
      </c>
      <c r="Z620">
        <v>47.7</v>
      </c>
      <c r="AA620">
        <v>84.2</v>
      </c>
      <c r="AB620">
        <v>240</v>
      </c>
      <c r="AC620">
        <v>65</v>
      </c>
      <c r="AD620">
        <v>55.9</v>
      </c>
      <c r="AE620">
        <v>34.1</v>
      </c>
      <c r="AF620">
        <v>55.460999999999999</v>
      </c>
      <c r="AG620">
        <v>45.473999999999997</v>
      </c>
      <c r="AH620">
        <v>44.183999999999997</v>
      </c>
      <c r="AI620">
        <v>28.856999999999999</v>
      </c>
      <c r="AJ620">
        <v>29.896000000000001</v>
      </c>
      <c r="AK620">
        <v>25.241</v>
      </c>
      <c r="AL620">
        <v>1.917</v>
      </c>
      <c r="AM620">
        <v>44.183999999999997</v>
      </c>
      <c r="AN620">
        <v>45.473999999999997</v>
      </c>
      <c r="AO620">
        <v>55.460999999999999</v>
      </c>
      <c r="AP620">
        <v>-1.917</v>
      </c>
      <c r="AQ620">
        <v>70.103999999999999</v>
      </c>
      <c r="AR620">
        <v>71.143000000000001</v>
      </c>
      <c r="AS620">
        <v>74.759</v>
      </c>
    </row>
    <row r="621" spans="1:45" x14ac:dyDescent="0.25">
      <c r="A621">
        <v>51</v>
      </c>
      <c r="B621">
        <v>11</v>
      </c>
      <c r="C621">
        <v>1</v>
      </c>
      <c r="D621">
        <v>2020</v>
      </c>
      <c r="E621">
        <v>8</v>
      </c>
      <c r="F621" t="str">
        <f>IFERROR(VLOOKUP(G621, Map!$A$1:$B$33, 2, FALSE),"WAS")</f>
        <v>CIN</v>
      </c>
      <c r="G621" t="s">
        <v>161</v>
      </c>
      <c r="H621" t="str">
        <f>IFERROR(VLOOKUP(I621, Map!$A$1:$B$33, 2, FALSE),"WAS")</f>
        <v>TEN</v>
      </c>
      <c r="I621" t="s">
        <v>140</v>
      </c>
      <c r="J621" t="s">
        <v>176</v>
      </c>
      <c r="K621" t="s">
        <v>174</v>
      </c>
      <c r="L621">
        <v>1</v>
      </c>
      <c r="M621">
        <v>0</v>
      </c>
      <c r="N621">
        <v>45.538461538461497</v>
      </c>
      <c r="O621">
        <v>5.8076923076923102</v>
      </c>
      <c r="P621">
        <v>5.5</v>
      </c>
      <c r="Q621">
        <v>49</v>
      </c>
      <c r="R621">
        <v>9.9</v>
      </c>
      <c r="S621">
        <v>12.3</v>
      </c>
      <c r="T621">
        <v>4.4000000000000004</v>
      </c>
      <c r="U621">
        <v>4.7</v>
      </c>
      <c r="V621">
        <v>0.2</v>
      </c>
      <c r="W621">
        <v>0</v>
      </c>
      <c r="X621">
        <v>1</v>
      </c>
      <c r="Y621">
        <v>0.2</v>
      </c>
      <c r="Z621">
        <v>31.7</v>
      </c>
      <c r="AA621">
        <v>66.2</v>
      </c>
      <c r="AB621">
        <v>257</v>
      </c>
      <c r="AC621">
        <v>58</v>
      </c>
      <c r="AD621">
        <v>47.7</v>
      </c>
      <c r="AE621">
        <v>23.3</v>
      </c>
      <c r="AF621">
        <v>35.936999999999998</v>
      </c>
      <c r="AG621">
        <v>36.125</v>
      </c>
      <c r="AH621">
        <v>63.774000000000001</v>
      </c>
      <c r="AI621">
        <v>30.745999999999999</v>
      </c>
      <c r="AJ621">
        <v>89.534999999999997</v>
      </c>
      <c r="AK621">
        <v>82.262</v>
      </c>
      <c r="AL621">
        <v>-4.8170000000000002</v>
      </c>
      <c r="AM621">
        <v>63.774000000000001</v>
      </c>
      <c r="AN621">
        <v>36.125</v>
      </c>
      <c r="AO621">
        <v>35.936999999999998</v>
      </c>
      <c r="AP621">
        <v>4.8170000000000002</v>
      </c>
      <c r="AQ621">
        <v>10.465</v>
      </c>
      <c r="AR621">
        <v>69.254000000000005</v>
      </c>
      <c r="AS621">
        <v>17.738</v>
      </c>
    </row>
    <row r="622" spans="1:45" x14ac:dyDescent="0.25">
      <c r="A622">
        <v>62</v>
      </c>
      <c r="B622">
        <v>-20</v>
      </c>
      <c r="C622">
        <v>0</v>
      </c>
      <c r="D622">
        <v>2020</v>
      </c>
      <c r="E622">
        <v>8</v>
      </c>
      <c r="F622" t="str">
        <f>IFERROR(VLOOKUP(G622, Map!$A$1:$B$33, 2, FALSE),"WAS")</f>
        <v>DET</v>
      </c>
      <c r="G622" t="s">
        <v>164</v>
      </c>
      <c r="H622" t="str">
        <f>IFERROR(VLOOKUP(I622, Map!$A$1:$B$33, 2, FALSE),"WAS")</f>
        <v>IND</v>
      </c>
      <c r="I622" t="s">
        <v>138</v>
      </c>
      <c r="J622" t="s">
        <v>173</v>
      </c>
      <c r="K622" t="s">
        <v>177</v>
      </c>
      <c r="L622">
        <v>0</v>
      </c>
      <c r="M622">
        <v>0</v>
      </c>
      <c r="N622">
        <v>45.125</v>
      </c>
      <c r="O622">
        <v>2.75</v>
      </c>
      <c r="P622">
        <v>2.5</v>
      </c>
      <c r="Q622">
        <v>49</v>
      </c>
      <c r="R622">
        <v>6.8</v>
      </c>
      <c r="S622">
        <v>9.3000000000000007</v>
      </c>
      <c r="T622">
        <v>2.5</v>
      </c>
      <c r="U622">
        <v>0.1</v>
      </c>
      <c r="V622">
        <v>3</v>
      </c>
      <c r="W622">
        <v>0</v>
      </c>
      <c r="X622">
        <v>4</v>
      </c>
      <c r="Y622">
        <v>3</v>
      </c>
      <c r="Z622">
        <v>41.2</v>
      </c>
      <c r="AA622">
        <v>69.099999999999994</v>
      </c>
      <c r="AB622">
        <v>253</v>
      </c>
      <c r="AC622">
        <v>62</v>
      </c>
      <c r="AD622">
        <v>53.2</v>
      </c>
      <c r="AE622">
        <v>31.9</v>
      </c>
      <c r="AF622">
        <v>42.533000000000001</v>
      </c>
      <c r="AG622">
        <v>32.457999999999998</v>
      </c>
      <c r="AH622">
        <v>57.125</v>
      </c>
      <c r="AI622">
        <v>14.063000000000001</v>
      </c>
      <c r="AJ622">
        <v>20.515999999999998</v>
      </c>
      <c r="AK622">
        <v>12.98</v>
      </c>
      <c r="AL622">
        <v>-2.4860000000000002</v>
      </c>
      <c r="AM622">
        <v>57.125</v>
      </c>
      <c r="AN622">
        <v>32.457999999999998</v>
      </c>
      <c r="AO622">
        <v>42.533000000000001</v>
      </c>
      <c r="AP622">
        <v>2.4860000000000002</v>
      </c>
      <c r="AQ622">
        <v>79.483999999999995</v>
      </c>
      <c r="AR622">
        <v>85.936999999999998</v>
      </c>
      <c r="AS622">
        <v>87.02</v>
      </c>
    </row>
    <row r="623" spans="1:45" x14ac:dyDescent="0.25">
      <c r="A623">
        <v>52</v>
      </c>
      <c r="B623">
        <v>-4</v>
      </c>
      <c r="C623">
        <v>0</v>
      </c>
      <c r="D623">
        <v>2020</v>
      </c>
      <c r="E623">
        <v>8</v>
      </c>
      <c r="F623" t="str">
        <f>IFERROR(VLOOKUP(G623, Map!$A$1:$B$33, 2, FALSE),"WAS")</f>
        <v>BAL</v>
      </c>
      <c r="G623" t="s">
        <v>146</v>
      </c>
      <c r="H623" t="str">
        <f>IFERROR(VLOOKUP(I623, Map!$A$1:$B$33, 2, FALSE),"WAS")</f>
        <v>PIT</v>
      </c>
      <c r="I623" t="s">
        <v>145</v>
      </c>
      <c r="J623" t="s">
        <v>181</v>
      </c>
      <c r="K623" t="s">
        <v>170</v>
      </c>
      <c r="L623">
        <v>0</v>
      </c>
      <c r="M623">
        <v>0</v>
      </c>
      <c r="N623">
        <v>37.25</v>
      </c>
      <c r="O623">
        <v>-3.25</v>
      </c>
      <c r="P623">
        <v>-3.5</v>
      </c>
      <c r="Q623">
        <v>0</v>
      </c>
      <c r="R623">
        <v>10.1</v>
      </c>
      <c r="S623">
        <v>14.2</v>
      </c>
      <c r="T623">
        <v>7.9</v>
      </c>
      <c r="U623">
        <v>7.5</v>
      </c>
      <c r="V623">
        <v>9.5</v>
      </c>
      <c r="W623">
        <v>0</v>
      </c>
      <c r="X623">
        <v>6</v>
      </c>
      <c r="Y623">
        <v>9.5</v>
      </c>
      <c r="Z623">
        <v>25.8</v>
      </c>
      <c r="AA623">
        <v>46.1</v>
      </c>
      <c r="AB623">
        <v>204</v>
      </c>
      <c r="AC623">
        <v>81</v>
      </c>
      <c r="AD623">
        <v>25</v>
      </c>
      <c r="AE623">
        <v>13.1</v>
      </c>
      <c r="AF623">
        <v>66.944000000000003</v>
      </c>
      <c r="AG623">
        <v>72.844999999999999</v>
      </c>
      <c r="AH623">
        <v>32.792000000000002</v>
      </c>
      <c r="AI623">
        <v>36.627000000000002</v>
      </c>
      <c r="AJ623">
        <v>37.023000000000003</v>
      </c>
      <c r="AK623">
        <v>41.026000000000003</v>
      </c>
      <c r="AL623">
        <v>5.976</v>
      </c>
      <c r="AM623">
        <v>32.792000000000002</v>
      </c>
      <c r="AN623">
        <v>72.844999999999999</v>
      </c>
      <c r="AO623">
        <v>66.944000000000003</v>
      </c>
      <c r="AP623">
        <v>-5.976</v>
      </c>
      <c r="AQ623">
        <v>62.976999999999997</v>
      </c>
      <c r="AR623">
        <v>63.372999999999998</v>
      </c>
      <c r="AS623">
        <v>58.973999999999997</v>
      </c>
    </row>
    <row r="624" spans="1:45" x14ac:dyDescent="0.25">
      <c r="A624">
        <v>45</v>
      </c>
      <c r="B624">
        <v>11</v>
      </c>
      <c r="C624">
        <v>1</v>
      </c>
      <c r="D624">
        <v>2020</v>
      </c>
      <c r="E624">
        <v>8</v>
      </c>
      <c r="F624" t="str">
        <f>IFERROR(VLOOKUP(G624, Map!$A$1:$B$33, 2, FALSE),"WAS")</f>
        <v>MIA</v>
      </c>
      <c r="G624" t="s">
        <v>152</v>
      </c>
      <c r="H624" t="str">
        <f>IFERROR(VLOOKUP(I624, Map!$A$1:$B$33, 2, FALSE),"WAS")</f>
        <v>LA</v>
      </c>
      <c r="I624" t="s">
        <v>155</v>
      </c>
      <c r="J624" t="s">
        <v>175</v>
      </c>
      <c r="K624" t="s">
        <v>178</v>
      </c>
      <c r="L624">
        <v>1</v>
      </c>
      <c r="M624">
        <v>0</v>
      </c>
      <c r="N624">
        <v>42.692307692307701</v>
      </c>
      <c r="O624">
        <v>2.9230769230769198</v>
      </c>
      <c r="P624">
        <v>3</v>
      </c>
      <c r="Q624">
        <v>45.5</v>
      </c>
      <c r="R624">
        <v>25.8</v>
      </c>
      <c r="S624">
        <v>28.8</v>
      </c>
      <c r="T624">
        <v>24.3</v>
      </c>
      <c r="U624">
        <v>30.2</v>
      </c>
      <c r="V624">
        <v>4.5</v>
      </c>
      <c r="W624">
        <v>0</v>
      </c>
      <c r="X624">
        <v>19</v>
      </c>
      <c r="Y624">
        <v>4.5</v>
      </c>
      <c r="Z624">
        <v>12.7</v>
      </c>
      <c r="AA624">
        <v>28.4</v>
      </c>
      <c r="AB624">
        <v>71</v>
      </c>
      <c r="AC624">
        <v>88</v>
      </c>
      <c r="AD624">
        <v>22</v>
      </c>
      <c r="AE624">
        <v>10</v>
      </c>
      <c r="AF624">
        <v>43.470999999999997</v>
      </c>
      <c r="AG624">
        <v>61.281999999999996</v>
      </c>
      <c r="AH624">
        <v>56.18</v>
      </c>
      <c r="AI624">
        <v>98.103999999999999</v>
      </c>
      <c r="AJ624">
        <v>0.64800000000000002</v>
      </c>
      <c r="AK624">
        <v>88.456999999999994</v>
      </c>
      <c r="AL624">
        <v>-2.1629999999999998</v>
      </c>
      <c r="AM624">
        <v>56.18</v>
      </c>
      <c r="AN624">
        <v>61.281999999999996</v>
      </c>
      <c r="AO624">
        <v>43.470999999999997</v>
      </c>
      <c r="AP624">
        <v>2.1629999999999998</v>
      </c>
      <c r="AQ624">
        <v>99.352000000000004</v>
      </c>
      <c r="AR624">
        <v>1.8959999999999999</v>
      </c>
      <c r="AS624">
        <v>11.542999999999999</v>
      </c>
    </row>
    <row r="625" spans="1:45" x14ac:dyDescent="0.25">
      <c r="A625">
        <v>44</v>
      </c>
      <c r="B625">
        <v>26</v>
      </c>
      <c r="C625">
        <v>1</v>
      </c>
      <c r="D625">
        <v>2020</v>
      </c>
      <c r="E625">
        <v>8</v>
      </c>
      <c r="F625" t="str">
        <f>IFERROR(VLOOKUP(G625, Map!$A$1:$B$33, 2, FALSE),"WAS")</f>
        <v>KC</v>
      </c>
      <c r="G625" t="s">
        <v>158</v>
      </c>
      <c r="H625" t="str">
        <f>IFERROR(VLOOKUP(I625, Map!$A$1:$B$33, 2, FALSE),"WAS")</f>
        <v>NYJ</v>
      </c>
      <c r="I625" t="s">
        <v>166</v>
      </c>
      <c r="J625" t="s">
        <v>202</v>
      </c>
      <c r="K625" t="s">
        <v>172</v>
      </c>
      <c r="L625">
        <v>1</v>
      </c>
      <c r="M625">
        <v>0</v>
      </c>
      <c r="N625">
        <v>44.8333333333333</v>
      </c>
      <c r="O625">
        <v>-16.375</v>
      </c>
      <c r="P625">
        <v>-19.5</v>
      </c>
      <c r="Q625">
        <v>48.5</v>
      </c>
      <c r="R625">
        <v>9.1</v>
      </c>
      <c r="S625">
        <v>13.6</v>
      </c>
      <c r="T625">
        <v>3.7</v>
      </c>
      <c r="U625">
        <v>4.5</v>
      </c>
      <c r="V625">
        <v>0</v>
      </c>
      <c r="W625">
        <v>0</v>
      </c>
      <c r="X625">
        <v>0</v>
      </c>
      <c r="Y625">
        <v>0</v>
      </c>
      <c r="Z625">
        <v>23</v>
      </c>
      <c r="AA625">
        <v>41.4</v>
      </c>
      <c r="AB625">
        <v>321</v>
      </c>
      <c r="AC625">
        <v>45</v>
      </c>
      <c r="AD625">
        <v>31.7</v>
      </c>
      <c r="AE625">
        <v>15.7</v>
      </c>
      <c r="AF625">
        <v>94.11</v>
      </c>
      <c r="AG625">
        <v>50.015999999999998</v>
      </c>
      <c r="AH625">
        <v>5.843</v>
      </c>
      <c r="AI625">
        <v>72.554000000000002</v>
      </c>
      <c r="AJ625">
        <v>94.77</v>
      </c>
      <c r="AK625">
        <v>92.808000000000007</v>
      </c>
      <c r="AL625">
        <v>21.172999999999998</v>
      </c>
      <c r="AM625">
        <v>5.843</v>
      </c>
      <c r="AN625">
        <v>50.015999999999998</v>
      </c>
      <c r="AO625">
        <v>94.11</v>
      </c>
      <c r="AP625">
        <v>-21.172999999999998</v>
      </c>
      <c r="AQ625">
        <v>5.23</v>
      </c>
      <c r="AR625">
        <v>27.446000000000002</v>
      </c>
      <c r="AS625">
        <v>7.1920000000000002</v>
      </c>
    </row>
    <row r="626" spans="1:45" x14ac:dyDescent="0.25">
      <c r="A626">
        <v>32</v>
      </c>
      <c r="B626">
        <v>14</v>
      </c>
      <c r="C626">
        <v>1</v>
      </c>
      <c r="D626">
        <v>2020</v>
      </c>
      <c r="E626">
        <v>8</v>
      </c>
      <c r="F626" t="str">
        <f>IFERROR(VLOOKUP(G626, Map!$A$1:$B$33, 2, FALSE),"WAS")</f>
        <v>PHI</v>
      </c>
      <c r="G626" t="s">
        <v>147</v>
      </c>
      <c r="H626" t="str">
        <f>IFERROR(VLOOKUP(I626, Map!$A$1:$B$33, 2, FALSE),"WAS")</f>
        <v>DAL</v>
      </c>
      <c r="I626" t="s">
        <v>150</v>
      </c>
      <c r="J626" t="s">
        <v>206</v>
      </c>
      <c r="K626" t="s">
        <v>184</v>
      </c>
      <c r="L626">
        <v>1</v>
      </c>
      <c r="M626">
        <v>0</v>
      </c>
      <c r="N626">
        <v>39.3333333333333</v>
      </c>
      <c r="O626">
        <v>-8.4583333333333304</v>
      </c>
      <c r="P626">
        <v>-10</v>
      </c>
      <c r="Q626">
        <v>42</v>
      </c>
      <c r="R626">
        <v>6</v>
      </c>
      <c r="S626">
        <v>10.3</v>
      </c>
      <c r="T626">
        <v>2.8</v>
      </c>
      <c r="U626">
        <v>-0.6</v>
      </c>
      <c r="V626">
        <v>0</v>
      </c>
      <c r="W626">
        <v>0</v>
      </c>
      <c r="X626">
        <v>0</v>
      </c>
      <c r="Y626">
        <v>0</v>
      </c>
      <c r="Z626">
        <v>35.4</v>
      </c>
      <c r="AA626">
        <v>67.7</v>
      </c>
      <c r="AB626">
        <v>292</v>
      </c>
      <c r="AC626">
        <v>49</v>
      </c>
      <c r="AD626">
        <v>51.4</v>
      </c>
      <c r="AE626">
        <v>26.9</v>
      </c>
      <c r="AF626">
        <v>75.403000000000006</v>
      </c>
      <c r="AG626">
        <v>32.398000000000003</v>
      </c>
      <c r="AH626">
        <v>24.401</v>
      </c>
      <c r="AI626">
        <v>95.355000000000004</v>
      </c>
      <c r="AJ626">
        <v>26.469000000000001</v>
      </c>
      <c r="AK626">
        <v>75.680000000000007</v>
      </c>
      <c r="AL626">
        <v>9.3330000000000002</v>
      </c>
      <c r="AM626">
        <v>24.401</v>
      </c>
      <c r="AN626">
        <v>32.398000000000003</v>
      </c>
      <c r="AO626">
        <v>75.403000000000006</v>
      </c>
      <c r="AP626">
        <v>-9.3330000000000002</v>
      </c>
      <c r="AQ626">
        <v>73.531000000000006</v>
      </c>
      <c r="AR626">
        <v>4.6449999999999996</v>
      </c>
      <c r="AS626">
        <v>24.32</v>
      </c>
    </row>
    <row r="627" spans="1:45" x14ac:dyDescent="0.25">
      <c r="A627">
        <v>42</v>
      </c>
      <c r="B627">
        <v>-8</v>
      </c>
      <c r="C627">
        <v>0</v>
      </c>
      <c r="D627">
        <v>2020</v>
      </c>
      <c r="E627">
        <v>8</v>
      </c>
      <c r="F627" t="str">
        <f>IFERROR(VLOOKUP(G627, Map!$A$1:$B$33, 2, FALSE),"WAS")</f>
        <v>CAR</v>
      </c>
      <c r="G627" t="s">
        <v>142</v>
      </c>
      <c r="H627" t="str">
        <f>IFERROR(VLOOKUP(I627, Map!$A$1:$B$33, 2, FALSE),"WAS")</f>
        <v>ATL</v>
      </c>
      <c r="I627" t="s">
        <v>167</v>
      </c>
      <c r="J627" t="s">
        <v>185</v>
      </c>
      <c r="K627" t="s">
        <v>188</v>
      </c>
      <c r="L627">
        <v>0</v>
      </c>
      <c r="M627">
        <v>0</v>
      </c>
      <c r="N627">
        <v>47.5</v>
      </c>
      <c r="O627">
        <v>-1.4166666666666701</v>
      </c>
      <c r="P627">
        <v>-1</v>
      </c>
      <c r="Q627">
        <v>51.5</v>
      </c>
      <c r="R627">
        <v>17</v>
      </c>
      <c r="S627">
        <v>23.2</v>
      </c>
      <c r="T627">
        <v>11.9</v>
      </c>
      <c r="U627">
        <v>14.8</v>
      </c>
      <c r="V627">
        <v>8.9</v>
      </c>
      <c r="W627">
        <v>0</v>
      </c>
      <c r="X627">
        <v>5</v>
      </c>
      <c r="Y627">
        <v>8.9</v>
      </c>
      <c r="Z627">
        <v>24.6</v>
      </c>
      <c r="AA627">
        <v>45.7</v>
      </c>
      <c r="AB627">
        <v>304</v>
      </c>
      <c r="AC627">
        <v>69</v>
      </c>
      <c r="AD627">
        <v>37.9</v>
      </c>
      <c r="AE627">
        <v>18.8</v>
      </c>
      <c r="AF627">
        <v>55.658000000000001</v>
      </c>
      <c r="AG627">
        <v>44.378</v>
      </c>
      <c r="AH627">
        <v>43.988</v>
      </c>
      <c r="AI627">
        <v>19.585999999999999</v>
      </c>
      <c r="AJ627">
        <v>36.482999999999997</v>
      </c>
      <c r="AK627">
        <v>29.986999999999998</v>
      </c>
      <c r="AL627">
        <v>1.984</v>
      </c>
      <c r="AM627">
        <v>43.988</v>
      </c>
      <c r="AN627">
        <v>44.378</v>
      </c>
      <c r="AO627">
        <v>55.658000000000001</v>
      </c>
      <c r="AP627">
        <v>-1.984</v>
      </c>
      <c r="AQ627">
        <v>63.517000000000003</v>
      </c>
      <c r="AR627">
        <v>80.414000000000001</v>
      </c>
      <c r="AS627">
        <v>70.013000000000005</v>
      </c>
    </row>
    <row r="628" spans="1:45" x14ac:dyDescent="0.25">
      <c r="A628">
        <v>64</v>
      </c>
      <c r="B628">
        <v>10</v>
      </c>
      <c r="C628">
        <v>1</v>
      </c>
      <c r="D628">
        <v>2020</v>
      </c>
      <c r="E628">
        <v>8</v>
      </c>
      <c r="F628" t="str">
        <f>IFERROR(VLOOKUP(G628, Map!$A$1:$B$33, 2, FALSE),"WAS")</f>
        <v>SEA</v>
      </c>
      <c r="G628" t="s">
        <v>144</v>
      </c>
      <c r="H628" t="str">
        <f>IFERROR(VLOOKUP(I628, Map!$A$1:$B$33, 2, FALSE),"WAS")</f>
        <v>SF</v>
      </c>
      <c r="I628" t="s">
        <v>143</v>
      </c>
      <c r="J628" t="s">
        <v>182</v>
      </c>
      <c r="K628" t="s">
        <v>197</v>
      </c>
      <c r="L628">
        <v>1</v>
      </c>
      <c r="M628">
        <v>0</v>
      </c>
      <c r="N628">
        <v>50.230769230769198</v>
      </c>
      <c r="O628">
        <v>-0.84615384615384603</v>
      </c>
      <c r="P628">
        <v>-1</v>
      </c>
      <c r="Q628">
        <v>53.5</v>
      </c>
      <c r="R628">
        <v>8.6999999999999993</v>
      </c>
      <c r="S628">
        <v>13.1</v>
      </c>
      <c r="T628">
        <v>6.5</v>
      </c>
      <c r="U628">
        <v>6.4</v>
      </c>
      <c r="V628">
        <v>0</v>
      </c>
      <c r="W628">
        <v>0</v>
      </c>
      <c r="X628">
        <v>0</v>
      </c>
      <c r="Y628">
        <v>0</v>
      </c>
      <c r="Z628">
        <v>15.2</v>
      </c>
      <c r="AA628">
        <v>29.2</v>
      </c>
      <c r="AB628">
        <v>14</v>
      </c>
      <c r="AC628">
        <v>84</v>
      </c>
      <c r="AD628">
        <v>20.100000000000001</v>
      </c>
      <c r="AE628">
        <v>9.4</v>
      </c>
      <c r="AF628">
        <v>50.530999999999999</v>
      </c>
      <c r="AG628">
        <v>78.781999999999996</v>
      </c>
      <c r="AH628">
        <v>49.075000000000003</v>
      </c>
      <c r="AI628">
        <v>45.133000000000003</v>
      </c>
      <c r="AJ628">
        <v>92.394000000000005</v>
      </c>
      <c r="AK628">
        <v>84.039000000000001</v>
      </c>
      <c r="AL628">
        <v>0.247</v>
      </c>
      <c r="AM628">
        <v>49.075000000000003</v>
      </c>
      <c r="AN628">
        <v>78.781999999999996</v>
      </c>
      <c r="AO628">
        <v>50.530999999999999</v>
      </c>
      <c r="AP628">
        <v>-0.247</v>
      </c>
      <c r="AQ628">
        <v>7.6059999999999999</v>
      </c>
      <c r="AR628">
        <v>54.866999999999997</v>
      </c>
      <c r="AS628">
        <v>15.961</v>
      </c>
    </row>
    <row r="629" spans="1:45" x14ac:dyDescent="0.25">
      <c r="A629">
        <v>48</v>
      </c>
      <c r="B629">
        <v>-2</v>
      </c>
      <c r="C629">
        <v>0</v>
      </c>
      <c r="D629">
        <v>2020</v>
      </c>
      <c r="E629">
        <v>8</v>
      </c>
      <c r="F629" t="str">
        <f>IFERROR(VLOOKUP(G629, Map!$A$1:$B$33, 2, FALSE),"WAS")</f>
        <v>NYG</v>
      </c>
      <c r="G629" t="s">
        <v>149</v>
      </c>
      <c r="H629" t="str">
        <f>IFERROR(VLOOKUP(I629, Map!$A$1:$B$33, 2, FALSE),"WAS")</f>
        <v>TB</v>
      </c>
      <c r="I629" t="s">
        <v>141</v>
      </c>
      <c r="J629" t="s">
        <v>219</v>
      </c>
      <c r="K629" t="s">
        <v>186</v>
      </c>
      <c r="L629">
        <v>0</v>
      </c>
      <c r="M629">
        <v>0</v>
      </c>
      <c r="N629">
        <v>43</v>
      </c>
      <c r="O629">
        <v>10.653846153846199</v>
      </c>
      <c r="P629">
        <v>12.5</v>
      </c>
      <c r="Q629">
        <v>45.5</v>
      </c>
      <c r="R629">
        <v>7.1</v>
      </c>
      <c r="S629">
        <v>11.8</v>
      </c>
      <c r="T629">
        <v>3.4</v>
      </c>
      <c r="U629">
        <v>1.8</v>
      </c>
      <c r="V629">
        <v>0</v>
      </c>
      <c r="W629">
        <v>0</v>
      </c>
      <c r="X629">
        <v>0</v>
      </c>
      <c r="Y629">
        <v>0</v>
      </c>
      <c r="Z629">
        <v>24.5</v>
      </c>
      <c r="AA629">
        <v>47.5</v>
      </c>
      <c r="AB629">
        <v>266</v>
      </c>
      <c r="AC629">
        <v>49</v>
      </c>
      <c r="AD629">
        <v>39</v>
      </c>
      <c r="AE629">
        <v>19.100000000000001</v>
      </c>
      <c r="AF629">
        <v>17.213999999999999</v>
      </c>
      <c r="AG629">
        <v>69.569000000000003</v>
      </c>
      <c r="AH629">
        <v>82.647999999999996</v>
      </c>
      <c r="AI629">
        <v>42.665999999999997</v>
      </c>
      <c r="AJ629">
        <v>44.250999999999998</v>
      </c>
      <c r="AK629">
        <v>39.5</v>
      </c>
      <c r="AL629">
        <v>-12.749000000000001</v>
      </c>
      <c r="AM629">
        <v>82.647999999999996</v>
      </c>
      <c r="AN629">
        <v>69.569000000000003</v>
      </c>
      <c r="AO629">
        <v>17.213999999999999</v>
      </c>
      <c r="AP629">
        <v>12.749000000000001</v>
      </c>
      <c r="AQ629">
        <v>55.749000000000002</v>
      </c>
      <c r="AR629">
        <v>57.334000000000003</v>
      </c>
      <c r="AS629">
        <v>60.5</v>
      </c>
    </row>
    <row r="630" spans="1:45" x14ac:dyDescent="0.25">
      <c r="A630">
        <v>45</v>
      </c>
      <c r="B630">
        <v>3</v>
      </c>
      <c r="C630">
        <v>1</v>
      </c>
      <c r="D630">
        <v>2020</v>
      </c>
      <c r="E630">
        <v>8</v>
      </c>
      <c r="F630" t="str">
        <f>IFERROR(VLOOKUP(G630, Map!$A$1:$B$33, 2, FALSE),"WAS")</f>
        <v>BUF</v>
      </c>
      <c r="G630" t="s">
        <v>165</v>
      </c>
      <c r="H630" t="str">
        <f>IFERROR(VLOOKUP(I630, Map!$A$1:$B$33, 2, FALSE),"WAS")</f>
        <v>NE</v>
      </c>
      <c r="I630" t="s">
        <v>151</v>
      </c>
      <c r="J630" t="s">
        <v>180</v>
      </c>
      <c r="K630" t="s">
        <v>187</v>
      </c>
      <c r="L630">
        <v>1</v>
      </c>
      <c r="M630">
        <v>0</v>
      </c>
      <c r="N630">
        <v>37.625</v>
      </c>
      <c r="O630">
        <v>-3.5416666666666701</v>
      </c>
      <c r="P630">
        <v>-4</v>
      </c>
      <c r="Q630">
        <v>40.5</v>
      </c>
      <c r="R630">
        <v>13.4</v>
      </c>
      <c r="S630">
        <v>19.3</v>
      </c>
      <c r="T630">
        <v>10.8</v>
      </c>
      <c r="U630">
        <v>11.8</v>
      </c>
      <c r="V630">
        <v>7.5</v>
      </c>
      <c r="W630">
        <v>0</v>
      </c>
      <c r="X630">
        <v>11</v>
      </c>
      <c r="Y630">
        <v>7.5</v>
      </c>
      <c r="Z630">
        <v>22.5</v>
      </c>
      <c r="AA630">
        <v>44.3</v>
      </c>
      <c r="AB630">
        <v>264</v>
      </c>
      <c r="AC630">
        <v>79</v>
      </c>
      <c r="AD630">
        <v>22.6</v>
      </c>
      <c r="AE630">
        <v>10.9</v>
      </c>
      <c r="AF630">
        <v>58.796999999999997</v>
      </c>
      <c r="AG630">
        <v>61.658999999999999</v>
      </c>
      <c r="AH630">
        <v>40.874000000000002</v>
      </c>
      <c r="AI630">
        <v>36.164999999999999</v>
      </c>
      <c r="AJ630">
        <v>77.507000000000005</v>
      </c>
      <c r="AK630">
        <v>56.722999999999999</v>
      </c>
      <c r="AL630">
        <v>3.0630000000000002</v>
      </c>
      <c r="AM630">
        <v>40.874000000000002</v>
      </c>
      <c r="AN630">
        <v>61.658999999999999</v>
      </c>
      <c r="AO630">
        <v>58.796999999999997</v>
      </c>
      <c r="AP630">
        <v>-3.0630000000000002</v>
      </c>
      <c r="AQ630">
        <v>22.492999999999999</v>
      </c>
      <c r="AR630">
        <v>63.835000000000001</v>
      </c>
      <c r="AS630">
        <v>43.277000000000001</v>
      </c>
    </row>
    <row r="631" spans="1:45" x14ac:dyDescent="0.25">
      <c r="A631">
        <v>49</v>
      </c>
      <c r="B631">
        <v>-3</v>
      </c>
      <c r="C631">
        <v>0</v>
      </c>
      <c r="D631">
        <v>2020</v>
      </c>
      <c r="E631">
        <v>8</v>
      </c>
      <c r="F631" t="str">
        <f>IFERROR(VLOOKUP(G631, Map!$A$1:$B$33, 2, FALSE),"WAS")</f>
        <v>CHI</v>
      </c>
      <c r="G631" t="s">
        <v>163</v>
      </c>
      <c r="H631" t="str">
        <f>IFERROR(VLOOKUP(I631, Map!$A$1:$B$33, 2, FALSE),"WAS")</f>
        <v>NO</v>
      </c>
      <c r="I631" t="s">
        <v>168</v>
      </c>
      <c r="J631" t="s">
        <v>216</v>
      </c>
      <c r="K631" t="s">
        <v>192</v>
      </c>
      <c r="L631">
        <v>0</v>
      </c>
      <c r="M631">
        <v>0</v>
      </c>
      <c r="N631">
        <v>37.875</v>
      </c>
      <c r="O631">
        <v>4.375</v>
      </c>
      <c r="P631">
        <v>4</v>
      </c>
      <c r="Q631">
        <v>41</v>
      </c>
      <c r="R631">
        <v>6</v>
      </c>
      <c r="S631">
        <v>11.5</v>
      </c>
      <c r="T631">
        <v>1.9</v>
      </c>
      <c r="U631">
        <v>-1.6</v>
      </c>
      <c r="V631">
        <v>0</v>
      </c>
      <c r="W631">
        <v>0</v>
      </c>
      <c r="X631">
        <v>0</v>
      </c>
      <c r="Y631">
        <v>0</v>
      </c>
      <c r="Z631">
        <v>41.2</v>
      </c>
      <c r="AA631">
        <v>62.3</v>
      </c>
      <c r="AB631">
        <v>278</v>
      </c>
      <c r="AC631">
        <v>53</v>
      </c>
      <c r="AD631">
        <v>54</v>
      </c>
      <c r="AE631">
        <v>35.299999999999997</v>
      </c>
      <c r="AF631">
        <v>38.451000000000001</v>
      </c>
      <c r="AG631">
        <v>73.236999999999995</v>
      </c>
      <c r="AH631">
        <v>61.24</v>
      </c>
      <c r="AI631">
        <v>41.929000000000002</v>
      </c>
      <c r="AJ631">
        <v>31.439</v>
      </c>
      <c r="AK631">
        <v>41.052</v>
      </c>
      <c r="AL631">
        <v>-3.9159999999999999</v>
      </c>
      <c r="AM631">
        <v>61.24</v>
      </c>
      <c r="AN631">
        <v>73.236999999999995</v>
      </c>
      <c r="AO631">
        <v>38.451000000000001</v>
      </c>
      <c r="AP631">
        <v>3.9159999999999999</v>
      </c>
      <c r="AQ631">
        <v>68.561000000000007</v>
      </c>
      <c r="AR631">
        <v>58.070999999999998</v>
      </c>
      <c r="AS631">
        <v>58.948</v>
      </c>
    </row>
    <row r="632" spans="1:45" x14ac:dyDescent="0.25">
      <c r="A632">
        <v>61</v>
      </c>
      <c r="B632">
        <v>1</v>
      </c>
      <c r="C632">
        <v>1</v>
      </c>
      <c r="D632">
        <v>2020</v>
      </c>
      <c r="E632">
        <v>8</v>
      </c>
      <c r="F632" t="str">
        <f>IFERROR(VLOOKUP(G632, Map!$A$1:$B$33, 2, FALSE),"WAS")</f>
        <v>DEN</v>
      </c>
      <c r="G632" t="s">
        <v>159</v>
      </c>
      <c r="H632" t="str">
        <f>IFERROR(VLOOKUP(I632, Map!$A$1:$B$33, 2, FALSE),"WAS")</f>
        <v>LAC</v>
      </c>
      <c r="I632" t="s">
        <v>160</v>
      </c>
      <c r="J632" t="s">
        <v>183</v>
      </c>
      <c r="K632" t="s">
        <v>210</v>
      </c>
      <c r="L632">
        <v>1</v>
      </c>
      <c r="M632">
        <v>0</v>
      </c>
      <c r="N632">
        <v>40.7916666666667</v>
      </c>
      <c r="O632">
        <v>2.5416666666666701</v>
      </c>
      <c r="P632">
        <v>3</v>
      </c>
      <c r="Q632">
        <v>44</v>
      </c>
      <c r="R632">
        <v>5.6</v>
      </c>
      <c r="S632">
        <v>18.3</v>
      </c>
      <c r="T632">
        <v>-3.1</v>
      </c>
      <c r="U632">
        <v>1.9</v>
      </c>
      <c r="V632">
        <v>0</v>
      </c>
      <c r="W632">
        <v>0</v>
      </c>
      <c r="X632">
        <v>0</v>
      </c>
      <c r="Y632">
        <v>0</v>
      </c>
      <c r="Z632">
        <v>17.8</v>
      </c>
      <c r="AA632">
        <v>33.5</v>
      </c>
      <c r="AB632">
        <v>198</v>
      </c>
      <c r="AC632">
        <v>56</v>
      </c>
      <c r="AD632">
        <v>14.4</v>
      </c>
      <c r="AE632">
        <v>7.3</v>
      </c>
      <c r="AF632">
        <v>53.487000000000002</v>
      </c>
      <c r="AG632">
        <v>25.088000000000001</v>
      </c>
      <c r="AH632">
        <v>46.142000000000003</v>
      </c>
      <c r="AI632">
        <v>35.798999999999999</v>
      </c>
      <c r="AJ632">
        <v>58.115000000000002</v>
      </c>
      <c r="AK632">
        <v>40.191000000000003</v>
      </c>
      <c r="AL632">
        <v>1.246</v>
      </c>
      <c r="AM632">
        <v>46.142000000000003</v>
      </c>
      <c r="AN632">
        <v>25.088000000000001</v>
      </c>
      <c r="AO632">
        <v>53.487000000000002</v>
      </c>
      <c r="AP632">
        <v>-1.246</v>
      </c>
      <c r="AQ632">
        <v>41.884999999999998</v>
      </c>
      <c r="AR632">
        <v>64.200999999999993</v>
      </c>
      <c r="AS632">
        <v>59.808999999999997</v>
      </c>
    </row>
    <row r="633" spans="1:45" x14ac:dyDescent="0.25">
      <c r="A633">
        <v>41</v>
      </c>
      <c r="B633">
        <v>7</v>
      </c>
      <c r="C633">
        <v>1</v>
      </c>
      <c r="D633">
        <v>2020</v>
      </c>
      <c r="E633">
        <v>9</v>
      </c>
      <c r="F633" t="str">
        <f>IFERROR(VLOOKUP(G633, Map!$A$1:$B$33, 2, FALSE),"WAS")</f>
        <v>TEN</v>
      </c>
      <c r="G633" t="s">
        <v>140</v>
      </c>
      <c r="H633" t="str">
        <f>IFERROR(VLOOKUP(I633, Map!$A$1:$B$33, 2, FALSE),"WAS")</f>
        <v>CHI</v>
      </c>
      <c r="I633" t="s">
        <v>163</v>
      </c>
      <c r="J633" t="s">
        <v>174</v>
      </c>
      <c r="K633" t="s">
        <v>216</v>
      </c>
      <c r="L633">
        <v>1</v>
      </c>
      <c r="M633">
        <v>0</v>
      </c>
      <c r="N633">
        <v>42.7083333333333</v>
      </c>
      <c r="O633">
        <v>-5.0833333333333304</v>
      </c>
      <c r="P633">
        <v>-6</v>
      </c>
      <c r="Q633">
        <v>46.5</v>
      </c>
      <c r="R633">
        <v>18.7</v>
      </c>
      <c r="S633">
        <v>25.3</v>
      </c>
      <c r="T633">
        <v>13.1</v>
      </c>
      <c r="U633">
        <v>19</v>
      </c>
      <c r="V633">
        <v>0</v>
      </c>
      <c r="W633">
        <v>0</v>
      </c>
      <c r="X633">
        <v>0</v>
      </c>
      <c r="Y633">
        <v>0</v>
      </c>
      <c r="Z633">
        <v>14.4</v>
      </c>
      <c r="AA633">
        <v>28.8</v>
      </c>
      <c r="AB633">
        <v>120</v>
      </c>
      <c r="AC633">
        <v>80</v>
      </c>
      <c r="AD633">
        <v>16.8</v>
      </c>
      <c r="AE633">
        <v>9</v>
      </c>
      <c r="AF633">
        <v>62.009</v>
      </c>
      <c r="AG633">
        <v>50.377000000000002</v>
      </c>
      <c r="AH633">
        <v>37.689</v>
      </c>
      <c r="AI633">
        <v>97.643000000000001</v>
      </c>
      <c r="AJ633">
        <v>35.015999999999998</v>
      </c>
      <c r="AK633">
        <v>85.162000000000006</v>
      </c>
      <c r="AL633">
        <v>4.1680000000000001</v>
      </c>
      <c r="AM633">
        <v>37.689</v>
      </c>
      <c r="AN633">
        <v>50.377000000000002</v>
      </c>
      <c r="AO633">
        <v>62.009</v>
      </c>
      <c r="AP633">
        <v>-4.1680000000000001</v>
      </c>
      <c r="AQ633">
        <v>64.983999999999995</v>
      </c>
      <c r="AR633">
        <v>2.3570000000000002</v>
      </c>
      <c r="AS633">
        <v>14.837999999999999</v>
      </c>
    </row>
    <row r="634" spans="1:45" x14ac:dyDescent="0.25">
      <c r="A634">
        <v>51</v>
      </c>
      <c r="B634">
        <v>-17</v>
      </c>
      <c r="C634">
        <v>0</v>
      </c>
      <c r="D634">
        <v>2020</v>
      </c>
      <c r="E634">
        <v>9</v>
      </c>
      <c r="F634" t="str">
        <f>IFERROR(VLOOKUP(G634, Map!$A$1:$B$33, 2, FALSE),"WAS")</f>
        <v>SF</v>
      </c>
      <c r="G634" t="s">
        <v>143</v>
      </c>
      <c r="H634" t="str">
        <f>IFERROR(VLOOKUP(I634, Map!$A$1:$B$33, 2, FALSE),"WAS")</f>
        <v>GB</v>
      </c>
      <c r="I634" t="s">
        <v>154</v>
      </c>
      <c r="J634" t="s">
        <v>197</v>
      </c>
      <c r="K634" t="s">
        <v>200</v>
      </c>
      <c r="L634">
        <v>0</v>
      </c>
      <c r="M634">
        <v>0</v>
      </c>
      <c r="N634">
        <v>44.4166666666667</v>
      </c>
      <c r="O634">
        <v>5.375</v>
      </c>
      <c r="P634">
        <v>6</v>
      </c>
      <c r="Q634">
        <v>48</v>
      </c>
      <c r="R634">
        <v>16</v>
      </c>
      <c r="S634">
        <v>25.5</v>
      </c>
      <c r="T634">
        <v>12.7</v>
      </c>
      <c r="U634">
        <v>13.9</v>
      </c>
      <c r="V634">
        <v>0</v>
      </c>
      <c r="W634">
        <v>0</v>
      </c>
      <c r="X634">
        <v>0</v>
      </c>
      <c r="Y634">
        <v>0</v>
      </c>
      <c r="Z634">
        <v>23.1</v>
      </c>
      <c r="AA634">
        <v>40.700000000000003</v>
      </c>
      <c r="AB634">
        <v>304</v>
      </c>
      <c r="AC634">
        <v>64</v>
      </c>
      <c r="AD634">
        <v>22</v>
      </c>
      <c r="AE634">
        <v>12.2</v>
      </c>
      <c r="AF634">
        <v>59.866</v>
      </c>
      <c r="AG634">
        <v>82.74</v>
      </c>
      <c r="AH634">
        <v>39.814</v>
      </c>
      <c r="AI634">
        <v>5.1769999999999996</v>
      </c>
      <c r="AJ634">
        <v>20.748999999999999</v>
      </c>
      <c r="AK634">
        <v>5.98</v>
      </c>
      <c r="AL634">
        <v>3.419</v>
      </c>
      <c r="AM634">
        <v>39.814</v>
      </c>
      <c r="AN634">
        <v>82.74</v>
      </c>
      <c r="AO634">
        <v>59.866</v>
      </c>
      <c r="AP634">
        <v>-3.419</v>
      </c>
      <c r="AQ634">
        <v>79.251000000000005</v>
      </c>
      <c r="AR634">
        <v>94.822999999999993</v>
      </c>
      <c r="AS634">
        <v>94.02</v>
      </c>
    </row>
    <row r="635" spans="1:45" x14ac:dyDescent="0.25">
      <c r="A635">
        <v>34</v>
      </c>
      <c r="B635">
        <v>-14</v>
      </c>
      <c r="C635">
        <v>0</v>
      </c>
      <c r="D635">
        <v>2020</v>
      </c>
      <c r="E635">
        <v>9</v>
      </c>
      <c r="F635" t="str">
        <f>IFERROR(VLOOKUP(G635, Map!$A$1:$B$33, 2, FALSE),"WAS")</f>
        <v>IND</v>
      </c>
      <c r="G635" t="s">
        <v>138</v>
      </c>
      <c r="H635" t="str">
        <f>IFERROR(VLOOKUP(I635, Map!$A$1:$B$33, 2, FALSE),"WAS")</f>
        <v>BAL</v>
      </c>
      <c r="I635" t="s">
        <v>146</v>
      </c>
      <c r="J635" t="s">
        <v>177</v>
      </c>
      <c r="K635" t="s">
        <v>181</v>
      </c>
      <c r="L635">
        <v>0</v>
      </c>
      <c r="M635">
        <v>0</v>
      </c>
      <c r="N635">
        <v>42.95</v>
      </c>
      <c r="O635">
        <v>-0.5</v>
      </c>
      <c r="P635">
        <v>0</v>
      </c>
      <c r="Q635">
        <v>45.5</v>
      </c>
      <c r="R635">
        <v>16.3</v>
      </c>
      <c r="S635">
        <v>23.6</v>
      </c>
      <c r="T635">
        <v>12</v>
      </c>
      <c r="U635">
        <v>15.2</v>
      </c>
      <c r="V635">
        <v>0</v>
      </c>
      <c r="W635">
        <v>0</v>
      </c>
      <c r="X635">
        <v>0</v>
      </c>
      <c r="Y635">
        <v>0</v>
      </c>
      <c r="Z635">
        <v>13.5</v>
      </c>
      <c r="AA635">
        <v>27.4</v>
      </c>
      <c r="AB635">
        <v>150</v>
      </c>
      <c r="AC635">
        <v>70</v>
      </c>
      <c r="AD635">
        <v>19.3</v>
      </c>
      <c r="AE635">
        <v>10</v>
      </c>
      <c r="AF635">
        <v>39.997999999999998</v>
      </c>
      <c r="AG635">
        <v>82.611999999999995</v>
      </c>
      <c r="AH635">
        <v>59.680999999999997</v>
      </c>
      <c r="AI635">
        <v>49.898000000000003</v>
      </c>
      <c r="AJ635">
        <v>12.983000000000001</v>
      </c>
      <c r="AK635">
        <v>27.050999999999998</v>
      </c>
      <c r="AL635">
        <v>-3.3540000000000001</v>
      </c>
      <c r="AM635">
        <v>59.680999999999997</v>
      </c>
      <c r="AN635">
        <v>82.611999999999995</v>
      </c>
      <c r="AO635">
        <v>39.997999999999998</v>
      </c>
      <c r="AP635">
        <v>3.3540000000000001</v>
      </c>
      <c r="AQ635">
        <v>87.016999999999996</v>
      </c>
      <c r="AR635">
        <v>50.101999999999997</v>
      </c>
      <c r="AS635">
        <v>72.948999999999998</v>
      </c>
    </row>
    <row r="636" spans="1:45" x14ac:dyDescent="0.25">
      <c r="A636">
        <v>52</v>
      </c>
      <c r="B636">
        <v>-2</v>
      </c>
      <c r="C636">
        <v>0</v>
      </c>
      <c r="D636">
        <v>2020</v>
      </c>
      <c r="E636">
        <v>9</v>
      </c>
      <c r="F636" t="str">
        <f>IFERROR(VLOOKUP(G636, Map!$A$1:$B$33, 2, FALSE),"WAS")</f>
        <v>JAX</v>
      </c>
      <c r="G636" t="s">
        <v>139</v>
      </c>
      <c r="H636" t="str">
        <f>IFERROR(VLOOKUP(I636, Map!$A$1:$B$33, 2, FALSE),"WAS")</f>
        <v>HOU</v>
      </c>
      <c r="I636" t="s">
        <v>137</v>
      </c>
      <c r="J636" t="s">
        <v>220</v>
      </c>
      <c r="K636" t="s">
        <v>209</v>
      </c>
      <c r="L636">
        <v>0</v>
      </c>
      <c r="M636">
        <v>0</v>
      </c>
      <c r="N636">
        <v>44.05</v>
      </c>
      <c r="O636">
        <v>5.3</v>
      </c>
      <c r="P636">
        <v>6.5</v>
      </c>
      <c r="Q636">
        <v>48.5</v>
      </c>
      <c r="R636">
        <v>23.8</v>
      </c>
      <c r="S636">
        <v>26.6</v>
      </c>
      <c r="T636">
        <v>21.9</v>
      </c>
      <c r="U636">
        <v>24.5</v>
      </c>
      <c r="V636">
        <v>1.2</v>
      </c>
      <c r="W636">
        <v>0</v>
      </c>
      <c r="X636">
        <v>10</v>
      </c>
      <c r="Y636">
        <v>1.2</v>
      </c>
      <c r="Z636">
        <v>32</v>
      </c>
      <c r="AA636">
        <v>54</v>
      </c>
      <c r="AB636">
        <v>73</v>
      </c>
      <c r="AC636">
        <v>80</v>
      </c>
      <c r="AD636">
        <v>37</v>
      </c>
      <c r="AE636">
        <v>21.8</v>
      </c>
      <c r="AF636">
        <v>30.747</v>
      </c>
      <c r="AG636">
        <v>6.6050000000000004</v>
      </c>
      <c r="AH636">
        <v>69.006</v>
      </c>
      <c r="AI636">
        <v>21.634</v>
      </c>
      <c r="AJ636">
        <v>55.612000000000002</v>
      </c>
      <c r="AK636">
        <v>37.210999999999999</v>
      </c>
      <c r="AL636">
        <v>-6.7220000000000004</v>
      </c>
      <c r="AM636">
        <v>69.006</v>
      </c>
      <c r="AN636">
        <v>6.6050000000000004</v>
      </c>
      <c r="AO636">
        <v>30.747</v>
      </c>
      <c r="AP636">
        <v>6.7220000000000004</v>
      </c>
      <c r="AQ636">
        <v>44.387999999999998</v>
      </c>
      <c r="AR636">
        <v>78.366</v>
      </c>
      <c r="AS636">
        <v>62.789000000000001</v>
      </c>
    </row>
    <row r="637" spans="1:45" x14ac:dyDescent="0.25">
      <c r="A637">
        <v>54</v>
      </c>
      <c r="B637">
        <v>14</v>
      </c>
      <c r="C637">
        <v>1</v>
      </c>
      <c r="D637">
        <v>2020</v>
      </c>
      <c r="E637">
        <v>9</v>
      </c>
      <c r="F637" t="str">
        <f>IFERROR(VLOOKUP(G637, Map!$A$1:$B$33, 2, FALSE),"WAS")</f>
        <v>MIN</v>
      </c>
      <c r="G637" t="s">
        <v>153</v>
      </c>
      <c r="H637" t="str">
        <f>IFERROR(VLOOKUP(I637, Map!$A$1:$B$33, 2, FALSE),"WAS")</f>
        <v>DET</v>
      </c>
      <c r="I637" t="s">
        <v>164</v>
      </c>
      <c r="J637" t="s">
        <v>214</v>
      </c>
      <c r="K637" t="s">
        <v>173</v>
      </c>
      <c r="L637">
        <v>1</v>
      </c>
      <c r="M637">
        <v>0</v>
      </c>
      <c r="N637">
        <v>47.2083333333333</v>
      </c>
      <c r="O637">
        <v>-2.5833333333333299</v>
      </c>
      <c r="P637">
        <v>-3</v>
      </c>
      <c r="Q637">
        <v>51.5</v>
      </c>
      <c r="R637">
        <v>17.3</v>
      </c>
      <c r="S637">
        <v>21.6</v>
      </c>
      <c r="T637">
        <v>14.3</v>
      </c>
      <c r="U637">
        <v>14.3</v>
      </c>
      <c r="V637">
        <v>0</v>
      </c>
      <c r="W637">
        <v>0</v>
      </c>
      <c r="X637">
        <v>0</v>
      </c>
      <c r="Y637">
        <v>0</v>
      </c>
      <c r="Z637">
        <v>30.5</v>
      </c>
      <c r="AA637">
        <v>60.1</v>
      </c>
      <c r="AB637">
        <v>173</v>
      </c>
      <c r="AC637">
        <v>65</v>
      </c>
      <c r="AD637">
        <v>41</v>
      </c>
      <c r="AE637">
        <v>21.3</v>
      </c>
      <c r="AF637">
        <v>66.754000000000005</v>
      </c>
      <c r="AG637">
        <v>37.241</v>
      </c>
      <c r="AH637">
        <v>32.981000000000002</v>
      </c>
      <c r="AI637">
        <v>56.720999999999997</v>
      </c>
      <c r="AJ637">
        <v>99.244</v>
      </c>
      <c r="AK637">
        <v>90.302000000000007</v>
      </c>
      <c r="AL637">
        <v>5.8780000000000001</v>
      </c>
      <c r="AM637">
        <v>32.981000000000002</v>
      </c>
      <c r="AN637">
        <v>37.241</v>
      </c>
      <c r="AO637">
        <v>66.754000000000005</v>
      </c>
      <c r="AP637">
        <v>-5.8780000000000001</v>
      </c>
      <c r="AQ637">
        <v>0.75600000000000001</v>
      </c>
      <c r="AR637">
        <v>43.279000000000003</v>
      </c>
      <c r="AS637">
        <v>9.6980000000000004</v>
      </c>
    </row>
    <row r="638" spans="1:45" x14ac:dyDescent="0.25">
      <c r="A638">
        <v>64</v>
      </c>
      <c r="B638">
        <v>2</v>
      </c>
      <c r="C638">
        <v>1</v>
      </c>
      <c r="D638">
        <v>2020</v>
      </c>
      <c r="E638">
        <v>9</v>
      </c>
      <c r="F638" t="str">
        <f>IFERROR(VLOOKUP(G638, Map!$A$1:$B$33, 2, FALSE),"WAS")</f>
        <v>KC</v>
      </c>
      <c r="G638" t="s">
        <v>158</v>
      </c>
      <c r="H638" t="str">
        <f>IFERROR(VLOOKUP(I638, Map!$A$1:$B$33, 2, FALSE),"WAS")</f>
        <v>CAR</v>
      </c>
      <c r="I638" t="s">
        <v>142</v>
      </c>
      <c r="J638" t="s">
        <v>202</v>
      </c>
      <c r="K638" t="s">
        <v>185</v>
      </c>
      <c r="L638">
        <v>1</v>
      </c>
      <c r="M638">
        <v>0</v>
      </c>
      <c r="N638">
        <v>47.3333333333333</v>
      </c>
      <c r="O638">
        <v>-8.2916666666666696</v>
      </c>
      <c r="P638">
        <v>-9</v>
      </c>
      <c r="Q638">
        <v>50.5</v>
      </c>
      <c r="R638">
        <v>18.100000000000001</v>
      </c>
      <c r="S638">
        <v>22.9</v>
      </c>
      <c r="T638">
        <v>15.3</v>
      </c>
      <c r="U638">
        <v>16.100000000000001</v>
      </c>
      <c r="V638">
        <v>0.1</v>
      </c>
      <c r="W638">
        <v>0</v>
      </c>
      <c r="X638">
        <v>1</v>
      </c>
      <c r="Y638">
        <v>0.1</v>
      </c>
      <c r="Z638">
        <v>30.2</v>
      </c>
      <c r="AA638">
        <v>56.9</v>
      </c>
      <c r="AB638">
        <v>170</v>
      </c>
      <c r="AC638">
        <v>72</v>
      </c>
      <c r="AD638">
        <v>37.6</v>
      </c>
      <c r="AE638">
        <v>20.2</v>
      </c>
      <c r="AF638">
        <v>84.088999999999999</v>
      </c>
      <c r="AG638">
        <v>58.514000000000003</v>
      </c>
      <c r="AH638">
        <v>15.784000000000001</v>
      </c>
      <c r="AI638">
        <v>21.419</v>
      </c>
      <c r="AJ638">
        <v>90.426000000000002</v>
      </c>
      <c r="AK638">
        <v>58.411000000000001</v>
      </c>
      <c r="AL638">
        <v>13.467000000000001</v>
      </c>
      <c r="AM638">
        <v>15.784000000000001</v>
      </c>
      <c r="AN638">
        <v>58.514000000000003</v>
      </c>
      <c r="AO638">
        <v>84.088999999999999</v>
      </c>
      <c r="AP638">
        <v>-13.467000000000001</v>
      </c>
      <c r="AQ638">
        <v>9.5739999999999998</v>
      </c>
      <c r="AR638">
        <v>78.581000000000003</v>
      </c>
      <c r="AS638">
        <v>41.588999999999999</v>
      </c>
    </row>
    <row r="639" spans="1:45" x14ac:dyDescent="0.25">
      <c r="A639">
        <v>41</v>
      </c>
      <c r="B639">
        <v>-35</v>
      </c>
      <c r="C639">
        <v>0</v>
      </c>
      <c r="D639">
        <v>2020</v>
      </c>
      <c r="E639">
        <v>9</v>
      </c>
      <c r="F639" t="str">
        <f>IFERROR(VLOOKUP(G639, Map!$A$1:$B$33, 2, FALSE),"WAS")</f>
        <v>TB</v>
      </c>
      <c r="G639" t="s">
        <v>141</v>
      </c>
      <c r="H639" t="str">
        <f>IFERROR(VLOOKUP(I639, Map!$A$1:$B$33, 2, FALSE),"WAS")</f>
        <v>NO</v>
      </c>
      <c r="I639" t="s">
        <v>168</v>
      </c>
      <c r="J639" t="s">
        <v>186</v>
      </c>
      <c r="K639" t="s">
        <v>192</v>
      </c>
      <c r="L639">
        <v>0</v>
      </c>
      <c r="M639">
        <v>0</v>
      </c>
      <c r="N639">
        <v>47.076923076923102</v>
      </c>
      <c r="O639">
        <v>-2.6538461538461502</v>
      </c>
      <c r="P639">
        <v>-3</v>
      </c>
      <c r="Q639">
        <v>50.5</v>
      </c>
      <c r="R639">
        <v>24.6</v>
      </c>
      <c r="S639">
        <v>27.7</v>
      </c>
      <c r="T639">
        <v>23.2</v>
      </c>
      <c r="U639">
        <v>25.2</v>
      </c>
      <c r="V639">
        <v>11.9</v>
      </c>
      <c r="W639">
        <v>0</v>
      </c>
      <c r="X639">
        <v>19</v>
      </c>
      <c r="Y639">
        <v>11.9</v>
      </c>
      <c r="Z639">
        <v>32.4</v>
      </c>
      <c r="AA639">
        <v>74.5</v>
      </c>
      <c r="AB639">
        <v>61</v>
      </c>
      <c r="AC639">
        <v>86</v>
      </c>
      <c r="AD639">
        <v>53.6</v>
      </c>
      <c r="AE639">
        <v>29.8</v>
      </c>
      <c r="AF639">
        <v>64.885000000000005</v>
      </c>
      <c r="AG639">
        <v>94.697000000000003</v>
      </c>
      <c r="AH639">
        <v>34.835000000000001</v>
      </c>
      <c r="AI639">
        <v>9.7710000000000008</v>
      </c>
      <c r="AJ639">
        <v>0.56399999999999995</v>
      </c>
      <c r="AK639">
        <v>0.45400000000000001</v>
      </c>
      <c r="AL639">
        <v>5.194</v>
      </c>
      <c r="AM639">
        <v>34.835000000000001</v>
      </c>
      <c r="AN639">
        <v>94.697000000000003</v>
      </c>
      <c r="AO639">
        <v>64.885000000000005</v>
      </c>
      <c r="AP639">
        <v>-5.194</v>
      </c>
      <c r="AQ639">
        <v>99.436000000000007</v>
      </c>
      <c r="AR639">
        <v>90.228999999999999</v>
      </c>
      <c r="AS639">
        <v>99.546000000000006</v>
      </c>
    </row>
    <row r="640" spans="1:45" x14ac:dyDescent="0.25">
      <c r="A640">
        <v>57</v>
      </c>
      <c r="B640">
        <v>-5</v>
      </c>
      <c r="C640">
        <v>0</v>
      </c>
      <c r="D640">
        <v>2020</v>
      </c>
      <c r="E640">
        <v>9</v>
      </c>
      <c r="F640" t="str">
        <f>IFERROR(VLOOKUP(G640, Map!$A$1:$B$33, 2, FALSE),"WAS")</f>
        <v>LAC</v>
      </c>
      <c r="G640" t="s">
        <v>160</v>
      </c>
      <c r="H640" t="str">
        <f>IFERROR(VLOOKUP(I640, Map!$A$1:$B$33, 2, FALSE),"WAS")</f>
        <v>LV</v>
      </c>
      <c r="I640" t="s">
        <v>157</v>
      </c>
      <c r="J640" t="s">
        <v>210</v>
      </c>
      <c r="K640" t="s">
        <v>179</v>
      </c>
      <c r="L640">
        <v>0</v>
      </c>
      <c r="M640">
        <v>0</v>
      </c>
      <c r="N640">
        <v>52.5</v>
      </c>
      <c r="O640">
        <v>0.29166666666666702</v>
      </c>
      <c r="P640">
        <v>1</v>
      </c>
      <c r="Q640">
        <v>52.5</v>
      </c>
      <c r="R640">
        <v>12.3</v>
      </c>
      <c r="S640">
        <v>16.5</v>
      </c>
      <c r="T640">
        <v>7.9</v>
      </c>
      <c r="U640">
        <v>8.5</v>
      </c>
      <c r="V640">
        <v>0.1</v>
      </c>
      <c r="W640">
        <v>0</v>
      </c>
      <c r="X640">
        <v>1</v>
      </c>
      <c r="Y640">
        <v>0.1</v>
      </c>
      <c r="Z640">
        <v>46.2</v>
      </c>
      <c r="AA640">
        <v>73.400000000000006</v>
      </c>
      <c r="AB640">
        <v>260</v>
      </c>
      <c r="AC640">
        <v>65</v>
      </c>
      <c r="AD640">
        <v>30.1</v>
      </c>
      <c r="AE640">
        <v>18.100000000000001</v>
      </c>
      <c r="AF640">
        <v>45.762999999999998</v>
      </c>
      <c r="AG640">
        <v>30.184999999999999</v>
      </c>
      <c r="AH640">
        <v>53.869</v>
      </c>
      <c r="AI640">
        <v>15.949</v>
      </c>
      <c r="AJ640">
        <v>71.792000000000002</v>
      </c>
      <c r="AK640">
        <v>36.317</v>
      </c>
      <c r="AL640">
        <v>-1.369</v>
      </c>
      <c r="AM640">
        <v>53.869</v>
      </c>
      <c r="AN640">
        <v>30.184999999999999</v>
      </c>
      <c r="AO640">
        <v>45.762999999999998</v>
      </c>
      <c r="AP640">
        <v>1.369</v>
      </c>
      <c r="AQ640">
        <v>28.207999999999998</v>
      </c>
      <c r="AR640">
        <v>84.051000000000002</v>
      </c>
      <c r="AS640">
        <v>63.683</v>
      </c>
    </row>
    <row r="641" spans="1:45" x14ac:dyDescent="0.25">
      <c r="A641">
        <v>43</v>
      </c>
      <c r="B641">
        <v>-3</v>
      </c>
      <c r="C641">
        <v>0</v>
      </c>
      <c r="D641">
        <v>2020</v>
      </c>
      <c r="E641">
        <v>9</v>
      </c>
      <c r="F641" t="str">
        <f>IFERROR(VLOOKUP(G641, Map!$A$1:$B$33, 2, FALSE),"WAS")</f>
        <v>WAS</v>
      </c>
      <c r="G641" t="s">
        <v>169</v>
      </c>
      <c r="H641" t="str">
        <f>IFERROR(VLOOKUP(I641, Map!$A$1:$B$33, 2, FALSE),"WAS")</f>
        <v>NYG</v>
      </c>
      <c r="I641" t="s">
        <v>149</v>
      </c>
      <c r="J641" t="s">
        <v>205</v>
      </c>
      <c r="K641" t="s">
        <v>219</v>
      </c>
      <c r="L641">
        <v>0</v>
      </c>
      <c r="M641">
        <v>0</v>
      </c>
      <c r="N641">
        <v>42.9</v>
      </c>
      <c r="O641">
        <v>-2.65</v>
      </c>
      <c r="P641">
        <v>-2.5</v>
      </c>
      <c r="Q641">
        <v>41.5</v>
      </c>
      <c r="R641">
        <v>13.9</v>
      </c>
      <c r="S641">
        <v>22</v>
      </c>
      <c r="T641">
        <v>8.1999999999999993</v>
      </c>
      <c r="U641">
        <v>13.3</v>
      </c>
      <c r="V641">
        <v>0</v>
      </c>
      <c r="W641">
        <v>0</v>
      </c>
      <c r="X641">
        <v>0</v>
      </c>
      <c r="Y641">
        <v>0</v>
      </c>
      <c r="Z641">
        <v>11.3</v>
      </c>
      <c r="AA641">
        <v>14</v>
      </c>
      <c r="AB641">
        <v>237</v>
      </c>
      <c r="AC641">
        <v>83</v>
      </c>
      <c r="AD641">
        <v>11.8</v>
      </c>
      <c r="AE641">
        <v>6.8</v>
      </c>
      <c r="AF641">
        <v>65.587999999999994</v>
      </c>
      <c r="AG641">
        <v>37.244</v>
      </c>
      <c r="AH641">
        <v>34.137999999999998</v>
      </c>
      <c r="AI641">
        <v>54.314</v>
      </c>
      <c r="AJ641">
        <v>25.027000000000001</v>
      </c>
      <c r="AK641">
        <v>26.8</v>
      </c>
      <c r="AL641">
        <v>5.45</v>
      </c>
      <c r="AM641">
        <v>34.137999999999998</v>
      </c>
      <c r="AN641">
        <v>37.244</v>
      </c>
      <c r="AO641">
        <v>65.587999999999994</v>
      </c>
      <c r="AP641">
        <v>-5.45</v>
      </c>
      <c r="AQ641">
        <v>74.972999999999999</v>
      </c>
      <c r="AR641">
        <v>45.686</v>
      </c>
      <c r="AS641">
        <v>73.2</v>
      </c>
    </row>
    <row r="642" spans="1:45" x14ac:dyDescent="0.25">
      <c r="A642">
        <v>61</v>
      </c>
      <c r="B642">
        <v>7</v>
      </c>
      <c r="C642">
        <v>1</v>
      </c>
      <c r="D642">
        <v>2020</v>
      </c>
      <c r="E642">
        <v>9</v>
      </c>
      <c r="F642" t="str">
        <f>IFERROR(VLOOKUP(G642, Map!$A$1:$B$33, 2, FALSE),"WAS")</f>
        <v>ATL</v>
      </c>
      <c r="G642" t="s">
        <v>167</v>
      </c>
      <c r="H642" t="str">
        <f>IFERROR(VLOOKUP(I642, Map!$A$1:$B$33, 2, FALSE),"WAS")</f>
        <v>DEN</v>
      </c>
      <c r="I642" t="s">
        <v>159</v>
      </c>
      <c r="J642" t="s">
        <v>188</v>
      </c>
      <c r="K642" t="s">
        <v>183</v>
      </c>
      <c r="L642">
        <v>1</v>
      </c>
      <c r="M642">
        <v>0</v>
      </c>
      <c r="N642">
        <v>45.409090909090899</v>
      </c>
      <c r="O642">
        <v>-3.6818181818181799</v>
      </c>
      <c r="P642">
        <v>-4.5</v>
      </c>
      <c r="Q642">
        <v>49.5</v>
      </c>
      <c r="R642">
        <v>18.7</v>
      </c>
      <c r="S642">
        <v>22.8</v>
      </c>
      <c r="T642">
        <v>15.7</v>
      </c>
      <c r="U642">
        <v>17.5</v>
      </c>
      <c r="V642">
        <v>0.7</v>
      </c>
      <c r="W642">
        <v>0</v>
      </c>
      <c r="X642">
        <v>4</v>
      </c>
      <c r="Y642">
        <v>0.7</v>
      </c>
      <c r="Z642">
        <v>32.4</v>
      </c>
      <c r="AA642">
        <v>56.9</v>
      </c>
      <c r="AB642">
        <v>82</v>
      </c>
      <c r="AC642">
        <v>82</v>
      </c>
      <c r="AD642">
        <v>39.1</v>
      </c>
      <c r="AE642">
        <v>21.4</v>
      </c>
      <c r="AF642">
        <v>62.978000000000002</v>
      </c>
      <c r="AG642">
        <v>43.822000000000003</v>
      </c>
      <c r="AH642">
        <v>36.726999999999997</v>
      </c>
      <c r="AI642">
        <v>59.47</v>
      </c>
      <c r="AJ642">
        <v>87.594999999999999</v>
      </c>
      <c r="AK642">
        <v>87.637</v>
      </c>
      <c r="AL642">
        <v>4.5110000000000001</v>
      </c>
      <c r="AM642">
        <v>36.726999999999997</v>
      </c>
      <c r="AN642">
        <v>43.822000000000003</v>
      </c>
      <c r="AO642">
        <v>62.978000000000002</v>
      </c>
      <c r="AP642">
        <v>-4.5110000000000001</v>
      </c>
      <c r="AQ642">
        <v>12.404999999999999</v>
      </c>
      <c r="AR642">
        <v>40.53</v>
      </c>
      <c r="AS642">
        <v>12.363</v>
      </c>
    </row>
    <row r="643" spans="1:45" x14ac:dyDescent="0.25">
      <c r="A643">
        <v>57</v>
      </c>
      <c r="B643">
        <v>-3</v>
      </c>
      <c r="C643">
        <v>0</v>
      </c>
      <c r="D643">
        <v>2020</v>
      </c>
      <c r="E643">
        <v>9</v>
      </c>
      <c r="F643" t="str">
        <f>IFERROR(VLOOKUP(G643, Map!$A$1:$B$33, 2, FALSE),"WAS")</f>
        <v>NYJ</v>
      </c>
      <c r="G643" t="s">
        <v>166</v>
      </c>
      <c r="H643" t="str">
        <f>IFERROR(VLOOKUP(I643, Map!$A$1:$B$33, 2, FALSE),"WAS")</f>
        <v>NE</v>
      </c>
      <c r="I643" t="s">
        <v>151</v>
      </c>
      <c r="J643" t="s">
        <v>172</v>
      </c>
      <c r="K643" t="s">
        <v>187</v>
      </c>
      <c r="L643">
        <v>0</v>
      </c>
      <c r="M643">
        <v>0</v>
      </c>
      <c r="N643">
        <v>38.3333333333333</v>
      </c>
      <c r="O643">
        <v>7.625</v>
      </c>
      <c r="P643">
        <v>7</v>
      </c>
      <c r="Q643">
        <v>41.5</v>
      </c>
      <c r="R643">
        <v>15.8</v>
      </c>
      <c r="S643">
        <v>22.5</v>
      </c>
      <c r="T643">
        <v>11.8</v>
      </c>
      <c r="U643">
        <v>15.4</v>
      </c>
      <c r="V643">
        <v>0</v>
      </c>
      <c r="W643">
        <v>0</v>
      </c>
      <c r="X643">
        <v>0</v>
      </c>
      <c r="Y643">
        <v>0</v>
      </c>
      <c r="Z643">
        <v>16.5</v>
      </c>
      <c r="AA643">
        <v>34.6</v>
      </c>
      <c r="AB643">
        <v>224</v>
      </c>
      <c r="AC643">
        <v>86</v>
      </c>
      <c r="AD643">
        <v>20.8</v>
      </c>
      <c r="AE643">
        <v>10.7</v>
      </c>
      <c r="AF643">
        <v>28.416</v>
      </c>
      <c r="AG643">
        <v>19.492999999999999</v>
      </c>
      <c r="AH643">
        <v>71.355999999999995</v>
      </c>
      <c r="AI643">
        <v>24.195</v>
      </c>
      <c r="AJ643">
        <v>96.156000000000006</v>
      </c>
      <c r="AK643">
        <v>48.363999999999997</v>
      </c>
      <c r="AL643">
        <v>-7.6319999999999997</v>
      </c>
      <c r="AM643">
        <v>71.355999999999995</v>
      </c>
      <c r="AN643">
        <v>19.492999999999999</v>
      </c>
      <c r="AO643">
        <v>28.416</v>
      </c>
      <c r="AP643">
        <v>7.6319999999999997</v>
      </c>
      <c r="AQ643">
        <v>3.8439999999999999</v>
      </c>
      <c r="AR643">
        <v>75.805000000000007</v>
      </c>
      <c r="AS643">
        <v>51.636000000000003</v>
      </c>
    </row>
    <row r="644" spans="1:45" x14ac:dyDescent="0.25">
      <c r="A644">
        <v>78</v>
      </c>
      <c r="B644">
        <v>10</v>
      </c>
      <c r="C644">
        <v>1</v>
      </c>
      <c r="D644">
        <v>2020</v>
      </c>
      <c r="E644">
        <v>9</v>
      </c>
      <c r="F644" t="str">
        <f>IFERROR(VLOOKUP(G644, Map!$A$1:$B$33, 2, FALSE),"WAS")</f>
        <v>BUF</v>
      </c>
      <c r="G644" t="s">
        <v>165</v>
      </c>
      <c r="H644" t="str">
        <f>IFERROR(VLOOKUP(I644, Map!$A$1:$B$33, 2, FALSE),"WAS")</f>
        <v>SEA</v>
      </c>
      <c r="I644" t="s">
        <v>144</v>
      </c>
      <c r="J644" t="s">
        <v>180</v>
      </c>
      <c r="K644" t="s">
        <v>182</v>
      </c>
      <c r="L644">
        <v>1</v>
      </c>
      <c r="M644">
        <v>0</v>
      </c>
      <c r="N644">
        <v>49.5</v>
      </c>
      <c r="O644">
        <v>2.2999999999999998</v>
      </c>
      <c r="P644">
        <v>2.5</v>
      </c>
      <c r="Q644">
        <v>53.5</v>
      </c>
      <c r="R644">
        <v>18.2</v>
      </c>
      <c r="S644">
        <v>24.1</v>
      </c>
      <c r="T644">
        <v>13.9</v>
      </c>
      <c r="U644">
        <v>18.2</v>
      </c>
      <c r="V644">
        <v>0</v>
      </c>
      <c r="W644">
        <v>0</v>
      </c>
      <c r="X644">
        <v>0</v>
      </c>
      <c r="Y644">
        <v>0</v>
      </c>
      <c r="Z644">
        <v>16.7</v>
      </c>
      <c r="AA644">
        <v>33.5</v>
      </c>
      <c r="AB644">
        <v>70</v>
      </c>
      <c r="AC644">
        <v>81</v>
      </c>
      <c r="AD644">
        <v>20</v>
      </c>
      <c r="AE644">
        <v>10.6</v>
      </c>
      <c r="AF644">
        <v>45.063000000000002</v>
      </c>
      <c r="AG644">
        <v>78.248000000000005</v>
      </c>
      <c r="AH644">
        <v>54.575000000000003</v>
      </c>
      <c r="AI644">
        <v>54.624000000000002</v>
      </c>
      <c r="AJ644">
        <v>95.325000000000003</v>
      </c>
      <c r="AK644">
        <v>89.545000000000002</v>
      </c>
      <c r="AL644">
        <v>-1.6080000000000001</v>
      </c>
      <c r="AM644">
        <v>54.575000000000003</v>
      </c>
      <c r="AN644">
        <v>78.248000000000005</v>
      </c>
      <c r="AO644">
        <v>45.063000000000002</v>
      </c>
      <c r="AP644">
        <v>1.6080000000000001</v>
      </c>
      <c r="AQ644">
        <v>4.6749999999999998</v>
      </c>
      <c r="AR644">
        <v>45.375999999999998</v>
      </c>
      <c r="AS644">
        <v>10.455</v>
      </c>
    </row>
    <row r="645" spans="1:45" x14ac:dyDescent="0.25">
      <c r="A645">
        <v>65</v>
      </c>
      <c r="B645">
        <v>-3</v>
      </c>
      <c r="C645">
        <v>0</v>
      </c>
      <c r="D645">
        <v>2020</v>
      </c>
      <c r="E645">
        <v>9</v>
      </c>
      <c r="F645" t="str">
        <f>IFERROR(VLOOKUP(G645, Map!$A$1:$B$33, 2, FALSE),"WAS")</f>
        <v>ARI</v>
      </c>
      <c r="G645" t="s">
        <v>156</v>
      </c>
      <c r="H645" t="str">
        <f>IFERROR(VLOOKUP(I645, Map!$A$1:$B$33, 2, FALSE),"WAS")</f>
        <v>MIA</v>
      </c>
      <c r="I645" t="s">
        <v>152</v>
      </c>
      <c r="J645" t="s">
        <v>190</v>
      </c>
      <c r="K645" t="s">
        <v>175</v>
      </c>
      <c r="L645">
        <v>0</v>
      </c>
      <c r="M645">
        <v>0</v>
      </c>
      <c r="N645">
        <v>44.7083333333333</v>
      </c>
      <c r="O645">
        <v>-4.875</v>
      </c>
      <c r="P645">
        <v>-5.5</v>
      </c>
      <c r="Q645">
        <v>47.5</v>
      </c>
      <c r="R645">
        <v>11.1</v>
      </c>
      <c r="S645">
        <v>16.2</v>
      </c>
      <c r="T645">
        <v>7.4</v>
      </c>
      <c r="U645">
        <v>8</v>
      </c>
      <c r="V645">
        <v>1.1000000000000001</v>
      </c>
      <c r="W645">
        <v>0</v>
      </c>
      <c r="X645">
        <v>4</v>
      </c>
      <c r="Y645">
        <v>1.1000000000000001</v>
      </c>
      <c r="Z645">
        <v>26.2</v>
      </c>
      <c r="AA645">
        <v>59.8</v>
      </c>
      <c r="AB645">
        <v>299</v>
      </c>
      <c r="AC645">
        <v>61</v>
      </c>
      <c r="AD645">
        <v>24.3</v>
      </c>
      <c r="AE645">
        <v>11.1</v>
      </c>
      <c r="AF645">
        <v>69.644999999999996</v>
      </c>
      <c r="AG645">
        <v>48.649000000000001</v>
      </c>
      <c r="AH645">
        <v>30.113</v>
      </c>
      <c r="AI645">
        <v>14.87</v>
      </c>
      <c r="AJ645">
        <v>81.468000000000004</v>
      </c>
      <c r="AK645">
        <v>42.000999999999998</v>
      </c>
      <c r="AL645">
        <v>6.9669999999999996</v>
      </c>
      <c r="AM645">
        <v>30.113</v>
      </c>
      <c r="AN645">
        <v>48.649000000000001</v>
      </c>
      <c r="AO645">
        <v>69.644999999999996</v>
      </c>
      <c r="AP645">
        <v>-6.9669999999999996</v>
      </c>
      <c r="AQ645">
        <v>18.532</v>
      </c>
      <c r="AR645">
        <v>85.13</v>
      </c>
      <c r="AS645">
        <v>57.999000000000002</v>
      </c>
    </row>
    <row r="646" spans="1:45" x14ac:dyDescent="0.25">
      <c r="A646">
        <v>43</v>
      </c>
      <c r="B646">
        <v>-5</v>
      </c>
      <c r="C646">
        <v>0</v>
      </c>
      <c r="D646">
        <v>2020</v>
      </c>
      <c r="E646">
        <v>9</v>
      </c>
      <c r="F646" t="str">
        <f>IFERROR(VLOOKUP(G646, Map!$A$1:$B$33, 2, FALSE),"WAS")</f>
        <v>DAL</v>
      </c>
      <c r="G646" t="s">
        <v>150</v>
      </c>
      <c r="H646" t="str">
        <f>IFERROR(VLOOKUP(I646, Map!$A$1:$B$33, 2, FALSE),"WAS")</f>
        <v>PIT</v>
      </c>
      <c r="I646" t="s">
        <v>145</v>
      </c>
      <c r="J646" t="s">
        <v>184</v>
      </c>
      <c r="K646" t="s">
        <v>170</v>
      </c>
      <c r="L646">
        <v>0</v>
      </c>
      <c r="M646">
        <v>0</v>
      </c>
      <c r="N646">
        <v>39.454545454545503</v>
      </c>
      <c r="O646">
        <v>11.409090909090899</v>
      </c>
      <c r="P646">
        <v>13.5</v>
      </c>
      <c r="Q646">
        <v>41.5</v>
      </c>
      <c r="R646">
        <v>18.7</v>
      </c>
      <c r="S646">
        <v>23.8</v>
      </c>
      <c r="T646">
        <v>15</v>
      </c>
      <c r="U646">
        <v>17.7</v>
      </c>
      <c r="V646">
        <v>0.2</v>
      </c>
      <c r="W646">
        <v>0</v>
      </c>
      <c r="X646">
        <v>2</v>
      </c>
      <c r="Y646">
        <v>0.2</v>
      </c>
      <c r="Z646">
        <v>24.6</v>
      </c>
      <c r="AA646">
        <v>43.2</v>
      </c>
      <c r="AB646">
        <v>153</v>
      </c>
      <c r="AC646">
        <v>76</v>
      </c>
      <c r="AD646">
        <v>28</v>
      </c>
      <c r="AE646">
        <v>16</v>
      </c>
      <c r="AF646">
        <v>19.158999999999999</v>
      </c>
      <c r="AG646">
        <v>40.869</v>
      </c>
      <c r="AH646">
        <v>80.686999999999998</v>
      </c>
      <c r="AI646">
        <v>33.911000000000001</v>
      </c>
      <c r="AJ646">
        <v>35.503</v>
      </c>
      <c r="AK646">
        <v>40.713999999999999</v>
      </c>
      <c r="AL646">
        <v>-11.698</v>
      </c>
      <c r="AM646">
        <v>80.686999999999998</v>
      </c>
      <c r="AN646">
        <v>40.869</v>
      </c>
      <c r="AO646">
        <v>19.158999999999999</v>
      </c>
      <c r="AP646">
        <v>11.698</v>
      </c>
      <c r="AQ646">
        <v>64.497</v>
      </c>
      <c r="AR646">
        <v>66.088999999999999</v>
      </c>
      <c r="AS646">
        <v>59.286000000000001</v>
      </c>
    </row>
    <row r="647" spans="1:45" x14ac:dyDescent="0.25">
      <c r="A647">
        <v>44</v>
      </c>
      <c r="B647">
        <v>10</v>
      </c>
      <c r="C647">
        <v>1</v>
      </c>
      <c r="D647">
        <v>2020</v>
      </c>
      <c r="E647">
        <v>10</v>
      </c>
      <c r="F647" t="str">
        <f>IFERROR(VLOOKUP(G647, Map!$A$1:$B$33, 2, FALSE),"WAS")</f>
        <v>NYG</v>
      </c>
      <c r="G647" t="s">
        <v>149</v>
      </c>
      <c r="H647" t="str">
        <f>IFERROR(VLOOKUP(I647, Map!$A$1:$B$33, 2, FALSE),"WAS")</f>
        <v>PHI</v>
      </c>
      <c r="I647" t="s">
        <v>147</v>
      </c>
      <c r="J647" t="s">
        <v>219</v>
      </c>
      <c r="K647" t="s">
        <v>206</v>
      </c>
      <c r="L647">
        <v>1</v>
      </c>
      <c r="M647">
        <v>0</v>
      </c>
      <c r="N647">
        <v>38.0833333333333</v>
      </c>
      <c r="O647">
        <v>3.625</v>
      </c>
      <c r="P647">
        <v>3</v>
      </c>
      <c r="Q647">
        <v>0</v>
      </c>
      <c r="R647">
        <v>7.4</v>
      </c>
      <c r="S647">
        <v>15.4</v>
      </c>
      <c r="T647">
        <v>1.3</v>
      </c>
      <c r="U647">
        <v>3.8</v>
      </c>
      <c r="V647">
        <v>0</v>
      </c>
      <c r="W647">
        <v>0</v>
      </c>
      <c r="X647">
        <v>0</v>
      </c>
      <c r="Y647">
        <v>0</v>
      </c>
      <c r="Z647">
        <v>32.5</v>
      </c>
      <c r="AA647">
        <v>60.5</v>
      </c>
      <c r="AB647">
        <v>141</v>
      </c>
      <c r="AC647">
        <v>75</v>
      </c>
      <c r="AD647">
        <v>29.2</v>
      </c>
      <c r="AE647">
        <v>14.9</v>
      </c>
      <c r="AF647">
        <v>34.909999999999997</v>
      </c>
      <c r="AG647">
        <v>26.94</v>
      </c>
      <c r="AH647">
        <v>64.808999999999997</v>
      </c>
      <c r="AI647">
        <v>42.426000000000002</v>
      </c>
      <c r="AJ647">
        <v>80.515000000000001</v>
      </c>
      <c r="AK647">
        <v>75.95</v>
      </c>
      <c r="AL647">
        <v>-5.1449999999999996</v>
      </c>
      <c r="AM647">
        <v>64.808999999999997</v>
      </c>
      <c r="AN647">
        <v>26.94</v>
      </c>
      <c r="AO647">
        <v>34.909999999999997</v>
      </c>
      <c r="AP647">
        <v>5.1449999999999996</v>
      </c>
      <c r="AQ647">
        <v>19.484999999999999</v>
      </c>
      <c r="AR647">
        <v>57.573999999999998</v>
      </c>
      <c r="AS647">
        <v>24.05</v>
      </c>
    </row>
    <row r="648" spans="1:45" x14ac:dyDescent="0.25">
      <c r="A648">
        <v>32</v>
      </c>
      <c r="B648">
        <v>-6</v>
      </c>
      <c r="C648">
        <v>0</v>
      </c>
      <c r="D648">
        <v>2020</v>
      </c>
      <c r="E648">
        <v>10</v>
      </c>
      <c r="F648" t="str">
        <f>IFERROR(VLOOKUP(G648, Map!$A$1:$B$33, 2, FALSE),"WAS")</f>
        <v>CHI</v>
      </c>
      <c r="G648" t="s">
        <v>163</v>
      </c>
      <c r="H648" t="str">
        <f>IFERROR(VLOOKUP(I648, Map!$A$1:$B$33, 2, FALSE),"WAS")</f>
        <v>MIN</v>
      </c>
      <c r="I648" t="s">
        <v>153</v>
      </c>
      <c r="J648" t="s">
        <v>216</v>
      </c>
      <c r="K648" t="s">
        <v>214</v>
      </c>
      <c r="L648">
        <v>0</v>
      </c>
      <c r="M648">
        <v>0</v>
      </c>
      <c r="N648">
        <v>40.807692307692299</v>
      </c>
      <c r="O648">
        <v>2.6538461538461502</v>
      </c>
      <c r="P648">
        <v>2.5</v>
      </c>
      <c r="Q648">
        <v>43.5</v>
      </c>
      <c r="R648">
        <v>2.5</v>
      </c>
      <c r="S648">
        <v>6.1</v>
      </c>
      <c r="T648">
        <v>-1.8</v>
      </c>
      <c r="U648">
        <v>-3.6</v>
      </c>
      <c r="V648">
        <v>0</v>
      </c>
      <c r="W648">
        <v>0</v>
      </c>
      <c r="X648">
        <v>0</v>
      </c>
      <c r="Y648">
        <v>0</v>
      </c>
      <c r="Z648">
        <v>29.7</v>
      </c>
      <c r="AA648">
        <v>45</v>
      </c>
      <c r="AB648">
        <v>305</v>
      </c>
      <c r="AC648">
        <v>61</v>
      </c>
      <c r="AD648">
        <v>36.4</v>
      </c>
      <c r="AE648">
        <v>23.4</v>
      </c>
      <c r="AF648">
        <v>41.225999999999999</v>
      </c>
      <c r="AG648">
        <v>44.735999999999997</v>
      </c>
      <c r="AH648">
        <v>58.442999999999998</v>
      </c>
      <c r="AI648">
        <v>61.368000000000002</v>
      </c>
      <c r="AJ648">
        <v>3.274</v>
      </c>
      <c r="AK648">
        <v>34.122999999999998</v>
      </c>
      <c r="AL648">
        <v>-2.9140000000000001</v>
      </c>
      <c r="AM648">
        <v>58.442999999999998</v>
      </c>
      <c r="AN648">
        <v>44.735999999999997</v>
      </c>
      <c r="AO648">
        <v>41.225999999999999</v>
      </c>
      <c r="AP648">
        <v>2.9140000000000001</v>
      </c>
      <c r="AQ648">
        <v>96.725999999999999</v>
      </c>
      <c r="AR648">
        <v>38.631999999999998</v>
      </c>
      <c r="AS648">
        <v>65.876999999999995</v>
      </c>
    </row>
    <row r="649" spans="1:45" x14ac:dyDescent="0.25">
      <c r="A649">
        <v>44</v>
      </c>
      <c r="B649">
        <v>4</v>
      </c>
      <c r="C649">
        <v>1</v>
      </c>
      <c r="D649">
        <v>2020</v>
      </c>
      <c r="E649">
        <v>10</v>
      </c>
      <c r="F649" t="str">
        <f>IFERROR(VLOOKUP(G649, Map!$A$1:$B$33, 2, FALSE),"WAS")</f>
        <v>GB</v>
      </c>
      <c r="G649" t="s">
        <v>154</v>
      </c>
      <c r="H649" t="str">
        <f>IFERROR(VLOOKUP(I649, Map!$A$1:$B$33, 2, FALSE),"WAS")</f>
        <v>JAX</v>
      </c>
      <c r="I649" t="s">
        <v>139</v>
      </c>
      <c r="J649" t="s">
        <v>200</v>
      </c>
      <c r="K649" t="s">
        <v>220</v>
      </c>
      <c r="L649">
        <v>1</v>
      </c>
      <c r="M649">
        <v>0</v>
      </c>
      <c r="N649">
        <v>42.818181818181799</v>
      </c>
      <c r="O649">
        <v>-11.045454545454501</v>
      </c>
      <c r="P649">
        <v>-13.5</v>
      </c>
      <c r="Q649">
        <v>47</v>
      </c>
      <c r="R649">
        <v>5.3</v>
      </c>
      <c r="S649">
        <v>8.5</v>
      </c>
      <c r="T649">
        <v>2.1</v>
      </c>
      <c r="U649">
        <v>0</v>
      </c>
      <c r="V649">
        <v>12.2</v>
      </c>
      <c r="W649">
        <v>0</v>
      </c>
      <c r="X649">
        <v>15</v>
      </c>
      <c r="Y649">
        <v>12.2</v>
      </c>
      <c r="Z649">
        <v>41.8</v>
      </c>
      <c r="AA649">
        <v>81.400000000000006</v>
      </c>
      <c r="AB649">
        <v>236</v>
      </c>
      <c r="AC649">
        <v>85</v>
      </c>
      <c r="AD649">
        <v>53.4</v>
      </c>
      <c r="AE649">
        <v>25.7</v>
      </c>
      <c r="AF649">
        <v>90.667000000000002</v>
      </c>
      <c r="AG649">
        <v>49.935000000000002</v>
      </c>
      <c r="AH649">
        <v>9.2590000000000003</v>
      </c>
      <c r="AI649">
        <v>79.912999999999997</v>
      </c>
      <c r="AJ649">
        <v>49.43</v>
      </c>
      <c r="AK649">
        <v>59.01</v>
      </c>
      <c r="AL649">
        <v>17.725000000000001</v>
      </c>
      <c r="AM649">
        <v>9.2590000000000003</v>
      </c>
      <c r="AN649">
        <v>49.935000000000002</v>
      </c>
      <c r="AO649">
        <v>90.667000000000002</v>
      </c>
      <c r="AP649">
        <v>-17.725000000000001</v>
      </c>
      <c r="AQ649">
        <v>50.57</v>
      </c>
      <c r="AR649">
        <v>20.087</v>
      </c>
      <c r="AS649">
        <v>40.99</v>
      </c>
    </row>
    <row r="650" spans="1:45" x14ac:dyDescent="0.25">
      <c r="A650">
        <v>62</v>
      </c>
      <c r="B650">
        <v>2</v>
      </c>
      <c r="C650">
        <v>1</v>
      </c>
      <c r="D650">
        <v>2020</v>
      </c>
      <c r="E650">
        <v>10</v>
      </c>
      <c r="F650" t="str">
        <f>IFERROR(VLOOKUP(G650, Map!$A$1:$B$33, 2, FALSE),"WAS")</f>
        <v>ARI</v>
      </c>
      <c r="G650" t="s">
        <v>156</v>
      </c>
      <c r="H650" t="str">
        <f>IFERROR(VLOOKUP(I650, Map!$A$1:$B$33, 2, FALSE),"WAS")</f>
        <v>BUF</v>
      </c>
      <c r="I650" t="s">
        <v>165</v>
      </c>
      <c r="J650" t="s">
        <v>190</v>
      </c>
      <c r="K650" t="s">
        <v>180</v>
      </c>
      <c r="L650">
        <v>1</v>
      </c>
      <c r="M650">
        <v>0</v>
      </c>
      <c r="N650">
        <v>51.384615384615401</v>
      </c>
      <c r="O650">
        <v>-2.4230769230769198</v>
      </c>
      <c r="P650">
        <v>-2.5</v>
      </c>
      <c r="Q650">
        <v>55.5</v>
      </c>
      <c r="R650">
        <v>18.7</v>
      </c>
      <c r="S650">
        <v>29.4</v>
      </c>
      <c r="T650">
        <v>13.5</v>
      </c>
      <c r="U650">
        <v>16.100000000000001</v>
      </c>
      <c r="V650">
        <v>0</v>
      </c>
      <c r="W650">
        <v>0</v>
      </c>
      <c r="X650">
        <v>0</v>
      </c>
      <c r="Y650">
        <v>0</v>
      </c>
      <c r="Z650">
        <v>13.7</v>
      </c>
      <c r="AA650">
        <v>28.8</v>
      </c>
      <c r="AB650">
        <v>356</v>
      </c>
      <c r="AC650">
        <v>33</v>
      </c>
      <c r="AD650">
        <v>11.4</v>
      </c>
      <c r="AE650">
        <v>4.5</v>
      </c>
      <c r="AF650">
        <v>58.561</v>
      </c>
      <c r="AG650">
        <v>75.483000000000004</v>
      </c>
      <c r="AH650">
        <v>41.109000000000002</v>
      </c>
      <c r="AI650">
        <v>54.167000000000002</v>
      </c>
      <c r="AJ650">
        <v>45.841000000000001</v>
      </c>
      <c r="AK650">
        <v>44.457999999999998</v>
      </c>
      <c r="AL650">
        <v>2.9550000000000001</v>
      </c>
      <c r="AM650">
        <v>41.109000000000002</v>
      </c>
      <c r="AN650">
        <v>75.483000000000004</v>
      </c>
      <c r="AO650">
        <v>58.561</v>
      </c>
      <c r="AP650">
        <v>-2.9550000000000001</v>
      </c>
      <c r="AQ650">
        <v>54.158999999999999</v>
      </c>
      <c r="AR650">
        <v>45.832999999999998</v>
      </c>
      <c r="AS650">
        <v>55.542000000000002</v>
      </c>
    </row>
    <row r="651" spans="1:45" x14ac:dyDescent="0.25">
      <c r="A651">
        <v>49</v>
      </c>
      <c r="B651">
        <v>25</v>
      </c>
      <c r="C651">
        <v>1</v>
      </c>
      <c r="D651">
        <v>2020</v>
      </c>
      <c r="E651">
        <v>10</v>
      </c>
      <c r="F651" t="str">
        <f>IFERROR(VLOOKUP(G651, Map!$A$1:$B$33, 2, FALSE),"WAS")</f>
        <v>LV</v>
      </c>
      <c r="G651" t="s">
        <v>157</v>
      </c>
      <c r="H651" t="str">
        <f>IFERROR(VLOOKUP(I651, Map!$A$1:$B$33, 2, FALSE),"WAS")</f>
        <v>DEN</v>
      </c>
      <c r="I651" t="s">
        <v>159</v>
      </c>
      <c r="J651" t="s">
        <v>179</v>
      </c>
      <c r="K651" t="s">
        <v>183</v>
      </c>
      <c r="L651">
        <v>1</v>
      </c>
      <c r="M651">
        <v>0</v>
      </c>
      <c r="N651">
        <v>50.5</v>
      </c>
      <c r="O651">
        <v>-2.9166666666666701</v>
      </c>
      <c r="P651">
        <v>-3</v>
      </c>
      <c r="Q651">
        <v>50.5</v>
      </c>
      <c r="R651">
        <v>13</v>
      </c>
      <c r="S651">
        <v>19.8</v>
      </c>
      <c r="T651">
        <v>6.6</v>
      </c>
      <c r="U651">
        <v>9.1</v>
      </c>
      <c r="V651">
        <v>0</v>
      </c>
      <c r="W651">
        <v>0</v>
      </c>
      <c r="X651">
        <v>0</v>
      </c>
      <c r="Y651">
        <v>0</v>
      </c>
      <c r="Z651">
        <v>14.8</v>
      </c>
      <c r="AA651">
        <v>22.7</v>
      </c>
      <c r="AB651">
        <v>306</v>
      </c>
      <c r="AC651">
        <v>28</v>
      </c>
      <c r="AD651">
        <v>12.9</v>
      </c>
      <c r="AE651">
        <v>7</v>
      </c>
      <c r="AF651">
        <v>60.698</v>
      </c>
      <c r="AG651">
        <v>34.335999999999999</v>
      </c>
      <c r="AH651">
        <v>38.988999999999997</v>
      </c>
      <c r="AI651">
        <v>90.846999999999994</v>
      </c>
      <c r="AJ651">
        <v>65.799000000000007</v>
      </c>
      <c r="AK651">
        <v>85.227999999999994</v>
      </c>
      <c r="AL651">
        <v>3.6920000000000002</v>
      </c>
      <c r="AM651">
        <v>38.988999999999997</v>
      </c>
      <c r="AN651">
        <v>34.335999999999999</v>
      </c>
      <c r="AO651">
        <v>60.698</v>
      </c>
      <c r="AP651">
        <v>-3.6920000000000002</v>
      </c>
      <c r="AQ651">
        <v>34.201000000000001</v>
      </c>
      <c r="AR651">
        <v>9.1530000000000005</v>
      </c>
      <c r="AS651">
        <v>14.772</v>
      </c>
    </row>
    <row r="652" spans="1:45" x14ac:dyDescent="0.25">
      <c r="A652">
        <v>50</v>
      </c>
      <c r="B652">
        <v>8</v>
      </c>
      <c r="C652">
        <v>1</v>
      </c>
      <c r="D652">
        <v>2020</v>
      </c>
      <c r="E652">
        <v>10</v>
      </c>
      <c r="F652" t="str">
        <f>IFERROR(VLOOKUP(G652, Map!$A$1:$B$33, 2, FALSE),"WAS")</f>
        <v>MIA</v>
      </c>
      <c r="G652" t="s">
        <v>152</v>
      </c>
      <c r="H652" t="str">
        <f>IFERROR(VLOOKUP(I652, Map!$A$1:$B$33, 2, FALSE),"WAS")</f>
        <v>LAC</v>
      </c>
      <c r="I652" t="s">
        <v>160</v>
      </c>
      <c r="J652" t="s">
        <v>175</v>
      </c>
      <c r="K652" t="s">
        <v>210</v>
      </c>
      <c r="L652">
        <v>1</v>
      </c>
      <c r="M652">
        <v>0</v>
      </c>
      <c r="N652">
        <v>44.5833333333333</v>
      </c>
      <c r="O652">
        <v>-1.5833333333333299</v>
      </c>
      <c r="P652">
        <v>-1.5</v>
      </c>
      <c r="Q652">
        <v>48.5</v>
      </c>
      <c r="R652">
        <v>25</v>
      </c>
      <c r="S652">
        <v>28.5</v>
      </c>
      <c r="T652">
        <v>22.6</v>
      </c>
      <c r="U652">
        <v>28.8</v>
      </c>
      <c r="V652">
        <v>0.7</v>
      </c>
      <c r="W652">
        <v>0</v>
      </c>
      <c r="X652">
        <v>4</v>
      </c>
      <c r="Y652">
        <v>0.7</v>
      </c>
      <c r="Z652">
        <v>14</v>
      </c>
      <c r="AA652">
        <v>29.9</v>
      </c>
      <c r="AB652">
        <v>106</v>
      </c>
      <c r="AC652">
        <v>85</v>
      </c>
      <c r="AD652">
        <v>15.6</v>
      </c>
      <c r="AE652">
        <v>8.1999999999999993</v>
      </c>
      <c r="AF652">
        <v>64.486000000000004</v>
      </c>
      <c r="AG652">
        <v>34.965000000000003</v>
      </c>
      <c r="AH652">
        <v>35.231000000000002</v>
      </c>
      <c r="AI652">
        <v>63.244999999999997</v>
      </c>
      <c r="AJ652">
        <v>50.469000000000001</v>
      </c>
      <c r="AK652">
        <v>83.385000000000005</v>
      </c>
      <c r="AL652">
        <v>5.0289999999999999</v>
      </c>
      <c r="AM652">
        <v>35.231000000000002</v>
      </c>
      <c r="AN652">
        <v>34.965000000000003</v>
      </c>
      <c r="AO652">
        <v>64.486000000000004</v>
      </c>
      <c r="AP652">
        <v>-5.0289999999999999</v>
      </c>
      <c r="AQ652">
        <v>49.530999999999999</v>
      </c>
      <c r="AR652">
        <v>36.755000000000003</v>
      </c>
      <c r="AS652">
        <v>16.614999999999998</v>
      </c>
    </row>
    <row r="653" spans="1:45" x14ac:dyDescent="0.25">
      <c r="A653">
        <v>51</v>
      </c>
      <c r="B653">
        <v>-17</v>
      </c>
      <c r="C653">
        <v>0</v>
      </c>
      <c r="D653">
        <v>2020</v>
      </c>
      <c r="E653">
        <v>10</v>
      </c>
      <c r="F653" t="str">
        <f>IFERROR(VLOOKUP(G653, Map!$A$1:$B$33, 2, FALSE),"WAS")</f>
        <v>TEN</v>
      </c>
      <c r="G653" t="s">
        <v>140</v>
      </c>
      <c r="H653" t="str">
        <f>IFERROR(VLOOKUP(I653, Map!$A$1:$B$33, 2, FALSE),"WAS")</f>
        <v>IND</v>
      </c>
      <c r="I653" t="s">
        <v>138</v>
      </c>
      <c r="J653" t="s">
        <v>174</v>
      </c>
      <c r="K653" t="s">
        <v>177</v>
      </c>
      <c r="L653">
        <v>0</v>
      </c>
      <c r="M653">
        <v>0</v>
      </c>
      <c r="N653">
        <v>41.230769230769198</v>
      </c>
      <c r="O653">
        <v>0.80769230769230804</v>
      </c>
      <c r="P653">
        <v>1</v>
      </c>
      <c r="Q653">
        <v>0</v>
      </c>
      <c r="R653">
        <v>11</v>
      </c>
      <c r="S653">
        <v>15.9</v>
      </c>
      <c r="T653">
        <v>6.4</v>
      </c>
      <c r="U653">
        <v>8.5</v>
      </c>
      <c r="V653">
        <v>0</v>
      </c>
      <c r="W653">
        <v>0</v>
      </c>
      <c r="X653">
        <v>0</v>
      </c>
      <c r="Y653">
        <v>0</v>
      </c>
      <c r="Z653">
        <v>12.6</v>
      </c>
      <c r="AA653">
        <v>27.4</v>
      </c>
      <c r="AB653">
        <v>316</v>
      </c>
      <c r="AC653">
        <v>66</v>
      </c>
      <c r="AD653">
        <v>15.4</v>
      </c>
      <c r="AE653">
        <v>8.3000000000000007</v>
      </c>
      <c r="AF653">
        <v>56.195999999999998</v>
      </c>
      <c r="AG653">
        <v>62.357999999999997</v>
      </c>
      <c r="AH653">
        <v>43.454999999999998</v>
      </c>
      <c r="AI653">
        <v>21.474</v>
      </c>
      <c r="AJ653">
        <v>63.334000000000003</v>
      </c>
      <c r="AK653">
        <v>19.922000000000001</v>
      </c>
      <c r="AL653">
        <v>2.149</v>
      </c>
      <c r="AM653">
        <v>43.454999999999998</v>
      </c>
      <c r="AN653">
        <v>62.357999999999997</v>
      </c>
      <c r="AO653">
        <v>56.195999999999998</v>
      </c>
      <c r="AP653">
        <v>-2.149</v>
      </c>
      <c r="AQ653">
        <v>36.665999999999997</v>
      </c>
      <c r="AR653">
        <v>78.525999999999996</v>
      </c>
      <c r="AS653">
        <v>80.078000000000003</v>
      </c>
    </row>
    <row r="654" spans="1:45" x14ac:dyDescent="0.25">
      <c r="A654">
        <v>57</v>
      </c>
      <c r="B654">
        <v>3</v>
      </c>
      <c r="C654">
        <v>1</v>
      </c>
      <c r="D654">
        <v>2020</v>
      </c>
      <c r="E654">
        <v>10</v>
      </c>
      <c r="F654" t="str">
        <f>IFERROR(VLOOKUP(G654, Map!$A$1:$B$33, 2, FALSE),"WAS")</f>
        <v>DET</v>
      </c>
      <c r="G654" t="s">
        <v>164</v>
      </c>
      <c r="H654" t="str">
        <f>IFERROR(VLOOKUP(I654, Map!$A$1:$B$33, 2, FALSE),"WAS")</f>
        <v>WAS</v>
      </c>
      <c r="I654" t="s">
        <v>169</v>
      </c>
      <c r="J654" t="s">
        <v>173</v>
      </c>
      <c r="K654" t="s">
        <v>205</v>
      </c>
      <c r="L654">
        <v>1</v>
      </c>
      <c r="M654">
        <v>0</v>
      </c>
      <c r="N654">
        <v>45.65</v>
      </c>
      <c r="O654">
        <v>-2.35</v>
      </c>
      <c r="P654">
        <v>-2.5</v>
      </c>
      <c r="Q654">
        <v>45.5</v>
      </c>
      <c r="R654">
        <v>8.4</v>
      </c>
      <c r="S654">
        <v>12.1</v>
      </c>
      <c r="T654">
        <v>5.6</v>
      </c>
      <c r="U654">
        <v>2.1</v>
      </c>
      <c r="V654">
        <v>13.8</v>
      </c>
      <c r="W654">
        <v>0</v>
      </c>
      <c r="X654">
        <v>15</v>
      </c>
      <c r="Y654">
        <v>13.8</v>
      </c>
      <c r="Z654">
        <v>54.9</v>
      </c>
      <c r="AA654">
        <v>92.9</v>
      </c>
      <c r="AB654">
        <v>200</v>
      </c>
      <c r="AC654">
        <v>74</v>
      </c>
      <c r="AD654">
        <v>59</v>
      </c>
      <c r="AE654">
        <v>33.4</v>
      </c>
      <c r="AF654">
        <v>53.173999999999999</v>
      </c>
      <c r="AG654">
        <v>18.279</v>
      </c>
      <c r="AH654">
        <v>46.453000000000003</v>
      </c>
      <c r="AI654">
        <v>32.499000000000002</v>
      </c>
      <c r="AJ654">
        <v>83.367999999999995</v>
      </c>
      <c r="AK654">
        <v>66.510999999999996</v>
      </c>
      <c r="AL654">
        <v>1.1299999999999999</v>
      </c>
      <c r="AM654">
        <v>46.453000000000003</v>
      </c>
      <c r="AN654">
        <v>18.279</v>
      </c>
      <c r="AO654">
        <v>53.173999999999999</v>
      </c>
      <c r="AP654">
        <v>-1.1299999999999999</v>
      </c>
      <c r="AQ654">
        <v>16.632000000000001</v>
      </c>
      <c r="AR654">
        <v>67.501000000000005</v>
      </c>
      <c r="AS654">
        <v>33.488999999999997</v>
      </c>
    </row>
    <row r="655" spans="1:45" x14ac:dyDescent="0.25">
      <c r="A655">
        <v>46</v>
      </c>
      <c r="B655">
        <v>26</v>
      </c>
      <c r="C655">
        <v>1</v>
      </c>
      <c r="D655">
        <v>2020</v>
      </c>
      <c r="E655">
        <v>10</v>
      </c>
      <c r="F655" t="str">
        <f>IFERROR(VLOOKUP(G655, Map!$A$1:$B$33, 2, FALSE),"WAS")</f>
        <v>PIT</v>
      </c>
      <c r="G655" t="s">
        <v>145</v>
      </c>
      <c r="H655" t="str">
        <f>IFERROR(VLOOKUP(I655, Map!$A$1:$B$33, 2, FALSE),"WAS")</f>
        <v>CIN</v>
      </c>
      <c r="I655" t="s">
        <v>161</v>
      </c>
      <c r="J655" t="s">
        <v>170</v>
      </c>
      <c r="K655" t="s">
        <v>176</v>
      </c>
      <c r="L655">
        <v>1</v>
      </c>
      <c r="M655">
        <v>0</v>
      </c>
      <c r="N655">
        <v>41.875</v>
      </c>
      <c r="O655">
        <v>-5.5416666666666696</v>
      </c>
      <c r="P655">
        <v>-6.5</v>
      </c>
      <c r="Q655">
        <v>45.5</v>
      </c>
      <c r="R655">
        <v>10.5</v>
      </c>
      <c r="S655">
        <v>16.899999999999999</v>
      </c>
      <c r="T655">
        <v>5.4</v>
      </c>
      <c r="U655">
        <v>6</v>
      </c>
      <c r="V655">
        <v>3.7</v>
      </c>
      <c r="W655">
        <v>0</v>
      </c>
      <c r="X655">
        <v>8</v>
      </c>
      <c r="Y655">
        <v>3.7</v>
      </c>
      <c r="Z655">
        <v>39.4</v>
      </c>
      <c r="AA655">
        <v>90.7</v>
      </c>
      <c r="AB655">
        <v>189</v>
      </c>
      <c r="AC655">
        <v>60</v>
      </c>
      <c r="AD655">
        <v>44</v>
      </c>
      <c r="AE655">
        <v>20.2</v>
      </c>
      <c r="AF655">
        <v>71.768000000000001</v>
      </c>
      <c r="AG655">
        <v>45.8</v>
      </c>
      <c r="AH655">
        <v>28.007000000000001</v>
      </c>
      <c r="AI655">
        <v>89.960999999999999</v>
      </c>
      <c r="AJ655">
        <v>72.212999999999994</v>
      </c>
      <c r="AK655">
        <v>93.114000000000004</v>
      </c>
      <c r="AL655">
        <v>7.7629999999999999</v>
      </c>
      <c r="AM655">
        <v>28.007000000000001</v>
      </c>
      <c r="AN655">
        <v>45.8</v>
      </c>
      <c r="AO655">
        <v>71.768000000000001</v>
      </c>
      <c r="AP655">
        <v>-7.7629999999999999</v>
      </c>
      <c r="AQ655">
        <v>27.786999999999999</v>
      </c>
      <c r="AR655">
        <v>10.039</v>
      </c>
      <c r="AS655">
        <v>6.8860000000000001</v>
      </c>
    </row>
    <row r="656" spans="1:45" x14ac:dyDescent="0.25">
      <c r="A656">
        <v>69</v>
      </c>
      <c r="B656">
        <v>-23</v>
      </c>
      <c r="C656">
        <v>0</v>
      </c>
      <c r="D656">
        <v>2020</v>
      </c>
      <c r="E656">
        <v>10</v>
      </c>
      <c r="F656" t="str">
        <f>IFERROR(VLOOKUP(G656, Map!$A$1:$B$33, 2, FALSE),"WAS")</f>
        <v>CAR</v>
      </c>
      <c r="G656" t="s">
        <v>142</v>
      </c>
      <c r="H656" t="str">
        <f>IFERROR(VLOOKUP(I656, Map!$A$1:$B$33, 2, FALSE),"WAS")</f>
        <v>TB</v>
      </c>
      <c r="I656" t="s">
        <v>141</v>
      </c>
      <c r="J656" t="s">
        <v>185</v>
      </c>
      <c r="K656" t="s">
        <v>186</v>
      </c>
      <c r="L656">
        <v>0</v>
      </c>
      <c r="M656">
        <v>0</v>
      </c>
      <c r="N656">
        <v>45.4583333333333</v>
      </c>
      <c r="O656">
        <v>4.9166666666666696</v>
      </c>
      <c r="P656">
        <v>5.5</v>
      </c>
      <c r="Q656">
        <v>49.5</v>
      </c>
      <c r="R656">
        <v>16.5</v>
      </c>
      <c r="S656">
        <v>22.4</v>
      </c>
      <c r="T656">
        <v>12.5</v>
      </c>
      <c r="U656">
        <v>15.3</v>
      </c>
      <c r="V656">
        <v>0.4</v>
      </c>
      <c r="W656">
        <v>0</v>
      </c>
      <c r="X656">
        <v>4</v>
      </c>
      <c r="Y656">
        <v>0.4</v>
      </c>
      <c r="Z656">
        <v>30.5</v>
      </c>
      <c r="AA656">
        <v>58.3</v>
      </c>
      <c r="AB656">
        <v>188</v>
      </c>
      <c r="AC656">
        <v>80</v>
      </c>
      <c r="AD656">
        <v>29.3</v>
      </c>
      <c r="AE656">
        <v>15.6</v>
      </c>
      <c r="AF656">
        <v>35.26</v>
      </c>
      <c r="AG656">
        <v>74.474000000000004</v>
      </c>
      <c r="AH656">
        <v>64.456999999999994</v>
      </c>
      <c r="AI656">
        <v>4.75</v>
      </c>
      <c r="AJ656">
        <v>46.165999999999997</v>
      </c>
      <c r="AK656">
        <v>12.929</v>
      </c>
      <c r="AL656">
        <v>-5.0179999999999998</v>
      </c>
      <c r="AM656">
        <v>64.456999999999994</v>
      </c>
      <c r="AN656">
        <v>74.474000000000004</v>
      </c>
      <c r="AO656">
        <v>35.26</v>
      </c>
      <c r="AP656">
        <v>5.0179999999999998</v>
      </c>
      <c r="AQ656">
        <v>53.834000000000003</v>
      </c>
      <c r="AR656">
        <v>95.25</v>
      </c>
      <c r="AS656">
        <v>87.070999999999998</v>
      </c>
    </row>
    <row r="657" spans="1:45" x14ac:dyDescent="0.25">
      <c r="A657">
        <v>40</v>
      </c>
      <c r="B657">
        <v>6</v>
      </c>
      <c r="C657">
        <v>1</v>
      </c>
      <c r="D657">
        <v>2020</v>
      </c>
      <c r="E657">
        <v>10</v>
      </c>
      <c r="F657" t="str">
        <f>IFERROR(VLOOKUP(G657, Map!$A$1:$B$33, 2, FALSE),"WAS")</f>
        <v>NE</v>
      </c>
      <c r="G657" t="s">
        <v>151</v>
      </c>
      <c r="H657" t="str">
        <f>IFERROR(VLOOKUP(I657, Map!$A$1:$B$33, 2, FALSE),"WAS")</f>
        <v>BAL</v>
      </c>
      <c r="I657" t="s">
        <v>146</v>
      </c>
      <c r="J657" t="s">
        <v>187</v>
      </c>
      <c r="K657" t="s">
        <v>181</v>
      </c>
      <c r="L657">
        <v>1</v>
      </c>
      <c r="M657">
        <v>0</v>
      </c>
      <c r="N657">
        <v>40.423076923076898</v>
      </c>
      <c r="O657">
        <v>5.7307692307692299</v>
      </c>
      <c r="P657">
        <v>6</v>
      </c>
      <c r="Q657">
        <v>43.5</v>
      </c>
      <c r="R657">
        <v>9.6</v>
      </c>
      <c r="S657">
        <v>14.1</v>
      </c>
      <c r="T657">
        <v>5.6</v>
      </c>
      <c r="U657">
        <v>5.5</v>
      </c>
      <c r="V657">
        <v>19.100000000000001</v>
      </c>
      <c r="W657">
        <v>0</v>
      </c>
      <c r="X657">
        <v>8</v>
      </c>
      <c r="Y657">
        <v>19.100000000000001</v>
      </c>
      <c r="Z657">
        <v>35.700000000000003</v>
      </c>
      <c r="AA657">
        <v>101.5</v>
      </c>
      <c r="AB657">
        <v>237</v>
      </c>
      <c r="AC657">
        <v>71</v>
      </c>
      <c r="AD657">
        <v>50.5</v>
      </c>
      <c r="AE657">
        <v>19.2</v>
      </c>
      <c r="AF657">
        <v>33.268999999999998</v>
      </c>
      <c r="AG657">
        <v>75.072999999999993</v>
      </c>
      <c r="AH657">
        <v>66.462999999999994</v>
      </c>
      <c r="AI657">
        <v>42.692999999999998</v>
      </c>
      <c r="AJ657">
        <v>86.92</v>
      </c>
      <c r="AK657">
        <v>68.748000000000005</v>
      </c>
      <c r="AL657">
        <v>-5.7460000000000004</v>
      </c>
      <c r="AM657">
        <v>66.462999999999994</v>
      </c>
      <c r="AN657">
        <v>75.072999999999993</v>
      </c>
      <c r="AO657">
        <v>33.268999999999998</v>
      </c>
      <c r="AP657">
        <v>5.7460000000000004</v>
      </c>
      <c r="AQ657">
        <v>13.08</v>
      </c>
      <c r="AR657">
        <v>57.307000000000002</v>
      </c>
      <c r="AS657">
        <v>31.251999999999999</v>
      </c>
    </row>
    <row r="658" spans="1:45" x14ac:dyDescent="0.25">
      <c r="A658">
        <v>17</v>
      </c>
      <c r="B658">
        <v>3</v>
      </c>
      <c r="C658">
        <v>1</v>
      </c>
      <c r="D658">
        <v>2020</v>
      </c>
      <c r="E658">
        <v>10</v>
      </c>
      <c r="F658" t="str">
        <f>IFERROR(VLOOKUP(G658, Map!$A$1:$B$33, 2, FALSE),"WAS")</f>
        <v>CLE</v>
      </c>
      <c r="G658" t="s">
        <v>162</v>
      </c>
      <c r="H658" t="str">
        <f>IFERROR(VLOOKUP(I658, Map!$A$1:$B$33, 2, FALSE),"WAS")</f>
        <v>HOU</v>
      </c>
      <c r="I658" t="s">
        <v>137</v>
      </c>
      <c r="J658" t="s">
        <v>171</v>
      </c>
      <c r="K658" t="s">
        <v>209</v>
      </c>
      <c r="L658">
        <v>1</v>
      </c>
      <c r="M658">
        <v>0</v>
      </c>
      <c r="N658">
        <v>42.0416666666667</v>
      </c>
      <c r="O658">
        <v>-3.7083333333333299</v>
      </c>
      <c r="P658">
        <v>-4</v>
      </c>
      <c r="Q658">
        <v>45.5</v>
      </c>
      <c r="R658">
        <v>9.8000000000000007</v>
      </c>
      <c r="S658">
        <v>14.1</v>
      </c>
      <c r="T658">
        <v>7.2</v>
      </c>
      <c r="U658">
        <v>3</v>
      </c>
      <c r="V658">
        <v>9.1</v>
      </c>
      <c r="W658">
        <v>0</v>
      </c>
      <c r="X658">
        <v>15</v>
      </c>
      <c r="Y658">
        <v>9.1</v>
      </c>
      <c r="Z658">
        <v>50.8</v>
      </c>
      <c r="AA658">
        <v>87.1</v>
      </c>
      <c r="AB658">
        <v>191</v>
      </c>
      <c r="AC658">
        <v>64</v>
      </c>
      <c r="AD658">
        <v>60.6</v>
      </c>
      <c r="AE658">
        <v>36.1</v>
      </c>
      <c r="AF658">
        <v>61.984999999999999</v>
      </c>
      <c r="AG658">
        <v>44.082999999999998</v>
      </c>
      <c r="AH658">
        <v>37.712000000000003</v>
      </c>
      <c r="AI658">
        <v>63.533000000000001</v>
      </c>
      <c r="AJ658">
        <v>54.353999999999999</v>
      </c>
      <c r="AK658">
        <v>68.745999999999995</v>
      </c>
      <c r="AL658">
        <v>4.1420000000000003</v>
      </c>
      <c r="AM658">
        <v>37.712000000000003</v>
      </c>
      <c r="AN658">
        <v>44.082999999999998</v>
      </c>
      <c r="AO658">
        <v>61.984999999999999</v>
      </c>
      <c r="AP658">
        <v>-4.1420000000000003</v>
      </c>
      <c r="AQ658">
        <v>45.646000000000001</v>
      </c>
      <c r="AR658">
        <v>36.466999999999999</v>
      </c>
      <c r="AS658">
        <v>31.254000000000001</v>
      </c>
    </row>
    <row r="659" spans="1:45" x14ac:dyDescent="0.25">
      <c r="A659">
        <v>39</v>
      </c>
      <c r="B659">
        <v>7</v>
      </c>
      <c r="C659">
        <v>1</v>
      </c>
      <c r="D659">
        <v>2020</v>
      </c>
      <c r="E659">
        <v>10</v>
      </c>
      <c r="F659" t="str">
        <f>IFERROR(VLOOKUP(G659, Map!$A$1:$B$33, 2, FALSE),"WAS")</f>
        <v>LA</v>
      </c>
      <c r="G659" t="s">
        <v>155</v>
      </c>
      <c r="H659" t="str">
        <f>IFERROR(VLOOKUP(I659, Map!$A$1:$B$33, 2, FALSE),"WAS")</f>
        <v>SEA</v>
      </c>
      <c r="I659" t="s">
        <v>144</v>
      </c>
      <c r="J659" t="s">
        <v>178</v>
      </c>
      <c r="K659" t="s">
        <v>182</v>
      </c>
      <c r="L659">
        <v>1</v>
      </c>
      <c r="M659">
        <v>0</v>
      </c>
      <c r="N659">
        <v>49.954545454545503</v>
      </c>
      <c r="O659">
        <v>-2.2727272727272698</v>
      </c>
      <c r="P659">
        <v>-2.5</v>
      </c>
      <c r="Q659">
        <v>54.5</v>
      </c>
      <c r="R659">
        <v>17.100000000000001</v>
      </c>
      <c r="S659">
        <v>29.5</v>
      </c>
      <c r="T659">
        <v>10.4</v>
      </c>
      <c r="U659">
        <v>14.3</v>
      </c>
      <c r="V659">
        <v>0</v>
      </c>
      <c r="W659">
        <v>0</v>
      </c>
      <c r="X659">
        <v>0</v>
      </c>
      <c r="Y659">
        <v>0</v>
      </c>
      <c r="Z659">
        <v>18.100000000000001</v>
      </c>
      <c r="AA659">
        <v>31</v>
      </c>
      <c r="AB659">
        <v>346</v>
      </c>
      <c r="AC659">
        <v>44</v>
      </c>
      <c r="AD659">
        <v>14.2</v>
      </c>
      <c r="AE659">
        <v>8.1</v>
      </c>
      <c r="AF659">
        <v>55.683999999999997</v>
      </c>
      <c r="AG659">
        <v>75.006</v>
      </c>
      <c r="AH659">
        <v>43.963000000000001</v>
      </c>
      <c r="AI659">
        <v>74.334000000000003</v>
      </c>
      <c r="AJ659">
        <v>82.156999999999996</v>
      </c>
      <c r="AK659">
        <v>75.055999999999997</v>
      </c>
      <c r="AL659">
        <v>1.9750000000000001</v>
      </c>
      <c r="AM659">
        <v>43.963000000000001</v>
      </c>
      <c r="AN659">
        <v>75.006</v>
      </c>
      <c r="AO659">
        <v>55.683999999999997</v>
      </c>
      <c r="AP659">
        <v>-1.9750000000000001</v>
      </c>
      <c r="AQ659">
        <v>17.843</v>
      </c>
      <c r="AR659">
        <v>25.666</v>
      </c>
      <c r="AS659">
        <v>24.943999999999999</v>
      </c>
    </row>
    <row r="660" spans="1:45" x14ac:dyDescent="0.25">
      <c r="A660">
        <v>40</v>
      </c>
      <c r="B660">
        <v>14</v>
      </c>
      <c r="C660">
        <v>1</v>
      </c>
      <c r="D660">
        <v>2020</v>
      </c>
      <c r="E660">
        <v>10</v>
      </c>
      <c r="F660" t="str">
        <f>IFERROR(VLOOKUP(G660, Map!$A$1:$B$33, 2, FALSE),"WAS")</f>
        <v>NO</v>
      </c>
      <c r="G660" t="s">
        <v>168</v>
      </c>
      <c r="H660" t="str">
        <f>IFERROR(VLOOKUP(I660, Map!$A$1:$B$33, 2, FALSE),"WAS")</f>
        <v>SF</v>
      </c>
      <c r="I660" t="s">
        <v>143</v>
      </c>
      <c r="J660" t="s">
        <v>192</v>
      </c>
      <c r="K660" t="s">
        <v>197</v>
      </c>
      <c r="L660">
        <v>1</v>
      </c>
      <c r="M660">
        <v>0</v>
      </c>
      <c r="N660">
        <v>45.3333333333333</v>
      </c>
      <c r="O660">
        <v>-7.9583333333333304</v>
      </c>
      <c r="P660">
        <v>-9.5</v>
      </c>
      <c r="Q660">
        <v>49</v>
      </c>
      <c r="R660">
        <v>22.3</v>
      </c>
      <c r="S660">
        <v>26</v>
      </c>
      <c r="T660">
        <v>20</v>
      </c>
      <c r="U660">
        <v>23.6</v>
      </c>
      <c r="V660">
        <v>0.3</v>
      </c>
      <c r="W660">
        <v>0</v>
      </c>
      <c r="X660">
        <v>3</v>
      </c>
      <c r="Y660">
        <v>0.3</v>
      </c>
      <c r="Z660">
        <v>26.1</v>
      </c>
      <c r="AA660">
        <v>49.7</v>
      </c>
      <c r="AB660">
        <v>232</v>
      </c>
      <c r="AC660">
        <v>81</v>
      </c>
      <c r="AD660">
        <v>26.5</v>
      </c>
      <c r="AE660">
        <v>13.6</v>
      </c>
      <c r="AF660">
        <v>60.752000000000002</v>
      </c>
      <c r="AG660">
        <v>68.149000000000001</v>
      </c>
      <c r="AH660">
        <v>38.936</v>
      </c>
      <c r="AI660">
        <v>75.695999999999998</v>
      </c>
      <c r="AJ660">
        <v>55.109000000000002</v>
      </c>
      <c r="AK660">
        <v>81.602000000000004</v>
      </c>
      <c r="AL660">
        <v>3.7109999999999999</v>
      </c>
      <c r="AM660">
        <v>38.936</v>
      </c>
      <c r="AN660">
        <v>68.149000000000001</v>
      </c>
      <c r="AO660">
        <v>60.752000000000002</v>
      </c>
      <c r="AP660">
        <v>-3.7109999999999999</v>
      </c>
      <c r="AQ660">
        <v>44.890999999999998</v>
      </c>
      <c r="AR660">
        <v>24.303999999999998</v>
      </c>
      <c r="AS660">
        <v>18.398</v>
      </c>
    </row>
    <row r="661" spans="1:45" x14ac:dyDescent="0.25">
      <c r="A661">
        <v>54</v>
      </c>
      <c r="B661">
        <v>-6</v>
      </c>
      <c r="C661">
        <v>0</v>
      </c>
      <c r="D661">
        <v>2020</v>
      </c>
      <c r="E661">
        <v>11</v>
      </c>
      <c r="F661" t="str">
        <f>IFERROR(VLOOKUP(G661, Map!$A$1:$B$33, 2, FALSE),"WAS")</f>
        <v>BAL</v>
      </c>
      <c r="G661" t="s">
        <v>146</v>
      </c>
      <c r="H661" t="str">
        <f>IFERROR(VLOOKUP(I661, Map!$A$1:$B$33, 2, FALSE),"WAS")</f>
        <v>TEN</v>
      </c>
      <c r="I661" t="s">
        <v>140</v>
      </c>
      <c r="J661" t="s">
        <v>181</v>
      </c>
      <c r="K661" t="s">
        <v>174</v>
      </c>
      <c r="L661">
        <v>0</v>
      </c>
      <c r="M661">
        <v>0</v>
      </c>
      <c r="N661">
        <v>46.0833333333333</v>
      </c>
      <c r="O661">
        <v>-5.0416666666666696</v>
      </c>
      <c r="P661">
        <v>-5.5</v>
      </c>
      <c r="Q661">
        <v>49.5</v>
      </c>
      <c r="R661">
        <v>10.8</v>
      </c>
      <c r="S661">
        <v>13.2</v>
      </c>
      <c r="T661">
        <v>8.5</v>
      </c>
      <c r="U661">
        <v>7.9</v>
      </c>
      <c r="V661">
        <v>0</v>
      </c>
      <c r="W661">
        <v>0</v>
      </c>
      <c r="X661">
        <v>0</v>
      </c>
      <c r="Y661">
        <v>0</v>
      </c>
      <c r="Z661">
        <v>15.6</v>
      </c>
      <c r="AA661">
        <v>27.7</v>
      </c>
      <c r="AB661">
        <v>54</v>
      </c>
      <c r="AC661">
        <v>68</v>
      </c>
      <c r="AD661">
        <v>22.3</v>
      </c>
      <c r="AE661">
        <v>11.9</v>
      </c>
      <c r="AF661">
        <v>67.831000000000003</v>
      </c>
      <c r="AG661">
        <v>73.103999999999999</v>
      </c>
      <c r="AH661">
        <v>31.911999999999999</v>
      </c>
      <c r="AI661">
        <v>25.72</v>
      </c>
      <c r="AJ661">
        <v>65.866</v>
      </c>
      <c r="AK661">
        <v>40.853999999999999</v>
      </c>
      <c r="AL661">
        <v>6.2290000000000001</v>
      </c>
      <c r="AM661">
        <v>31.911999999999999</v>
      </c>
      <c r="AN661">
        <v>73.103999999999999</v>
      </c>
      <c r="AO661">
        <v>67.831000000000003</v>
      </c>
      <c r="AP661">
        <v>-6.2290000000000001</v>
      </c>
      <c r="AQ661">
        <v>34.134</v>
      </c>
      <c r="AR661">
        <v>74.28</v>
      </c>
      <c r="AS661">
        <v>59.146000000000001</v>
      </c>
    </row>
    <row r="662" spans="1:45" x14ac:dyDescent="0.25">
      <c r="A662">
        <v>47</v>
      </c>
      <c r="B662">
        <v>7</v>
      </c>
      <c r="C662">
        <v>1</v>
      </c>
      <c r="D662">
        <v>2020</v>
      </c>
      <c r="E662">
        <v>11</v>
      </c>
      <c r="F662" t="str">
        <f>IFERROR(VLOOKUP(G662, Map!$A$1:$B$33, 2, FALSE),"WAS")</f>
        <v>HOU</v>
      </c>
      <c r="G662" t="s">
        <v>137</v>
      </c>
      <c r="H662" t="str">
        <f>IFERROR(VLOOKUP(I662, Map!$A$1:$B$33, 2, FALSE),"WAS")</f>
        <v>NE</v>
      </c>
      <c r="I662" t="s">
        <v>151</v>
      </c>
      <c r="J662" t="s">
        <v>209</v>
      </c>
      <c r="K662" t="s">
        <v>187</v>
      </c>
      <c r="L662">
        <v>1</v>
      </c>
      <c r="M662">
        <v>0</v>
      </c>
      <c r="N662">
        <v>45.0833333333333</v>
      </c>
      <c r="O662">
        <v>1.7083333333333299</v>
      </c>
      <c r="P662">
        <v>-2.5</v>
      </c>
      <c r="Q662">
        <v>47.5</v>
      </c>
      <c r="R662">
        <v>20.3</v>
      </c>
      <c r="S662">
        <v>26.2</v>
      </c>
      <c r="T662">
        <v>16</v>
      </c>
      <c r="U662">
        <v>21.3</v>
      </c>
      <c r="V662">
        <v>0</v>
      </c>
      <c r="W662">
        <v>0</v>
      </c>
      <c r="X662">
        <v>0</v>
      </c>
      <c r="Y662">
        <v>0</v>
      </c>
      <c r="Z662">
        <v>13.6</v>
      </c>
      <c r="AA662">
        <v>21.2</v>
      </c>
      <c r="AB662">
        <v>104</v>
      </c>
      <c r="AC662">
        <v>77</v>
      </c>
      <c r="AD662">
        <v>14.1</v>
      </c>
      <c r="AE662">
        <v>7.1</v>
      </c>
      <c r="AF662">
        <v>48.345999999999997</v>
      </c>
      <c r="AG662">
        <v>38.622999999999998</v>
      </c>
      <c r="AH662">
        <v>51.265000000000001</v>
      </c>
      <c r="AI662">
        <v>36.904000000000003</v>
      </c>
      <c r="AJ662">
        <v>88.986999999999995</v>
      </c>
      <c r="AK662">
        <v>70.004999999999995</v>
      </c>
      <c r="AL662">
        <v>-0.48799999999999999</v>
      </c>
      <c r="AM662">
        <v>51.265000000000001</v>
      </c>
      <c r="AN662">
        <v>38.622999999999998</v>
      </c>
      <c r="AO662">
        <v>48.345999999999997</v>
      </c>
      <c r="AP662">
        <v>0.48799999999999999</v>
      </c>
      <c r="AQ662">
        <v>11.013</v>
      </c>
      <c r="AR662">
        <v>63.095999999999997</v>
      </c>
      <c r="AS662">
        <v>29.995000000000001</v>
      </c>
    </row>
    <row r="663" spans="1:45" x14ac:dyDescent="0.25">
      <c r="A663">
        <v>66</v>
      </c>
      <c r="B663">
        <v>-4</v>
      </c>
      <c r="C663">
        <v>0</v>
      </c>
      <c r="D663">
        <v>2020</v>
      </c>
      <c r="E663">
        <v>11</v>
      </c>
      <c r="F663" t="str">
        <f>IFERROR(VLOOKUP(G663, Map!$A$1:$B$33, 2, FALSE),"WAS")</f>
        <v>LV</v>
      </c>
      <c r="G663" t="s">
        <v>157</v>
      </c>
      <c r="H663" t="str">
        <f>IFERROR(VLOOKUP(I663, Map!$A$1:$B$33, 2, FALSE),"WAS")</f>
        <v>KC</v>
      </c>
      <c r="I663" t="s">
        <v>158</v>
      </c>
      <c r="J663" t="s">
        <v>179</v>
      </c>
      <c r="K663" t="s">
        <v>202</v>
      </c>
      <c r="L663">
        <v>0</v>
      </c>
      <c r="M663">
        <v>0</v>
      </c>
      <c r="N663">
        <v>56.5833333333333</v>
      </c>
      <c r="O663">
        <v>7.0416666666666696</v>
      </c>
      <c r="P663">
        <v>7.5</v>
      </c>
      <c r="Q663">
        <v>56.5</v>
      </c>
      <c r="R663">
        <v>13.1</v>
      </c>
      <c r="S663">
        <v>19</v>
      </c>
      <c r="T663">
        <v>7</v>
      </c>
      <c r="U663">
        <v>9.6</v>
      </c>
      <c r="V663">
        <v>0</v>
      </c>
      <c r="W663">
        <v>0</v>
      </c>
      <c r="X663">
        <v>0</v>
      </c>
      <c r="Y663">
        <v>0</v>
      </c>
      <c r="Z663">
        <v>9.1</v>
      </c>
      <c r="AA663">
        <v>15.1</v>
      </c>
      <c r="AB663">
        <v>253</v>
      </c>
      <c r="AC663">
        <v>29</v>
      </c>
      <c r="AD663">
        <v>7.9</v>
      </c>
      <c r="AE663">
        <v>4.5</v>
      </c>
      <c r="AF663">
        <v>23.986000000000001</v>
      </c>
      <c r="AG663">
        <v>73.159000000000006</v>
      </c>
      <c r="AH663">
        <v>75.820999999999998</v>
      </c>
      <c r="AI663">
        <v>6.4329999999999998</v>
      </c>
      <c r="AJ663">
        <v>94.897999999999996</v>
      </c>
      <c r="AK663">
        <v>42.052</v>
      </c>
      <c r="AL663">
        <v>-9.3940000000000001</v>
      </c>
      <c r="AM663">
        <v>75.820999999999998</v>
      </c>
      <c r="AN663">
        <v>73.159000000000006</v>
      </c>
      <c r="AO663">
        <v>23.986000000000001</v>
      </c>
      <c r="AP663">
        <v>9.3940000000000001</v>
      </c>
      <c r="AQ663">
        <v>5.1020000000000003</v>
      </c>
      <c r="AR663">
        <v>93.566999999999993</v>
      </c>
      <c r="AS663">
        <v>57.948</v>
      </c>
    </row>
    <row r="664" spans="1:45" x14ac:dyDescent="0.25">
      <c r="A664">
        <v>39</v>
      </c>
      <c r="B664">
        <v>5</v>
      </c>
      <c r="C664">
        <v>1</v>
      </c>
      <c r="D664">
        <v>2020</v>
      </c>
      <c r="E664">
        <v>11</v>
      </c>
      <c r="F664" t="str">
        <f>IFERROR(VLOOKUP(G664, Map!$A$1:$B$33, 2, FALSE),"WAS")</f>
        <v>CLE</v>
      </c>
      <c r="G664" t="s">
        <v>162</v>
      </c>
      <c r="H664" t="str">
        <f>IFERROR(VLOOKUP(I664, Map!$A$1:$B$33, 2, FALSE),"WAS")</f>
        <v>PHI</v>
      </c>
      <c r="I664" t="s">
        <v>147</v>
      </c>
      <c r="J664" t="s">
        <v>171</v>
      </c>
      <c r="K664" t="s">
        <v>206</v>
      </c>
      <c r="L664">
        <v>1</v>
      </c>
      <c r="M664">
        <v>0</v>
      </c>
      <c r="N664">
        <v>41.7083333333333</v>
      </c>
      <c r="O664">
        <v>-2.0833333333333299</v>
      </c>
      <c r="P664">
        <v>-2.5</v>
      </c>
      <c r="Q664">
        <v>45.5</v>
      </c>
      <c r="R664">
        <v>4.5</v>
      </c>
      <c r="S664">
        <v>6.5</v>
      </c>
      <c r="T664">
        <v>3.2</v>
      </c>
      <c r="U664">
        <v>0.8</v>
      </c>
      <c r="V664">
        <v>18.8</v>
      </c>
      <c r="W664">
        <v>0.14000000000000001</v>
      </c>
      <c r="X664">
        <v>13</v>
      </c>
      <c r="Y664">
        <v>18.600000000000001</v>
      </c>
      <c r="Z664">
        <v>18</v>
      </c>
      <c r="AA664">
        <v>29.5</v>
      </c>
      <c r="AB664">
        <v>71</v>
      </c>
      <c r="AC664">
        <v>82</v>
      </c>
      <c r="AD664">
        <v>21.8</v>
      </c>
      <c r="AE664">
        <v>12.7</v>
      </c>
      <c r="AF664">
        <v>51.768999999999998</v>
      </c>
      <c r="AG664">
        <v>42.792999999999999</v>
      </c>
      <c r="AH664">
        <v>47.847000000000001</v>
      </c>
      <c r="AI664">
        <v>92.251999999999995</v>
      </c>
      <c r="AJ664">
        <v>31.47</v>
      </c>
      <c r="AK664">
        <v>71.608000000000004</v>
      </c>
      <c r="AL664">
        <v>0.65600000000000003</v>
      </c>
      <c r="AM664">
        <v>47.847000000000001</v>
      </c>
      <c r="AN664">
        <v>42.792999999999999</v>
      </c>
      <c r="AO664">
        <v>51.768999999999998</v>
      </c>
      <c r="AP664">
        <v>-0.65600000000000003</v>
      </c>
      <c r="AQ664">
        <v>68.53</v>
      </c>
      <c r="AR664">
        <v>7.7480000000000002</v>
      </c>
      <c r="AS664">
        <v>28.391999999999999</v>
      </c>
    </row>
    <row r="665" spans="1:45" x14ac:dyDescent="0.25">
      <c r="A665">
        <v>51</v>
      </c>
      <c r="B665">
        <v>-3</v>
      </c>
      <c r="C665">
        <v>0</v>
      </c>
      <c r="D665">
        <v>2020</v>
      </c>
      <c r="E665">
        <v>11</v>
      </c>
      <c r="F665" t="str">
        <f>IFERROR(VLOOKUP(G665, Map!$A$1:$B$33, 2, FALSE),"WAS")</f>
        <v>TB</v>
      </c>
      <c r="G665" t="s">
        <v>141</v>
      </c>
      <c r="H665" t="str">
        <f>IFERROR(VLOOKUP(I665, Map!$A$1:$B$33, 2, FALSE),"WAS")</f>
        <v>LA</v>
      </c>
      <c r="I665" t="s">
        <v>155</v>
      </c>
      <c r="J665" t="s">
        <v>186</v>
      </c>
      <c r="K665" t="s">
        <v>178</v>
      </c>
      <c r="L665">
        <v>0</v>
      </c>
      <c r="M665">
        <v>0</v>
      </c>
      <c r="N665">
        <v>43.8333333333333</v>
      </c>
      <c r="O665">
        <v>-3.4166666666666701</v>
      </c>
      <c r="P665">
        <v>-4</v>
      </c>
      <c r="Q665">
        <v>47.5</v>
      </c>
      <c r="R665">
        <v>19.2</v>
      </c>
      <c r="S665">
        <v>24.9</v>
      </c>
      <c r="T665">
        <v>15.1</v>
      </c>
      <c r="U665">
        <v>19</v>
      </c>
      <c r="V665">
        <v>0</v>
      </c>
      <c r="W665">
        <v>0</v>
      </c>
      <c r="X665">
        <v>0</v>
      </c>
      <c r="Y665">
        <v>0</v>
      </c>
      <c r="Z665">
        <v>17.600000000000001</v>
      </c>
      <c r="AA665">
        <v>31.7</v>
      </c>
      <c r="AB665">
        <v>60</v>
      </c>
      <c r="AC665">
        <v>77</v>
      </c>
      <c r="AD665">
        <v>22.1</v>
      </c>
      <c r="AE665">
        <v>12.5</v>
      </c>
      <c r="AF665">
        <v>65.450999999999993</v>
      </c>
      <c r="AG665">
        <v>79.522999999999996</v>
      </c>
      <c r="AH665">
        <v>34.274000000000001</v>
      </c>
      <c r="AI665">
        <v>46.926000000000002</v>
      </c>
      <c r="AJ665">
        <v>33.746000000000002</v>
      </c>
      <c r="AK665">
        <v>42.683999999999997</v>
      </c>
      <c r="AL665">
        <v>5.3570000000000002</v>
      </c>
      <c r="AM665">
        <v>34.274000000000001</v>
      </c>
      <c r="AN665">
        <v>79.522999999999996</v>
      </c>
      <c r="AO665">
        <v>65.450999999999993</v>
      </c>
      <c r="AP665">
        <v>-5.3570000000000002</v>
      </c>
      <c r="AQ665">
        <v>66.254000000000005</v>
      </c>
      <c r="AR665">
        <v>53.073999999999998</v>
      </c>
      <c r="AS665">
        <v>57.316000000000003</v>
      </c>
    </row>
    <row r="666" spans="1:45" x14ac:dyDescent="0.25">
      <c r="A666">
        <v>49</v>
      </c>
      <c r="B666">
        <v>7</v>
      </c>
      <c r="C666">
        <v>1</v>
      </c>
      <c r="D666">
        <v>2020</v>
      </c>
      <c r="E666">
        <v>11</v>
      </c>
      <c r="F666" t="str">
        <f>IFERROR(VLOOKUP(G666, Map!$A$1:$B$33, 2, FALSE),"WAS")</f>
        <v>SEA</v>
      </c>
      <c r="G666" t="s">
        <v>144</v>
      </c>
      <c r="H666" t="str">
        <f>IFERROR(VLOOKUP(I666, Map!$A$1:$B$33, 2, FALSE),"WAS")</f>
        <v>ARI</v>
      </c>
      <c r="I666" t="s">
        <v>156</v>
      </c>
      <c r="J666" t="s">
        <v>182</v>
      </c>
      <c r="K666" t="s">
        <v>190</v>
      </c>
      <c r="L666">
        <v>1</v>
      </c>
      <c r="M666">
        <v>0</v>
      </c>
      <c r="N666">
        <v>52.25</v>
      </c>
      <c r="O666">
        <v>-2.5416666666666701</v>
      </c>
      <c r="P666">
        <v>-3</v>
      </c>
      <c r="Q666">
        <v>56.5</v>
      </c>
      <c r="R666">
        <v>7.5</v>
      </c>
      <c r="S666">
        <v>9.3000000000000007</v>
      </c>
      <c r="T666">
        <v>6.4</v>
      </c>
      <c r="U666">
        <v>4</v>
      </c>
      <c r="V666">
        <v>1.5</v>
      </c>
      <c r="W666">
        <v>0</v>
      </c>
      <c r="X666">
        <v>10</v>
      </c>
      <c r="Y666">
        <v>1.5</v>
      </c>
      <c r="Z666">
        <v>23.6</v>
      </c>
      <c r="AA666">
        <v>47.5</v>
      </c>
      <c r="AB666">
        <v>185</v>
      </c>
      <c r="AC666">
        <v>86</v>
      </c>
      <c r="AD666">
        <v>30.4</v>
      </c>
      <c r="AE666">
        <v>16.2</v>
      </c>
      <c r="AF666">
        <v>59.747999999999998</v>
      </c>
      <c r="AG666">
        <v>65.213999999999999</v>
      </c>
      <c r="AH666">
        <v>39.930999999999997</v>
      </c>
      <c r="AI666">
        <v>36.085999999999999</v>
      </c>
      <c r="AJ666">
        <v>84.191000000000003</v>
      </c>
      <c r="AK666">
        <v>67.334999999999994</v>
      </c>
      <c r="AL666">
        <v>3.351</v>
      </c>
      <c r="AM666">
        <v>39.930999999999997</v>
      </c>
      <c r="AN666">
        <v>65.213999999999999</v>
      </c>
      <c r="AO666">
        <v>59.747999999999998</v>
      </c>
      <c r="AP666">
        <v>-3.351</v>
      </c>
      <c r="AQ666">
        <v>15.808999999999999</v>
      </c>
      <c r="AR666">
        <v>63.914000000000001</v>
      </c>
      <c r="AS666">
        <v>32.664999999999999</v>
      </c>
    </row>
    <row r="667" spans="1:45" x14ac:dyDescent="0.25">
      <c r="A667">
        <v>62</v>
      </c>
      <c r="B667">
        <v>6</v>
      </c>
      <c r="C667">
        <v>1</v>
      </c>
      <c r="D667">
        <v>2020</v>
      </c>
      <c r="E667">
        <v>11</v>
      </c>
      <c r="F667" t="str">
        <f>IFERROR(VLOOKUP(G667, Map!$A$1:$B$33, 2, FALSE),"WAS")</f>
        <v>LAC</v>
      </c>
      <c r="G667" t="s">
        <v>160</v>
      </c>
      <c r="H667" t="str">
        <f>IFERROR(VLOOKUP(I667, Map!$A$1:$B$33, 2, FALSE),"WAS")</f>
        <v>NYJ</v>
      </c>
      <c r="I667" t="s">
        <v>166</v>
      </c>
      <c r="J667" t="s">
        <v>210</v>
      </c>
      <c r="K667" t="s">
        <v>172</v>
      </c>
      <c r="L667">
        <v>1</v>
      </c>
      <c r="M667">
        <v>0</v>
      </c>
      <c r="N667">
        <v>39.923076923076898</v>
      </c>
      <c r="O667">
        <v>-8.1923076923076898</v>
      </c>
      <c r="P667">
        <v>-9.5</v>
      </c>
      <c r="Q667">
        <v>0</v>
      </c>
      <c r="R667">
        <v>16.2</v>
      </c>
      <c r="S667">
        <v>23.8</v>
      </c>
      <c r="T667">
        <v>9.9</v>
      </c>
      <c r="U667">
        <v>14.7</v>
      </c>
      <c r="V667">
        <v>0</v>
      </c>
      <c r="W667">
        <v>0</v>
      </c>
      <c r="X667">
        <v>0</v>
      </c>
      <c r="Y667">
        <v>0</v>
      </c>
      <c r="Z667">
        <v>14.7</v>
      </c>
      <c r="AA667">
        <v>29.2</v>
      </c>
      <c r="AB667">
        <v>113</v>
      </c>
      <c r="AC667">
        <v>57</v>
      </c>
      <c r="AD667">
        <v>13</v>
      </c>
      <c r="AE667">
        <v>6.5</v>
      </c>
      <c r="AF667">
        <v>69.956000000000003</v>
      </c>
      <c r="AG667">
        <v>20.52</v>
      </c>
      <c r="AH667">
        <v>29.805</v>
      </c>
      <c r="AI667">
        <v>70.027000000000001</v>
      </c>
      <c r="AJ667">
        <v>81.781999999999996</v>
      </c>
      <c r="AK667">
        <v>80.14</v>
      </c>
      <c r="AL667">
        <v>7.03</v>
      </c>
      <c r="AM667">
        <v>29.805</v>
      </c>
      <c r="AN667">
        <v>20.52</v>
      </c>
      <c r="AO667">
        <v>69.956000000000003</v>
      </c>
      <c r="AP667">
        <v>-7.03</v>
      </c>
      <c r="AQ667">
        <v>18.218</v>
      </c>
      <c r="AR667">
        <v>29.972999999999999</v>
      </c>
      <c r="AS667">
        <v>19.86</v>
      </c>
    </row>
    <row r="668" spans="1:45" x14ac:dyDescent="0.25">
      <c r="A668">
        <v>29</v>
      </c>
      <c r="B668">
        <v>11</v>
      </c>
      <c r="C668">
        <v>1</v>
      </c>
      <c r="D668">
        <v>2020</v>
      </c>
      <c r="E668">
        <v>11</v>
      </c>
      <c r="F668" t="str">
        <f>IFERROR(VLOOKUP(G668, Map!$A$1:$B$33, 2, FALSE),"WAS")</f>
        <v>WAS</v>
      </c>
      <c r="G668" t="s">
        <v>169</v>
      </c>
      <c r="H668" t="str">
        <f>IFERROR(VLOOKUP(I668, Map!$A$1:$B$33, 2, FALSE),"WAS")</f>
        <v>CIN</v>
      </c>
      <c r="I668" t="s">
        <v>161</v>
      </c>
      <c r="J668" t="s">
        <v>205</v>
      </c>
      <c r="K668" t="s">
        <v>176</v>
      </c>
      <c r="L668">
        <v>1</v>
      </c>
      <c r="M668">
        <v>0</v>
      </c>
      <c r="N668">
        <v>42.85</v>
      </c>
      <c r="O668">
        <v>-1.35</v>
      </c>
      <c r="P668">
        <v>-1.5</v>
      </c>
      <c r="Q668">
        <v>0</v>
      </c>
      <c r="R668">
        <v>11.9</v>
      </c>
      <c r="S668">
        <v>14.9</v>
      </c>
      <c r="T668">
        <v>9.3000000000000007</v>
      </c>
      <c r="U668">
        <v>9.5</v>
      </c>
      <c r="V668">
        <v>0</v>
      </c>
      <c r="W668">
        <v>0</v>
      </c>
      <c r="X668">
        <v>0</v>
      </c>
      <c r="Y668">
        <v>0</v>
      </c>
      <c r="Z668">
        <v>15.8</v>
      </c>
      <c r="AA668">
        <v>29.5</v>
      </c>
      <c r="AB668">
        <v>63</v>
      </c>
      <c r="AC668">
        <v>68</v>
      </c>
      <c r="AD668">
        <v>22.1</v>
      </c>
      <c r="AE668">
        <v>10.7</v>
      </c>
      <c r="AF668">
        <v>55.423999999999999</v>
      </c>
      <c r="AG668">
        <v>31.004000000000001</v>
      </c>
      <c r="AH668">
        <v>44.220999999999997</v>
      </c>
      <c r="AI668">
        <v>68.061000000000007</v>
      </c>
      <c r="AJ668">
        <v>63.134999999999998</v>
      </c>
      <c r="AK668">
        <v>75.900999999999996</v>
      </c>
      <c r="AL668">
        <v>1.881</v>
      </c>
      <c r="AM668">
        <v>44.220999999999997</v>
      </c>
      <c r="AN668">
        <v>31.004000000000001</v>
      </c>
      <c r="AO668">
        <v>55.423999999999999</v>
      </c>
      <c r="AP668">
        <v>-1.881</v>
      </c>
      <c r="AQ668">
        <v>36.865000000000002</v>
      </c>
      <c r="AR668">
        <v>31.939</v>
      </c>
      <c r="AS668">
        <v>24.099</v>
      </c>
    </row>
    <row r="669" spans="1:45" x14ac:dyDescent="0.25">
      <c r="A669">
        <v>33</v>
      </c>
      <c r="B669">
        <v>15</v>
      </c>
      <c r="C669">
        <v>1</v>
      </c>
      <c r="D669">
        <v>2020</v>
      </c>
      <c r="E669">
        <v>11</v>
      </c>
      <c r="F669" t="str">
        <f>IFERROR(VLOOKUP(G669, Map!$A$1:$B$33, 2, FALSE),"WAS")</f>
        <v>NO</v>
      </c>
      <c r="G669" t="s">
        <v>168</v>
      </c>
      <c r="H669" t="str">
        <f>IFERROR(VLOOKUP(I669, Map!$A$1:$B$33, 2, FALSE),"WAS")</f>
        <v>ATL</v>
      </c>
      <c r="I669" t="s">
        <v>167</v>
      </c>
      <c r="J669" t="s">
        <v>192</v>
      </c>
      <c r="K669" t="s">
        <v>188</v>
      </c>
      <c r="L669">
        <v>1</v>
      </c>
      <c r="M669">
        <v>0</v>
      </c>
      <c r="N669">
        <v>45.2916666666667</v>
      </c>
      <c r="O669">
        <v>-2.9166666666666701</v>
      </c>
      <c r="P669">
        <v>-3.5</v>
      </c>
      <c r="Q669">
        <v>48.5</v>
      </c>
      <c r="R669">
        <v>18.3</v>
      </c>
      <c r="S669">
        <v>22.7</v>
      </c>
      <c r="T669">
        <v>15.7</v>
      </c>
      <c r="U669">
        <v>18.600000000000001</v>
      </c>
      <c r="V669">
        <v>0</v>
      </c>
      <c r="W669">
        <v>0</v>
      </c>
      <c r="X669">
        <v>0</v>
      </c>
      <c r="Y669">
        <v>0</v>
      </c>
      <c r="Z669">
        <v>11.2</v>
      </c>
      <c r="AA669">
        <v>24.8</v>
      </c>
      <c r="AB669">
        <v>51</v>
      </c>
      <c r="AC669">
        <v>79</v>
      </c>
      <c r="AD669">
        <v>17.3</v>
      </c>
      <c r="AE669">
        <v>8.5</v>
      </c>
      <c r="AF669">
        <v>62.232999999999997</v>
      </c>
      <c r="AG669">
        <v>72.917000000000002</v>
      </c>
      <c r="AH669">
        <v>37.466000000000001</v>
      </c>
      <c r="AI669">
        <v>85.100999999999999</v>
      </c>
      <c r="AJ669">
        <v>79.941999999999993</v>
      </c>
      <c r="AK669">
        <v>79.950999999999993</v>
      </c>
      <c r="AL669">
        <v>4.2130000000000001</v>
      </c>
      <c r="AM669">
        <v>37.466000000000001</v>
      </c>
      <c r="AN669">
        <v>72.917000000000002</v>
      </c>
      <c r="AO669">
        <v>62.232999999999997</v>
      </c>
      <c r="AP669">
        <v>-4.2130000000000001</v>
      </c>
      <c r="AQ669">
        <v>20.058</v>
      </c>
      <c r="AR669">
        <v>14.898999999999999</v>
      </c>
      <c r="AS669">
        <v>20.048999999999999</v>
      </c>
    </row>
    <row r="670" spans="1:45" x14ac:dyDescent="0.25">
      <c r="A670">
        <v>59</v>
      </c>
      <c r="B670">
        <v>-3</v>
      </c>
      <c r="C670">
        <v>0</v>
      </c>
      <c r="D670">
        <v>2020</v>
      </c>
      <c r="E670">
        <v>11</v>
      </c>
      <c r="F670" t="str">
        <f>IFERROR(VLOOKUP(G670, Map!$A$1:$B$33, 2, FALSE),"WAS")</f>
        <v>MIN</v>
      </c>
      <c r="G670" t="s">
        <v>153</v>
      </c>
      <c r="H670" t="str">
        <f>IFERROR(VLOOKUP(I670, Map!$A$1:$B$33, 2, FALSE),"WAS")</f>
        <v>DAL</v>
      </c>
      <c r="I670" t="s">
        <v>150</v>
      </c>
      <c r="J670" t="s">
        <v>214</v>
      </c>
      <c r="K670" t="s">
        <v>184</v>
      </c>
      <c r="L670">
        <v>0</v>
      </c>
      <c r="M670">
        <v>0</v>
      </c>
      <c r="N670">
        <v>45.5</v>
      </c>
      <c r="O670">
        <v>-5.7916666666666696</v>
      </c>
      <c r="P670">
        <v>-6.5</v>
      </c>
      <c r="Q670">
        <v>47.5</v>
      </c>
      <c r="R670">
        <v>1.1000000000000001</v>
      </c>
      <c r="S670">
        <v>5.7</v>
      </c>
      <c r="T670">
        <v>-2</v>
      </c>
      <c r="U670">
        <v>-2.7</v>
      </c>
      <c r="V670">
        <v>1.5</v>
      </c>
      <c r="W670">
        <v>1.05</v>
      </c>
      <c r="X670">
        <v>6</v>
      </c>
      <c r="Y670">
        <v>0</v>
      </c>
      <c r="Z670">
        <v>16.5</v>
      </c>
      <c r="AA670">
        <v>34.6</v>
      </c>
      <c r="AB670">
        <v>215</v>
      </c>
      <c r="AC670">
        <v>82</v>
      </c>
      <c r="AD670">
        <v>19.600000000000001</v>
      </c>
      <c r="AE670">
        <v>10.4</v>
      </c>
      <c r="AF670">
        <v>76.802999999999997</v>
      </c>
      <c r="AG670">
        <v>33.526000000000003</v>
      </c>
      <c r="AH670">
        <v>23.012</v>
      </c>
      <c r="AI670">
        <v>17.814</v>
      </c>
      <c r="AJ670">
        <v>72.587000000000003</v>
      </c>
      <c r="AK670">
        <v>38.283000000000001</v>
      </c>
      <c r="AL670">
        <v>9.8179999999999996</v>
      </c>
      <c r="AM670">
        <v>23.012</v>
      </c>
      <c r="AN670">
        <v>33.526000000000003</v>
      </c>
      <c r="AO670">
        <v>76.802999999999997</v>
      </c>
      <c r="AP670">
        <v>-9.8179999999999996</v>
      </c>
      <c r="AQ670">
        <v>27.413</v>
      </c>
      <c r="AR670">
        <v>82.186000000000007</v>
      </c>
      <c r="AS670">
        <v>61.716999999999999</v>
      </c>
    </row>
    <row r="671" spans="1:45" x14ac:dyDescent="0.25">
      <c r="A671">
        <v>20</v>
      </c>
      <c r="B671">
        <v>20</v>
      </c>
      <c r="C671">
        <v>1</v>
      </c>
      <c r="D671">
        <v>2020</v>
      </c>
      <c r="E671">
        <v>11</v>
      </c>
      <c r="F671" t="str">
        <f>IFERROR(VLOOKUP(G671, Map!$A$1:$B$33, 2, FALSE),"WAS")</f>
        <v>CAR</v>
      </c>
      <c r="G671" t="s">
        <v>142</v>
      </c>
      <c r="H671" t="str">
        <f>IFERROR(VLOOKUP(I671, Map!$A$1:$B$33, 2, FALSE),"WAS")</f>
        <v>DET</v>
      </c>
      <c r="I671" t="s">
        <v>164</v>
      </c>
      <c r="J671" t="s">
        <v>185</v>
      </c>
      <c r="K671" t="s">
        <v>173</v>
      </c>
      <c r="L671">
        <v>1</v>
      </c>
      <c r="M671">
        <v>0</v>
      </c>
      <c r="N671">
        <v>42.35</v>
      </c>
      <c r="O671">
        <v>2.0499999999999998</v>
      </c>
      <c r="P671">
        <v>1</v>
      </c>
      <c r="Q671">
        <v>46.5</v>
      </c>
      <c r="R671">
        <v>11.4</v>
      </c>
      <c r="S671">
        <v>15.7</v>
      </c>
      <c r="T671">
        <v>5.8</v>
      </c>
      <c r="U671">
        <v>10.4</v>
      </c>
      <c r="V671">
        <v>2.7</v>
      </c>
      <c r="W671">
        <v>0</v>
      </c>
      <c r="X671">
        <v>5</v>
      </c>
      <c r="Y671">
        <v>2.7</v>
      </c>
      <c r="Z671">
        <v>10.7</v>
      </c>
      <c r="AA671">
        <v>14.8</v>
      </c>
      <c r="AB671">
        <v>137</v>
      </c>
      <c r="AC671">
        <v>89</v>
      </c>
      <c r="AD671">
        <v>10.7</v>
      </c>
      <c r="AE671">
        <v>6.3</v>
      </c>
      <c r="AF671">
        <v>51.698</v>
      </c>
      <c r="AG671">
        <v>13.401</v>
      </c>
      <c r="AH671">
        <v>47.917000000000002</v>
      </c>
      <c r="AI671">
        <v>97.394000000000005</v>
      </c>
      <c r="AJ671">
        <v>52.073</v>
      </c>
      <c r="AK671">
        <v>89.747</v>
      </c>
      <c r="AL671">
        <v>0.63300000000000001</v>
      </c>
      <c r="AM671">
        <v>47.917000000000002</v>
      </c>
      <c r="AN671">
        <v>13.401</v>
      </c>
      <c r="AO671">
        <v>51.698</v>
      </c>
      <c r="AP671">
        <v>-0.63300000000000001</v>
      </c>
      <c r="AQ671">
        <v>47.927</v>
      </c>
      <c r="AR671">
        <v>2.6059999999999999</v>
      </c>
      <c r="AS671">
        <v>10.253</v>
      </c>
    </row>
    <row r="672" spans="1:45" x14ac:dyDescent="0.25">
      <c r="A672">
        <v>30</v>
      </c>
      <c r="B672">
        <v>-24</v>
      </c>
      <c r="C672">
        <v>0</v>
      </c>
      <c r="D672">
        <v>2020</v>
      </c>
      <c r="E672">
        <v>11</v>
      </c>
      <c r="F672" t="str">
        <f>IFERROR(VLOOKUP(G672, Map!$A$1:$B$33, 2, FALSE),"WAS")</f>
        <v>JAX</v>
      </c>
      <c r="G672" t="s">
        <v>139</v>
      </c>
      <c r="H672" t="str">
        <f>IFERROR(VLOOKUP(I672, Map!$A$1:$B$33, 2, FALSE),"WAS")</f>
        <v>PIT</v>
      </c>
      <c r="I672" t="s">
        <v>145</v>
      </c>
      <c r="J672" t="s">
        <v>220</v>
      </c>
      <c r="K672" t="s">
        <v>170</v>
      </c>
      <c r="L672">
        <v>0</v>
      </c>
      <c r="M672">
        <v>0</v>
      </c>
      <c r="N672">
        <v>43.2916666666667</v>
      </c>
      <c r="O672">
        <v>8.7083333333333304</v>
      </c>
      <c r="P672">
        <v>10</v>
      </c>
      <c r="Q672">
        <v>46.5</v>
      </c>
      <c r="R672">
        <v>20.2</v>
      </c>
      <c r="S672">
        <v>23.6</v>
      </c>
      <c r="T672">
        <v>18.3</v>
      </c>
      <c r="U672">
        <v>21.4</v>
      </c>
      <c r="V672">
        <v>2.4</v>
      </c>
      <c r="W672">
        <v>0</v>
      </c>
      <c r="X672">
        <v>13</v>
      </c>
      <c r="Y672">
        <v>2.4</v>
      </c>
      <c r="Z672">
        <v>16.100000000000001</v>
      </c>
      <c r="AA672">
        <v>28.8</v>
      </c>
      <c r="AB672">
        <v>23</v>
      </c>
      <c r="AC672">
        <v>89</v>
      </c>
      <c r="AD672">
        <v>22.9</v>
      </c>
      <c r="AE672">
        <v>12.7</v>
      </c>
      <c r="AF672">
        <v>14.244</v>
      </c>
      <c r="AG672">
        <v>28.629000000000001</v>
      </c>
      <c r="AH672">
        <v>85.641999999999996</v>
      </c>
      <c r="AI672">
        <v>23.548999999999999</v>
      </c>
      <c r="AJ672">
        <v>4.3479999999999999</v>
      </c>
      <c r="AK672">
        <v>10.698</v>
      </c>
      <c r="AL672">
        <v>-14.243</v>
      </c>
      <c r="AM672">
        <v>85.641999999999996</v>
      </c>
      <c r="AN672">
        <v>28.629000000000001</v>
      </c>
      <c r="AO672">
        <v>14.244</v>
      </c>
      <c r="AP672">
        <v>14.243</v>
      </c>
      <c r="AQ672">
        <v>95.652000000000001</v>
      </c>
      <c r="AR672">
        <v>76.450999999999993</v>
      </c>
      <c r="AS672">
        <v>89.302000000000007</v>
      </c>
    </row>
    <row r="673" spans="1:45" x14ac:dyDescent="0.25">
      <c r="A673">
        <v>33</v>
      </c>
      <c r="B673">
        <v>7</v>
      </c>
      <c r="C673">
        <v>1</v>
      </c>
      <c r="D673">
        <v>2020</v>
      </c>
      <c r="E673">
        <v>11</v>
      </c>
      <c r="F673" t="str">
        <f>IFERROR(VLOOKUP(G673, Map!$A$1:$B$33, 2, FALSE),"WAS")</f>
        <v>DEN</v>
      </c>
      <c r="G673" t="s">
        <v>159</v>
      </c>
      <c r="H673" t="str">
        <f>IFERROR(VLOOKUP(I673, Map!$A$1:$B$33, 2, FALSE),"WAS")</f>
        <v>MIA</v>
      </c>
      <c r="I673" t="s">
        <v>152</v>
      </c>
      <c r="J673" t="s">
        <v>183</v>
      </c>
      <c r="K673" t="s">
        <v>175</v>
      </c>
      <c r="L673">
        <v>1</v>
      </c>
      <c r="M673">
        <v>0</v>
      </c>
      <c r="N673">
        <v>42.0833333333333</v>
      </c>
      <c r="O673">
        <v>3.125</v>
      </c>
      <c r="P673">
        <v>3.5</v>
      </c>
      <c r="Q673">
        <v>45.5</v>
      </c>
      <c r="R673">
        <v>1.5</v>
      </c>
      <c r="S673">
        <v>7.2</v>
      </c>
      <c r="T673">
        <v>-4.0999999999999996</v>
      </c>
      <c r="U673">
        <v>-2.6</v>
      </c>
      <c r="V673">
        <v>0</v>
      </c>
      <c r="W673">
        <v>0</v>
      </c>
      <c r="X673">
        <v>0</v>
      </c>
      <c r="Y673">
        <v>0</v>
      </c>
      <c r="Z673">
        <v>17.100000000000001</v>
      </c>
      <c r="AA673">
        <v>31</v>
      </c>
      <c r="AB673">
        <v>247</v>
      </c>
      <c r="AC673">
        <v>53</v>
      </c>
      <c r="AD673">
        <v>13.3</v>
      </c>
      <c r="AE673">
        <v>7.3</v>
      </c>
      <c r="AF673">
        <v>46.36</v>
      </c>
      <c r="AG673">
        <v>30.212</v>
      </c>
      <c r="AH673">
        <v>53.268000000000001</v>
      </c>
      <c r="AI673">
        <v>81.120999999999995</v>
      </c>
      <c r="AJ673">
        <v>62.3</v>
      </c>
      <c r="AK673">
        <v>74.893000000000001</v>
      </c>
      <c r="AL673">
        <v>-1.157</v>
      </c>
      <c r="AM673">
        <v>53.268000000000001</v>
      </c>
      <c r="AN673">
        <v>30.212</v>
      </c>
      <c r="AO673">
        <v>46.36</v>
      </c>
      <c r="AP673">
        <v>1.157</v>
      </c>
      <c r="AQ673">
        <v>37.700000000000003</v>
      </c>
      <c r="AR673">
        <v>18.879000000000001</v>
      </c>
      <c r="AS673">
        <v>25.106999999999999</v>
      </c>
    </row>
    <row r="674" spans="1:45" x14ac:dyDescent="0.25">
      <c r="A674">
        <v>65</v>
      </c>
      <c r="B674">
        <v>3</v>
      </c>
      <c r="C674">
        <v>1</v>
      </c>
      <c r="D674">
        <v>2020</v>
      </c>
      <c r="E674">
        <v>11</v>
      </c>
      <c r="F674" t="str">
        <f>IFERROR(VLOOKUP(G674, Map!$A$1:$B$33, 2, FALSE),"WAS")</f>
        <v>IND</v>
      </c>
      <c r="G674" t="s">
        <v>138</v>
      </c>
      <c r="H674" t="str">
        <f>IFERROR(VLOOKUP(I674, Map!$A$1:$B$33, 2, FALSE),"WAS")</f>
        <v>GB</v>
      </c>
      <c r="I674" t="s">
        <v>154</v>
      </c>
      <c r="J674" t="s">
        <v>177</v>
      </c>
      <c r="K674" t="s">
        <v>200</v>
      </c>
      <c r="L674">
        <v>1</v>
      </c>
      <c r="M674">
        <v>0</v>
      </c>
      <c r="N674">
        <v>42.681818181818201</v>
      </c>
      <c r="O674">
        <v>-1.22727272727273</v>
      </c>
      <c r="P674">
        <v>-1.5</v>
      </c>
      <c r="Q674">
        <v>0</v>
      </c>
      <c r="R674">
        <v>5.5</v>
      </c>
      <c r="S674">
        <v>7.6</v>
      </c>
      <c r="T674">
        <v>4</v>
      </c>
      <c r="U674">
        <v>1.4</v>
      </c>
      <c r="V674">
        <v>29.7</v>
      </c>
      <c r="W674">
        <v>0</v>
      </c>
      <c r="X674">
        <v>16</v>
      </c>
      <c r="Y674">
        <v>29.7</v>
      </c>
      <c r="Z674">
        <v>21.1</v>
      </c>
      <c r="AA674">
        <v>39.200000000000003</v>
      </c>
      <c r="AB674">
        <v>33</v>
      </c>
      <c r="AC674">
        <v>85</v>
      </c>
      <c r="AD674">
        <v>32.6</v>
      </c>
      <c r="AE674">
        <v>16.8</v>
      </c>
      <c r="AF674">
        <v>45.494</v>
      </c>
      <c r="AG674">
        <v>83.930999999999997</v>
      </c>
      <c r="AH674">
        <v>54.140999999999998</v>
      </c>
      <c r="AI674">
        <v>50.707999999999998</v>
      </c>
      <c r="AJ674">
        <v>43.890999999999998</v>
      </c>
      <c r="AK674">
        <v>54.393000000000001</v>
      </c>
      <c r="AL674">
        <v>-1.45</v>
      </c>
      <c r="AM674">
        <v>54.140999999999998</v>
      </c>
      <c r="AN674">
        <v>83.930999999999997</v>
      </c>
      <c r="AO674">
        <v>45.494</v>
      </c>
      <c r="AP674">
        <v>1.45</v>
      </c>
      <c r="AQ674">
        <v>56.109000000000002</v>
      </c>
      <c r="AR674">
        <v>49.292000000000002</v>
      </c>
      <c r="AS674">
        <v>45.606999999999999</v>
      </c>
    </row>
    <row r="675" spans="1:45" x14ac:dyDescent="0.25">
      <c r="A675">
        <v>36</v>
      </c>
      <c r="B675">
        <v>-2</v>
      </c>
      <c r="C675">
        <v>0</v>
      </c>
      <c r="D675">
        <v>2020</v>
      </c>
      <c r="E675">
        <v>12</v>
      </c>
      <c r="F675" t="str">
        <f>IFERROR(VLOOKUP(G675, Map!$A$1:$B$33, 2, FALSE),"WAS")</f>
        <v>CIN</v>
      </c>
      <c r="G675" t="s">
        <v>161</v>
      </c>
      <c r="H675" t="str">
        <f>IFERROR(VLOOKUP(I675, Map!$A$1:$B$33, 2, FALSE),"WAS")</f>
        <v>NYG</v>
      </c>
      <c r="I675" t="s">
        <v>149</v>
      </c>
      <c r="J675" t="s">
        <v>176</v>
      </c>
      <c r="K675" t="s">
        <v>219</v>
      </c>
      <c r="L675">
        <v>0</v>
      </c>
      <c r="M675">
        <v>0</v>
      </c>
      <c r="N675">
        <v>40.863636363636402</v>
      </c>
      <c r="O675">
        <v>5.1818181818181799</v>
      </c>
      <c r="P675">
        <v>5.5</v>
      </c>
      <c r="Q675">
        <v>44.5</v>
      </c>
      <c r="R675">
        <v>4.8</v>
      </c>
      <c r="S675">
        <v>12.8</v>
      </c>
      <c r="T675">
        <v>-0.7</v>
      </c>
      <c r="U675">
        <v>1.7</v>
      </c>
      <c r="V675">
        <v>0</v>
      </c>
      <c r="W675">
        <v>0</v>
      </c>
      <c r="X675">
        <v>0</v>
      </c>
      <c r="Y675">
        <v>0</v>
      </c>
      <c r="Z675">
        <v>9.1</v>
      </c>
      <c r="AA675">
        <v>23.4</v>
      </c>
      <c r="AB675">
        <v>171</v>
      </c>
      <c r="AC675">
        <v>73</v>
      </c>
      <c r="AD675">
        <v>13.5</v>
      </c>
      <c r="AE675">
        <v>6.6</v>
      </c>
      <c r="AF675">
        <v>47.036999999999999</v>
      </c>
      <c r="AG675">
        <v>17.187000000000001</v>
      </c>
      <c r="AH675">
        <v>52.585999999999999</v>
      </c>
      <c r="AI675">
        <v>58.668999999999997</v>
      </c>
      <c r="AJ675">
        <v>1.528</v>
      </c>
      <c r="AK675">
        <v>32.561999999999998</v>
      </c>
      <c r="AL675">
        <v>-0.92600000000000005</v>
      </c>
      <c r="AM675">
        <v>52.585999999999999</v>
      </c>
      <c r="AN675">
        <v>17.187000000000001</v>
      </c>
      <c r="AO675">
        <v>47.036999999999999</v>
      </c>
      <c r="AP675">
        <v>0.92600000000000005</v>
      </c>
      <c r="AQ675">
        <v>98.471999999999994</v>
      </c>
      <c r="AR675">
        <v>41.331000000000003</v>
      </c>
      <c r="AS675">
        <v>67.438000000000002</v>
      </c>
    </row>
    <row r="676" spans="1:45" x14ac:dyDescent="0.25">
      <c r="A676">
        <v>55</v>
      </c>
      <c r="B676">
        <v>1</v>
      </c>
      <c r="C676">
        <v>1</v>
      </c>
      <c r="D676">
        <v>2020</v>
      </c>
      <c r="E676">
        <v>12</v>
      </c>
      <c r="F676" t="str">
        <f>IFERROR(VLOOKUP(G676, Map!$A$1:$B$33, 2, FALSE),"WAS")</f>
        <v>MIN</v>
      </c>
      <c r="G676" t="s">
        <v>153</v>
      </c>
      <c r="H676" t="str">
        <f>IFERROR(VLOOKUP(I676, Map!$A$1:$B$33, 2, FALSE),"WAS")</f>
        <v>CAR</v>
      </c>
      <c r="I676" t="s">
        <v>142</v>
      </c>
      <c r="J676" t="s">
        <v>214</v>
      </c>
      <c r="K676" t="s">
        <v>185</v>
      </c>
      <c r="L676">
        <v>1</v>
      </c>
      <c r="M676">
        <v>0</v>
      </c>
      <c r="N676">
        <v>45.545454545454497</v>
      </c>
      <c r="O676">
        <v>-2.4090909090909101</v>
      </c>
      <c r="P676">
        <v>-2.5</v>
      </c>
      <c r="Q676">
        <v>49.5</v>
      </c>
      <c r="R676">
        <v>1.8</v>
      </c>
      <c r="S676">
        <v>3.2</v>
      </c>
      <c r="T676">
        <v>-2.4</v>
      </c>
      <c r="U676">
        <v>-3.5</v>
      </c>
      <c r="V676">
        <v>0</v>
      </c>
      <c r="W676">
        <v>0</v>
      </c>
      <c r="X676">
        <v>0</v>
      </c>
      <c r="Y676">
        <v>0</v>
      </c>
      <c r="Z676">
        <v>26.6</v>
      </c>
      <c r="AA676">
        <v>50.8</v>
      </c>
      <c r="AB676">
        <v>304</v>
      </c>
      <c r="AC676">
        <v>61</v>
      </c>
      <c r="AD676">
        <v>33</v>
      </c>
      <c r="AE676">
        <v>17.7</v>
      </c>
      <c r="AF676">
        <v>62.945999999999998</v>
      </c>
      <c r="AG676">
        <v>44.347000000000001</v>
      </c>
      <c r="AH676">
        <v>36.759</v>
      </c>
      <c r="AI676">
        <v>36.932000000000002</v>
      </c>
      <c r="AJ676">
        <v>41.372</v>
      </c>
      <c r="AK676">
        <v>39.279000000000003</v>
      </c>
      <c r="AL676">
        <v>4.45</v>
      </c>
      <c r="AM676">
        <v>36.759</v>
      </c>
      <c r="AN676">
        <v>44.347000000000001</v>
      </c>
      <c r="AO676">
        <v>62.945999999999998</v>
      </c>
      <c r="AP676">
        <v>-4.45</v>
      </c>
      <c r="AQ676">
        <v>58.628</v>
      </c>
      <c r="AR676">
        <v>63.067999999999998</v>
      </c>
      <c r="AS676">
        <v>60.720999999999997</v>
      </c>
    </row>
    <row r="677" spans="1:45" x14ac:dyDescent="0.25">
      <c r="A677">
        <v>40</v>
      </c>
      <c r="B677">
        <v>-6</v>
      </c>
      <c r="C677">
        <v>0</v>
      </c>
      <c r="D677">
        <v>2020</v>
      </c>
      <c r="E677">
        <v>12</v>
      </c>
      <c r="F677" t="str">
        <f>IFERROR(VLOOKUP(G677, Map!$A$1:$B$33, 2, FALSE),"WAS")</f>
        <v>PHI</v>
      </c>
      <c r="G677" t="s">
        <v>147</v>
      </c>
      <c r="H677" t="str">
        <f>IFERROR(VLOOKUP(I677, Map!$A$1:$B$33, 2, FALSE),"WAS")</f>
        <v>SEA</v>
      </c>
      <c r="I677" t="s">
        <v>144</v>
      </c>
      <c r="J677" t="s">
        <v>206</v>
      </c>
      <c r="K677" t="s">
        <v>182</v>
      </c>
      <c r="L677">
        <v>0</v>
      </c>
      <c r="M677">
        <v>0</v>
      </c>
      <c r="N677">
        <v>45.2916666666667</v>
      </c>
      <c r="O677">
        <v>5.4166666666666696</v>
      </c>
      <c r="P677">
        <v>6.5</v>
      </c>
      <c r="Q677">
        <v>48.5</v>
      </c>
      <c r="R677">
        <v>9.4</v>
      </c>
      <c r="S677">
        <v>16.2</v>
      </c>
      <c r="T677">
        <v>4.9000000000000004</v>
      </c>
      <c r="U677">
        <v>6.4</v>
      </c>
      <c r="V677">
        <v>0.6</v>
      </c>
      <c r="W677">
        <v>0</v>
      </c>
      <c r="X677">
        <v>5</v>
      </c>
      <c r="Y677">
        <v>0.6</v>
      </c>
      <c r="Z677">
        <v>25.5</v>
      </c>
      <c r="AA677">
        <v>49.7</v>
      </c>
      <c r="AB677">
        <v>238</v>
      </c>
      <c r="AC677">
        <v>81</v>
      </c>
      <c r="AD677">
        <v>29.9</v>
      </c>
      <c r="AE677">
        <v>15.2</v>
      </c>
      <c r="AF677">
        <v>38.551000000000002</v>
      </c>
      <c r="AG677">
        <v>60.581000000000003</v>
      </c>
      <c r="AH677">
        <v>61.139000000000003</v>
      </c>
      <c r="AI677">
        <v>48.953000000000003</v>
      </c>
      <c r="AJ677">
        <v>16.771000000000001</v>
      </c>
      <c r="AK677">
        <v>22.762</v>
      </c>
      <c r="AL677">
        <v>-3.819</v>
      </c>
      <c r="AM677">
        <v>61.139000000000003</v>
      </c>
      <c r="AN677">
        <v>60.581000000000003</v>
      </c>
      <c r="AO677">
        <v>38.551000000000002</v>
      </c>
      <c r="AP677">
        <v>3.819</v>
      </c>
      <c r="AQ677">
        <v>83.228999999999999</v>
      </c>
      <c r="AR677">
        <v>51.046999999999997</v>
      </c>
      <c r="AS677">
        <v>77.238</v>
      </c>
    </row>
    <row r="678" spans="1:45" x14ac:dyDescent="0.25">
      <c r="A678">
        <v>49</v>
      </c>
      <c r="B678">
        <v>37</v>
      </c>
      <c r="C678">
        <v>1</v>
      </c>
      <c r="D678">
        <v>2020</v>
      </c>
      <c r="E678">
        <v>12</v>
      </c>
      <c r="F678" t="str">
        <f>IFERROR(VLOOKUP(G678, Map!$A$1:$B$33, 2, FALSE),"WAS")</f>
        <v>ATL</v>
      </c>
      <c r="G678" t="s">
        <v>167</v>
      </c>
      <c r="H678" t="str">
        <f>IFERROR(VLOOKUP(I678, Map!$A$1:$B$33, 2, FALSE),"WAS")</f>
        <v>LV</v>
      </c>
      <c r="I678" t="s">
        <v>157</v>
      </c>
      <c r="J678" t="s">
        <v>188</v>
      </c>
      <c r="K678" t="s">
        <v>179</v>
      </c>
      <c r="L678">
        <v>1</v>
      </c>
      <c r="M678">
        <v>0</v>
      </c>
      <c r="N678">
        <v>53.045454545454497</v>
      </c>
      <c r="O678">
        <v>3.0909090909090899</v>
      </c>
      <c r="P678">
        <v>2.5</v>
      </c>
      <c r="Q678">
        <v>53</v>
      </c>
      <c r="R678">
        <v>11.2</v>
      </c>
      <c r="S678">
        <v>14.3</v>
      </c>
      <c r="T678">
        <v>8.4</v>
      </c>
      <c r="U678">
        <v>9.4</v>
      </c>
      <c r="V678">
        <v>3.9</v>
      </c>
      <c r="W678">
        <v>0</v>
      </c>
      <c r="X678">
        <v>5</v>
      </c>
      <c r="Y678">
        <v>3.9</v>
      </c>
      <c r="Z678">
        <v>17</v>
      </c>
      <c r="AA678">
        <v>31</v>
      </c>
      <c r="AB678">
        <v>95</v>
      </c>
      <c r="AC678">
        <v>87</v>
      </c>
      <c r="AD678">
        <v>19.100000000000001</v>
      </c>
      <c r="AE678">
        <v>10.4</v>
      </c>
      <c r="AF678">
        <v>46.83</v>
      </c>
      <c r="AG678">
        <v>48.265000000000001</v>
      </c>
      <c r="AH678">
        <v>52.793999999999997</v>
      </c>
      <c r="AI678">
        <v>99.813999999999993</v>
      </c>
      <c r="AJ678">
        <v>39.000999999999998</v>
      </c>
      <c r="AK678">
        <v>94.983000000000004</v>
      </c>
      <c r="AL678">
        <v>-0.996</v>
      </c>
      <c r="AM678">
        <v>52.793999999999997</v>
      </c>
      <c r="AN678">
        <v>48.265000000000001</v>
      </c>
      <c r="AO678">
        <v>46.83</v>
      </c>
      <c r="AP678">
        <v>0.996</v>
      </c>
      <c r="AQ678">
        <v>60.999000000000002</v>
      </c>
      <c r="AR678">
        <v>0.186</v>
      </c>
      <c r="AS678">
        <v>5.0170000000000003</v>
      </c>
    </row>
    <row r="679" spans="1:45" x14ac:dyDescent="0.25">
      <c r="A679">
        <v>23</v>
      </c>
      <c r="B679">
        <v>-17</v>
      </c>
      <c r="C679">
        <v>0</v>
      </c>
      <c r="D679">
        <v>2020</v>
      </c>
      <c r="E679">
        <v>12</v>
      </c>
      <c r="F679" t="str">
        <f>IFERROR(VLOOKUP(G679, Map!$A$1:$B$33, 2, FALSE),"WAS")</f>
        <v>NYJ</v>
      </c>
      <c r="G679" t="s">
        <v>166</v>
      </c>
      <c r="H679" t="str">
        <f>IFERROR(VLOOKUP(I679, Map!$A$1:$B$33, 2, FALSE),"WAS")</f>
        <v>MIA</v>
      </c>
      <c r="I679" t="s">
        <v>152</v>
      </c>
      <c r="J679" t="s">
        <v>172</v>
      </c>
      <c r="K679" t="s">
        <v>175</v>
      </c>
      <c r="L679">
        <v>0</v>
      </c>
      <c r="M679">
        <v>0</v>
      </c>
      <c r="N679">
        <v>37.9583333333333</v>
      </c>
      <c r="O679">
        <v>6.2083333333333304</v>
      </c>
      <c r="P679">
        <v>7</v>
      </c>
      <c r="Q679">
        <v>0</v>
      </c>
      <c r="R679">
        <v>5.6</v>
      </c>
      <c r="S679">
        <v>11.1</v>
      </c>
      <c r="T679">
        <v>1.4</v>
      </c>
      <c r="U679">
        <v>2.2000000000000002</v>
      </c>
      <c r="V679">
        <v>0</v>
      </c>
      <c r="W679">
        <v>0</v>
      </c>
      <c r="X679">
        <v>0</v>
      </c>
      <c r="Y679">
        <v>0</v>
      </c>
      <c r="Z679">
        <v>12</v>
      </c>
      <c r="AA679">
        <v>26.3</v>
      </c>
      <c r="AB679">
        <v>264</v>
      </c>
      <c r="AC679">
        <v>66</v>
      </c>
      <c r="AD679">
        <v>16.899999999999999</v>
      </c>
      <c r="AE679">
        <v>8</v>
      </c>
      <c r="AF679">
        <v>30.187000000000001</v>
      </c>
      <c r="AG679">
        <v>15.977</v>
      </c>
      <c r="AH679">
        <v>69.569999999999993</v>
      </c>
      <c r="AI679">
        <v>59.088999999999999</v>
      </c>
      <c r="AJ679">
        <v>6.1719999999999997</v>
      </c>
      <c r="AK679">
        <v>13.442</v>
      </c>
      <c r="AL679">
        <v>-6.8609999999999998</v>
      </c>
      <c r="AM679">
        <v>69.569999999999993</v>
      </c>
      <c r="AN679">
        <v>15.977</v>
      </c>
      <c r="AO679">
        <v>30.187000000000001</v>
      </c>
      <c r="AP679">
        <v>6.8609999999999998</v>
      </c>
      <c r="AQ679">
        <v>93.828000000000003</v>
      </c>
      <c r="AR679">
        <v>40.911000000000001</v>
      </c>
      <c r="AS679">
        <v>86.558000000000007</v>
      </c>
    </row>
    <row r="680" spans="1:45" x14ac:dyDescent="0.25">
      <c r="A680">
        <v>51</v>
      </c>
      <c r="B680">
        <v>-3</v>
      </c>
      <c r="C680">
        <v>0</v>
      </c>
      <c r="D680">
        <v>2020</v>
      </c>
      <c r="E680">
        <v>12</v>
      </c>
      <c r="F680" t="str">
        <f>IFERROR(VLOOKUP(G680, Map!$A$1:$B$33, 2, FALSE),"WAS")</f>
        <v>TB</v>
      </c>
      <c r="G680" t="s">
        <v>141</v>
      </c>
      <c r="H680" t="str">
        <f>IFERROR(VLOOKUP(I680, Map!$A$1:$B$33, 2, FALSE),"WAS")</f>
        <v>KC</v>
      </c>
      <c r="I680" t="s">
        <v>158</v>
      </c>
      <c r="J680" t="s">
        <v>186</v>
      </c>
      <c r="K680" t="s">
        <v>202</v>
      </c>
      <c r="L680">
        <v>0</v>
      </c>
      <c r="M680">
        <v>0</v>
      </c>
      <c r="N680">
        <v>51.5833333333333</v>
      </c>
      <c r="O680">
        <v>2.7916666666666701</v>
      </c>
      <c r="P680">
        <v>3</v>
      </c>
      <c r="Q680">
        <v>56</v>
      </c>
      <c r="R680">
        <v>21.5</v>
      </c>
      <c r="S680">
        <v>25.5</v>
      </c>
      <c r="T680">
        <v>17.899999999999999</v>
      </c>
      <c r="U680">
        <v>23.7</v>
      </c>
      <c r="V680">
        <v>0</v>
      </c>
      <c r="W680">
        <v>0</v>
      </c>
      <c r="X680">
        <v>0</v>
      </c>
      <c r="Y680">
        <v>0</v>
      </c>
      <c r="Z680">
        <v>11.8</v>
      </c>
      <c r="AA680">
        <v>23.8</v>
      </c>
      <c r="AB680">
        <v>149</v>
      </c>
      <c r="AC680">
        <v>85</v>
      </c>
      <c r="AD680">
        <v>12.7</v>
      </c>
      <c r="AE680">
        <v>6.1</v>
      </c>
      <c r="AF680">
        <v>42.911999999999999</v>
      </c>
      <c r="AG680">
        <v>95.198999999999998</v>
      </c>
      <c r="AH680">
        <v>56.743000000000002</v>
      </c>
      <c r="AI680">
        <v>10.779</v>
      </c>
      <c r="AJ680">
        <v>58.954999999999998</v>
      </c>
      <c r="AK680">
        <v>20.251000000000001</v>
      </c>
      <c r="AL680">
        <v>-2.319</v>
      </c>
      <c r="AM680">
        <v>56.743000000000002</v>
      </c>
      <c r="AN680">
        <v>95.198999999999998</v>
      </c>
      <c r="AO680">
        <v>42.911999999999999</v>
      </c>
      <c r="AP680">
        <v>2.319</v>
      </c>
      <c r="AQ680">
        <v>41.045000000000002</v>
      </c>
      <c r="AR680">
        <v>89.221000000000004</v>
      </c>
      <c r="AS680">
        <v>79.748999999999995</v>
      </c>
    </row>
    <row r="681" spans="1:45" x14ac:dyDescent="0.25">
      <c r="A681">
        <v>66</v>
      </c>
      <c r="B681">
        <v>-16</v>
      </c>
      <c r="C681">
        <v>0</v>
      </c>
      <c r="D681">
        <v>2020</v>
      </c>
      <c r="E681">
        <v>12</v>
      </c>
      <c r="F681" t="str">
        <f>IFERROR(VLOOKUP(G681, Map!$A$1:$B$33, 2, FALSE),"WAS")</f>
        <v>DET</v>
      </c>
      <c r="G681" t="s">
        <v>164</v>
      </c>
      <c r="H681" t="str">
        <f>IFERROR(VLOOKUP(I681, Map!$A$1:$B$33, 2, FALSE),"WAS")</f>
        <v>HOU</v>
      </c>
      <c r="I681" t="s">
        <v>137</v>
      </c>
      <c r="J681" t="s">
        <v>173</v>
      </c>
      <c r="K681" t="s">
        <v>209</v>
      </c>
      <c r="L681">
        <v>0</v>
      </c>
      <c r="M681">
        <v>0</v>
      </c>
      <c r="N681">
        <v>44.153846153846203</v>
      </c>
      <c r="O681">
        <v>2.4615384615384599</v>
      </c>
      <c r="P681">
        <v>2</v>
      </c>
      <c r="Q681">
        <v>0</v>
      </c>
      <c r="R681">
        <v>9</v>
      </c>
      <c r="S681">
        <v>9.6999999999999993</v>
      </c>
      <c r="T681">
        <v>8.1</v>
      </c>
      <c r="U681">
        <v>6.1</v>
      </c>
      <c r="V681">
        <v>10.4</v>
      </c>
      <c r="W681">
        <v>0</v>
      </c>
      <c r="X681">
        <v>8</v>
      </c>
      <c r="Y681">
        <v>10.4</v>
      </c>
      <c r="Z681">
        <v>22.3</v>
      </c>
      <c r="AA681">
        <v>38.200000000000003</v>
      </c>
      <c r="AB681">
        <v>250</v>
      </c>
      <c r="AC681">
        <v>89</v>
      </c>
      <c r="AD681">
        <v>26.4</v>
      </c>
      <c r="AE681">
        <v>15.3</v>
      </c>
      <c r="AF681">
        <v>43.58</v>
      </c>
      <c r="AG681">
        <v>15.747999999999999</v>
      </c>
      <c r="AH681">
        <v>56.07</v>
      </c>
      <c r="AI681">
        <v>16.920999999999999</v>
      </c>
      <c r="AJ681">
        <v>30.204999999999998</v>
      </c>
      <c r="AK681">
        <v>18.812999999999999</v>
      </c>
      <c r="AL681">
        <v>-2.0920000000000001</v>
      </c>
      <c r="AM681">
        <v>56.07</v>
      </c>
      <c r="AN681">
        <v>15.747999999999999</v>
      </c>
      <c r="AO681">
        <v>43.58</v>
      </c>
      <c r="AP681">
        <v>2.0920000000000001</v>
      </c>
      <c r="AQ681">
        <v>69.795000000000002</v>
      </c>
      <c r="AR681">
        <v>83.078999999999994</v>
      </c>
      <c r="AS681">
        <v>81.186999999999998</v>
      </c>
    </row>
    <row r="682" spans="1:45" x14ac:dyDescent="0.25">
      <c r="A682">
        <v>37</v>
      </c>
      <c r="B682">
        <v>3</v>
      </c>
      <c r="C682">
        <v>1</v>
      </c>
      <c r="D682">
        <v>2020</v>
      </c>
      <c r="E682">
        <v>12</v>
      </c>
      <c r="F682" t="str">
        <f>IFERROR(VLOOKUP(G682, Map!$A$1:$B$33, 2, FALSE),"WAS")</f>
        <v>NE</v>
      </c>
      <c r="G682" t="s">
        <v>151</v>
      </c>
      <c r="H682" t="str">
        <f>IFERROR(VLOOKUP(I682, Map!$A$1:$B$33, 2, FALSE),"WAS")</f>
        <v>ARI</v>
      </c>
      <c r="I682" t="s">
        <v>156</v>
      </c>
      <c r="J682" t="s">
        <v>187</v>
      </c>
      <c r="K682" t="s">
        <v>190</v>
      </c>
      <c r="L682">
        <v>1</v>
      </c>
      <c r="M682">
        <v>0</v>
      </c>
      <c r="N682">
        <v>42.2083333333333</v>
      </c>
      <c r="O682">
        <v>0.91666666666666696</v>
      </c>
      <c r="P682">
        <v>0</v>
      </c>
      <c r="Q682">
        <v>0</v>
      </c>
      <c r="R682">
        <v>5</v>
      </c>
      <c r="S682">
        <v>10.7</v>
      </c>
      <c r="T682">
        <v>1.7</v>
      </c>
      <c r="U682">
        <v>1.2</v>
      </c>
      <c r="V682">
        <v>0</v>
      </c>
      <c r="W682">
        <v>0</v>
      </c>
      <c r="X682">
        <v>0</v>
      </c>
      <c r="Y682">
        <v>0</v>
      </c>
      <c r="Z682">
        <v>13.1</v>
      </c>
      <c r="AA682">
        <v>28.4</v>
      </c>
      <c r="AB682">
        <v>255</v>
      </c>
      <c r="AC682">
        <v>68</v>
      </c>
      <c r="AD682">
        <v>22.8</v>
      </c>
      <c r="AE682">
        <v>10.6</v>
      </c>
      <c r="AF682">
        <v>48.204999999999998</v>
      </c>
      <c r="AG682">
        <v>52.372</v>
      </c>
      <c r="AH682">
        <v>51.408000000000001</v>
      </c>
      <c r="AI682">
        <v>60.35</v>
      </c>
      <c r="AJ682">
        <v>22.312000000000001</v>
      </c>
      <c r="AK682">
        <v>57.493000000000002</v>
      </c>
      <c r="AL682">
        <v>-0.53400000000000003</v>
      </c>
      <c r="AM682">
        <v>51.408000000000001</v>
      </c>
      <c r="AN682">
        <v>52.372</v>
      </c>
      <c r="AO682">
        <v>48.204999999999998</v>
      </c>
      <c r="AP682">
        <v>0.53400000000000003</v>
      </c>
      <c r="AQ682">
        <v>77.688000000000002</v>
      </c>
      <c r="AR682">
        <v>39.65</v>
      </c>
      <c r="AS682">
        <v>42.506999999999998</v>
      </c>
    </row>
    <row r="683" spans="1:45" x14ac:dyDescent="0.25">
      <c r="A683">
        <v>33</v>
      </c>
      <c r="B683">
        <v>5</v>
      </c>
      <c r="C683">
        <v>1</v>
      </c>
      <c r="D683">
        <v>2020</v>
      </c>
      <c r="E683">
        <v>12</v>
      </c>
      <c r="F683" t="str">
        <f>IFERROR(VLOOKUP(G683, Map!$A$1:$B$33, 2, FALSE),"WAS")</f>
        <v>PIT</v>
      </c>
      <c r="G683" t="s">
        <v>145</v>
      </c>
      <c r="H683" t="str">
        <f>IFERROR(VLOOKUP(I683, Map!$A$1:$B$33, 2, FALSE),"WAS")</f>
        <v>BAL</v>
      </c>
      <c r="I683" t="s">
        <v>146</v>
      </c>
      <c r="J683" t="s">
        <v>170</v>
      </c>
      <c r="K683" t="s">
        <v>181</v>
      </c>
      <c r="L683">
        <v>1</v>
      </c>
      <c r="M683">
        <v>0</v>
      </c>
      <c r="N683">
        <v>37.772727272727302</v>
      </c>
      <c r="O683">
        <v>-8.5454545454545396</v>
      </c>
      <c r="P683">
        <v>-10</v>
      </c>
      <c r="Q683">
        <v>41.5</v>
      </c>
      <c r="R683">
        <v>0.5</v>
      </c>
      <c r="S683">
        <v>3.9</v>
      </c>
      <c r="T683">
        <v>-1.7</v>
      </c>
      <c r="U683">
        <v>-4.8</v>
      </c>
      <c r="V683">
        <v>1.8</v>
      </c>
      <c r="W683">
        <v>1.26</v>
      </c>
      <c r="X683">
        <v>7</v>
      </c>
      <c r="Y683">
        <v>0</v>
      </c>
      <c r="Z683">
        <v>23.8</v>
      </c>
      <c r="AA683">
        <v>49.7</v>
      </c>
      <c r="AB683">
        <v>255</v>
      </c>
      <c r="AC683">
        <v>73</v>
      </c>
      <c r="AD683">
        <v>40.299999999999997</v>
      </c>
      <c r="AE683">
        <v>18.3</v>
      </c>
      <c r="AF683">
        <v>64.242999999999995</v>
      </c>
      <c r="AG683">
        <v>62.924999999999997</v>
      </c>
      <c r="AH683">
        <v>35.472000000000001</v>
      </c>
      <c r="AI683">
        <v>98.477000000000004</v>
      </c>
      <c r="AJ683">
        <v>42.213000000000001</v>
      </c>
      <c r="AK683">
        <v>76.257999999999996</v>
      </c>
      <c r="AL683">
        <v>4.9080000000000004</v>
      </c>
      <c r="AM683">
        <v>35.472000000000001</v>
      </c>
      <c r="AN683">
        <v>62.924999999999997</v>
      </c>
      <c r="AO683">
        <v>64.242999999999995</v>
      </c>
      <c r="AP683">
        <v>-4.9080000000000004</v>
      </c>
      <c r="AQ683">
        <v>57.786999999999999</v>
      </c>
      <c r="AR683">
        <v>1.5229999999999999</v>
      </c>
      <c r="AS683">
        <v>23.742000000000001</v>
      </c>
    </row>
    <row r="684" spans="1:45" x14ac:dyDescent="0.25">
      <c r="A684">
        <v>44</v>
      </c>
      <c r="B684">
        <v>10</v>
      </c>
      <c r="C684">
        <v>1</v>
      </c>
      <c r="D684">
        <v>2020</v>
      </c>
      <c r="E684">
        <v>12</v>
      </c>
      <c r="F684" t="str">
        <f>IFERROR(VLOOKUP(G684, Map!$A$1:$B$33, 2, FALSE),"WAS")</f>
        <v>BUF</v>
      </c>
      <c r="G684" t="s">
        <v>165</v>
      </c>
      <c r="H684" t="str">
        <f>IFERROR(VLOOKUP(I684, Map!$A$1:$B$33, 2, FALSE),"WAS")</f>
        <v>LAC</v>
      </c>
      <c r="I684" t="s">
        <v>160</v>
      </c>
      <c r="J684" t="s">
        <v>180</v>
      </c>
      <c r="K684" t="s">
        <v>210</v>
      </c>
      <c r="L684">
        <v>1</v>
      </c>
      <c r="M684">
        <v>0</v>
      </c>
      <c r="N684">
        <v>42.625</v>
      </c>
      <c r="O684">
        <v>-3.5833333333333299</v>
      </c>
      <c r="P684">
        <v>-4</v>
      </c>
      <c r="Q684">
        <v>0</v>
      </c>
      <c r="R684">
        <v>10.1</v>
      </c>
      <c r="S684">
        <v>15.9</v>
      </c>
      <c r="T684">
        <v>5.8</v>
      </c>
      <c r="U684">
        <v>8.1</v>
      </c>
      <c r="V684">
        <v>2.4</v>
      </c>
      <c r="W684">
        <v>0</v>
      </c>
      <c r="X684">
        <v>2</v>
      </c>
      <c r="Y684">
        <v>2.4</v>
      </c>
      <c r="Z684">
        <v>10.8</v>
      </c>
      <c r="AA684">
        <v>29.9</v>
      </c>
      <c r="AB684">
        <v>88</v>
      </c>
      <c r="AC684">
        <v>80</v>
      </c>
      <c r="AD684">
        <v>16</v>
      </c>
      <c r="AE684">
        <v>8.3000000000000007</v>
      </c>
      <c r="AF684">
        <v>73.430000000000007</v>
      </c>
      <c r="AG684">
        <v>50.584000000000003</v>
      </c>
      <c r="AH684">
        <v>26.358000000000001</v>
      </c>
      <c r="AI684">
        <v>77.382000000000005</v>
      </c>
      <c r="AJ684">
        <v>62.165999999999997</v>
      </c>
      <c r="AK684">
        <v>84.38</v>
      </c>
      <c r="AL684">
        <v>8.3719999999999999</v>
      </c>
      <c r="AM684">
        <v>26.358000000000001</v>
      </c>
      <c r="AN684">
        <v>50.584000000000003</v>
      </c>
      <c r="AO684">
        <v>73.430000000000007</v>
      </c>
      <c r="AP684">
        <v>-8.3719999999999999</v>
      </c>
      <c r="AQ684">
        <v>37.834000000000003</v>
      </c>
      <c r="AR684">
        <v>22.617999999999999</v>
      </c>
      <c r="AS684">
        <v>15.62</v>
      </c>
    </row>
    <row r="685" spans="1:45" x14ac:dyDescent="0.25">
      <c r="A685">
        <v>66</v>
      </c>
      <c r="B685">
        <v>16</v>
      </c>
      <c r="C685">
        <v>1</v>
      </c>
      <c r="D685">
        <v>2020</v>
      </c>
      <c r="E685">
        <v>12</v>
      </c>
      <c r="F685" t="str">
        <f>IFERROR(VLOOKUP(G685, Map!$A$1:$B$33, 2, FALSE),"WAS")</f>
        <v>GB</v>
      </c>
      <c r="G685" t="s">
        <v>154</v>
      </c>
      <c r="H685" t="str">
        <f>IFERROR(VLOOKUP(I685, Map!$A$1:$B$33, 2, FALSE),"WAS")</f>
        <v>CHI</v>
      </c>
      <c r="I685" t="s">
        <v>163</v>
      </c>
      <c r="J685" t="s">
        <v>200</v>
      </c>
      <c r="K685" t="s">
        <v>216</v>
      </c>
      <c r="L685">
        <v>1</v>
      </c>
      <c r="M685">
        <v>0</v>
      </c>
      <c r="N685">
        <v>41.153846153846203</v>
      </c>
      <c r="O685">
        <v>-6.5</v>
      </c>
      <c r="P685">
        <v>-7.5</v>
      </c>
      <c r="Q685">
        <v>44</v>
      </c>
      <c r="R685">
        <v>-1</v>
      </c>
      <c r="S685">
        <v>2.9</v>
      </c>
      <c r="T685">
        <v>-2.8</v>
      </c>
      <c r="U685">
        <v>-7.4</v>
      </c>
      <c r="V685">
        <v>0</v>
      </c>
      <c r="W685">
        <v>0</v>
      </c>
      <c r="X685">
        <v>0</v>
      </c>
      <c r="Y685">
        <v>0</v>
      </c>
      <c r="Z685">
        <v>26</v>
      </c>
      <c r="AA685">
        <v>53.6</v>
      </c>
      <c r="AB685">
        <v>352</v>
      </c>
      <c r="AC685">
        <v>57</v>
      </c>
      <c r="AD685">
        <v>45.1</v>
      </c>
      <c r="AE685">
        <v>22.1</v>
      </c>
      <c r="AF685">
        <v>68.912000000000006</v>
      </c>
      <c r="AG685">
        <v>65.278999999999996</v>
      </c>
      <c r="AH685">
        <v>30.84</v>
      </c>
      <c r="AI685">
        <v>65.462000000000003</v>
      </c>
      <c r="AJ685">
        <v>96.37</v>
      </c>
      <c r="AK685">
        <v>94.433000000000007</v>
      </c>
      <c r="AL685">
        <v>6.6120000000000001</v>
      </c>
      <c r="AM685">
        <v>30.84</v>
      </c>
      <c r="AN685">
        <v>65.278999999999996</v>
      </c>
      <c r="AO685">
        <v>68.912000000000006</v>
      </c>
      <c r="AP685">
        <v>-6.6120000000000001</v>
      </c>
      <c r="AQ685">
        <v>3.63</v>
      </c>
      <c r="AR685">
        <v>34.537999999999997</v>
      </c>
      <c r="AS685">
        <v>5.5670000000000002</v>
      </c>
    </row>
    <row r="686" spans="1:45" x14ac:dyDescent="0.25">
      <c r="A686">
        <v>57</v>
      </c>
      <c r="B686">
        <v>-25</v>
      </c>
      <c r="C686">
        <v>0</v>
      </c>
      <c r="D686">
        <v>2020</v>
      </c>
      <c r="E686">
        <v>12</v>
      </c>
      <c r="F686" t="str">
        <f>IFERROR(VLOOKUP(G686, Map!$A$1:$B$33, 2, FALSE),"WAS")</f>
        <v>DAL</v>
      </c>
      <c r="G686" t="s">
        <v>150</v>
      </c>
      <c r="H686" t="str">
        <f>IFERROR(VLOOKUP(I686, Map!$A$1:$B$33, 2, FALSE),"WAS")</f>
        <v>WAS</v>
      </c>
      <c r="I686" t="s">
        <v>169</v>
      </c>
      <c r="J686" t="s">
        <v>184</v>
      </c>
      <c r="K686" t="s">
        <v>205</v>
      </c>
      <c r="L686">
        <v>0</v>
      </c>
      <c r="M686">
        <v>0</v>
      </c>
      <c r="N686">
        <v>41.909090909090899</v>
      </c>
      <c r="O686">
        <v>-2.3181818181818201</v>
      </c>
      <c r="P686">
        <v>-2.5</v>
      </c>
      <c r="Q686">
        <v>0</v>
      </c>
      <c r="R686">
        <v>12.8</v>
      </c>
      <c r="S686">
        <v>22.3</v>
      </c>
      <c r="T686">
        <v>6.9</v>
      </c>
      <c r="U686">
        <v>9.6</v>
      </c>
      <c r="V686">
        <v>0</v>
      </c>
      <c r="W686">
        <v>0</v>
      </c>
      <c r="X686">
        <v>0</v>
      </c>
      <c r="Y686">
        <v>0</v>
      </c>
      <c r="Z686">
        <v>19.8</v>
      </c>
      <c r="AA686">
        <v>36</v>
      </c>
      <c r="AB686">
        <v>169</v>
      </c>
      <c r="AC686">
        <v>55</v>
      </c>
      <c r="AD686">
        <v>20.9</v>
      </c>
      <c r="AE686">
        <v>12.1</v>
      </c>
      <c r="AF686">
        <v>44.863</v>
      </c>
      <c r="AG686">
        <v>21.841999999999999</v>
      </c>
      <c r="AH686">
        <v>54.777000000000001</v>
      </c>
      <c r="AI686">
        <v>43.545999999999999</v>
      </c>
      <c r="AJ686">
        <v>10.991</v>
      </c>
      <c r="AK686">
        <v>16.771000000000001</v>
      </c>
      <c r="AL686">
        <v>-1.6579999999999999</v>
      </c>
      <c r="AM686">
        <v>54.777000000000001</v>
      </c>
      <c r="AN686">
        <v>21.841999999999999</v>
      </c>
      <c r="AO686">
        <v>44.863</v>
      </c>
      <c r="AP686">
        <v>1.6579999999999999</v>
      </c>
      <c r="AQ686">
        <v>89.009</v>
      </c>
      <c r="AR686">
        <v>56.454000000000001</v>
      </c>
      <c r="AS686">
        <v>83.228999999999999</v>
      </c>
    </row>
    <row r="687" spans="1:45" x14ac:dyDescent="0.25">
      <c r="A687">
        <v>52</v>
      </c>
      <c r="B687">
        <v>-2</v>
      </c>
      <c r="C687">
        <v>0</v>
      </c>
      <c r="D687">
        <v>2020</v>
      </c>
      <c r="E687">
        <v>12</v>
      </c>
      <c r="F687" t="str">
        <f>IFERROR(VLOOKUP(G687, Map!$A$1:$B$33, 2, FALSE),"WAS")</f>
        <v>JAX</v>
      </c>
      <c r="G687" t="s">
        <v>139</v>
      </c>
      <c r="H687" t="str">
        <f>IFERROR(VLOOKUP(I687, Map!$A$1:$B$33, 2, FALSE),"WAS")</f>
        <v>CLE</v>
      </c>
      <c r="I687" t="s">
        <v>162</v>
      </c>
      <c r="J687" t="s">
        <v>220</v>
      </c>
      <c r="K687" t="s">
        <v>171</v>
      </c>
      <c r="L687">
        <v>0</v>
      </c>
      <c r="M687">
        <v>0</v>
      </c>
      <c r="N687">
        <v>44.2916666666667</v>
      </c>
      <c r="O687">
        <v>5.7916666666666696</v>
      </c>
      <c r="P687">
        <v>6</v>
      </c>
      <c r="Q687">
        <v>48</v>
      </c>
      <c r="R687">
        <v>18.899999999999999</v>
      </c>
      <c r="S687">
        <v>22.6</v>
      </c>
      <c r="T687">
        <v>16.7</v>
      </c>
      <c r="U687">
        <v>20.100000000000001</v>
      </c>
      <c r="V687">
        <v>0</v>
      </c>
      <c r="W687">
        <v>0</v>
      </c>
      <c r="X687">
        <v>0</v>
      </c>
      <c r="Y687">
        <v>0</v>
      </c>
      <c r="Z687">
        <v>13.7</v>
      </c>
      <c r="AA687">
        <v>23</v>
      </c>
      <c r="AB687">
        <v>358</v>
      </c>
      <c r="AC687">
        <v>90</v>
      </c>
      <c r="AD687">
        <v>18.5</v>
      </c>
      <c r="AE687">
        <v>9.6999999999999993</v>
      </c>
      <c r="AF687">
        <v>30.86</v>
      </c>
      <c r="AG687">
        <v>14.121</v>
      </c>
      <c r="AH687">
        <v>68.891999999999996</v>
      </c>
      <c r="AI687">
        <v>14.77</v>
      </c>
      <c r="AJ687">
        <v>74.099999999999994</v>
      </c>
      <c r="AK687">
        <v>38.877000000000002</v>
      </c>
      <c r="AL687">
        <v>-6.6050000000000004</v>
      </c>
      <c r="AM687">
        <v>68.891999999999996</v>
      </c>
      <c r="AN687">
        <v>14.121</v>
      </c>
      <c r="AO687">
        <v>30.86</v>
      </c>
      <c r="AP687">
        <v>6.6050000000000004</v>
      </c>
      <c r="AQ687">
        <v>25.9</v>
      </c>
      <c r="AR687">
        <v>85.23</v>
      </c>
      <c r="AS687">
        <v>61.122999999999998</v>
      </c>
    </row>
    <row r="688" spans="1:45" x14ac:dyDescent="0.25">
      <c r="A688">
        <v>34</v>
      </c>
      <c r="B688">
        <v>-28</v>
      </c>
      <c r="C688">
        <v>0</v>
      </c>
      <c r="D688">
        <v>2020</v>
      </c>
      <c r="E688">
        <v>12</v>
      </c>
      <c r="F688" t="str">
        <f>IFERROR(VLOOKUP(G688, Map!$A$1:$B$33, 2, FALSE),"WAS")</f>
        <v>DEN</v>
      </c>
      <c r="G688" t="s">
        <v>159</v>
      </c>
      <c r="H688" t="str">
        <f>IFERROR(VLOOKUP(I688, Map!$A$1:$B$33, 2, FALSE),"WAS")</f>
        <v>NO</v>
      </c>
      <c r="I688" t="s">
        <v>168</v>
      </c>
      <c r="J688" t="s">
        <v>183</v>
      </c>
      <c r="K688" t="s">
        <v>192</v>
      </c>
      <c r="L688">
        <v>0</v>
      </c>
      <c r="M688">
        <v>0</v>
      </c>
      <c r="N688">
        <v>33.653846153846203</v>
      </c>
      <c r="O688">
        <v>14.0769230769231</v>
      </c>
      <c r="P688">
        <v>15.5</v>
      </c>
      <c r="Q688">
        <v>36</v>
      </c>
      <c r="R688">
        <v>0</v>
      </c>
      <c r="S688">
        <v>3.1</v>
      </c>
      <c r="T688">
        <v>-3.9</v>
      </c>
      <c r="U688">
        <v>-4.3</v>
      </c>
      <c r="V688">
        <v>0</v>
      </c>
      <c r="W688">
        <v>0</v>
      </c>
      <c r="X688">
        <v>0</v>
      </c>
      <c r="Y688">
        <v>0</v>
      </c>
      <c r="Z688">
        <v>15.9</v>
      </c>
      <c r="AA688">
        <v>20.9</v>
      </c>
      <c r="AB688">
        <v>303</v>
      </c>
      <c r="AC688">
        <v>47</v>
      </c>
      <c r="AD688">
        <v>14.5</v>
      </c>
      <c r="AE688">
        <v>7.5</v>
      </c>
      <c r="AF688">
        <v>25.988</v>
      </c>
      <c r="AG688">
        <v>54.256</v>
      </c>
      <c r="AH688">
        <v>73.802999999999997</v>
      </c>
      <c r="AI688">
        <v>49.167000000000002</v>
      </c>
      <c r="AJ688">
        <v>2.1000000000000001E-2</v>
      </c>
      <c r="AK688">
        <v>4.1479999999999997</v>
      </c>
      <c r="AL688">
        <v>-8.5239999999999991</v>
      </c>
      <c r="AM688">
        <v>73.802999999999997</v>
      </c>
      <c r="AN688">
        <v>54.256</v>
      </c>
      <c r="AO688">
        <v>25.988</v>
      </c>
      <c r="AP688">
        <v>8.5239999999999991</v>
      </c>
      <c r="AQ688">
        <v>99.978999999999999</v>
      </c>
      <c r="AR688">
        <v>50.832999999999998</v>
      </c>
      <c r="AS688">
        <v>95.852000000000004</v>
      </c>
    </row>
    <row r="689" spans="1:45" x14ac:dyDescent="0.25">
      <c r="A689">
        <v>43</v>
      </c>
      <c r="B689">
        <v>-3</v>
      </c>
      <c r="C689">
        <v>0</v>
      </c>
      <c r="D689">
        <v>2020</v>
      </c>
      <c r="E689">
        <v>12</v>
      </c>
      <c r="F689" t="str">
        <f>IFERROR(VLOOKUP(G689, Map!$A$1:$B$33, 2, FALSE),"WAS")</f>
        <v>LA</v>
      </c>
      <c r="G689" t="s">
        <v>155</v>
      </c>
      <c r="H689" t="str">
        <f>IFERROR(VLOOKUP(I689, Map!$A$1:$B$33, 2, FALSE),"WAS")</f>
        <v>SF</v>
      </c>
      <c r="I689" t="s">
        <v>143</v>
      </c>
      <c r="J689" t="s">
        <v>178</v>
      </c>
      <c r="K689" t="s">
        <v>197</v>
      </c>
      <c r="L689">
        <v>0</v>
      </c>
      <c r="M689">
        <v>0</v>
      </c>
      <c r="N689">
        <v>41.076923076923102</v>
      </c>
      <c r="O689">
        <v>-4.4230769230769198</v>
      </c>
      <c r="P689">
        <v>-5</v>
      </c>
      <c r="Q689">
        <v>44.5</v>
      </c>
      <c r="R689">
        <v>13.9</v>
      </c>
      <c r="S689">
        <v>24</v>
      </c>
      <c r="T689">
        <v>6.9</v>
      </c>
      <c r="U689">
        <v>10</v>
      </c>
      <c r="V689">
        <v>0</v>
      </c>
      <c r="W689">
        <v>0</v>
      </c>
      <c r="X689">
        <v>0</v>
      </c>
      <c r="Y689">
        <v>0</v>
      </c>
      <c r="Z689">
        <v>13.3</v>
      </c>
      <c r="AA689">
        <v>25.9</v>
      </c>
      <c r="AB689">
        <v>318</v>
      </c>
      <c r="AC689">
        <v>27</v>
      </c>
      <c r="AD689">
        <v>13.3</v>
      </c>
      <c r="AE689">
        <v>7.2</v>
      </c>
      <c r="AF689">
        <v>53.918999999999997</v>
      </c>
      <c r="AG689">
        <v>71.474999999999994</v>
      </c>
      <c r="AH689">
        <v>45.713999999999999</v>
      </c>
      <c r="AI689">
        <v>83.131</v>
      </c>
      <c r="AJ689">
        <v>4.0570000000000004</v>
      </c>
      <c r="AK689">
        <v>36.253</v>
      </c>
      <c r="AL689">
        <v>1.371</v>
      </c>
      <c r="AM689">
        <v>45.713999999999999</v>
      </c>
      <c r="AN689">
        <v>71.474999999999994</v>
      </c>
      <c r="AO689">
        <v>53.918999999999997</v>
      </c>
      <c r="AP689">
        <v>-1.371</v>
      </c>
      <c r="AQ689">
        <v>95.942999999999998</v>
      </c>
      <c r="AR689">
        <v>16.869</v>
      </c>
      <c r="AS689">
        <v>63.747</v>
      </c>
    </row>
    <row r="690" spans="1:45" x14ac:dyDescent="0.25">
      <c r="A690">
        <v>71</v>
      </c>
      <c r="B690">
        <v>-19</v>
      </c>
      <c r="C690">
        <v>0</v>
      </c>
      <c r="D690">
        <v>2020</v>
      </c>
      <c r="E690">
        <v>12</v>
      </c>
      <c r="F690" t="str">
        <f>IFERROR(VLOOKUP(G690, Map!$A$1:$B$33, 2, FALSE),"WAS")</f>
        <v>IND</v>
      </c>
      <c r="G690" t="s">
        <v>138</v>
      </c>
      <c r="H690" t="str">
        <f>IFERROR(VLOOKUP(I690, Map!$A$1:$B$33, 2, FALSE),"WAS")</f>
        <v>TEN</v>
      </c>
      <c r="I690" t="s">
        <v>140</v>
      </c>
      <c r="J690" t="s">
        <v>177</v>
      </c>
      <c r="K690" t="s">
        <v>174</v>
      </c>
      <c r="L690">
        <v>0</v>
      </c>
      <c r="M690">
        <v>0</v>
      </c>
      <c r="N690">
        <v>47.1666666666667</v>
      </c>
      <c r="O690">
        <v>-2.5</v>
      </c>
      <c r="P690">
        <v>-3</v>
      </c>
      <c r="Q690">
        <v>51</v>
      </c>
      <c r="R690">
        <v>3.1</v>
      </c>
      <c r="S690">
        <v>10.199999999999999</v>
      </c>
      <c r="T690">
        <v>-1.8</v>
      </c>
      <c r="U690">
        <v>-0.3</v>
      </c>
      <c r="V690">
        <v>0</v>
      </c>
      <c r="W690">
        <v>0</v>
      </c>
      <c r="X690">
        <v>0</v>
      </c>
      <c r="Y690">
        <v>0</v>
      </c>
      <c r="Z690">
        <v>10.3</v>
      </c>
      <c r="AA690">
        <v>24.5</v>
      </c>
      <c r="AB690">
        <v>197</v>
      </c>
      <c r="AC690">
        <v>71</v>
      </c>
      <c r="AD690">
        <v>13.6</v>
      </c>
      <c r="AE690">
        <v>7.3</v>
      </c>
      <c r="AF690">
        <v>51.91</v>
      </c>
      <c r="AG690">
        <v>62.527999999999999</v>
      </c>
      <c r="AH690">
        <v>47.707000000000001</v>
      </c>
      <c r="AI690">
        <v>1.98</v>
      </c>
      <c r="AJ690">
        <v>78.387</v>
      </c>
      <c r="AK690">
        <v>12.23</v>
      </c>
      <c r="AL690">
        <v>0.70099999999999996</v>
      </c>
      <c r="AM690">
        <v>47.707000000000001</v>
      </c>
      <c r="AN690">
        <v>62.527999999999999</v>
      </c>
      <c r="AO690">
        <v>51.91</v>
      </c>
      <c r="AP690">
        <v>-0.70099999999999996</v>
      </c>
      <c r="AQ690">
        <v>21.613</v>
      </c>
      <c r="AR690">
        <v>98.02</v>
      </c>
      <c r="AS690">
        <v>87.77</v>
      </c>
    </row>
    <row r="691" spans="1:45" x14ac:dyDescent="0.25">
      <c r="A691">
        <v>37</v>
      </c>
      <c r="B691">
        <v>-5</v>
      </c>
      <c r="C691">
        <v>0</v>
      </c>
      <c r="D691">
        <v>2020</v>
      </c>
      <c r="E691">
        <v>13</v>
      </c>
      <c r="F691" t="str">
        <f>IFERROR(VLOOKUP(G691, Map!$A$1:$B$33, 2, FALSE),"WAS")</f>
        <v>ATL</v>
      </c>
      <c r="G691" t="s">
        <v>167</v>
      </c>
      <c r="H691" t="str">
        <f>IFERROR(VLOOKUP(I691, Map!$A$1:$B$33, 2, FALSE),"WAS")</f>
        <v>NO</v>
      </c>
      <c r="I691" t="s">
        <v>168</v>
      </c>
      <c r="J691" t="s">
        <v>188</v>
      </c>
      <c r="K691" t="s">
        <v>192</v>
      </c>
      <c r="L691">
        <v>0</v>
      </c>
      <c r="M691">
        <v>0</v>
      </c>
      <c r="N691">
        <v>37.454545454545503</v>
      </c>
      <c r="O691">
        <v>2.1363636363636398</v>
      </c>
      <c r="P691">
        <v>2</v>
      </c>
      <c r="Q691">
        <v>0</v>
      </c>
      <c r="R691">
        <v>6.6</v>
      </c>
      <c r="S691">
        <v>13.5</v>
      </c>
      <c r="T691">
        <v>0.8</v>
      </c>
      <c r="U691">
        <v>3.8</v>
      </c>
      <c r="V691">
        <v>0</v>
      </c>
      <c r="W691">
        <v>0</v>
      </c>
      <c r="X691">
        <v>0</v>
      </c>
      <c r="Y691">
        <v>0</v>
      </c>
      <c r="Z691">
        <v>11.8</v>
      </c>
      <c r="AA691">
        <v>23</v>
      </c>
      <c r="AB691">
        <v>279</v>
      </c>
      <c r="AC691">
        <v>77</v>
      </c>
      <c r="AD691">
        <v>15</v>
      </c>
      <c r="AE691">
        <v>7.7</v>
      </c>
      <c r="AF691">
        <v>37.103999999999999</v>
      </c>
      <c r="AG691">
        <v>81.566000000000003</v>
      </c>
      <c r="AH691">
        <v>62.597999999999999</v>
      </c>
      <c r="AI691">
        <v>26.268999999999998</v>
      </c>
      <c r="AJ691">
        <v>30.702999999999999</v>
      </c>
      <c r="AK691">
        <v>29.9</v>
      </c>
      <c r="AL691">
        <v>-4.3159999999999998</v>
      </c>
      <c r="AM691">
        <v>62.597999999999999</v>
      </c>
      <c r="AN691">
        <v>81.566000000000003</v>
      </c>
      <c r="AO691">
        <v>37.103999999999999</v>
      </c>
      <c r="AP691">
        <v>4.3159999999999998</v>
      </c>
      <c r="AQ691">
        <v>69.296999999999997</v>
      </c>
      <c r="AR691">
        <v>73.730999999999995</v>
      </c>
      <c r="AS691">
        <v>70.099999999999994</v>
      </c>
    </row>
    <row r="692" spans="1:45" x14ac:dyDescent="0.25">
      <c r="A692">
        <v>51</v>
      </c>
      <c r="B692">
        <v>3</v>
      </c>
      <c r="C692">
        <v>1</v>
      </c>
      <c r="D692">
        <v>2020</v>
      </c>
      <c r="E692">
        <v>13</v>
      </c>
      <c r="F692" t="str">
        <f>IFERROR(VLOOKUP(G692, Map!$A$1:$B$33, 2, FALSE),"WAS")</f>
        <v>MIN</v>
      </c>
      <c r="G692" t="s">
        <v>153</v>
      </c>
      <c r="H692" t="str">
        <f>IFERROR(VLOOKUP(I692, Map!$A$1:$B$33, 2, FALSE),"WAS")</f>
        <v>JAX</v>
      </c>
      <c r="I692" t="s">
        <v>139</v>
      </c>
      <c r="J692" t="s">
        <v>214</v>
      </c>
      <c r="K692" t="s">
        <v>220</v>
      </c>
      <c r="L692">
        <v>1</v>
      </c>
      <c r="M692">
        <v>0</v>
      </c>
      <c r="N692">
        <v>42.045454545454497</v>
      </c>
      <c r="O692">
        <v>-8.3181818181818201</v>
      </c>
      <c r="P692">
        <v>-10</v>
      </c>
      <c r="Q692">
        <v>0</v>
      </c>
      <c r="R692">
        <v>-1.5</v>
      </c>
      <c r="S692">
        <v>4</v>
      </c>
      <c r="T692">
        <v>-5.2</v>
      </c>
      <c r="U692">
        <v>-5</v>
      </c>
      <c r="V692">
        <v>0.2</v>
      </c>
      <c r="W692">
        <v>0.14000000000000001</v>
      </c>
      <c r="X692">
        <v>2</v>
      </c>
      <c r="Y692">
        <v>0</v>
      </c>
      <c r="Z692">
        <v>9.4</v>
      </c>
      <c r="AA692">
        <v>21.2</v>
      </c>
      <c r="AB692">
        <v>331</v>
      </c>
      <c r="AC692">
        <v>84</v>
      </c>
      <c r="AD692">
        <v>11.8</v>
      </c>
      <c r="AE692">
        <v>5.7</v>
      </c>
      <c r="AF692">
        <v>83.116</v>
      </c>
      <c r="AG692">
        <v>38.238</v>
      </c>
      <c r="AH692">
        <v>16.75</v>
      </c>
      <c r="AI692">
        <v>77.111000000000004</v>
      </c>
      <c r="AJ692">
        <v>39.142000000000003</v>
      </c>
      <c r="AK692">
        <v>59.097999999999999</v>
      </c>
      <c r="AL692">
        <v>12.762</v>
      </c>
      <c r="AM692">
        <v>16.75</v>
      </c>
      <c r="AN692">
        <v>38.238</v>
      </c>
      <c r="AO692">
        <v>83.116</v>
      </c>
      <c r="AP692">
        <v>-12.762</v>
      </c>
      <c r="AQ692">
        <v>60.857999999999997</v>
      </c>
      <c r="AR692">
        <v>22.888999999999999</v>
      </c>
      <c r="AS692">
        <v>40.902000000000001</v>
      </c>
    </row>
    <row r="693" spans="1:45" x14ac:dyDescent="0.25">
      <c r="A693">
        <v>40</v>
      </c>
      <c r="B693">
        <v>-6</v>
      </c>
      <c r="C693">
        <v>0</v>
      </c>
      <c r="D693">
        <v>2020</v>
      </c>
      <c r="E693">
        <v>13</v>
      </c>
      <c r="F693" t="str">
        <f>IFERROR(VLOOKUP(G693, Map!$A$1:$B$33, 2, FALSE),"WAS")</f>
        <v>PIT</v>
      </c>
      <c r="G693" t="s">
        <v>145</v>
      </c>
      <c r="H693" t="str">
        <f>IFERROR(VLOOKUP(I693, Map!$A$1:$B$33, 2, FALSE),"WAS")</f>
        <v>WAS</v>
      </c>
      <c r="I693" t="s">
        <v>169</v>
      </c>
      <c r="J693" t="s">
        <v>170</v>
      </c>
      <c r="K693" t="s">
        <v>205</v>
      </c>
      <c r="L693">
        <v>0</v>
      </c>
      <c r="M693">
        <v>0</v>
      </c>
      <c r="N693">
        <v>43.625</v>
      </c>
      <c r="O693">
        <v>-5.2083333333333304</v>
      </c>
      <c r="P693">
        <v>-5.5</v>
      </c>
      <c r="Q693">
        <v>43.5</v>
      </c>
      <c r="R693">
        <v>-0.7</v>
      </c>
      <c r="S693">
        <v>0.5</v>
      </c>
      <c r="T693">
        <v>-1.8</v>
      </c>
      <c r="U693">
        <v>-4.8</v>
      </c>
      <c r="V693">
        <v>0.1</v>
      </c>
      <c r="W693">
        <v>7.0000000000000007E-2</v>
      </c>
      <c r="X693">
        <v>1</v>
      </c>
      <c r="Y693">
        <v>0</v>
      </c>
      <c r="Z693">
        <v>15.2</v>
      </c>
      <c r="AA693">
        <v>32.799999999999997</v>
      </c>
      <c r="AB693">
        <v>336</v>
      </c>
      <c r="AC693">
        <v>65</v>
      </c>
      <c r="AD693">
        <v>18.7</v>
      </c>
      <c r="AE693">
        <v>8.1</v>
      </c>
      <c r="AF693">
        <v>73.927999999999997</v>
      </c>
      <c r="AG693">
        <v>56.328000000000003</v>
      </c>
      <c r="AH693">
        <v>25.864999999999998</v>
      </c>
      <c r="AI693">
        <v>76.131</v>
      </c>
      <c r="AJ693">
        <v>27.675000000000001</v>
      </c>
      <c r="AK693">
        <v>44.283000000000001</v>
      </c>
      <c r="AL693">
        <v>8.5530000000000008</v>
      </c>
      <c r="AM693">
        <v>25.864999999999998</v>
      </c>
      <c r="AN693">
        <v>56.328000000000003</v>
      </c>
      <c r="AO693">
        <v>73.927999999999997</v>
      </c>
      <c r="AP693">
        <v>-8.5530000000000008</v>
      </c>
      <c r="AQ693">
        <v>72.325000000000003</v>
      </c>
      <c r="AR693">
        <v>23.869</v>
      </c>
      <c r="AS693">
        <v>55.716999999999999</v>
      </c>
    </row>
    <row r="694" spans="1:45" x14ac:dyDescent="0.25">
      <c r="A694">
        <v>51</v>
      </c>
      <c r="B694">
        <v>17</v>
      </c>
      <c r="C694">
        <v>1</v>
      </c>
      <c r="D694">
        <v>2020</v>
      </c>
      <c r="E694">
        <v>13</v>
      </c>
      <c r="F694" t="str">
        <f>IFERROR(VLOOKUP(G694, Map!$A$1:$B$33, 2, FALSE),"WAS")</f>
        <v>BAL</v>
      </c>
      <c r="G694" t="s">
        <v>146</v>
      </c>
      <c r="H694" t="str">
        <f>IFERROR(VLOOKUP(I694, Map!$A$1:$B$33, 2, FALSE),"WAS")</f>
        <v>DAL</v>
      </c>
      <c r="I694" t="s">
        <v>150</v>
      </c>
      <c r="J694" t="s">
        <v>181</v>
      </c>
      <c r="K694" t="s">
        <v>184</v>
      </c>
      <c r="L694">
        <v>1</v>
      </c>
      <c r="M694">
        <v>0</v>
      </c>
      <c r="N694">
        <v>41.6666666666667</v>
      </c>
      <c r="O694">
        <v>-7.25</v>
      </c>
      <c r="P694">
        <v>-8.5</v>
      </c>
      <c r="Q694">
        <v>44.5</v>
      </c>
      <c r="R694">
        <v>1.2</v>
      </c>
      <c r="S694">
        <v>6</v>
      </c>
      <c r="T694">
        <v>-2.5</v>
      </c>
      <c r="U694">
        <v>-3.2</v>
      </c>
      <c r="V694">
        <v>0</v>
      </c>
      <c r="W694">
        <v>0</v>
      </c>
      <c r="X694">
        <v>0</v>
      </c>
      <c r="Y694">
        <v>0</v>
      </c>
      <c r="Z694">
        <v>18.5</v>
      </c>
      <c r="AA694">
        <v>33.799999999999997</v>
      </c>
      <c r="AB694">
        <v>257</v>
      </c>
      <c r="AC694">
        <v>66</v>
      </c>
      <c r="AD694">
        <v>21.8</v>
      </c>
      <c r="AE694">
        <v>11.1</v>
      </c>
      <c r="AF694">
        <v>85.281000000000006</v>
      </c>
      <c r="AG694">
        <v>51.100999999999999</v>
      </c>
      <c r="AH694">
        <v>14.602</v>
      </c>
      <c r="AI694">
        <v>60.564999999999998</v>
      </c>
      <c r="AJ694">
        <v>91.114000000000004</v>
      </c>
      <c r="AK694">
        <v>83.686000000000007</v>
      </c>
      <c r="AL694">
        <v>13.952999999999999</v>
      </c>
      <c r="AM694">
        <v>14.602</v>
      </c>
      <c r="AN694">
        <v>51.100999999999999</v>
      </c>
      <c r="AO694">
        <v>85.281000000000006</v>
      </c>
      <c r="AP694">
        <v>-13.952999999999999</v>
      </c>
      <c r="AQ694">
        <v>8.8859999999999992</v>
      </c>
      <c r="AR694">
        <v>39.435000000000002</v>
      </c>
      <c r="AS694">
        <v>16.314</v>
      </c>
    </row>
    <row r="695" spans="1:45" x14ac:dyDescent="0.25">
      <c r="A695">
        <v>76</v>
      </c>
      <c r="B695">
        <v>-6</v>
      </c>
      <c r="C695">
        <v>0</v>
      </c>
      <c r="D695">
        <v>2020</v>
      </c>
      <c r="E695">
        <v>13</v>
      </c>
      <c r="F695" t="str">
        <f>IFERROR(VLOOKUP(G695, Map!$A$1:$B$33, 2, FALSE),"WAS")</f>
        <v>TEN</v>
      </c>
      <c r="G695" t="s">
        <v>140</v>
      </c>
      <c r="H695" t="str">
        <f>IFERROR(VLOOKUP(I695, Map!$A$1:$B$33, 2, FALSE),"WAS")</f>
        <v>CLE</v>
      </c>
      <c r="I695" t="s">
        <v>162</v>
      </c>
      <c r="J695" t="s">
        <v>174</v>
      </c>
      <c r="K695" t="s">
        <v>171</v>
      </c>
      <c r="L695">
        <v>0</v>
      </c>
      <c r="M695">
        <v>0</v>
      </c>
      <c r="N695">
        <v>44.045454545454497</v>
      </c>
      <c r="O695">
        <v>-3.3636363636363602</v>
      </c>
      <c r="P695">
        <v>-3.5</v>
      </c>
      <c r="Q695">
        <v>0</v>
      </c>
      <c r="R695">
        <v>6.2</v>
      </c>
      <c r="S695">
        <v>12.4</v>
      </c>
      <c r="T695">
        <v>0.7</v>
      </c>
      <c r="U695">
        <v>4</v>
      </c>
      <c r="V695">
        <v>0</v>
      </c>
      <c r="W695">
        <v>0</v>
      </c>
      <c r="X695">
        <v>0</v>
      </c>
      <c r="Y695">
        <v>0</v>
      </c>
      <c r="Z695">
        <v>7.8</v>
      </c>
      <c r="AA695">
        <v>15.8</v>
      </c>
      <c r="AB695">
        <v>125</v>
      </c>
      <c r="AC695">
        <v>85</v>
      </c>
      <c r="AD695">
        <v>9.6999999999999993</v>
      </c>
      <c r="AE695">
        <v>4.5999999999999996</v>
      </c>
      <c r="AF695">
        <v>67.049000000000007</v>
      </c>
      <c r="AG695">
        <v>55.442</v>
      </c>
      <c r="AH695">
        <v>32.688000000000002</v>
      </c>
      <c r="AI695">
        <v>4.5880000000000001</v>
      </c>
      <c r="AJ695">
        <v>33.688000000000002</v>
      </c>
      <c r="AK695">
        <v>7.4720000000000004</v>
      </c>
      <c r="AL695">
        <v>5.9059999999999997</v>
      </c>
      <c r="AM695">
        <v>32.688000000000002</v>
      </c>
      <c r="AN695">
        <v>55.442</v>
      </c>
      <c r="AO695">
        <v>67.049000000000007</v>
      </c>
      <c r="AP695">
        <v>-5.9059999999999997</v>
      </c>
      <c r="AQ695">
        <v>66.311999999999998</v>
      </c>
      <c r="AR695">
        <v>95.412000000000006</v>
      </c>
      <c r="AS695">
        <v>92.528000000000006</v>
      </c>
    </row>
    <row r="696" spans="1:45" x14ac:dyDescent="0.25">
      <c r="A696">
        <v>29</v>
      </c>
      <c r="B696">
        <v>-5</v>
      </c>
      <c r="C696">
        <v>0</v>
      </c>
      <c r="D696">
        <v>2020</v>
      </c>
      <c r="E696">
        <v>13</v>
      </c>
      <c r="F696" t="str">
        <f>IFERROR(VLOOKUP(G696, Map!$A$1:$B$33, 2, FALSE),"WAS")</f>
        <v>SEA</v>
      </c>
      <c r="G696" t="s">
        <v>144</v>
      </c>
      <c r="H696" t="str">
        <f>IFERROR(VLOOKUP(I696, Map!$A$1:$B$33, 2, FALSE),"WAS")</f>
        <v>NYG</v>
      </c>
      <c r="I696" t="s">
        <v>149</v>
      </c>
      <c r="J696" t="s">
        <v>182</v>
      </c>
      <c r="K696" t="s">
        <v>219</v>
      </c>
      <c r="L696">
        <v>0</v>
      </c>
      <c r="M696">
        <v>0</v>
      </c>
      <c r="N696">
        <v>44.038461538461497</v>
      </c>
      <c r="O696">
        <v>-8.9230769230769198</v>
      </c>
      <c r="P696">
        <v>-10</v>
      </c>
      <c r="Q696">
        <v>46.5</v>
      </c>
      <c r="R696">
        <v>8.1</v>
      </c>
      <c r="S696">
        <v>11.3</v>
      </c>
      <c r="T696">
        <v>5.2</v>
      </c>
      <c r="U696">
        <v>4.5999999999999996</v>
      </c>
      <c r="V696">
        <v>0.1</v>
      </c>
      <c r="W696">
        <v>0</v>
      </c>
      <c r="X696">
        <v>1</v>
      </c>
      <c r="Y696">
        <v>0.1</v>
      </c>
      <c r="Z696">
        <v>18.8</v>
      </c>
      <c r="AA696">
        <v>33.5</v>
      </c>
      <c r="AB696">
        <v>165</v>
      </c>
      <c r="AC696">
        <v>65</v>
      </c>
      <c r="AD696">
        <v>23.8</v>
      </c>
      <c r="AE696">
        <v>12.5</v>
      </c>
      <c r="AF696">
        <v>86.221000000000004</v>
      </c>
      <c r="AG696">
        <v>48.85</v>
      </c>
      <c r="AH696">
        <v>13.669</v>
      </c>
      <c r="AI696">
        <v>55.283999999999999</v>
      </c>
      <c r="AJ696">
        <v>12.178000000000001</v>
      </c>
      <c r="AK696">
        <v>29.52</v>
      </c>
      <c r="AL696">
        <v>14.506</v>
      </c>
      <c r="AM696">
        <v>13.669</v>
      </c>
      <c r="AN696">
        <v>48.85</v>
      </c>
      <c r="AO696">
        <v>86.221000000000004</v>
      </c>
      <c r="AP696">
        <v>-14.506</v>
      </c>
      <c r="AQ696">
        <v>87.822000000000003</v>
      </c>
      <c r="AR696">
        <v>44.716000000000001</v>
      </c>
      <c r="AS696">
        <v>70.48</v>
      </c>
    </row>
    <row r="697" spans="1:45" x14ac:dyDescent="0.25">
      <c r="A697">
        <v>58</v>
      </c>
      <c r="B697">
        <v>-10</v>
      </c>
      <c r="C697">
        <v>0</v>
      </c>
      <c r="D697">
        <v>2020</v>
      </c>
      <c r="E697">
        <v>13</v>
      </c>
      <c r="F697" t="str">
        <f>IFERROR(VLOOKUP(G697, Map!$A$1:$B$33, 2, FALSE),"WAS")</f>
        <v>SF</v>
      </c>
      <c r="G697" t="s">
        <v>143</v>
      </c>
      <c r="H697" t="str">
        <f>IFERROR(VLOOKUP(I697, Map!$A$1:$B$33, 2, FALSE),"WAS")</f>
        <v>BUF</v>
      </c>
      <c r="I697" t="s">
        <v>165</v>
      </c>
      <c r="J697" t="s">
        <v>197</v>
      </c>
      <c r="K697" t="s">
        <v>180</v>
      </c>
      <c r="L697">
        <v>0</v>
      </c>
      <c r="M697">
        <v>0</v>
      </c>
      <c r="N697">
        <v>43.875</v>
      </c>
      <c r="O697">
        <v>-1.0416666666666701</v>
      </c>
      <c r="P697">
        <v>-1.5</v>
      </c>
      <c r="Q697">
        <v>47.5</v>
      </c>
      <c r="R697">
        <v>20.8</v>
      </c>
      <c r="S697">
        <v>27.4</v>
      </c>
      <c r="T697">
        <v>12.8</v>
      </c>
      <c r="U697">
        <v>15.8</v>
      </c>
      <c r="V697">
        <v>0</v>
      </c>
      <c r="W697">
        <v>0</v>
      </c>
      <c r="X697">
        <v>0</v>
      </c>
      <c r="Y697">
        <v>0</v>
      </c>
      <c r="Z697">
        <v>24.5</v>
      </c>
      <c r="AA697">
        <v>48.6</v>
      </c>
      <c r="AB697">
        <v>36</v>
      </c>
      <c r="AC697">
        <v>11</v>
      </c>
      <c r="AD697">
        <v>24.2</v>
      </c>
      <c r="AE697">
        <v>11.2</v>
      </c>
      <c r="AF697">
        <v>56.314</v>
      </c>
      <c r="AG697">
        <v>75.778000000000006</v>
      </c>
      <c r="AH697">
        <v>43.338000000000001</v>
      </c>
      <c r="AI697">
        <v>15.048999999999999</v>
      </c>
      <c r="AJ697">
        <v>43.862000000000002</v>
      </c>
      <c r="AK697">
        <v>15.472</v>
      </c>
      <c r="AL697">
        <v>2.169</v>
      </c>
      <c r="AM697">
        <v>43.338000000000001</v>
      </c>
      <c r="AN697">
        <v>75.778000000000006</v>
      </c>
      <c r="AO697">
        <v>56.314</v>
      </c>
      <c r="AP697">
        <v>-2.169</v>
      </c>
      <c r="AQ697">
        <v>56.137999999999998</v>
      </c>
      <c r="AR697">
        <v>84.950999999999993</v>
      </c>
      <c r="AS697">
        <v>84.528000000000006</v>
      </c>
    </row>
    <row r="698" spans="1:45" x14ac:dyDescent="0.25">
      <c r="A698">
        <v>46</v>
      </c>
      <c r="B698">
        <v>14</v>
      </c>
      <c r="C698">
        <v>1</v>
      </c>
      <c r="D698">
        <v>2020</v>
      </c>
      <c r="E698">
        <v>13</v>
      </c>
      <c r="F698" t="str">
        <f>IFERROR(VLOOKUP(G698, Map!$A$1:$B$33, 2, FALSE),"WAS")</f>
        <v>GB</v>
      </c>
      <c r="G698" t="s">
        <v>154</v>
      </c>
      <c r="H698" t="str">
        <f>IFERROR(VLOOKUP(I698, Map!$A$1:$B$33, 2, FALSE),"WAS")</f>
        <v>PHI</v>
      </c>
      <c r="I698" t="s">
        <v>147</v>
      </c>
      <c r="J698" t="s">
        <v>200</v>
      </c>
      <c r="K698" t="s">
        <v>206</v>
      </c>
      <c r="L698">
        <v>1</v>
      </c>
      <c r="M698">
        <v>0</v>
      </c>
      <c r="N698">
        <v>45.6666666666667</v>
      </c>
      <c r="O698">
        <v>-6.7916666666666696</v>
      </c>
      <c r="P698">
        <v>-7.5</v>
      </c>
      <c r="Q698">
        <v>49.5</v>
      </c>
      <c r="R698">
        <v>-1.3</v>
      </c>
      <c r="S698">
        <v>2.4</v>
      </c>
      <c r="T698">
        <v>-3.2</v>
      </c>
      <c r="U698">
        <v>-4.9000000000000004</v>
      </c>
      <c r="V698">
        <v>0</v>
      </c>
      <c r="W698">
        <v>0</v>
      </c>
      <c r="X698">
        <v>0</v>
      </c>
      <c r="Y698">
        <v>0</v>
      </c>
      <c r="Z698">
        <v>11.3</v>
      </c>
      <c r="AA698">
        <v>24.8</v>
      </c>
      <c r="AB698">
        <v>309</v>
      </c>
      <c r="AC698">
        <v>74</v>
      </c>
      <c r="AD698">
        <v>11.7</v>
      </c>
      <c r="AE698">
        <v>5.6</v>
      </c>
      <c r="AF698">
        <v>72.796999999999997</v>
      </c>
      <c r="AG698">
        <v>56.56</v>
      </c>
      <c r="AH698">
        <v>26.986999999999998</v>
      </c>
      <c r="AI698">
        <v>75.774000000000001</v>
      </c>
      <c r="AJ698">
        <v>96.388999999999996</v>
      </c>
      <c r="AK698">
        <v>91.058000000000007</v>
      </c>
      <c r="AL698">
        <v>8.0969999999999995</v>
      </c>
      <c r="AM698">
        <v>26.986999999999998</v>
      </c>
      <c r="AN698">
        <v>56.56</v>
      </c>
      <c r="AO698">
        <v>72.796999999999997</v>
      </c>
      <c r="AP698">
        <v>-8.0969999999999995</v>
      </c>
      <c r="AQ698">
        <v>3.6110000000000002</v>
      </c>
      <c r="AR698">
        <v>24.225999999999999</v>
      </c>
      <c r="AS698">
        <v>8.9420000000000002</v>
      </c>
    </row>
    <row r="699" spans="1:45" x14ac:dyDescent="0.25">
      <c r="A699">
        <v>26</v>
      </c>
      <c r="B699">
        <v>12</v>
      </c>
      <c r="C699">
        <v>1</v>
      </c>
      <c r="D699">
        <v>2020</v>
      </c>
      <c r="E699">
        <v>13</v>
      </c>
      <c r="F699" t="str">
        <f>IFERROR(VLOOKUP(G699, Map!$A$1:$B$33, 2, FALSE),"WAS")</f>
        <v>MIA</v>
      </c>
      <c r="G699" t="s">
        <v>152</v>
      </c>
      <c r="H699" t="str">
        <f>IFERROR(VLOOKUP(I699, Map!$A$1:$B$33, 2, FALSE),"WAS")</f>
        <v>CIN</v>
      </c>
      <c r="I699" t="s">
        <v>161</v>
      </c>
      <c r="J699" t="s">
        <v>175</v>
      </c>
      <c r="K699" t="s">
        <v>176</v>
      </c>
      <c r="L699">
        <v>1</v>
      </c>
      <c r="M699">
        <v>0</v>
      </c>
      <c r="N699">
        <v>35.75</v>
      </c>
      <c r="O699">
        <v>-8.4583333333333304</v>
      </c>
      <c r="P699">
        <v>-10</v>
      </c>
      <c r="Q699">
        <v>0</v>
      </c>
      <c r="R699">
        <v>22.4</v>
      </c>
      <c r="S699">
        <v>27.7</v>
      </c>
      <c r="T699">
        <v>18.3</v>
      </c>
      <c r="U699">
        <v>25.3</v>
      </c>
      <c r="V699">
        <v>0.7</v>
      </c>
      <c r="W699">
        <v>0</v>
      </c>
      <c r="X699">
        <v>4</v>
      </c>
      <c r="Y699">
        <v>0.7</v>
      </c>
      <c r="Z699">
        <v>10.7</v>
      </c>
      <c r="AA699">
        <v>20.5</v>
      </c>
      <c r="AB699">
        <v>268</v>
      </c>
      <c r="AC699">
        <v>87</v>
      </c>
      <c r="AD699">
        <v>13.5</v>
      </c>
      <c r="AE699">
        <v>6.8</v>
      </c>
      <c r="AF699">
        <v>66.650999999999996</v>
      </c>
      <c r="AG699">
        <v>31.035</v>
      </c>
      <c r="AH699">
        <v>33.082999999999998</v>
      </c>
      <c r="AI699">
        <v>73.91</v>
      </c>
      <c r="AJ699">
        <v>72.019000000000005</v>
      </c>
      <c r="AK699">
        <v>79.641999999999996</v>
      </c>
      <c r="AL699">
        <v>5.76</v>
      </c>
      <c r="AM699">
        <v>33.082999999999998</v>
      </c>
      <c r="AN699">
        <v>31.035</v>
      </c>
      <c r="AO699">
        <v>66.650999999999996</v>
      </c>
      <c r="AP699">
        <v>-5.76</v>
      </c>
      <c r="AQ699">
        <v>27.981000000000002</v>
      </c>
      <c r="AR699">
        <v>26.09</v>
      </c>
      <c r="AS699">
        <v>20.358000000000001</v>
      </c>
    </row>
    <row r="700" spans="1:45" x14ac:dyDescent="0.25">
      <c r="A700">
        <v>45</v>
      </c>
      <c r="B700">
        <v>-45</v>
      </c>
      <c r="C700">
        <v>0</v>
      </c>
      <c r="D700">
        <v>2020</v>
      </c>
      <c r="E700">
        <v>13</v>
      </c>
      <c r="F700" t="str">
        <f>IFERROR(VLOOKUP(G700, Map!$A$1:$B$33, 2, FALSE),"WAS")</f>
        <v>LAC</v>
      </c>
      <c r="G700" t="s">
        <v>160</v>
      </c>
      <c r="H700" t="str">
        <f>IFERROR(VLOOKUP(I700, Map!$A$1:$B$33, 2, FALSE),"WAS")</f>
        <v>NE</v>
      </c>
      <c r="I700" t="s">
        <v>151</v>
      </c>
      <c r="J700" t="s">
        <v>210</v>
      </c>
      <c r="K700" t="s">
        <v>187</v>
      </c>
      <c r="L700">
        <v>0</v>
      </c>
      <c r="M700">
        <v>0</v>
      </c>
      <c r="N700">
        <v>42.9166666666667</v>
      </c>
      <c r="O700">
        <v>-1.5833333333333299</v>
      </c>
      <c r="P700">
        <v>-1.5</v>
      </c>
      <c r="Q700">
        <v>46.5</v>
      </c>
      <c r="R700">
        <v>13.2</v>
      </c>
      <c r="S700">
        <v>22.9</v>
      </c>
      <c r="T700">
        <v>6</v>
      </c>
      <c r="U700">
        <v>9.5</v>
      </c>
      <c r="V700">
        <v>0</v>
      </c>
      <c r="W700">
        <v>0</v>
      </c>
      <c r="X700">
        <v>0</v>
      </c>
      <c r="Y700">
        <v>0</v>
      </c>
      <c r="Z700">
        <v>16.899999999999999</v>
      </c>
      <c r="AA700">
        <v>28.4</v>
      </c>
      <c r="AB700">
        <v>288</v>
      </c>
      <c r="AC700">
        <v>35</v>
      </c>
      <c r="AD700">
        <v>14.2</v>
      </c>
      <c r="AE700">
        <v>8.4</v>
      </c>
      <c r="AF700">
        <v>48.197000000000003</v>
      </c>
      <c r="AG700">
        <v>34.488999999999997</v>
      </c>
      <c r="AH700">
        <v>51.415999999999997</v>
      </c>
      <c r="AI700">
        <v>27.292999999999999</v>
      </c>
      <c r="AJ700">
        <v>9.4730000000000008</v>
      </c>
      <c r="AK700">
        <v>0.61</v>
      </c>
      <c r="AL700">
        <v>-0.53600000000000003</v>
      </c>
      <c r="AM700">
        <v>51.415999999999997</v>
      </c>
      <c r="AN700">
        <v>34.488999999999997</v>
      </c>
      <c r="AO700">
        <v>48.197000000000003</v>
      </c>
      <c r="AP700">
        <v>0.53600000000000003</v>
      </c>
      <c r="AQ700">
        <v>90.527000000000001</v>
      </c>
      <c r="AR700">
        <v>72.706999999999994</v>
      </c>
      <c r="AS700">
        <v>99.39</v>
      </c>
    </row>
    <row r="701" spans="1:45" x14ac:dyDescent="0.25">
      <c r="A701">
        <v>59</v>
      </c>
      <c r="B701">
        <v>-3</v>
      </c>
      <c r="C701">
        <v>0</v>
      </c>
      <c r="D701">
        <v>2020</v>
      </c>
      <c r="E701">
        <v>13</v>
      </c>
      <c r="F701" t="str">
        <f>IFERROR(VLOOKUP(G701, Map!$A$1:$B$33, 2, FALSE),"WAS")</f>
        <v>NYJ</v>
      </c>
      <c r="G701" t="s">
        <v>166</v>
      </c>
      <c r="H701" t="str">
        <f>IFERROR(VLOOKUP(I701, Map!$A$1:$B$33, 2, FALSE),"WAS")</f>
        <v>LV</v>
      </c>
      <c r="I701" t="s">
        <v>157</v>
      </c>
      <c r="J701" t="s">
        <v>172</v>
      </c>
      <c r="K701" t="s">
        <v>179</v>
      </c>
      <c r="L701">
        <v>0</v>
      </c>
      <c r="M701">
        <v>0</v>
      </c>
      <c r="N701">
        <v>43.4</v>
      </c>
      <c r="O701">
        <v>6.8</v>
      </c>
      <c r="P701">
        <v>7</v>
      </c>
      <c r="Q701">
        <v>0</v>
      </c>
      <c r="R701">
        <v>2.7</v>
      </c>
      <c r="S701">
        <v>4.9000000000000004</v>
      </c>
      <c r="T701">
        <v>0.9</v>
      </c>
      <c r="U701">
        <v>-3.4</v>
      </c>
      <c r="V701">
        <v>0</v>
      </c>
      <c r="W701">
        <v>0</v>
      </c>
      <c r="X701">
        <v>0</v>
      </c>
      <c r="Y701">
        <v>0</v>
      </c>
      <c r="Z701">
        <v>26.6</v>
      </c>
      <c r="AA701">
        <v>54.4</v>
      </c>
      <c r="AB701">
        <v>304</v>
      </c>
      <c r="AC701">
        <v>56</v>
      </c>
      <c r="AD701">
        <v>44.8</v>
      </c>
      <c r="AE701">
        <v>22.2</v>
      </c>
      <c r="AF701">
        <v>29.527000000000001</v>
      </c>
      <c r="AG701">
        <v>14.541</v>
      </c>
      <c r="AH701">
        <v>70.236000000000004</v>
      </c>
      <c r="AI701">
        <v>39.673000000000002</v>
      </c>
      <c r="AJ701">
        <v>74.662999999999997</v>
      </c>
      <c r="AK701">
        <v>51.884</v>
      </c>
      <c r="AL701">
        <v>-7.0970000000000004</v>
      </c>
      <c r="AM701">
        <v>70.236000000000004</v>
      </c>
      <c r="AN701">
        <v>14.541</v>
      </c>
      <c r="AO701">
        <v>29.527000000000001</v>
      </c>
      <c r="AP701">
        <v>7.0970000000000004</v>
      </c>
      <c r="AQ701">
        <v>25.337</v>
      </c>
      <c r="AR701">
        <v>60.326999999999998</v>
      </c>
      <c r="AS701">
        <v>48.116</v>
      </c>
    </row>
    <row r="702" spans="1:45" x14ac:dyDescent="0.25">
      <c r="A702">
        <v>66</v>
      </c>
      <c r="B702">
        <v>-10</v>
      </c>
      <c r="C702">
        <v>0</v>
      </c>
      <c r="D702">
        <v>2020</v>
      </c>
      <c r="E702">
        <v>13</v>
      </c>
      <c r="F702" t="str">
        <f>IFERROR(VLOOKUP(G702, Map!$A$1:$B$33, 2, FALSE),"WAS")</f>
        <v>ARI</v>
      </c>
      <c r="G702" t="s">
        <v>156</v>
      </c>
      <c r="H702" t="str">
        <f>IFERROR(VLOOKUP(I702, Map!$A$1:$B$33, 2, FALSE),"WAS")</f>
        <v>LA</v>
      </c>
      <c r="I702" t="s">
        <v>155</v>
      </c>
      <c r="J702" t="s">
        <v>190</v>
      </c>
      <c r="K702" t="s">
        <v>178</v>
      </c>
      <c r="L702">
        <v>0</v>
      </c>
      <c r="M702">
        <v>0</v>
      </c>
      <c r="N702">
        <v>41.076923076923102</v>
      </c>
      <c r="O702">
        <v>2.1538461538461502</v>
      </c>
      <c r="P702">
        <v>1.5</v>
      </c>
      <c r="Q702">
        <v>0</v>
      </c>
      <c r="R702">
        <v>17.3</v>
      </c>
      <c r="S702">
        <v>23.8</v>
      </c>
      <c r="T702">
        <v>12.4</v>
      </c>
      <c r="U702">
        <v>13.2</v>
      </c>
      <c r="V702">
        <v>0</v>
      </c>
      <c r="W702">
        <v>0</v>
      </c>
      <c r="X702">
        <v>0</v>
      </c>
      <c r="Y702">
        <v>0</v>
      </c>
      <c r="Z702">
        <v>6.9</v>
      </c>
      <c r="AA702">
        <v>16.600000000000001</v>
      </c>
      <c r="AB702">
        <v>344</v>
      </c>
      <c r="AC702">
        <v>10</v>
      </c>
      <c r="AD702">
        <v>9.9</v>
      </c>
      <c r="AE702">
        <v>4.0999999999999996</v>
      </c>
      <c r="AF702">
        <v>45.917000000000002</v>
      </c>
      <c r="AG702">
        <v>73.150999999999996</v>
      </c>
      <c r="AH702">
        <v>53.713999999999999</v>
      </c>
      <c r="AI702">
        <v>13.725</v>
      </c>
      <c r="AJ702">
        <v>45.247999999999998</v>
      </c>
      <c r="AK702">
        <v>20.442</v>
      </c>
      <c r="AL702">
        <v>-1.2989999999999999</v>
      </c>
      <c r="AM702">
        <v>53.713999999999999</v>
      </c>
      <c r="AN702">
        <v>73.150999999999996</v>
      </c>
      <c r="AO702">
        <v>45.917000000000002</v>
      </c>
      <c r="AP702">
        <v>1.2989999999999999</v>
      </c>
      <c r="AQ702">
        <v>54.752000000000002</v>
      </c>
      <c r="AR702">
        <v>86.275000000000006</v>
      </c>
      <c r="AS702">
        <v>79.558000000000007</v>
      </c>
    </row>
    <row r="703" spans="1:45" x14ac:dyDescent="0.25">
      <c r="A703">
        <v>46</v>
      </c>
      <c r="B703">
        <v>-6</v>
      </c>
      <c r="C703">
        <v>0</v>
      </c>
      <c r="D703">
        <v>2020</v>
      </c>
      <c r="E703">
        <v>13</v>
      </c>
      <c r="F703" t="str">
        <f>IFERROR(VLOOKUP(G703, Map!$A$1:$B$33, 2, FALSE),"WAS")</f>
        <v>HOU</v>
      </c>
      <c r="G703" t="s">
        <v>137</v>
      </c>
      <c r="H703" t="str">
        <f>IFERROR(VLOOKUP(I703, Map!$A$1:$B$33, 2, FALSE),"WAS")</f>
        <v>IND</v>
      </c>
      <c r="I703" t="s">
        <v>138</v>
      </c>
      <c r="J703" t="s">
        <v>209</v>
      </c>
      <c r="K703" t="s">
        <v>177</v>
      </c>
      <c r="L703">
        <v>0</v>
      </c>
      <c r="M703">
        <v>0</v>
      </c>
      <c r="N703">
        <v>41.227272727272698</v>
      </c>
      <c r="O703">
        <v>2.5</v>
      </c>
      <c r="P703">
        <v>2.5</v>
      </c>
      <c r="Q703">
        <v>0</v>
      </c>
      <c r="R703">
        <v>11.1</v>
      </c>
      <c r="S703">
        <v>16.399999999999999</v>
      </c>
      <c r="T703">
        <v>6.3</v>
      </c>
      <c r="U703">
        <v>8.9</v>
      </c>
      <c r="V703">
        <v>0</v>
      </c>
      <c r="W703">
        <v>0</v>
      </c>
      <c r="X703">
        <v>0</v>
      </c>
      <c r="Y703">
        <v>0</v>
      </c>
      <c r="Z703">
        <v>19.5</v>
      </c>
      <c r="AA703">
        <v>34.200000000000003</v>
      </c>
      <c r="AB703">
        <v>285</v>
      </c>
      <c r="AC703">
        <v>73</v>
      </c>
      <c r="AD703">
        <v>17.100000000000001</v>
      </c>
      <c r="AE703">
        <v>9.3000000000000007</v>
      </c>
      <c r="AF703">
        <v>55.235999999999997</v>
      </c>
      <c r="AG703">
        <v>46.119</v>
      </c>
      <c r="AH703">
        <v>44.408000000000001</v>
      </c>
      <c r="AI703">
        <v>34.552</v>
      </c>
      <c r="AJ703">
        <v>43.686999999999998</v>
      </c>
      <c r="AK703">
        <v>32.988999999999997</v>
      </c>
      <c r="AL703">
        <v>1.8069999999999999</v>
      </c>
      <c r="AM703">
        <v>44.408000000000001</v>
      </c>
      <c r="AN703">
        <v>46.119</v>
      </c>
      <c r="AO703">
        <v>55.235999999999997</v>
      </c>
      <c r="AP703">
        <v>-1.8069999999999999</v>
      </c>
      <c r="AQ703">
        <v>56.313000000000002</v>
      </c>
      <c r="AR703">
        <v>65.447999999999993</v>
      </c>
      <c r="AS703">
        <v>67.010999999999996</v>
      </c>
    </row>
    <row r="704" spans="1:45" x14ac:dyDescent="0.25">
      <c r="A704">
        <v>38</v>
      </c>
      <c r="B704">
        <v>6</v>
      </c>
      <c r="C704">
        <v>1</v>
      </c>
      <c r="D704">
        <v>2020</v>
      </c>
      <c r="E704">
        <v>13</v>
      </c>
      <c r="F704" t="str">
        <f>IFERROR(VLOOKUP(G704, Map!$A$1:$B$33, 2, FALSE),"WAS")</f>
        <v>KC</v>
      </c>
      <c r="G704" t="s">
        <v>158</v>
      </c>
      <c r="H704" t="str">
        <f>IFERROR(VLOOKUP(I704, Map!$A$1:$B$33, 2, FALSE),"WAS")</f>
        <v>DEN</v>
      </c>
      <c r="I704" t="s">
        <v>159</v>
      </c>
      <c r="J704" t="s">
        <v>202</v>
      </c>
      <c r="K704" t="s">
        <v>183</v>
      </c>
      <c r="L704">
        <v>1</v>
      </c>
      <c r="M704">
        <v>0</v>
      </c>
      <c r="N704">
        <v>46.9583333333333</v>
      </c>
      <c r="O704">
        <v>-10.8333333333333</v>
      </c>
      <c r="P704">
        <v>-12.5</v>
      </c>
      <c r="Q704">
        <v>50.5</v>
      </c>
      <c r="R704">
        <v>2.2000000000000002</v>
      </c>
      <c r="S704">
        <v>9.5</v>
      </c>
      <c r="T704">
        <v>-2.8</v>
      </c>
      <c r="U704">
        <v>-1.3</v>
      </c>
      <c r="V704">
        <v>0</v>
      </c>
      <c r="W704">
        <v>0</v>
      </c>
      <c r="X704">
        <v>0</v>
      </c>
      <c r="Y704">
        <v>0</v>
      </c>
      <c r="Z704">
        <v>11</v>
      </c>
      <c r="AA704">
        <v>23</v>
      </c>
      <c r="AB704">
        <v>292</v>
      </c>
      <c r="AC704">
        <v>83</v>
      </c>
      <c r="AD704">
        <v>17</v>
      </c>
      <c r="AE704">
        <v>8.5</v>
      </c>
      <c r="AF704">
        <v>88.603999999999999</v>
      </c>
      <c r="AG704">
        <v>53.72</v>
      </c>
      <c r="AH704">
        <v>11.305</v>
      </c>
      <c r="AI704">
        <v>32.121000000000002</v>
      </c>
      <c r="AJ704">
        <v>78.593000000000004</v>
      </c>
      <c r="AK704">
        <v>62.338000000000001</v>
      </c>
      <c r="AL704">
        <v>16.036999999999999</v>
      </c>
      <c r="AM704">
        <v>11.305</v>
      </c>
      <c r="AN704">
        <v>53.72</v>
      </c>
      <c r="AO704">
        <v>88.603999999999999</v>
      </c>
      <c r="AP704">
        <v>-16.036999999999999</v>
      </c>
      <c r="AQ704">
        <v>21.407</v>
      </c>
      <c r="AR704">
        <v>67.879000000000005</v>
      </c>
      <c r="AS704">
        <v>37.661999999999999</v>
      </c>
    </row>
    <row r="705" spans="1:45" x14ac:dyDescent="0.25">
      <c r="A705">
        <v>64</v>
      </c>
      <c r="B705">
        <v>-4</v>
      </c>
      <c r="C705">
        <v>0</v>
      </c>
      <c r="D705">
        <v>2020</v>
      </c>
      <c r="E705">
        <v>13</v>
      </c>
      <c r="F705" t="str">
        <f>IFERROR(VLOOKUP(G705, Map!$A$1:$B$33, 2, FALSE),"WAS")</f>
        <v>CHI</v>
      </c>
      <c r="G705" t="s">
        <v>163</v>
      </c>
      <c r="H705" t="str">
        <f>IFERROR(VLOOKUP(I705, Map!$A$1:$B$33, 2, FALSE),"WAS")</f>
        <v>DET</v>
      </c>
      <c r="I705" t="s">
        <v>164</v>
      </c>
      <c r="J705" t="s">
        <v>216</v>
      </c>
      <c r="K705" t="s">
        <v>173</v>
      </c>
      <c r="L705">
        <v>0</v>
      </c>
      <c r="M705">
        <v>0</v>
      </c>
      <c r="N705">
        <v>40.090909090909101</v>
      </c>
      <c r="O705">
        <v>-2.4545454545454501</v>
      </c>
      <c r="P705">
        <v>-3</v>
      </c>
      <c r="Q705">
        <v>44</v>
      </c>
      <c r="R705">
        <v>1.4</v>
      </c>
      <c r="S705">
        <v>2.1</v>
      </c>
      <c r="T705">
        <v>0.8</v>
      </c>
      <c r="U705">
        <v>-1.9</v>
      </c>
      <c r="V705">
        <v>0.1</v>
      </c>
      <c r="W705">
        <v>0</v>
      </c>
      <c r="X705">
        <v>1</v>
      </c>
      <c r="Y705">
        <v>0.1</v>
      </c>
      <c r="Z705">
        <v>12.4</v>
      </c>
      <c r="AA705">
        <v>19.8</v>
      </c>
      <c r="AB705">
        <v>54</v>
      </c>
      <c r="AC705">
        <v>83</v>
      </c>
      <c r="AD705">
        <v>12</v>
      </c>
      <c r="AE705">
        <v>7</v>
      </c>
      <c r="AF705">
        <v>61.110999999999997</v>
      </c>
      <c r="AG705">
        <v>29.087</v>
      </c>
      <c r="AH705">
        <v>38.579000000000001</v>
      </c>
      <c r="AI705">
        <v>15.775</v>
      </c>
      <c r="AJ705">
        <v>81.838999999999999</v>
      </c>
      <c r="AK705">
        <v>55.136000000000003</v>
      </c>
      <c r="AL705">
        <v>3.8</v>
      </c>
      <c r="AM705">
        <v>38.579000000000001</v>
      </c>
      <c r="AN705">
        <v>29.087</v>
      </c>
      <c r="AO705">
        <v>61.110999999999997</v>
      </c>
      <c r="AP705">
        <v>-3.8</v>
      </c>
      <c r="AQ705">
        <v>18.161000000000001</v>
      </c>
      <c r="AR705">
        <v>84.224999999999994</v>
      </c>
      <c r="AS705">
        <v>44.863999999999997</v>
      </c>
    </row>
    <row r="706" spans="1:45" x14ac:dyDescent="0.25">
      <c r="A706">
        <v>33</v>
      </c>
      <c r="B706">
        <v>-19</v>
      </c>
      <c r="C706">
        <v>0</v>
      </c>
      <c r="D706">
        <v>2020</v>
      </c>
      <c r="E706">
        <v>14</v>
      </c>
      <c r="F706" t="str">
        <f>IFERROR(VLOOKUP(G706, Map!$A$1:$B$33, 2, FALSE),"WAS")</f>
        <v>NYG</v>
      </c>
      <c r="G706" t="s">
        <v>149</v>
      </c>
      <c r="H706" t="str">
        <f>IFERROR(VLOOKUP(I706, Map!$A$1:$B$33, 2, FALSE),"WAS")</f>
        <v>ARI</v>
      </c>
      <c r="I706" t="s">
        <v>156</v>
      </c>
      <c r="J706" t="s">
        <v>219</v>
      </c>
      <c r="K706" t="s">
        <v>190</v>
      </c>
      <c r="L706">
        <v>0</v>
      </c>
      <c r="M706">
        <v>0</v>
      </c>
      <c r="N706">
        <v>42.818181818181799</v>
      </c>
      <c r="O706">
        <v>2.5454545454545499</v>
      </c>
      <c r="P706">
        <v>1.5</v>
      </c>
      <c r="Q706">
        <v>45.5</v>
      </c>
      <c r="R706">
        <v>10.3</v>
      </c>
      <c r="S706">
        <v>14.5</v>
      </c>
      <c r="T706">
        <v>8.1</v>
      </c>
      <c r="U706">
        <v>7.9</v>
      </c>
      <c r="V706">
        <v>1.7</v>
      </c>
      <c r="W706">
        <v>0</v>
      </c>
      <c r="X706">
        <v>2</v>
      </c>
      <c r="Y706">
        <v>1.7</v>
      </c>
      <c r="Z706">
        <v>18.399999999999999</v>
      </c>
      <c r="AA706">
        <v>37.1</v>
      </c>
      <c r="AB706">
        <v>233</v>
      </c>
      <c r="AC706">
        <v>85</v>
      </c>
      <c r="AD706">
        <v>24.4</v>
      </c>
      <c r="AE706">
        <v>12.3</v>
      </c>
      <c r="AF706">
        <v>41.415999999999997</v>
      </c>
      <c r="AG706">
        <v>39.159999999999997</v>
      </c>
      <c r="AH706">
        <v>58.250999999999998</v>
      </c>
      <c r="AI706">
        <v>59.576999999999998</v>
      </c>
      <c r="AJ706">
        <v>1.115</v>
      </c>
      <c r="AK706">
        <v>7.6520000000000001</v>
      </c>
      <c r="AL706">
        <v>-2.8159999999999998</v>
      </c>
      <c r="AM706">
        <v>58.250999999999998</v>
      </c>
      <c r="AN706">
        <v>39.159999999999997</v>
      </c>
      <c r="AO706">
        <v>41.415999999999997</v>
      </c>
      <c r="AP706">
        <v>2.8159999999999998</v>
      </c>
      <c r="AQ706">
        <v>98.885000000000005</v>
      </c>
      <c r="AR706">
        <v>40.423000000000002</v>
      </c>
      <c r="AS706">
        <v>92.347999999999999</v>
      </c>
    </row>
    <row r="707" spans="1:45" x14ac:dyDescent="0.25">
      <c r="A707">
        <v>37</v>
      </c>
      <c r="B707">
        <v>-23</v>
      </c>
      <c r="C707">
        <v>0</v>
      </c>
      <c r="D707">
        <v>2020</v>
      </c>
      <c r="E707">
        <v>14</v>
      </c>
      <c r="F707" t="str">
        <f>IFERROR(VLOOKUP(G707, Map!$A$1:$B$33, 2, FALSE),"WAS")</f>
        <v>CIN</v>
      </c>
      <c r="G707" t="s">
        <v>161</v>
      </c>
      <c r="H707" t="str">
        <f>IFERROR(VLOOKUP(I707, Map!$A$1:$B$33, 2, FALSE),"WAS")</f>
        <v>DAL</v>
      </c>
      <c r="I707" t="s">
        <v>150</v>
      </c>
      <c r="J707" t="s">
        <v>176</v>
      </c>
      <c r="K707" t="s">
        <v>184</v>
      </c>
      <c r="L707">
        <v>0</v>
      </c>
      <c r="M707">
        <v>0</v>
      </c>
      <c r="N707">
        <v>40.2083333333333</v>
      </c>
      <c r="O707">
        <v>2.875</v>
      </c>
      <c r="P707">
        <v>3</v>
      </c>
      <c r="Q707">
        <v>42.5</v>
      </c>
      <c r="R707">
        <v>6.2</v>
      </c>
      <c r="S707">
        <v>8.4</v>
      </c>
      <c r="T707">
        <v>4.9000000000000004</v>
      </c>
      <c r="U707">
        <v>3</v>
      </c>
      <c r="V707">
        <v>0</v>
      </c>
      <c r="W707">
        <v>0</v>
      </c>
      <c r="X707">
        <v>0</v>
      </c>
      <c r="Y707">
        <v>0</v>
      </c>
      <c r="Z707">
        <v>18.8</v>
      </c>
      <c r="AA707">
        <v>39.200000000000003</v>
      </c>
      <c r="AB707">
        <v>276</v>
      </c>
      <c r="AC707">
        <v>71</v>
      </c>
      <c r="AD707">
        <v>20.9</v>
      </c>
      <c r="AE707">
        <v>8.8000000000000007</v>
      </c>
      <c r="AF707">
        <v>63.432000000000002</v>
      </c>
      <c r="AG707">
        <v>18.741</v>
      </c>
      <c r="AH707">
        <v>36.277000000000001</v>
      </c>
      <c r="AI707">
        <v>29.338999999999999</v>
      </c>
      <c r="AJ707">
        <v>4.0469999999999997</v>
      </c>
      <c r="AK707">
        <v>4.4550000000000001</v>
      </c>
      <c r="AL707">
        <v>4.5999999999999996</v>
      </c>
      <c r="AM707">
        <v>36.277000000000001</v>
      </c>
      <c r="AN707">
        <v>18.741</v>
      </c>
      <c r="AO707">
        <v>63.432000000000002</v>
      </c>
      <c r="AP707">
        <v>-4.5999999999999996</v>
      </c>
      <c r="AQ707">
        <v>95.953000000000003</v>
      </c>
      <c r="AR707">
        <v>70.661000000000001</v>
      </c>
      <c r="AS707">
        <v>95.545000000000002</v>
      </c>
    </row>
    <row r="708" spans="1:45" x14ac:dyDescent="0.25">
      <c r="A708">
        <v>43</v>
      </c>
      <c r="B708">
        <v>29</v>
      </c>
      <c r="C708">
        <v>1</v>
      </c>
      <c r="D708">
        <v>2020</v>
      </c>
      <c r="E708">
        <v>14</v>
      </c>
      <c r="F708" t="str">
        <f>IFERROR(VLOOKUP(G708, Map!$A$1:$B$33, 2, FALSE),"WAS")</f>
        <v>CHI</v>
      </c>
      <c r="G708" t="s">
        <v>163</v>
      </c>
      <c r="H708" t="str">
        <f>IFERROR(VLOOKUP(I708, Map!$A$1:$B$33, 2, FALSE),"WAS")</f>
        <v>HOU</v>
      </c>
      <c r="I708" t="s">
        <v>137</v>
      </c>
      <c r="J708" t="s">
        <v>216</v>
      </c>
      <c r="K708" t="s">
        <v>209</v>
      </c>
      <c r="L708">
        <v>1</v>
      </c>
      <c r="M708">
        <v>0</v>
      </c>
      <c r="N708">
        <v>38.5</v>
      </c>
      <c r="O708">
        <v>1.1666666666666701</v>
      </c>
      <c r="P708">
        <v>1</v>
      </c>
      <c r="Q708">
        <v>0</v>
      </c>
      <c r="R708">
        <v>-0.3</v>
      </c>
      <c r="S708">
        <v>2.2000000000000002</v>
      </c>
      <c r="T708">
        <v>-2.7</v>
      </c>
      <c r="U708">
        <v>-4.9000000000000004</v>
      </c>
      <c r="V708">
        <v>0.5</v>
      </c>
      <c r="W708">
        <v>0.28000000000000003</v>
      </c>
      <c r="X708">
        <v>5</v>
      </c>
      <c r="Y708">
        <v>0.1</v>
      </c>
      <c r="Z708">
        <v>24.4</v>
      </c>
      <c r="AA708">
        <v>45</v>
      </c>
      <c r="AB708">
        <v>308</v>
      </c>
      <c r="AC708">
        <v>80</v>
      </c>
      <c r="AD708">
        <v>23.6</v>
      </c>
      <c r="AE708">
        <v>13.9</v>
      </c>
      <c r="AF708">
        <v>47.332000000000001</v>
      </c>
      <c r="AG708">
        <v>38.393999999999998</v>
      </c>
      <c r="AH708">
        <v>52.287999999999997</v>
      </c>
      <c r="AI708">
        <v>87.058999999999997</v>
      </c>
      <c r="AJ708">
        <v>96.100999999999999</v>
      </c>
      <c r="AK708">
        <v>97.504000000000005</v>
      </c>
      <c r="AL708">
        <v>-0.82299999999999995</v>
      </c>
      <c r="AM708">
        <v>52.287999999999997</v>
      </c>
      <c r="AN708">
        <v>38.393999999999998</v>
      </c>
      <c r="AO708">
        <v>47.332000000000001</v>
      </c>
      <c r="AP708">
        <v>0.82299999999999995</v>
      </c>
      <c r="AQ708">
        <v>3.899</v>
      </c>
      <c r="AR708">
        <v>12.941000000000001</v>
      </c>
      <c r="AS708">
        <v>2.496</v>
      </c>
    </row>
    <row r="709" spans="1:45" x14ac:dyDescent="0.25">
      <c r="A709">
        <v>37</v>
      </c>
      <c r="B709">
        <v>3</v>
      </c>
      <c r="C709">
        <v>1</v>
      </c>
      <c r="D709">
        <v>2020</v>
      </c>
      <c r="E709">
        <v>14</v>
      </c>
      <c r="F709" t="str">
        <f>IFERROR(VLOOKUP(G709, Map!$A$1:$B$33, 2, FALSE),"WAS")</f>
        <v>LAC</v>
      </c>
      <c r="G709" t="s">
        <v>160</v>
      </c>
      <c r="H709" t="str">
        <f>IFERROR(VLOOKUP(I709, Map!$A$1:$B$33, 2, FALSE),"WAS")</f>
        <v>ATL</v>
      </c>
      <c r="I709" t="s">
        <v>167</v>
      </c>
      <c r="J709" t="s">
        <v>210</v>
      </c>
      <c r="K709" t="s">
        <v>188</v>
      </c>
      <c r="L709">
        <v>1</v>
      </c>
      <c r="M709">
        <v>0</v>
      </c>
      <c r="N709">
        <v>40.8333333333333</v>
      </c>
      <c r="O709">
        <v>-1.0833333333333299</v>
      </c>
      <c r="P709">
        <v>-1</v>
      </c>
      <c r="Q709">
        <v>0</v>
      </c>
      <c r="R709">
        <v>13.5</v>
      </c>
      <c r="S709">
        <v>20.7</v>
      </c>
      <c r="T709">
        <v>6.6</v>
      </c>
      <c r="U709">
        <v>10.4</v>
      </c>
      <c r="V709">
        <v>0</v>
      </c>
      <c r="W709">
        <v>0</v>
      </c>
      <c r="X709">
        <v>0</v>
      </c>
      <c r="Y709">
        <v>0</v>
      </c>
      <c r="Z709">
        <v>33.4</v>
      </c>
      <c r="AA709">
        <v>54</v>
      </c>
      <c r="AB709">
        <v>359</v>
      </c>
      <c r="AC709">
        <v>54</v>
      </c>
      <c r="AD709">
        <v>18.899999999999999</v>
      </c>
      <c r="AE709">
        <v>10.199999999999999</v>
      </c>
      <c r="AF709">
        <v>42.463000000000001</v>
      </c>
      <c r="AG709">
        <v>38.100999999999999</v>
      </c>
      <c r="AH709">
        <v>57.195999999999998</v>
      </c>
      <c r="AI709">
        <v>39.784999999999997</v>
      </c>
      <c r="AJ709">
        <v>63.597999999999999</v>
      </c>
      <c r="AK709">
        <v>54.917000000000002</v>
      </c>
      <c r="AL709">
        <v>-2.46</v>
      </c>
      <c r="AM709">
        <v>57.195999999999998</v>
      </c>
      <c r="AN709">
        <v>38.100999999999999</v>
      </c>
      <c r="AO709">
        <v>42.463000000000001</v>
      </c>
      <c r="AP709">
        <v>2.46</v>
      </c>
      <c r="AQ709">
        <v>36.402000000000001</v>
      </c>
      <c r="AR709">
        <v>60.215000000000003</v>
      </c>
      <c r="AS709">
        <v>45.082999999999998</v>
      </c>
    </row>
    <row r="710" spans="1:45" x14ac:dyDescent="0.25">
      <c r="A710">
        <v>71</v>
      </c>
      <c r="B710">
        <v>-17</v>
      </c>
      <c r="C710">
        <v>0</v>
      </c>
      <c r="D710">
        <v>2020</v>
      </c>
      <c r="E710">
        <v>14</v>
      </c>
      <c r="F710" t="str">
        <f>IFERROR(VLOOKUP(G710, Map!$A$1:$B$33, 2, FALSE),"WAS")</f>
        <v>LV</v>
      </c>
      <c r="G710" t="s">
        <v>157</v>
      </c>
      <c r="H710" t="str">
        <f>IFERROR(VLOOKUP(I710, Map!$A$1:$B$33, 2, FALSE),"WAS")</f>
        <v>IND</v>
      </c>
      <c r="I710" t="s">
        <v>138</v>
      </c>
      <c r="J710" t="s">
        <v>179</v>
      </c>
      <c r="K710" t="s">
        <v>177</v>
      </c>
      <c r="L710">
        <v>0</v>
      </c>
      <c r="M710">
        <v>0</v>
      </c>
      <c r="N710">
        <v>51.875</v>
      </c>
      <c r="O710">
        <v>2.5416666666666701</v>
      </c>
      <c r="P710">
        <v>2.5</v>
      </c>
      <c r="Q710">
        <v>51.5</v>
      </c>
      <c r="R710">
        <v>4.7</v>
      </c>
      <c r="S710">
        <v>12.9</v>
      </c>
      <c r="T710">
        <v>-1.4</v>
      </c>
      <c r="U710">
        <v>0.4</v>
      </c>
      <c r="V710">
        <v>0</v>
      </c>
      <c r="W710">
        <v>0</v>
      </c>
      <c r="X710">
        <v>0</v>
      </c>
      <c r="Y710">
        <v>0</v>
      </c>
      <c r="Z710">
        <v>14.8</v>
      </c>
      <c r="AA710">
        <v>35.299999999999997</v>
      </c>
      <c r="AB710">
        <v>337</v>
      </c>
      <c r="AC710">
        <v>32</v>
      </c>
      <c r="AD710">
        <v>13.7</v>
      </c>
      <c r="AE710">
        <v>6.7</v>
      </c>
      <c r="AF710">
        <v>52.609000000000002</v>
      </c>
      <c r="AG710">
        <v>51.061</v>
      </c>
      <c r="AH710">
        <v>47.012999999999998</v>
      </c>
      <c r="AI710">
        <v>3.347</v>
      </c>
      <c r="AJ710">
        <v>73.123999999999995</v>
      </c>
      <c r="AK710">
        <v>18.898</v>
      </c>
      <c r="AL710">
        <v>0.93</v>
      </c>
      <c r="AM710">
        <v>47.012999999999998</v>
      </c>
      <c r="AN710">
        <v>51.061</v>
      </c>
      <c r="AO710">
        <v>52.609000000000002</v>
      </c>
      <c r="AP710">
        <v>-0.93</v>
      </c>
      <c r="AQ710">
        <v>26.876000000000001</v>
      </c>
      <c r="AR710">
        <v>96.653000000000006</v>
      </c>
      <c r="AS710">
        <v>81.102000000000004</v>
      </c>
    </row>
    <row r="711" spans="1:45" x14ac:dyDescent="0.25">
      <c r="A711">
        <v>41</v>
      </c>
      <c r="B711">
        <v>11</v>
      </c>
      <c r="C711">
        <v>1</v>
      </c>
      <c r="D711">
        <v>2020</v>
      </c>
      <c r="E711">
        <v>14</v>
      </c>
      <c r="F711" t="str">
        <f>IFERROR(VLOOKUP(G711, Map!$A$1:$B$33, 2, FALSE),"WAS")</f>
        <v>BUF</v>
      </c>
      <c r="G711" t="s">
        <v>165</v>
      </c>
      <c r="H711" t="str">
        <f>IFERROR(VLOOKUP(I711, Map!$A$1:$B$33, 2, FALSE),"WAS")</f>
        <v>PIT</v>
      </c>
      <c r="I711" t="s">
        <v>145</v>
      </c>
      <c r="J711" t="s">
        <v>180</v>
      </c>
      <c r="K711" t="s">
        <v>170</v>
      </c>
      <c r="L711">
        <v>1</v>
      </c>
      <c r="M711">
        <v>0</v>
      </c>
      <c r="N711">
        <v>44.807692307692299</v>
      </c>
      <c r="O711">
        <v>-1.57692307692308</v>
      </c>
      <c r="P711">
        <v>-2</v>
      </c>
      <c r="Q711">
        <v>48.5</v>
      </c>
      <c r="R711">
        <v>11.9</v>
      </c>
      <c r="S711">
        <v>15.4</v>
      </c>
      <c r="T711">
        <v>7.1</v>
      </c>
      <c r="U711">
        <v>9.5</v>
      </c>
      <c r="V711">
        <v>14.9</v>
      </c>
      <c r="W711">
        <v>0</v>
      </c>
      <c r="X711">
        <v>11</v>
      </c>
      <c r="Y711">
        <v>14.9</v>
      </c>
      <c r="Z711">
        <v>30.5</v>
      </c>
      <c r="AA711">
        <v>70.900000000000006</v>
      </c>
      <c r="AB711">
        <v>245</v>
      </c>
      <c r="AC711">
        <v>86</v>
      </c>
      <c r="AD711">
        <v>35</v>
      </c>
      <c r="AE711">
        <v>16</v>
      </c>
      <c r="AF711">
        <v>42.753999999999998</v>
      </c>
      <c r="AG711">
        <v>78.016000000000005</v>
      </c>
      <c r="AH711">
        <v>56.902999999999999</v>
      </c>
      <c r="AI711">
        <v>92.527000000000001</v>
      </c>
      <c r="AJ711">
        <v>40.198</v>
      </c>
      <c r="AK711">
        <v>80.070999999999998</v>
      </c>
      <c r="AL711">
        <v>-2.3620000000000001</v>
      </c>
      <c r="AM711">
        <v>56.902999999999999</v>
      </c>
      <c r="AN711">
        <v>78.016000000000005</v>
      </c>
      <c r="AO711">
        <v>42.753999999999998</v>
      </c>
      <c r="AP711">
        <v>2.3620000000000001</v>
      </c>
      <c r="AQ711">
        <v>59.802</v>
      </c>
      <c r="AR711">
        <v>7.4729999999999999</v>
      </c>
      <c r="AS711">
        <v>19.928999999999998</v>
      </c>
    </row>
    <row r="712" spans="1:45" x14ac:dyDescent="0.25">
      <c r="A712">
        <v>43</v>
      </c>
      <c r="B712">
        <v>37</v>
      </c>
      <c r="C712">
        <v>1</v>
      </c>
      <c r="D712">
        <v>2020</v>
      </c>
      <c r="E712">
        <v>14</v>
      </c>
      <c r="F712" t="str">
        <f>IFERROR(VLOOKUP(G712, Map!$A$1:$B$33, 2, FALSE),"WAS")</f>
        <v>SEA</v>
      </c>
      <c r="G712" t="s">
        <v>144</v>
      </c>
      <c r="H712" t="str">
        <f>IFERROR(VLOOKUP(I712, Map!$A$1:$B$33, 2, FALSE),"WAS")</f>
        <v>NYJ</v>
      </c>
      <c r="I712" t="s">
        <v>166</v>
      </c>
      <c r="J712" t="s">
        <v>182</v>
      </c>
      <c r="K712" t="s">
        <v>172</v>
      </c>
      <c r="L712">
        <v>1</v>
      </c>
      <c r="M712">
        <v>0</v>
      </c>
      <c r="N712">
        <v>41.269230769230802</v>
      </c>
      <c r="O712">
        <v>-15.192307692307701</v>
      </c>
      <c r="P712">
        <v>-16</v>
      </c>
      <c r="Q712">
        <v>0</v>
      </c>
      <c r="R712">
        <v>4.4000000000000004</v>
      </c>
      <c r="S712">
        <v>6.4</v>
      </c>
      <c r="T712">
        <v>2.7</v>
      </c>
      <c r="U712">
        <v>0.7</v>
      </c>
      <c r="V712">
        <v>4.8</v>
      </c>
      <c r="W712">
        <v>0</v>
      </c>
      <c r="X712">
        <v>8</v>
      </c>
      <c r="Y712">
        <v>4.8</v>
      </c>
      <c r="Z712">
        <v>18.399999999999999</v>
      </c>
      <c r="AA712">
        <v>35.299999999999997</v>
      </c>
      <c r="AB712">
        <v>119</v>
      </c>
      <c r="AC712">
        <v>76</v>
      </c>
      <c r="AD712">
        <v>22.1</v>
      </c>
      <c r="AE712">
        <v>11</v>
      </c>
      <c r="AF712">
        <v>86.198999999999998</v>
      </c>
      <c r="AG712">
        <v>48.951000000000001</v>
      </c>
      <c r="AH712">
        <v>13.691000000000001</v>
      </c>
      <c r="AI712">
        <v>92.584000000000003</v>
      </c>
      <c r="AJ712">
        <v>94.358999999999995</v>
      </c>
      <c r="AK712">
        <v>98.620999999999995</v>
      </c>
      <c r="AL712">
        <v>14.464</v>
      </c>
      <c r="AM712">
        <v>13.691000000000001</v>
      </c>
      <c r="AN712">
        <v>48.951000000000001</v>
      </c>
      <c r="AO712">
        <v>86.198999999999998</v>
      </c>
      <c r="AP712">
        <v>-14.464</v>
      </c>
      <c r="AQ712">
        <v>5.641</v>
      </c>
      <c r="AR712">
        <v>7.4160000000000004</v>
      </c>
      <c r="AS712">
        <v>1.379</v>
      </c>
    </row>
    <row r="713" spans="1:45" x14ac:dyDescent="0.25">
      <c r="A713">
        <v>59</v>
      </c>
      <c r="B713">
        <v>-5</v>
      </c>
      <c r="C713">
        <v>0</v>
      </c>
      <c r="D713">
        <v>2020</v>
      </c>
      <c r="E713">
        <v>14</v>
      </c>
      <c r="F713" t="str">
        <f>IFERROR(VLOOKUP(G713, Map!$A$1:$B$33, 2, FALSE),"WAS")</f>
        <v>CAR</v>
      </c>
      <c r="G713" t="s">
        <v>142</v>
      </c>
      <c r="H713" t="str">
        <f>IFERROR(VLOOKUP(I713, Map!$A$1:$B$33, 2, FALSE),"WAS")</f>
        <v>DEN</v>
      </c>
      <c r="I713" t="s">
        <v>159</v>
      </c>
      <c r="J713" t="s">
        <v>185</v>
      </c>
      <c r="K713" t="s">
        <v>183</v>
      </c>
      <c r="L713">
        <v>0</v>
      </c>
      <c r="M713">
        <v>0</v>
      </c>
      <c r="N713">
        <v>41.75</v>
      </c>
      <c r="O713">
        <v>-3.6666666666666701</v>
      </c>
      <c r="P713">
        <v>-3.5</v>
      </c>
      <c r="Q713">
        <v>44.5</v>
      </c>
      <c r="R713">
        <v>14.1</v>
      </c>
      <c r="S713">
        <v>17.5</v>
      </c>
      <c r="T713">
        <v>12.1</v>
      </c>
      <c r="U713">
        <v>12.5</v>
      </c>
      <c r="V713">
        <v>2.1</v>
      </c>
      <c r="W713">
        <v>0</v>
      </c>
      <c r="X713">
        <v>4</v>
      </c>
      <c r="Y713">
        <v>2.1</v>
      </c>
      <c r="Z713">
        <v>14</v>
      </c>
      <c r="AA713">
        <v>28.1</v>
      </c>
      <c r="AB713">
        <v>218</v>
      </c>
      <c r="AC713">
        <v>77</v>
      </c>
      <c r="AD713">
        <v>21.3</v>
      </c>
      <c r="AE713">
        <v>11</v>
      </c>
      <c r="AF713">
        <v>65.701999999999998</v>
      </c>
      <c r="AG713">
        <v>36.679000000000002</v>
      </c>
      <c r="AH713">
        <v>34.024999999999999</v>
      </c>
      <c r="AI713">
        <v>22.126999999999999</v>
      </c>
      <c r="AJ713">
        <v>44.4</v>
      </c>
      <c r="AK713">
        <v>19.881</v>
      </c>
      <c r="AL713">
        <v>5.4059999999999997</v>
      </c>
      <c r="AM713">
        <v>34.024999999999999</v>
      </c>
      <c r="AN713">
        <v>36.679000000000002</v>
      </c>
      <c r="AO713">
        <v>65.701999999999998</v>
      </c>
      <c r="AP713">
        <v>-5.4059999999999997</v>
      </c>
      <c r="AQ713">
        <v>55.6</v>
      </c>
      <c r="AR713">
        <v>77.873000000000005</v>
      </c>
      <c r="AS713">
        <v>80.119</v>
      </c>
    </row>
    <row r="714" spans="1:45" x14ac:dyDescent="0.25">
      <c r="A714">
        <v>38</v>
      </c>
      <c r="B714">
        <v>-8</v>
      </c>
      <c r="C714">
        <v>0</v>
      </c>
      <c r="D714">
        <v>2020</v>
      </c>
      <c r="E714">
        <v>14</v>
      </c>
      <c r="F714" t="str">
        <f>IFERROR(VLOOKUP(G714, Map!$A$1:$B$33, 2, FALSE),"WAS")</f>
        <v>SF</v>
      </c>
      <c r="G714" t="s">
        <v>143</v>
      </c>
      <c r="H714" t="str">
        <f>IFERROR(VLOOKUP(I714, Map!$A$1:$B$33, 2, FALSE),"WAS")</f>
        <v>WAS</v>
      </c>
      <c r="I714" t="s">
        <v>169</v>
      </c>
      <c r="J714" t="s">
        <v>197</v>
      </c>
      <c r="K714" t="s">
        <v>205</v>
      </c>
      <c r="L714">
        <v>0</v>
      </c>
      <c r="M714">
        <v>0</v>
      </c>
      <c r="N714">
        <v>43.5</v>
      </c>
      <c r="O714">
        <v>-3</v>
      </c>
      <c r="P714">
        <v>-3</v>
      </c>
      <c r="Q714">
        <v>43.5</v>
      </c>
      <c r="R714">
        <v>13.3</v>
      </c>
      <c r="S714">
        <v>20.100000000000001</v>
      </c>
      <c r="T714">
        <v>7.7</v>
      </c>
      <c r="U714">
        <v>10.6</v>
      </c>
      <c r="V714">
        <v>0</v>
      </c>
      <c r="W714">
        <v>0</v>
      </c>
      <c r="X714">
        <v>0</v>
      </c>
      <c r="Y714">
        <v>0</v>
      </c>
      <c r="Z714">
        <v>24.3</v>
      </c>
      <c r="AA714">
        <v>50</v>
      </c>
      <c r="AB714">
        <v>340</v>
      </c>
      <c r="AC714">
        <v>47</v>
      </c>
      <c r="AD714">
        <v>16.7</v>
      </c>
      <c r="AE714">
        <v>5.9</v>
      </c>
      <c r="AF714">
        <v>66.748999999999995</v>
      </c>
      <c r="AG714">
        <v>48.642000000000003</v>
      </c>
      <c r="AH714">
        <v>32.985999999999997</v>
      </c>
      <c r="AI714">
        <v>90.207999999999998</v>
      </c>
      <c r="AJ714">
        <v>2.129</v>
      </c>
      <c r="AK714">
        <v>24.547000000000001</v>
      </c>
      <c r="AL714">
        <v>5.7839999999999998</v>
      </c>
      <c r="AM714">
        <v>32.985999999999997</v>
      </c>
      <c r="AN714">
        <v>48.642000000000003</v>
      </c>
      <c r="AO714">
        <v>66.748999999999995</v>
      </c>
      <c r="AP714">
        <v>-5.7839999999999998</v>
      </c>
      <c r="AQ714">
        <v>97.870999999999995</v>
      </c>
      <c r="AR714">
        <v>9.7919999999999998</v>
      </c>
      <c r="AS714">
        <v>75.453000000000003</v>
      </c>
    </row>
    <row r="715" spans="1:45" x14ac:dyDescent="0.25">
      <c r="A715">
        <v>60</v>
      </c>
      <c r="B715">
        <v>-6</v>
      </c>
      <c r="C715">
        <v>0</v>
      </c>
      <c r="D715">
        <v>2020</v>
      </c>
      <c r="E715">
        <v>14</v>
      </c>
      <c r="F715" t="str">
        <f>IFERROR(VLOOKUP(G715, Map!$A$1:$B$33, 2, FALSE),"WAS")</f>
        <v>MIA</v>
      </c>
      <c r="G715" t="s">
        <v>152</v>
      </c>
      <c r="H715" t="str">
        <f>IFERROR(VLOOKUP(I715, Map!$A$1:$B$33, 2, FALSE),"WAS")</f>
        <v>KC</v>
      </c>
      <c r="I715" t="s">
        <v>158</v>
      </c>
      <c r="J715" t="s">
        <v>175</v>
      </c>
      <c r="K715" t="s">
        <v>202</v>
      </c>
      <c r="L715">
        <v>0</v>
      </c>
      <c r="M715">
        <v>0</v>
      </c>
      <c r="N715">
        <v>47</v>
      </c>
      <c r="O715">
        <v>6.5833333333333304</v>
      </c>
      <c r="P715">
        <v>7</v>
      </c>
      <c r="Q715">
        <v>50.5</v>
      </c>
      <c r="R715">
        <v>21.8</v>
      </c>
      <c r="S715">
        <v>27</v>
      </c>
      <c r="T715">
        <v>15.5</v>
      </c>
      <c r="U715">
        <v>24.1</v>
      </c>
      <c r="V715">
        <v>0.1</v>
      </c>
      <c r="W715">
        <v>0</v>
      </c>
      <c r="X715">
        <v>1</v>
      </c>
      <c r="Y715">
        <v>0.1</v>
      </c>
      <c r="Z715">
        <v>9.6</v>
      </c>
      <c r="AA715">
        <v>18.7</v>
      </c>
      <c r="AB715">
        <v>130</v>
      </c>
      <c r="AC715">
        <v>83</v>
      </c>
      <c r="AD715">
        <v>11</v>
      </c>
      <c r="AE715">
        <v>5.5</v>
      </c>
      <c r="AF715">
        <v>23.494</v>
      </c>
      <c r="AG715">
        <v>74.828999999999994</v>
      </c>
      <c r="AH715">
        <v>76.316999999999993</v>
      </c>
      <c r="AI715">
        <v>28.140999999999998</v>
      </c>
      <c r="AJ715">
        <v>48.445999999999998</v>
      </c>
      <c r="AK715">
        <v>20.201000000000001</v>
      </c>
      <c r="AL715">
        <v>-9.5329999999999995</v>
      </c>
      <c r="AM715">
        <v>76.316999999999993</v>
      </c>
      <c r="AN715">
        <v>74.828999999999994</v>
      </c>
      <c r="AO715">
        <v>23.494</v>
      </c>
      <c r="AP715">
        <v>9.5329999999999995</v>
      </c>
      <c r="AQ715">
        <v>51.554000000000002</v>
      </c>
      <c r="AR715">
        <v>71.858999999999995</v>
      </c>
      <c r="AS715">
        <v>79.799000000000007</v>
      </c>
    </row>
    <row r="716" spans="1:45" x14ac:dyDescent="0.25">
      <c r="A716">
        <v>89</v>
      </c>
      <c r="B716">
        <v>-5</v>
      </c>
      <c r="C716">
        <v>0</v>
      </c>
      <c r="D716">
        <v>2020</v>
      </c>
      <c r="E716">
        <v>14</v>
      </c>
      <c r="F716" t="str">
        <f>IFERROR(VLOOKUP(G716, Map!$A$1:$B$33, 2, FALSE),"WAS")</f>
        <v>CLE</v>
      </c>
      <c r="G716" t="s">
        <v>162</v>
      </c>
      <c r="H716" t="str">
        <f>IFERROR(VLOOKUP(I716, Map!$A$1:$B$33, 2, FALSE),"WAS")</f>
        <v>BAL</v>
      </c>
      <c r="I716" t="s">
        <v>146</v>
      </c>
      <c r="J716" t="s">
        <v>171</v>
      </c>
      <c r="K716" t="s">
        <v>181</v>
      </c>
      <c r="L716">
        <v>0</v>
      </c>
      <c r="M716">
        <v>0</v>
      </c>
      <c r="N716">
        <v>41.7083333333333</v>
      </c>
      <c r="O716">
        <v>2.6666666666666701</v>
      </c>
      <c r="P716">
        <v>1</v>
      </c>
      <c r="Q716">
        <v>45</v>
      </c>
      <c r="R716">
        <v>-0.6</v>
      </c>
      <c r="S716">
        <v>0.8</v>
      </c>
      <c r="T716">
        <v>-2.1</v>
      </c>
      <c r="U716">
        <v>-5.9</v>
      </c>
      <c r="V716">
        <v>0</v>
      </c>
      <c r="W716">
        <v>0</v>
      </c>
      <c r="X716">
        <v>0</v>
      </c>
      <c r="Y716">
        <v>0</v>
      </c>
      <c r="Z716">
        <v>26.2</v>
      </c>
      <c r="AA716">
        <v>45.4</v>
      </c>
      <c r="AB716">
        <v>339</v>
      </c>
      <c r="AC716">
        <v>56</v>
      </c>
      <c r="AD716">
        <v>27.5</v>
      </c>
      <c r="AE716">
        <v>15.3</v>
      </c>
      <c r="AF716">
        <v>33.795000000000002</v>
      </c>
      <c r="AG716">
        <v>76.938999999999993</v>
      </c>
      <c r="AH716">
        <v>65.933000000000007</v>
      </c>
      <c r="AI716">
        <v>2.9849999999999999</v>
      </c>
      <c r="AJ716">
        <v>90.563000000000002</v>
      </c>
      <c r="AK716">
        <v>32.616999999999997</v>
      </c>
      <c r="AL716">
        <v>-5.4889999999999999</v>
      </c>
      <c r="AM716">
        <v>65.933000000000007</v>
      </c>
      <c r="AN716">
        <v>76.938999999999993</v>
      </c>
      <c r="AO716">
        <v>33.795000000000002</v>
      </c>
      <c r="AP716">
        <v>5.4889999999999999</v>
      </c>
      <c r="AQ716">
        <v>9.4369999999999994</v>
      </c>
      <c r="AR716">
        <v>97.015000000000001</v>
      </c>
      <c r="AS716">
        <v>67.382999999999996</v>
      </c>
    </row>
    <row r="717" spans="1:45" x14ac:dyDescent="0.25">
      <c r="A717">
        <v>27</v>
      </c>
      <c r="B717">
        <v>21</v>
      </c>
      <c r="C717">
        <v>1</v>
      </c>
      <c r="D717">
        <v>2020</v>
      </c>
      <c r="E717">
        <v>14</v>
      </c>
      <c r="F717" t="str">
        <f>IFERROR(VLOOKUP(G717, Map!$A$1:$B$33, 2, FALSE),"WAS")</f>
        <v>LA</v>
      </c>
      <c r="G717" t="s">
        <v>155</v>
      </c>
      <c r="H717" t="str">
        <f>IFERROR(VLOOKUP(I717, Map!$A$1:$B$33, 2, FALSE),"WAS")</f>
        <v>NE</v>
      </c>
      <c r="I717" t="s">
        <v>151</v>
      </c>
      <c r="J717" t="s">
        <v>178</v>
      </c>
      <c r="K717" t="s">
        <v>187</v>
      </c>
      <c r="L717">
        <v>1</v>
      </c>
      <c r="M717">
        <v>0</v>
      </c>
      <c r="N717">
        <v>36.884615384615401</v>
      </c>
      <c r="O717">
        <v>-3.9230769230769198</v>
      </c>
      <c r="P717">
        <v>-4.5</v>
      </c>
      <c r="Q717">
        <v>0</v>
      </c>
      <c r="R717">
        <v>11.9</v>
      </c>
      <c r="S717">
        <v>16.3</v>
      </c>
      <c r="T717">
        <v>7.2</v>
      </c>
      <c r="U717">
        <v>10.3</v>
      </c>
      <c r="V717">
        <v>0</v>
      </c>
      <c r="W717">
        <v>0</v>
      </c>
      <c r="X717">
        <v>0</v>
      </c>
      <c r="Y717">
        <v>0</v>
      </c>
      <c r="Z717">
        <v>13.8</v>
      </c>
      <c r="AA717">
        <v>30.6</v>
      </c>
      <c r="AB717">
        <v>103</v>
      </c>
      <c r="AC717">
        <v>81</v>
      </c>
      <c r="AD717">
        <v>16.8</v>
      </c>
      <c r="AE717">
        <v>8.5</v>
      </c>
      <c r="AF717">
        <v>68.846999999999994</v>
      </c>
      <c r="AG717">
        <v>57.71</v>
      </c>
      <c r="AH717">
        <v>30.904</v>
      </c>
      <c r="AI717">
        <v>99.825999999999993</v>
      </c>
      <c r="AJ717">
        <v>68.536000000000001</v>
      </c>
      <c r="AK717">
        <v>97.150999999999996</v>
      </c>
      <c r="AL717">
        <v>6.5579999999999998</v>
      </c>
      <c r="AM717">
        <v>30.904</v>
      </c>
      <c r="AN717">
        <v>57.71</v>
      </c>
      <c r="AO717">
        <v>68.846999999999994</v>
      </c>
      <c r="AP717">
        <v>-6.5579999999999998</v>
      </c>
      <c r="AQ717">
        <v>31.463999999999999</v>
      </c>
      <c r="AR717">
        <v>0.17399999999999999</v>
      </c>
      <c r="AS717">
        <v>2.8490000000000002</v>
      </c>
    </row>
    <row r="718" spans="1:45" x14ac:dyDescent="0.25">
      <c r="A718">
        <v>45</v>
      </c>
      <c r="B718">
        <v>3</v>
      </c>
      <c r="C718">
        <v>1</v>
      </c>
      <c r="D718">
        <v>2020</v>
      </c>
      <c r="E718">
        <v>14</v>
      </c>
      <c r="F718" t="str">
        <f>IFERROR(VLOOKUP(G718, Map!$A$1:$B$33, 2, FALSE),"WAS")</f>
        <v>PHI</v>
      </c>
      <c r="G718" t="s">
        <v>147</v>
      </c>
      <c r="H718" t="str">
        <f>IFERROR(VLOOKUP(I718, Map!$A$1:$B$33, 2, FALSE),"WAS")</f>
        <v>NO</v>
      </c>
      <c r="I718" t="s">
        <v>168</v>
      </c>
      <c r="J718" t="s">
        <v>206</v>
      </c>
      <c r="K718" t="s">
        <v>192</v>
      </c>
      <c r="L718">
        <v>1</v>
      </c>
      <c r="M718">
        <v>0</v>
      </c>
      <c r="N718">
        <v>38.8333333333333</v>
      </c>
      <c r="O718">
        <v>6.9166666666666696</v>
      </c>
      <c r="P718">
        <v>6.5</v>
      </c>
      <c r="Q718">
        <v>42</v>
      </c>
      <c r="R718">
        <v>11.3</v>
      </c>
      <c r="S718">
        <v>16.2</v>
      </c>
      <c r="T718">
        <v>8.3000000000000007</v>
      </c>
      <c r="U718">
        <v>8.6</v>
      </c>
      <c r="V718">
        <v>0.3</v>
      </c>
      <c r="W718">
        <v>0</v>
      </c>
      <c r="X718">
        <v>1</v>
      </c>
      <c r="Y718">
        <v>0.3</v>
      </c>
      <c r="Z718">
        <v>17.899999999999999</v>
      </c>
      <c r="AA718">
        <v>36.4</v>
      </c>
      <c r="AB718">
        <v>237</v>
      </c>
      <c r="AC718">
        <v>77</v>
      </c>
      <c r="AD718">
        <v>26.4</v>
      </c>
      <c r="AE718">
        <v>14.1</v>
      </c>
      <c r="AF718">
        <v>21.343</v>
      </c>
      <c r="AG718">
        <v>54.847000000000001</v>
      </c>
      <c r="AH718">
        <v>78.486000000000004</v>
      </c>
      <c r="AI718">
        <v>64.673000000000002</v>
      </c>
      <c r="AJ718">
        <v>65.009</v>
      </c>
      <c r="AK718">
        <v>78.268000000000001</v>
      </c>
      <c r="AL718">
        <v>-10.488</v>
      </c>
      <c r="AM718">
        <v>78.486000000000004</v>
      </c>
      <c r="AN718">
        <v>54.847000000000001</v>
      </c>
      <c r="AO718">
        <v>21.343</v>
      </c>
      <c r="AP718">
        <v>10.488</v>
      </c>
      <c r="AQ718">
        <v>34.991</v>
      </c>
      <c r="AR718">
        <v>35.326999999999998</v>
      </c>
      <c r="AS718">
        <v>21.731999999999999</v>
      </c>
    </row>
    <row r="719" spans="1:45" x14ac:dyDescent="0.25">
      <c r="A719">
        <v>41</v>
      </c>
      <c r="B719">
        <v>-21</v>
      </c>
      <c r="C719">
        <v>0</v>
      </c>
      <c r="D719">
        <v>2020</v>
      </c>
      <c r="E719">
        <v>14</v>
      </c>
      <c r="F719" t="str">
        <f>IFERROR(VLOOKUP(G719, Map!$A$1:$B$33, 2, FALSE),"WAS")</f>
        <v>JAX</v>
      </c>
      <c r="G719" t="s">
        <v>139</v>
      </c>
      <c r="H719" t="str">
        <f>IFERROR(VLOOKUP(I719, Map!$A$1:$B$33, 2, FALSE),"WAS")</f>
        <v>TEN</v>
      </c>
      <c r="I719" t="s">
        <v>140</v>
      </c>
      <c r="J719" t="s">
        <v>220</v>
      </c>
      <c r="K719" t="s">
        <v>174</v>
      </c>
      <c r="L719">
        <v>0</v>
      </c>
      <c r="M719">
        <v>0</v>
      </c>
      <c r="N719">
        <v>44.769230769230802</v>
      </c>
      <c r="O719">
        <v>7.0769230769230802</v>
      </c>
      <c r="P719">
        <v>7.5</v>
      </c>
      <c r="Q719">
        <v>0</v>
      </c>
      <c r="R719">
        <v>16.7</v>
      </c>
      <c r="S719">
        <v>21.3</v>
      </c>
      <c r="T719">
        <v>12.3</v>
      </c>
      <c r="U719">
        <v>17.7</v>
      </c>
      <c r="V719">
        <v>0.5</v>
      </c>
      <c r="W719">
        <v>0</v>
      </c>
      <c r="X719">
        <v>3</v>
      </c>
      <c r="Y719">
        <v>0.5</v>
      </c>
      <c r="Z719">
        <v>8.9</v>
      </c>
      <c r="AA719">
        <v>17.600000000000001</v>
      </c>
      <c r="AB719">
        <v>209</v>
      </c>
      <c r="AC719">
        <v>93</v>
      </c>
      <c r="AD719">
        <v>11.4</v>
      </c>
      <c r="AE719">
        <v>5.9</v>
      </c>
      <c r="AF719">
        <v>23.628</v>
      </c>
      <c r="AG719">
        <v>21.937000000000001</v>
      </c>
      <c r="AH719">
        <v>76.182000000000002</v>
      </c>
      <c r="AI719">
        <v>16.378</v>
      </c>
      <c r="AJ719">
        <v>17.66</v>
      </c>
      <c r="AK719">
        <v>6.2119999999999997</v>
      </c>
      <c r="AL719">
        <v>-9.4749999999999996</v>
      </c>
      <c r="AM719">
        <v>76.182000000000002</v>
      </c>
      <c r="AN719">
        <v>21.937000000000001</v>
      </c>
      <c r="AO719">
        <v>23.628</v>
      </c>
      <c r="AP719">
        <v>9.4749999999999996</v>
      </c>
      <c r="AQ719">
        <v>82.34</v>
      </c>
      <c r="AR719">
        <v>83.622</v>
      </c>
      <c r="AS719">
        <v>93.787999999999997</v>
      </c>
    </row>
    <row r="720" spans="1:45" x14ac:dyDescent="0.25">
      <c r="A720">
        <v>55</v>
      </c>
      <c r="B720">
        <v>-7</v>
      </c>
      <c r="C720">
        <v>0</v>
      </c>
      <c r="D720">
        <v>2020</v>
      </c>
      <c r="E720">
        <v>14</v>
      </c>
      <c r="F720" t="str">
        <f>IFERROR(VLOOKUP(G720, Map!$A$1:$B$33, 2, FALSE),"WAS")</f>
        <v>DET</v>
      </c>
      <c r="G720" t="s">
        <v>164</v>
      </c>
      <c r="H720" t="str">
        <f>IFERROR(VLOOKUP(I720, Map!$A$1:$B$33, 2, FALSE),"WAS")</f>
        <v>GB</v>
      </c>
      <c r="I720" t="s">
        <v>154</v>
      </c>
      <c r="J720" t="s">
        <v>173</v>
      </c>
      <c r="K720" t="s">
        <v>200</v>
      </c>
      <c r="L720">
        <v>0</v>
      </c>
      <c r="M720">
        <v>0</v>
      </c>
      <c r="N720">
        <v>51</v>
      </c>
      <c r="O720">
        <v>7.7916666666666696</v>
      </c>
      <c r="P720">
        <v>7.5</v>
      </c>
      <c r="Q720">
        <v>55.5</v>
      </c>
      <c r="R720">
        <v>1.9</v>
      </c>
      <c r="S720">
        <v>8.4</v>
      </c>
      <c r="T720">
        <v>-1.1000000000000001</v>
      </c>
      <c r="U720">
        <v>-3</v>
      </c>
      <c r="V720">
        <v>0.1</v>
      </c>
      <c r="W720">
        <v>0</v>
      </c>
      <c r="X720">
        <v>1</v>
      </c>
      <c r="Y720">
        <v>0.1</v>
      </c>
      <c r="Z720">
        <v>29.5</v>
      </c>
      <c r="AA720">
        <v>50.8</v>
      </c>
      <c r="AB720">
        <v>286</v>
      </c>
      <c r="AC720">
        <v>72</v>
      </c>
      <c r="AD720">
        <v>30.7</v>
      </c>
      <c r="AE720">
        <v>16.899999999999999</v>
      </c>
      <c r="AF720">
        <v>21.94</v>
      </c>
      <c r="AG720">
        <v>52.015000000000001</v>
      </c>
      <c r="AH720">
        <v>77.882999999999996</v>
      </c>
      <c r="AI720">
        <v>6.3929999999999998</v>
      </c>
      <c r="AJ720">
        <v>73.483999999999995</v>
      </c>
      <c r="AK720">
        <v>24.259</v>
      </c>
      <c r="AL720">
        <v>-10.217000000000001</v>
      </c>
      <c r="AM720">
        <v>77.882999999999996</v>
      </c>
      <c r="AN720">
        <v>52.015000000000001</v>
      </c>
      <c r="AO720">
        <v>21.94</v>
      </c>
      <c r="AP720">
        <v>10.217000000000001</v>
      </c>
      <c r="AQ720">
        <v>26.515999999999998</v>
      </c>
      <c r="AR720">
        <v>93.606999999999999</v>
      </c>
      <c r="AS720">
        <v>75.741</v>
      </c>
    </row>
    <row r="721" spans="1:45" x14ac:dyDescent="0.25">
      <c r="A721">
        <v>40</v>
      </c>
      <c r="B721">
        <v>12</v>
      </c>
      <c r="C721">
        <v>1</v>
      </c>
      <c r="D721">
        <v>2020</v>
      </c>
      <c r="E721">
        <v>14</v>
      </c>
      <c r="F721" t="str">
        <f>IFERROR(VLOOKUP(G721, Map!$A$1:$B$33, 2, FALSE),"WAS")</f>
        <v>TB</v>
      </c>
      <c r="G721" t="s">
        <v>141</v>
      </c>
      <c r="H721" t="str">
        <f>IFERROR(VLOOKUP(I721, Map!$A$1:$B$33, 2, FALSE),"WAS")</f>
        <v>MIN</v>
      </c>
      <c r="I721" t="s">
        <v>153</v>
      </c>
      <c r="J721" t="s">
        <v>186</v>
      </c>
      <c r="K721" t="s">
        <v>214</v>
      </c>
      <c r="L721">
        <v>1</v>
      </c>
      <c r="M721">
        <v>0</v>
      </c>
      <c r="N721">
        <v>44.423076923076898</v>
      </c>
      <c r="O721">
        <v>-6.2692307692307701</v>
      </c>
      <c r="P721">
        <v>-6.5</v>
      </c>
      <c r="Q721">
        <v>0</v>
      </c>
      <c r="R721">
        <v>19.2</v>
      </c>
      <c r="S721">
        <v>24.1</v>
      </c>
      <c r="T721">
        <v>15.4</v>
      </c>
      <c r="U721">
        <v>21.2</v>
      </c>
      <c r="V721">
        <v>0</v>
      </c>
      <c r="W721">
        <v>0</v>
      </c>
      <c r="X721">
        <v>0</v>
      </c>
      <c r="Y721">
        <v>0</v>
      </c>
      <c r="Z721">
        <v>9.6999999999999993</v>
      </c>
      <c r="AA721">
        <v>19.100000000000001</v>
      </c>
      <c r="AB721">
        <v>138</v>
      </c>
      <c r="AC721">
        <v>90</v>
      </c>
      <c r="AD721">
        <v>11.6</v>
      </c>
      <c r="AE721">
        <v>5.8</v>
      </c>
      <c r="AF721">
        <v>76.983000000000004</v>
      </c>
      <c r="AG721">
        <v>58.619</v>
      </c>
      <c r="AH721">
        <v>22.834</v>
      </c>
      <c r="AI721">
        <v>30.797000000000001</v>
      </c>
      <c r="AJ721">
        <v>92.709000000000003</v>
      </c>
      <c r="AK721">
        <v>81.287999999999997</v>
      </c>
      <c r="AL721">
        <v>9.8209999999999997</v>
      </c>
      <c r="AM721">
        <v>22.834</v>
      </c>
      <c r="AN721">
        <v>58.619</v>
      </c>
      <c r="AO721">
        <v>76.983000000000004</v>
      </c>
      <c r="AP721">
        <v>-9.8209999999999997</v>
      </c>
      <c r="AQ721">
        <v>7.2910000000000004</v>
      </c>
      <c r="AR721">
        <v>69.203000000000003</v>
      </c>
      <c r="AS721">
        <v>18.712</v>
      </c>
    </row>
    <row r="722" spans="1:45" x14ac:dyDescent="0.25">
      <c r="A722">
        <v>58</v>
      </c>
      <c r="B722">
        <v>-4</v>
      </c>
      <c r="C722">
        <v>0</v>
      </c>
      <c r="D722">
        <v>2020</v>
      </c>
      <c r="E722">
        <v>15</v>
      </c>
      <c r="F722" t="str">
        <f>IFERROR(VLOOKUP(G722, Map!$A$1:$B$33, 2, FALSE),"WAS")</f>
        <v>ATL</v>
      </c>
      <c r="G722" t="s">
        <v>167</v>
      </c>
      <c r="H722" t="str">
        <f>IFERROR(VLOOKUP(I722, Map!$A$1:$B$33, 2, FALSE),"WAS")</f>
        <v>TB</v>
      </c>
      <c r="I722" t="s">
        <v>141</v>
      </c>
      <c r="J722" t="s">
        <v>188</v>
      </c>
      <c r="K722" t="s">
        <v>186</v>
      </c>
      <c r="L722">
        <v>0</v>
      </c>
      <c r="M722">
        <v>0</v>
      </c>
      <c r="N722">
        <v>41.25</v>
      </c>
      <c r="O722">
        <v>5.375</v>
      </c>
      <c r="P722">
        <v>3.5</v>
      </c>
      <c r="Q722">
        <v>0</v>
      </c>
      <c r="R722">
        <v>7.2</v>
      </c>
      <c r="S722">
        <v>12.6</v>
      </c>
      <c r="T722">
        <v>4.8</v>
      </c>
      <c r="U722">
        <v>4.8</v>
      </c>
      <c r="V722">
        <v>1.3</v>
      </c>
      <c r="W722">
        <v>0</v>
      </c>
      <c r="X722">
        <v>7</v>
      </c>
      <c r="Y722">
        <v>1.3</v>
      </c>
      <c r="Z722">
        <v>14</v>
      </c>
      <c r="AA722">
        <v>23.8</v>
      </c>
      <c r="AB722">
        <v>94</v>
      </c>
      <c r="AC722">
        <v>80</v>
      </c>
      <c r="AD722">
        <v>15.9</v>
      </c>
      <c r="AE722">
        <v>7</v>
      </c>
      <c r="AF722">
        <v>35.713000000000001</v>
      </c>
      <c r="AG722">
        <v>85.215999999999994</v>
      </c>
      <c r="AH722">
        <v>64</v>
      </c>
      <c r="AI722">
        <v>19.228000000000002</v>
      </c>
      <c r="AJ722">
        <v>61.564</v>
      </c>
      <c r="AK722">
        <v>42.213000000000001</v>
      </c>
      <c r="AL722">
        <v>-4.7919999999999998</v>
      </c>
      <c r="AM722">
        <v>64</v>
      </c>
      <c r="AN722">
        <v>85.215999999999994</v>
      </c>
      <c r="AO722">
        <v>35.713000000000001</v>
      </c>
      <c r="AP722">
        <v>4.7919999999999998</v>
      </c>
      <c r="AQ722">
        <v>38.436</v>
      </c>
      <c r="AR722">
        <v>80.772000000000006</v>
      </c>
      <c r="AS722">
        <v>57.786999999999999</v>
      </c>
    </row>
    <row r="723" spans="1:45" x14ac:dyDescent="0.25">
      <c r="A723">
        <v>40</v>
      </c>
      <c r="B723">
        <v>8</v>
      </c>
      <c r="C723">
        <v>1</v>
      </c>
      <c r="D723">
        <v>2020</v>
      </c>
      <c r="E723">
        <v>15</v>
      </c>
      <c r="F723" t="str">
        <f>IFERROR(VLOOKUP(G723, Map!$A$1:$B$33, 2, FALSE),"WAS")</f>
        <v>GB</v>
      </c>
      <c r="G723" t="s">
        <v>154</v>
      </c>
      <c r="H723" t="str">
        <f>IFERROR(VLOOKUP(I723, Map!$A$1:$B$33, 2, FALSE),"WAS")</f>
        <v>CAR</v>
      </c>
      <c r="I723" t="s">
        <v>142</v>
      </c>
      <c r="J723" t="s">
        <v>200</v>
      </c>
      <c r="K723" t="s">
        <v>185</v>
      </c>
      <c r="L723">
        <v>1</v>
      </c>
      <c r="M723">
        <v>0</v>
      </c>
      <c r="N723">
        <v>44.615384615384599</v>
      </c>
      <c r="O723">
        <v>-8.3076923076923102</v>
      </c>
      <c r="P723">
        <v>-8.5</v>
      </c>
      <c r="Q723">
        <v>0</v>
      </c>
      <c r="R723">
        <v>-0.2</v>
      </c>
      <c r="S723">
        <v>1.8</v>
      </c>
      <c r="T723">
        <v>-1.6</v>
      </c>
      <c r="U723">
        <v>-4.7</v>
      </c>
      <c r="V723">
        <v>0</v>
      </c>
      <c r="W723">
        <v>0</v>
      </c>
      <c r="X723">
        <v>0</v>
      </c>
      <c r="Y723">
        <v>0</v>
      </c>
      <c r="Z723">
        <v>21.2</v>
      </c>
      <c r="AA723">
        <v>43.2</v>
      </c>
      <c r="AB723">
        <v>230</v>
      </c>
      <c r="AC723">
        <v>79</v>
      </c>
      <c r="AD723">
        <v>25.5</v>
      </c>
      <c r="AE723">
        <v>13</v>
      </c>
      <c r="AF723">
        <v>74.757000000000005</v>
      </c>
      <c r="AG723">
        <v>56.901000000000003</v>
      </c>
      <c r="AH723">
        <v>25.042000000000002</v>
      </c>
      <c r="AI723">
        <v>74.462000000000003</v>
      </c>
      <c r="AJ723">
        <v>86.977999999999994</v>
      </c>
      <c r="AK723">
        <v>87.933999999999997</v>
      </c>
      <c r="AL723">
        <v>8.8620000000000001</v>
      </c>
      <c r="AM723">
        <v>25.042000000000002</v>
      </c>
      <c r="AN723">
        <v>56.901000000000003</v>
      </c>
      <c r="AO723">
        <v>74.757000000000005</v>
      </c>
      <c r="AP723">
        <v>-8.8620000000000001</v>
      </c>
      <c r="AQ723">
        <v>13.022</v>
      </c>
      <c r="AR723">
        <v>25.538</v>
      </c>
      <c r="AS723">
        <v>12.066000000000001</v>
      </c>
    </row>
    <row r="724" spans="1:45" x14ac:dyDescent="0.25">
      <c r="A724">
        <v>44</v>
      </c>
      <c r="B724">
        <v>10</v>
      </c>
      <c r="C724">
        <v>1</v>
      </c>
      <c r="D724">
        <v>2020</v>
      </c>
      <c r="E724">
        <v>15</v>
      </c>
      <c r="F724" t="str">
        <f>IFERROR(VLOOKUP(G724, Map!$A$1:$B$33, 2, FALSE),"WAS")</f>
        <v>CIN</v>
      </c>
      <c r="G724" t="s">
        <v>161</v>
      </c>
      <c r="H724" t="str">
        <f>IFERROR(VLOOKUP(I724, Map!$A$1:$B$33, 2, FALSE),"WAS")</f>
        <v>PIT</v>
      </c>
      <c r="I724" t="s">
        <v>145</v>
      </c>
      <c r="J724" t="s">
        <v>176</v>
      </c>
      <c r="K724" t="s">
        <v>170</v>
      </c>
      <c r="L724">
        <v>1</v>
      </c>
      <c r="M724">
        <v>0</v>
      </c>
      <c r="N724">
        <v>37.346153846153797</v>
      </c>
      <c r="O724">
        <v>13.192307692307701</v>
      </c>
      <c r="P724">
        <v>12.5</v>
      </c>
      <c r="Q724">
        <v>40</v>
      </c>
      <c r="R724">
        <v>4.5999999999999996</v>
      </c>
      <c r="S724">
        <v>6.8</v>
      </c>
      <c r="T724">
        <v>0.8</v>
      </c>
      <c r="U724">
        <v>-0.1</v>
      </c>
      <c r="V724">
        <v>0</v>
      </c>
      <c r="W724">
        <v>0</v>
      </c>
      <c r="X724">
        <v>0</v>
      </c>
      <c r="Y724">
        <v>0</v>
      </c>
      <c r="Z724">
        <v>25.1</v>
      </c>
      <c r="AA724">
        <v>51.1</v>
      </c>
      <c r="AB724">
        <v>273</v>
      </c>
      <c r="AC724">
        <v>61</v>
      </c>
      <c r="AD724">
        <v>32.6</v>
      </c>
      <c r="AE724">
        <v>15</v>
      </c>
      <c r="AF724">
        <v>19.814</v>
      </c>
      <c r="AG724">
        <v>43.968000000000004</v>
      </c>
      <c r="AH724">
        <v>80.027000000000001</v>
      </c>
      <c r="AI724">
        <v>98.504000000000005</v>
      </c>
      <c r="AJ724">
        <v>35.951000000000001</v>
      </c>
      <c r="AK724">
        <v>83.903000000000006</v>
      </c>
      <c r="AL724">
        <v>-11.182</v>
      </c>
      <c r="AM724">
        <v>80.027000000000001</v>
      </c>
      <c r="AN724">
        <v>43.968000000000004</v>
      </c>
      <c r="AO724">
        <v>19.814</v>
      </c>
      <c r="AP724">
        <v>11.182</v>
      </c>
      <c r="AQ724">
        <v>64.049000000000007</v>
      </c>
      <c r="AR724">
        <v>1.496</v>
      </c>
      <c r="AS724">
        <v>16.097000000000001</v>
      </c>
    </row>
    <row r="725" spans="1:45" x14ac:dyDescent="0.25">
      <c r="A725">
        <v>57</v>
      </c>
      <c r="B725">
        <v>-3</v>
      </c>
      <c r="C725">
        <v>0</v>
      </c>
      <c r="D725">
        <v>2020</v>
      </c>
      <c r="E725">
        <v>15</v>
      </c>
      <c r="F725" t="str">
        <f>IFERROR(VLOOKUP(G725, Map!$A$1:$B$33, 2, FALSE),"WAS")</f>
        <v>LV</v>
      </c>
      <c r="G725" t="s">
        <v>157</v>
      </c>
      <c r="H725" t="str">
        <f>IFERROR(VLOOKUP(I725, Map!$A$1:$B$33, 2, FALSE),"WAS")</f>
        <v>LAC</v>
      </c>
      <c r="I725" t="s">
        <v>160</v>
      </c>
      <c r="J725" t="s">
        <v>179</v>
      </c>
      <c r="K725" t="s">
        <v>210</v>
      </c>
      <c r="L725">
        <v>0</v>
      </c>
      <c r="M725">
        <v>0</v>
      </c>
      <c r="N725">
        <v>47.545454545454497</v>
      </c>
      <c r="O725">
        <v>-3.3181818181818201</v>
      </c>
      <c r="P725">
        <v>-3</v>
      </c>
      <c r="Q725">
        <v>0</v>
      </c>
      <c r="R725">
        <v>9.6</v>
      </c>
      <c r="S725">
        <v>13.9</v>
      </c>
      <c r="T725">
        <v>5.4</v>
      </c>
      <c r="U725">
        <v>4.2</v>
      </c>
      <c r="V725">
        <v>0.3</v>
      </c>
      <c r="W725">
        <v>0</v>
      </c>
      <c r="X725">
        <v>2</v>
      </c>
      <c r="Y725">
        <v>0.3</v>
      </c>
      <c r="Z725">
        <v>31.1</v>
      </c>
      <c r="AA725">
        <v>47.2</v>
      </c>
      <c r="AB725">
        <v>321</v>
      </c>
      <c r="AC725">
        <v>43</v>
      </c>
      <c r="AD725">
        <v>31.5</v>
      </c>
      <c r="AE725">
        <v>19.2</v>
      </c>
      <c r="AF725">
        <v>62.877000000000002</v>
      </c>
      <c r="AG725">
        <v>33.777999999999999</v>
      </c>
      <c r="AH725">
        <v>36.826999999999998</v>
      </c>
      <c r="AI725">
        <v>6.1360000000000001</v>
      </c>
      <c r="AJ725">
        <v>76.914000000000001</v>
      </c>
      <c r="AK725">
        <v>42.557000000000002</v>
      </c>
      <c r="AL725">
        <v>4.3979999999999997</v>
      </c>
      <c r="AM725">
        <v>36.826999999999998</v>
      </c>
      <c r="AN725">
        <v>33.777999999999999</v>
      </c>
      <c r="AO725">
        <v>62.877000000000002</v>
      </c>
      <c r="AP725">
        <v>-4.3979999999999997</v>
      </c>
      <c r="AQ725">
        <v>23.085999999999999</v>
      </c>
      <c r="AR725">
        <v>93.864000000000004</v>
      </c>
      <c r="AS725">
        <v>57.442999999999998</v>
      </c>
    </row>
    <row r="726" spans="1:45" x14ac:dyDescent="0.25">
      <c r="A726">
        <v>61</v>
      </c>
      <c r="B726">
        <v>-3</v>
      </c>
      <c r="C726">
        <v>0</v>
      </c>
      <c r="D726">
        <v>2020</v>
      </c>
      <c r="E726">
        <v>15</v>
      </c>
      <c r="F726" t="str">
        <f>IFERROR(VLOOKUP(G726, Map!$A$1:$B$33, 2, FALSE),"WAS")</f>
        <v>NO</v>
      </c>
      <c r="G726" t="s">
        <v>168</v>
      </c>
      <c r="H726" t="str">
        <f>IFERROR(VLOOKUP(I726, Map!$A$1:$B$33, 2, FALSE),"WAS")</f>
        <v>KC</v>
      </c>
      <c r="I726" t="s">
        <v>158</v>
      </c>
      <c r="J726" t="s">
        <v>192</v>
      </c>
      <c r="K726" t="s">
        <v>202</v>
      </c>
      <c r="L726">
        <v>0</v>
      </c>
      <c r="M726">
        <v>0</v>
      </c>
      <c r="N726">
        <v>44.625</v>
      </c>
      <c r="O726">
        <v>2.4166666666666701</v>
      </c>
      <c r="P726">
        <v>2.5</v>
      </c>
      <c r="Q726">
        <v>0</v>
      </c>
      <c r="R726">
        <v>14</v>
      </c>
      <c r="S726">
        <v>15.6</v>
      </c>
      <c r="T726">
        <v>13.1</v>
      </c>
      <c r="U726">
        <v>12.6</v>
      </c>
      <c r="V726">
        <v>23.3</v>
      </c>
      <c r="W726">
        <v>0</v>
      </c>
      <c r="X726">
        <v>11</v>
      </c>
      <c r="Y726">
        <v>23.3</v>
      </c>
      <c r="Z726">
        <v>21.6</v>
      </c>
      <c r="AA726">
        <v>37.1</v>
      </c>
      <c r="AB726">
        <v>18</v>
      </c>
      <c r="AC726">
        <v>91</v>
      </c>
      <c r="AD726">
        <v>29.8</v>
      </c>
      <c r="AE726">
        <v>15.2</v>
      </c>
      <c r="AF726">
        <v>45.875999999999998</v>
      </c>
      <c r="AG726">
        <v>95.173000000000002</v>
      </c>
      <c r="AH726">
        <v>53.755000000000003</v>
      </c>
      <c r="AI726">
        <v>28.172000000000001</v>
      </c>
      <c r="AJ726">
        <v>33.052</v>
      </c>
      <c r="AK726">
        <v>22.585999999999999</v>
      </c>
      <c r="AL726">
        <v>-1.3080000000000001</v>
      </c>
      <c r="AM726">
        <v>53.755000000000003</v>
      </c>
      <c r="AN726">
        <v>95.173000000000002</v>
      </c>
      <c r="AO726">
        <v>45.875999999999998</v>
      </c>
      <c r="AP726">
        <v>1.3080000000000001</v>
      </c>
      <c r="AQ726">
        <v>66.947999999999993</v>
      </c>
      <c r="AR726">
        <v>71.828000000000003</v>
      </c>
      <c r="AS726">
        <v>77.414000000000001</v>
      </c>
    </row>
    <row r="727" spans="1:45" x14ac:dyDescent="0.25">
      <c r="A727">
        <v>67</v>
      </c>
      <c r="B727">
        <v>-29</v>
      </c>
      <c r="C727">
        <v>0</v>
      </c>
      <c r="D727">
        <v>2020</v>
      </c>
      <c r="E727">
        <v>15</v>
      </c>
      <c r="F727" t="str">
        <f>IFERROR(VLOOKUP(G727, Map!$A$1:$B$33, 2, FALSE),"WAS")</f>
        <v>DEN</v>
      </c>
      <c r="G727" t="s">
        <v>159</v>
      </c>
      <c r="H727" t="str">
        <f>IFERROR(VLOOKUP(I727, Map!$A$1:$B$33, 2, FALSE),"WAS")</f>
        <v>BUF</v>
      </c>
      <c r="I727" t="s">
        <v>165</v>
      </c>
      <c r="J727" t="s">
        <v>183</v>
      </c>
      <c r="K727" t="s">
        <v>180</v>
      </c>
      <c r="L727">
        <v>0</v>
      </c>
      <c r="M727">
        <v>0</v>
      </c>
      <c r="N727">
        <v>44.1666666666667</v>
      </c>
      <c r="O727">
        <v>5.25</v>
      </c>
      <c r="P727">
        <v>4.5</v>
      </c>
      <c r="Q727">
        <v>47.5</v>
      </c>
      <c r="R727">
        <v>-3.8</v>
      </c>
      <c r="S727">
        <v>6.6</v>
      </c>
      <c r="T727">
        <v>-10.7</v>
      </c>
      <c r="U727">
        <v>-8.8000000000000007</v>
      </c>
      <c r="V727">
        <v>0</v>
      </c>
      <c r="W727">
        <v>0</v>
      </c>
      <c r="X727">
        <v>0</v>
      </c>
      <c r="Y727">
        <v>0</v>
      </c>
      <c r="Z727">
        <v>25.7</v>
      </c>
      <c r="AA727">
        <v>45.7</v>
      </c>
      <c r="AB727">
        <v>142</v>
      </c>
      <c r="AC727">
        <v>66</v>
      </c>
      <c r="AD727">
        <v>20.399999999999999</v>
      </c>
      <c r="AE727">
        <v>12</v>
      </c>
      <c r="AF727">
        <v>37.378999999999998</v>
      </c>
      <c r="AG727">
        <v>57.783999999999999</v>
      </c>
      <c r="AH727">
        <v>62.320999999999998</v>
      </c>
      <c r="AI727">
        <v>3.6869999999999998</v>
      </c>
      <c r="AJ727">
        <v>37.546999999999997</v>
      </c>
      <c r="AK727">
        <v>4.2969999999999997</v>
      </c>
      <c r="AL727">
        <v>-4.2039999999999997</v>
      </c>
      <c r="AM727">
        <v>62.320999999999998</v>
      </c>
      <c r="AN727">
        <v>57.783999999999999</v>
      </c>
      <c r="AO727">
        <v>37.378999999999998</v>
      </c>
      <c r="AP727">
        <v>4.2039999999999997</v>
      </c>
      <c r="AQ727">
        <v>62.453000000000003</v>
      </c>
      <c r="AR727">
        <v>96.313000000000002</v>
      </c>
      <c r="AS727">
        <v>95.703000000000003</v>
      </c>
    </row>
    <row r="728" spans="1:45" x14ac:dyDescent="0.25">
      <c r="A728">
        <v>43</v>
      </c>
      <c r="B728">
        <v>-3</v>
      </c>
      <c r="C728">
        <v>0</v>
      </c>
      <c r="D728">
        <v>2020</v>
      </c>
      <c r="E728">
        <v>15</v>
      </c>
      <c r="F728" t="str">
        <f>IFERROR(VLOOKUP(G728, Map!$A$1:$B$33, 2, FALSE),"WAS")</f>
        <v>LA</v>
      </c>
      <c r="G728" t="s">
        <v>155</v>
      </c>
      <c r="H728" t="str">
        <f>IFERROR(VLOOKUP(I728, Map!$A$1:$B$33, 2, FALSE),"WAS")</f>
        <v>NYJ</v>
      </c>
      <c r="I728" t="s">
        <v>166</v>
      </c>
      <c r="J728" t="s">
        <v>178</v>
      </c>
      <c r="K728" t="s">
        <v>172</v>
      </c>
      <c r="L728">
        <v>0</v>
      </c>
      <c r="M728">
        <v>0</v>
      </c>
      <c r="N728">
        <v>37.0833333333333</v>
      </c>
      <c r="O728">
        <v>-15.625</v>
      </c>
      <c r="P728">
        <v>-16.5</v>
      </c>
      <c r="Q728">
        <v>0</v>
      </c>
      <c r="R728">
        <v>13.7</v>
      </c>
      <c r="S728">
        <v>25.6</v>
      </c>
      <c r="T728">
        <v>5.7</v>
      </c>
      <c r="U728">
        <v>9.6</v>
      </c>
      <c r="V728">
        <v>0</v>
      </c>
      <c r="W728">
        <v>0</v>
      </c>
      <c r="X728">
        <v>0</v>
      </c>
      <c r="Y728">
        <v>0</v>
      </c>
      <c r="Z728">
        <v>12.6</v>
      </c>
      <c r="AA728">
        <v>23.4</v>
      </c>
      <c r="AB728">
        <v>353</v>
      </c>
      <c r="AC728">
        <v>25</v>
      </c>
      <c r="AD728">
        <v>13.9</v>
      </c>
      <c r="AE728">
        <v>8.1999999999999993</v>
      </c>
      <c r="AF728">
        <v>92.945999999999998</v>
      </c>
      <c r="AG728">
        <v>49.496000000000002</v>
      </c>
      <c r="AH728">
        <v>6.9980000000000002</v>
      </c>
      <c r="AI728">
        <v>51.12</v>
      </c>
      <c r="AJ728">
        <v>21.009</v>
      </c>
      <c r="AK728">
        <v>31.332999999999998</v>
      </c>
      <c r="AL728">
        <v>19.494</v>
      </c>
      <c r="AM728">
        <v>6.9980000000000002</v>
      </c>
      <c r="AN728">
        <v>49.496000000000002</v>
      </c>
      <c r="AO728">
        <v>92.945999999999998</v>
      </c>
      <c r="AP728">
        <v>-19.494</v>
      </c>
      <c r="AQ728">
        <v>78.991</v>
      </c>
      <c r="AR728">
        <v>48.88</v>
      </c>
      <c r="AS728">
        <v>68.667000000000002</v>
      </c>
    </row>
    <row r="729" spans="1:45" x14ac:dyDescent="0.25">
      <c r="A729">
        <v>59</v>
      </c>
      <c r="B729">
        <v>7</v>
      </c>
      <c r="C729">
        <v>1</v>
      </c>
      <c r="D729">
        <v>2020</v>
      </c>
      <c r="E729">
        <v>15</v>
      </c>
      <c r="F729" t="str">
        <f>IFERROR(VLOOKUP(G729, Map!$A$1:$B$33, 2, FALSE),"WAS")</f>
        <v>ARI</v>
      </c>
      <c r="G729" t="s">
        <v>156</v>
      </c>
      <c r="H729" t="str">
        <f>IFERROR(VLOOKUP(I729, Map!$A$1:$B$33, 2, FALSE),"WAS")</f>
        <v>PHI</v>
      </c>
      <c r="I729" t="s">
        <v>147</v>
      </c>
      <c r="J729" t="s">
        <v>190</v>
      </c>
      <c r="K729" t="s">
        <v>206</v>
      </c>
      <c r="L729">
        <v>1</v>
      </c>
      <c r="M729">
        <v>0</v>
      </c>
      <c r="N729">
        <v>41.846153846153797</v>
      </c>
      <c r="O729">
        <v>-5.6538461538461497</v>
      </c>
      <c r="P729">
        <v>-6</v>
      </c>
      <c r="Q729">
        <v>0</v>
      </c>
      <c r="R729">
        <v>15.1</v>
      </c>
      <c r="S729">
        <v>25.3</v>
      </c>
      <c r="T729">
        <v>8.4</v>
      </c>
      <c r="U729">
        <v>11.4</v>
      </c>
      <c r="V729">
        <v>0</v>
      </c>
      <c r="W729">
        <v>0</v>
      </c>
      <c r="X729">
        <v>0</v>
      </c>
      <c r="Y729">
        <v>0</v>
      </c>
      <c r="Z729">
        <v>6.5</v>
      </c>
      <c r="AA729">
        <v>16.899999999999999</v>
      </c>
      <c r="AB729">
        <v>61</v>
      </c>
      <c r="AC729">
        <v>18</v>
      </c>
      <c r="AD729">
        <v>10.1</v>
      </c>
      <c r="AE729">
        <v>3.3</v>
      </c>
      <c r="AF729">
        <v>78.001999999999995</v>
      </c>
      <c r="AG729">
        <v>42.773000000000003</v>
      </c>
      <c r="AH729">
        <v>21.823</v>
      </c>
      <c r="AI729">
        <v>50.780999999999999</v>
      </c>
      <c r="AJ729">
        <v>54.607999999999997</v>
      </c>
      <c r="AK729">
        <v>73.92</v>
      </c>
      <c r="AL729">
        <v>10.253</v>
      </c>
      <c r="AM729">
        <v>21.823</v>
      </c>
      <c r="AN729">
        <v>42.773000000000003</v>
      </c>
      <c r="AO729">
        <v>78.001999999999995</v>
      </c>
      <c r="AP729">
        <v>-10.253</v>
      </c>
      <c r="AQ729">
        <v>45.392000000000003</v>
      </c>
      <c r="AR729">
        <v>49.219000000000001</v>
      </c>
      <c r="AS729">
        <v>26.08</v>
      </c>
    </row>
    <row r="730" spans="1:45" x14ac:dyDescent="0.25">
      <c r="A730">
        <v>47</v>
      </c>
      <c r="B730">
        <v>7</v>
      </c>
      <c r="C730">
        <v>1</v>
      </c>
      <c r="D730">
        <v>2020</v>
      </c>
      <c r="E730">
        <v>15</v>
      </c>
      <c r="F730" t="str">
        <f>IFERROR(VLOOKUP(G730, Map!$A$1:$B$33, 2, FALSE),"WAS")</f>
        <v>IND</v>
      </c>
      <c r="G730" t="s">
        <v>138</v>
      </c>
      <c r="H730" t="str">
        <f>IFERROR(VLOOKUP(I730, Map!$A$1:$B$33, 2, FALSE),"WAS")</f>
        <v>HOU</v>
      </c>
      <c r="I730" t="s">
        <v>137</v>
      </c>
      <c r="J730" t="s">
        <v>177</v>
      </c>
      <c r="K730" t="s">
        <v>209</v>
      </c>
      <c r="L730">
        <v>1</v>
      </c>
      <c r="M730">
        <v>0</v>
      </c>
      <c r="N730">
        <v>48</v>
      </c>
      <c r="O730">
        <v>-7</v>
      </c>
      <c r="P730">
        <v>-7</v>
      </c>
      <c r="Q730">
        <v>50.5</v>
      </c>
      <c r="R730">
        <v>3.4</v>
      </c>
      <c r="S730">
        <v>5</v>
      </c>
      <c r="T730">
        <v>2.1</v>
      </c>
      <c r="U730">
        <v>-0.2</v>
      </c>
      <c r="V730">
        <v>0</v>
      </c>
      <c r="W730">
        <v>0</v>
      </c>
      <c r="X730">
        <v>0</v>
      </c>
      <c r="Y730">
        <v>0</v>
      </c>
      <c r="Z730">
        <v>17.3</v>
      </c>
      <c r="AA730">
        <v>34.6</v>
      </c>
      <c r="AB730">
        <v>226</v>
      </c>
      <c r="AC730">
        <v>86</v>
      </c>
      <c r="AD730">
        <v>21.7</v>
      </c>
      <c r="AE730">
        <v>10.8</v>
      </c>
      <c r="AF730">
        <v>63.64</v>
      </c>
      <c r="AG730">
        <v>47.418999999999997</v>
      </c>
      <c r="AH730">
        <v>36.07</v>
      </c>
      <c r="AI730">
        <v>35.14</v>
      </c>
      <c r="AJ730">
        <v>90.808999999999997</v>
      </c>
      <c r="AK730">
        <v>68.826999999999998</v>
      </c>
      <c r="AL730">
        <v>4.665</v>
      </c>
      <c r="AM730">
        <v>36.07</v>
      </c>
      <c r="AN730">
        <v>47.418999999999997</v>
      </c>
      <c r="AO730">
        <v>63.64</v>
      </c>
      <c r="AP730">
        <v>-4.665</v>
      </c>
      <c r="AQ730">
        <v>9.1910000000000007</v>
      </c>
      <c r="AR730">
        <v>64.86</v>
      </c>
      <c r="AS730">
        <v>31.172999999999998</v>
      </c>
    </row>
    <row r="731" spans="1:45" x14ac:dyDescent="0.25">
      <c r="A731">
        <v>35</v>
      </c>
      <c r="B731">
        <v>-5</v>
      </c>
      <c r="C731">
        <v>0</v>
      </c>
      <c r="D731">
        <v>2020</v>
      </c>
      <c r="E731">
        <v>15</v>
      </c>
      <c r="F731" t="str">
        <f>IFERROR(VLOOKUP(G731, Map!$A$1:$B$33, 2, FALSE),"WAS")</f>
        <v>WAS</v>
      </c>
      <c r="G731" t="s">
        <v>169</v>
      </c>
      <c r="H731" t="str">
        <f>IFERROR(VLOOKUP(I731, Map!$A$1:$B$33, 2, FALSE),"WAS")</f>
        <v>SEA</v>
      </c>
      <c r="I731" t="s">
        <v>144</v>
      </c>
      <c r="J731" t="s">
        <v>205</v>
      </c>
      <c r="K731" t="s">
        <v>182</v>
      </c>
      <c r="L731">
        <v>0</v>
      </c>
      <c r="M731">
        <v>0</v>
      </c>
      <c r="N731">
        <v>39.5</v>
      </c>
      <c r="O731">
        <v>5.95</v>
      </c>
      <c r="P731">
        <v>4</v>
      </c>
      <c r="Q731">
        <v>0</v>
      </c>
      <c r="R731">
        <v>1.7</v>
      </c>
      <c r="S731">
        <v>5.4</v>
      </c>
      <c r="T731">
        <v>-2</v>
      </c>
      <c r="U731">
        <v>-1.8</v>
      </c>
      <c r="V731">
        <v>0.9</v>
      </c>
      <c r="W731">
        <v>0</v>
      </c>
      <c r="X731">
        <v>6</v>
      </c>
      <c r="Y731">
        <v>0.9</v>
      </c>
      <c r="Z731">
        <v>17.399999999999999</v>
      </c>
      <c r="AA731">
        <v>38.5</v>
      </c>
      <c r="AB731">
        <v>175</v>
      </c>
      <c r="AC731">
        <v>87</v>
      </c>
      <c r="AD731">
        <v>18.7</v>
      </c>
      <c r="AE731">
        <v>9.1999999999999993</v>
      </c>
      <c r="AF731">
        <v>36.347999999999999</v>
      </c>
      <c r="AG731">
        <v>58.713000000000001</v>
      </c>
      <c r="AH731">
        <v>63.36</v>
      </c>
      <c r="AI731">
        <v>30.187000000000001</v>
      </c>
      <c r="AJ731">
        <v>41.095999999999997</v>
      </c>
      <c r="AK731">
        <v>27.768000000000001</v>
      </c>
      <c r="AL731">
        <v>-4.5670000000000002</v>
      </c>
      <c r="AM731">
        <v>63.36</v>
      </c>
      <c r="AN731">
        <v>58.713000000000001</v>
      </c>
      <c r="AO731">
        <v>36.347999999999999</v>
      </c>
      <c r="AP731">
        <v>4.5670000000000002</v>
      </c>
      <c r="AQ731">
        <v>58.904000000000003</v>
      </c>
      <c r="AR731">
        <v>69.813000000000002</v>
      </c>
      <c r="AS731">
        <v>72.231999999999999</v>
      </c>
    </row>
    <row r="732" spans="1:45" x14ac:dyDescent="0.25">
      <c r="A732">
        <v>71</v>
      </c>
      <c r="B732">
        <v>21</v>
      </c>
      <c r="C732">
        <v>1</v>
      </c>
      <c r="D732">
        <v>2020</v>
      </c>
      <c r="E732">
        <v>15</v>
      </c>
      <c r="F732" t="str">
        <f>IFERROR(VLOOKUP(G732, Map!$A$1:$B$33, 2, FALSE),"WAS")</f>
        <v>TEN</v>
      </c>
      <c r="G732" t="s">
        <v>140</v>
      </c>
      <c r="H732" t="str">
        <f>IFERROR(VLOOKUP(I732, Map!$A$1:$B$33, 2, FALSE),"WAS")</f>
        <v>DET</v>
      </c>
      <c r="I732" t="s">
        <v>164</v>
      </c>
      <c r="J732" t="s">
        <v>174</v>
      </c>
      <c r="K732" t="s">
        <v>173</v>
      </c>
      <c r="L732">
        <v>1</v>
      </c>
      <c r="M732">
        <v>0</v>
      </c>
      <c r="N732">
        <v>49.2916666666667</v>
      </c>
      <c r="O732">
        <v>-8.0416666666666696</v>
      </c>
      <c r="P732">
        <v>-8</v>
      </c>
      <c r="Q732">
        <v>53.5</v>
      </c>
      <c r="R732">
        <v>7.1</v>
      </c>
      <c r="S732">
        <v>9.6999999999999993</v>
      </c>
      <c r="T732">
        <v>6</v>
      </c>
      <c r="U732">
        <v>4.7</v>
      </c>
      <c r="V732">
        <v>14</v>
      </c>
      <c r="W732">
        <v>0</v>
      </c>
      <c r="X732">
        <v>15</v>
      </c>
      <c r="Y732">
        <v>14</v>
      </c>
      <c r="Z732">
        <v>11.5</v>
      </c>
      <c r="AA732">
        <v>23</v>
      </c>
      <c r="AB732">
        <v>219</v>
      </c>
      <c r="AC732">
        <v>89</v>
      </c>
      <c r="AD732">
        <v>16.600000000000001</v>
      </c>
      <c r="AE732">
        <v>8.3000000000000007</v>
      </c>
      <c r="AF732">
        <v>74.268000000000001</v>
      </c>
      <c r="AG732">
        <v>41.968000000000004</v>
      </c>
      <c r="AH732">
        <v>25.527000000000001</v>
      </c>
      <c r="AI732">
        <v>33.537999999999997</v>
      </c>
      <c r="AJ732">
        <v>98.971999999999994</v>
      </c>
      <c r="AK732">
        <v>87.894000000000005</v>
      </c>
      <c r="AL732">
        <v>8.6609999999999996</v>
      </c>
      <c r="AM732">
        <v>25.527000000000001</v>
      </c>
      <c r="AN732">
        <v>41.968000000000004</v>
      </c>
      <c r="AO732">
        <v>74.268000000000001</v>
      </c>
      <c r="AP732">
        <v>-8.6609999999999996</v>
      </c>
      <c r="AQ732">
        <v>1.028</v>
      </c>
      <c r="AR732">
        <v>66.462000000000003</v>
      </c>
      <c r="AS732">
        <v>12.106</v>
      </c>
    </row>
    <row r="733" spans="1:45" x14ac:dyDescent="0.25">
      <c r="A733">
        <v>26</v>
      </c>
      <c r="B733">
        <v>-14</v>
      </c>
      <c r="C733">
        <v>0</v>
      </c>
      <c r="D733">
        <v>2020</v>
      </c>
      <c r="E733">
        <v>15</v>
      </c>
      <c r="F733" t="str">
        <f>IFERROR(VLOOKUP(G733, Map!$A$1:$B$33, 2, FALSE),"WAS")</f>
        <v>NYG</v>
      </c>
      <c r="G733" t="s">
        <v>149</v>
      </c>
      <c r="H733" t="str">
        <f>IFERROR(VLOOKUP(I733, Map!$A$1:$B$33, 2, FALSE),"WAS")</f>
        <v>CLE</v>
      </c>
      <c r="I733" t="s">
        <v>162</v>
      </c>
      <c r="J733" t="s">
        <v>219</v>
      </c>
      <c r="K733" t="s">
        <v>171</v>
      </c>
      <c r="L733">
        <v>0</v>
      </c>
      <c r="M733">
        <v>0</v>
      </c>
      <c r="N733">
        <v>40.7916666666667</v>
      </c>
      <c r="O733">
        <v>5.5416666666666696</v>
      </c>
      <c r="P733">
        <v>4</v>
      </c>
      <c r="Q733">
        <v>44</v>
      </c>
      <c r="R733">
        <v>1.4</v>
      </c>
      <c r="S733">
        <v>3.6</v>
      </c>
      <c r="T733">
        <v>-0.6</v>
      </c>
      <c r="U733">
        <v>-1.6</v>
      </c>
      <c r="V733">
        <v>0</v>
      </c>
      <c r="W733">
        <v>0</v>
      </c>
      <c r="X733">
        <v>0</v>
      </c>
      <c r="Y733">
        <v>0</v>
      </c>
      <c r="Z733">
        <v>10.7</v>
      </c>
      <c r="AA733">
        <v>19.8</v>
      </c>
      <c r="AB733">
        <v>264</v>
      </c>
      <c r="AC733">
        <v>94</v>
      </c>
      <c r="AD733">
        <v>11</v>
      </c>
      <c r="AE733">
        <v>6</v>
      </c>
      <c r="AF733">
        <v>41.588000000000001</v>
      </c>
      <c r="AG733">
        <v>28.007000000000001</v>
      </c>
      <c r="AH733">
        <v>58.078000000000003</v>
      </c>
      <c r="AI733">
        <v>10.113</v>
      </c>
      <c r="AJ733">
        <v>38.530999999999999</v>
      </c>
      <c r="AK733">
        <v>12.015000000000001</v>
      </c>
      <c r="AL733">
        <v>-2.7530000000000001</v>
      </c>
      <c r="AM733">
        <v>58.078000000000003</v>
      </c>
      <c r="AN733">
        <v>28.007000000000001</v>
      </c>
      <c r="AO733">
        <v>41.588000000000001</v>
      </c>
      <c r="AP733">
        <v>2.7530000000000001</v>
      </c>
      <c r="AQ733">
        <v>61.469000000000001</v>
      </c>
      <c r="AR733">
        <v>89.887</v>
      </c>
      <c r="AS733">
        <v>87.984999999999999</v>
      </c>
    </row>
    <row r="734" spans="1:45" x14ac:dyDescent="0.25">
      <c r="A734">
        <v>60</v>
      </c>
      <c r="B734">
        <v>-6</v>
      </c>
      <c r="C734">
        <v>0</v>
      </c>
      <c r="D734">
        <v>2020</v>
      </c>
      <c r="E734">
        <v>15</v>
      </c>
      <c r="F734" t="str">
        <f>IFERROR(VLOOKUP(G734, Map!$A$1:$B$33, 2, FALSE),"WAS")</f>
        <v>MIN</v>
      </c>
      <c r="G734" t="s">
        <v>153</v>
      </c>
      <c r="H734" t="str">
        <f>IFERROR(VLOOKUP(I734, Map!$A$1:$B$33, 2, FALSE),"WAS")</f>
        <v>CHI</v>
      </c>
      <c r="I734" t="s">
        <v>163</v>
      </c>
      <c r="J734" t="s">
        <v>214</v>
      </c>
      <c r="K734" t="s">
        <v>216</v>
      </c>
      <c r="L734">
        <v>0</v>
      </c>
      <c r="M734">
        <v>0</v>
      </c>
      <c r="N734">
        <v>38.454545454545503</v>
      </c>
      <c r="O734">
        <v>-2.8181818181818201</v>
      </c>
      <c r="P734">
        <v>-2.5</v>
      </c>
      <c r="Q734">
        <v>0</v>
      </c>
      <c r="R734">
        <v>-3.6</v>
      </c>
      <c r="S734">
        <v>3.6</v>
      </c>
      <c r="T734">
        <v>-7.8</v>
      </c>
      <c r="U734">
        <v>-8</v>
      </c>
      <c r="V734">
        <v>0</v>
      </c>
      <c r="W734">
        <v>0</v>
      </c>
      <c r="X734">
        <v>0</v>
      </c>
      <c r="Y734">
        <v>0</v>
      </c>
      <c r="Z734">
        <v>11.2</v>
      </c>
      <c r="AA734">
        <v>23.8</v>
      </c>
      <c r="AB734">
        <v>223</v>
      </c>
      <c r="AC734">
        <v>73</v>
      </c>
      <c r="AD734">
        <v>17.100000000000001</v>
      </c>
      <c r="AE734">
        <v>9.3000000000000007</v>
      </c>
      <c r="AF734">
        <v>59.384</v>
      </c>
      <c r="AG734">
        <v>47.526000000000003</v>
      </c>
      <c r="AH734">
        <v>40.292000000000002</v>
      </c>
      <c r="AI734">
        <v>15.413</v>
      </c>
      <c r="AJ734">
        <v>68.850999999999999</v>
      </c>
      <c r="AK734">
        <v>27.018000000000001</v>
      </c>
      <c r="AL734">
        <v>3.1960000000000002</v>
      </c>
      <c r="AM734">
        <v>40.292000000000002</v>
      </c>
      <c r="AN734">
        <v>47.526000000000003</v>
      </c>
      <c r="AO734">
        <v>59.384</v>
      </c>
      <c r="AP734">
        <v>-3.1960000000000002</v>
      </c>
      <c r="AQ734">
        <v>31.149000000000001</v>
      </c>
      <c r="AR734">
        <v>84.587000000000003</v>
      </c>
      <c r="AS734">
        <v>72.981999999999999</v>
      </c>
    </row>
    <row r="735" spans="1:45" x14ac:dyDescent="0.25">
      <c r="A735">
        <v>34</v>
      </c>
      <c r="B735">
        <v>10</v>
      </c>
      <c r="C735">
        <v>1</v>
      </c>
      <c r="D735">
        <v>2020</v>
      </c>
      <c r="E735">
        <v>15</v>
      </c>
      <c r="F735" t="str">
        <f>IFERROR(VLOOKUP(G735, Map!$A$1:$B$33, 2, FALSE),"WAS")</f>
        <v>MIA</v>
      </c>
      <c r="G735" t="s">
        <v>152</v>
      </c>
      <c r="H735" t="str">
        <f>IFERROR(VLOOKUP(I735, Map!$A$1:$B$33, 2, FALSE),"WAS")</f>
        <v>NE</v>
      </c>
      <c r="I735" t="s">
        <v>151</v>
      </c>
      <c r="J735" t="s">
        <v>175</v>
      </c>
      <c r="K735" t="s">
        <v>187</v>
      </c>
      <c r="L735">
        <v>1</v>
      </c>
      <c r="M735">
        <v>0</v>
      </c>
      <c r="N735">
        <v>33.625</v>
      </c>
      <c r="O735">
        <v>0.25</v>
      </c>
      <c r="P735">
        <v>0</v>
      </c>
      <c r="Q735">
        <v>0</v>
      </c>
      <c r="R735">
        <v>21</v>
      </c>
      <c r="S735">
        <v>26</v>
      </c>
      <c r="T735">
        <v>16.600000000000001</v>
      </c>
      <c r="U735">
        <v>21.8</v>
      </c>
      <c r="V735">
        <v>0.6</v>
      </c>
      <c r="W735">
        <v>0</v>
      </c>
      <c r="X735">
        <v>4</v>
      </c>
      <c r="Y735">
        <v>0.6</v>
      </c>
      <c r="Z735">
        <v>15.2</v>
      </c>
      <c r="AA735">
        <v>32.4</v>
      </c>
      <c r="AB735">
        <v>163</v>
      </c>
      <c r="AC735">
        <v>76</v>
      </c>
      <c r="AD735">
        <v>17.8</v>
      </c>
      <c r="AE735">
        <v>10.1</v>
      </c>
      <c r="AF735">
        <v>47.896000000000001</v>
      </c>
      <c r="AG735">
        <v>41.119</v>
      </c>
      <c r="AH735">
        <v>51.719000000000001</v>
      </c>
      <c r="AI735">
        <v>60.628999999999998</v>
      </c>
      <c r="AJ735">
        <v>79.257999999999996</v>
      </c>
      <c r="AK735">
        <v>70.031999999999996</v>
      </c>
      <c r="AL735">
        <v>-0.63400000000000001</v>
      </c>
      <c r="AM735">
        <v>51.719000000000001</v>
      </c>
      <c r="AN735">
        <v>41.119</v>
      </c>
      <c r="AO735">
        <v>47.896000000000001</v>
      </c>
      <c r="AP735">
        <v>0.63400000000000001</v>
      </c>
      <c r="AQ735">
        <v>20.742000000000001</v>
      </c>
      <c r="AR735">
        <v>39.371000000000002</v>
      </c>
      <c r="AS735">
        <v>29.968</v>
      </c>
    </row>
    <row r="736" spans="1:45" x14ac:dyDescent="0.25">
      <c r="A736">
        <v>54</v>
      </c>
      <c r="B736">
        <v>26</v>
      </c>
      <c r="C736">
        <v>1</v>
      </c>
      <c r="D736">
        <v>2020</v>
      </c>
      <c r="E736">
        <v>15</v>
      </c>
      <c r="F736" t="str">
        <f>IFERROR(VLOOKUP(G736, Map!$A$1:$B$33, 2, FALSE),"WAS")</f>
        <v>BAL</v>
      </c>
      <c r="G736" t="s">
        <v>146</v>
      </c>
      <c r="H736" t="str">
        <f>IFERROR(VLOOKUP(I736, Map!$A$1:$B$33, 2, FALSE),"WAS")</f>
        <v>JAX</v>
      </c>
      <c r="I736" t="s">
        <v>139</v>
      </c>
      <c r="J736" t="s">
        <v>181</v>
      </c>
      <c r="K736" t="s">
        <v>220</v>
      </c>
      <c r="L736">
        <v>1</v>
      </c>
      <c r="M736">
        <v>0</v>
      </c>
      <c r="N736">
        <v>44.625</v>
      </c>
      <c r="O736">
        <v>-11.4166666666667</v>
      </c>
      <c r="P736">
        <v>-12</v>
      </c>
      <c r="Q736">
        <v>47.5</v>
      </c>
      <c r="R736">
        <v>1.6</v>
      </c>
      <c r="S736">
        <v>6.1</v>
      </c>
      <c r="T736">
        <v>-2.2000000000000002</v>
      </c>
      <c r="U736">
        <v>-1.9</v>
      </c>
      <c r="V736">
        <v>0.5</v>
      </c>
      <c r="W736">
        <v>0</v>
      </c>
      <c r="X736">
        <v>4</v>
      </c>
      <c r="Y736">
        <v>0.5</v>
      </c>
      <c r="Z736">
        <v>16.100000000000001</v>
      </c>
      <c r="AA736">
        <v>32</v>
      </c>
      <c r="AB736">
        <v>187</v>
      </c>
      <c r="AC736">
        <v>85</v>
      </c>
      <c r="AD736">
        <v>16</v>
      </c>
      <c r="AE736">
        <v>8.8000000000000007</v>
      </c>
      <c r="AF736">
        <v>87.531000000000006</v>
      </c>
      <c r="AG736">
        <v>49.607999999999997</v>
      </c>
      <c r="AH736">
        <v>12.37</v>
      </c>
      <c r="AI736">
        <v>91.293000000000006</v>
      </c>
      <c r="AJ736">
        <v>96.134</v>
      </c>
      <c r="AK736">
        <v>98.492000000000004</v>
      </c>
      <c r="AL736">
        <v>15.266999999999999</v>
      </c>
      <c r="AM736">
        <v>12.37</v>
      </c>
      <c r="AN736">
        <v>49.607999999999997</v>
      </c>
      <c r="AO736">
        <v>87.531000000000006</v>
      </c>
      <c r="AP736">
        <v>-15.266999999999999</v>
      </c>
      <c r="AQ736">
        <v>3.8660000000000001</v>
      </c>
      <c r="AR736">
        <v>8.7070000000000007</v>
      </c>
      <c r="AS736">
        <v>1.508</v>
      </c>
    </row>
    <row r="737" spans="1:45" x14ac:dyDescent="0.25">
      <c r="A737">
        <v>74</v>
      </c>
      <c r="B737">
        <v>8</v>
      </c>
      <c r="C737">
        <v>1</v>
      </c>
      <c r="D737">
        <v>2020</v>
      </c>
      <c r="E737">
        <v>15</v>
      </c>
      <c r="F737" t="str">
        <f>IFERROR(VLOOKUP(G737, Map!$A$1:$B$33, 2, FALSE),"WAS")</f>
        <v>DAL</v>
      </c>
      <c r="G737" t="s">
        <v>150</v>
      </c>
      <c r="H737" t="str">
        <f>IFERROR(VLOOKUP(I737, Map!$A$1:$B$33, 2, FALSE),"WAS")</f>
        <v>SF</v>
      </c>
      <c r="I737" t="s">
        <v>143</v>
      </c>
      <c r="J737" t="s">
        <v>184</v>
      </c>
      <c r="K737" t="s">
        <v>197</v>
      </c>
      <c r="L737">
        <v>1</v>
      </c>
      <c r="M737">
        <v>0</v>
      </c>
      <c r="N737">
        <v>41.7083333333333</v>
      </c>
      <c r="O737">
        <v>3.2916666666666701</v>
      </c>
      <c r="P737">
        <v>3</v>
      </c>
      <c r="Q737">
        <v>45.5</v>
      </c>
      <c r="R737">
        <v>8</v>
      </c>
      <c r="S737">
        <v>16.7</v>
      </c>
      <c r="T737">
        <v>1.4</v>
      </c>
      <c r="U737">
        <v>5.0999999999999996</v>
      </c>
      <c r="V737">
        <v>0</v>
      </c>
      <c r="W737">
        <v>0</v>
      </c>
      <c r="X737">
        <v>0</v>
      </c>
      <c r="Y737">
        <v>0</v>
      </c>
      <c r="Z737">
        <v>15.4</v>
      </c>
      <c r="AA737">
        <v>30.2</v>
      </c>
      <c r="AB737">
        <v>299</v>
      </c>
      <c r="AC737">
        <v>71</v>
      </c>
      <c r="AD737">
        <v>15.5</v>
      </c>
      <c r="AE737">
        <v>8.4</v>
      </c>
      <c r="AF737">
        <v>29.192</v>
      </c>
      <c r="AG737">
        <v>31.425999999999998</v>
      </c>
      <c r="AH737">
        <v>70.573999999999998</v>
      </c>
      <c r="AI737">
        <v>52.823999999999998</v>
      </c>
      <c r="AJ737">
        <v>53.142000000000003</v>
      </c>
      <c r="AK737">
        <v>67.45</v>
      </c>
      <c r="AL737">
        <v>-7.2</v>
      </c>
      <c r="AM737">
        <v>70.573999999999998</v>
      </c>
      <c r="AN737">
        <v>31.425999999999998</v>
      </c>
      <c r="AO737">
        <v>29.192</v>
      </c>
      <c r="AP737">
        <v>7.2</v>
      </c>
      <c r="AQ737">
        <v>46.857999999999997</v>
      </c>
      <c r="AR737">
        <v>47.176000000000002</v>
      </c>
      <c r="AS737">
        <v>32.549999999999997</v>
      </c>
    </row>
    <row r="738" spans="1:45" x14ac:dyDescent="0.25">
      <c r="A738">
        <v>31</v>
      </c>
      <c r="B738">
        <v>3</v>
      </c>
      <c r="C738">
        <v>1</v>
      </c>
      <c r="D738">
        <v>2020</v>
      </c>
      <c r="E738">
        <v>16</v>
      </c>
      <c r="F738" t="str">
        <f>IFERROR(VLOOKUP(G738, Map!$A$1:$B$33, 2, FALSE),"WAS")</f>
        <v>KC</v>
      </c>
      <c r="G738" t="s">
        <v>158</v>
      </c>
      <c r="H738" t="str">
        <f>IFERROR(VLOOKUP(I738, Map!$A$1:$B$33, 2, FALSE),"WAS")</f>
        <v>ATL</v>
      </c>
      <c r="I738" t="s">
        <v>167</v>
      </c>
      <c r="J738" t="s">
        <v>202</v>
      </c>
      <c r="K738" t="s">
        <v>188</v>
      </c>
      <c r="L738">
        <v>1</v>
      </c>
      <c r="M738">
        <v>0</v>
      </c>
      <c r="N738">
        <v>44.875</v>
      </c>
      <c r="O738">
        <v>-10.0416666666667</v>
      </c>
      <c r="P738">
        <v>-10.5</v>
      </c>
      <c r="Q738">
        <v>0</v>
      </c>
      <c r="R738">
        <v>5.8</v>
      </c>
      <c r="S738">
        <v>9</v>
      </c>
      <c r="T738">
        <v>2.2000000000000002</v>
      </c>
      <c r="U738">
        <v>1.2</v>
      </c>
      <c r="V738">
        <v>0</v>
      </c>
      <c r="W738">
        <v>0</v>
      </c>
      <c r="X738">
        <v>0</v>
      </c>
      <c r="Y738">
        <v>0</v>
      </c>
      <c r="Z738">
        <v>23.1</v>
      </c>
      <c r="AA738">
        <v>44.3</v>
      </c>
      <c r="AB738">
        <v>242</v>
      </c>
      <c r="AC738">
        <v>58</v>
      </c>
      <c r="AD738">
        <v>27.6</v>
      </c>
      <c r="AE738">
        <v>14.8</v>
      </c>
      <c r="AF738">
        <v>79.507999999999996</v>
      </c>
      <c r="AG738">
        <v>66.864999999999995</v>
      </c>
      <c r="AH738">
        <v>20.327999999999999</v>
      </c>
      <c r="AI738">
        <v>42.335999999999999</v>
      </c>
      <c r="AJ738">
        <v>53.64</v>
      </c>
      <c r="AK738">
        <v>55.823</v>
      </c>
      <c r="AL738">
        <v>10.923999999999999</v>
      </c>
      <c r="AM738">
        <v>20.327999999999999</v>
      </c>
      <c r="AN738">
        <v>66.864999999999995</v>
      </c>
      <c r="AO738">
        <v>79.507999999999996</v>
      </c>
      <c r="AP738">
        <v>-10.923999999999999</v>
      </c>
      <c r="AQ738">
        <v>46.36</v>
      </c>
      <c r="AR738">
        <v>57.664000000000001</v>
      </c>
      <c r="AS738">
        <v>44.177</v>
      </c>
    </row>
    <row r="739" spans="1:45" x14ac:dyDescent="0.25">
      <c r="A739">
        <v>85</v>
      </c>
      <c r="B739">
        <v>19</v>
      </c>
      <c r="C739">
        <v>1</v>
      </c>
      <c r="D739">
        <v>2020</v>
      </c>
      <c r="E739">
        <v>16</v>
      </c>
      <c r="F739" t="str">
        <f>IFERROR(VLOOKUP(G739, Map!$A$1:$B$33, 2, FALSE),"WAS")</f>
        <v>NO</v>
      </c>
      <c r="G739" t="s">
        <v>168</v>
      </c>
      <c r="H739" t="str">
        <f>IFERROR(VLOOKUP(I739, Map!$A$1:$B$33, 2, FALSE),"WAS")</f>
        <v>MIN</v>
      </c>
      <c r="I739" t="s">
        <v>153</v>
      </c>
      <c r="J739" t="s">
        <v>192</v>
      </c>
      <c r="K739" t="s">
        <v>214</v>
      </c>
      <c r="L739">
        <v>1</v>
      </c>
      <c r="M739">
        <v>0</v>
      </c>
      <c r="N739">
        <v>41.4166666666667</v>
      </c>
      <c r="O739">
        <v>-6</v>
      </c>
      <c r="P739">
        <v>-6.5</v>
      </c>
      <c r="Q739">
        <v>0</v>
      </c>
      <c r="R739">
        <v>6.9</v>
      </c>
      <c r="S739">
        <v>9.5</v>
      </c>
      <c r="T739">
        <v>4</v>
      </c>
      <c r="U739">
        <v>1.4</v>
      </c>
      <c r="V739">
        <v>0</v>
      </c>
      <c r="W739">
        <v>0</v>
      </c>
      <c r="X739">
        <v>0</v>
      </c>
      <c r="Y739">
        <v>0</v>
      </c>
      <c r="Z739">
        <v>31.6</v>
      </c>
      <c r="AA739">
        <v>56.2</v>
      </c>
      <c r="AB739">
        <v>298</v>
      </c>
      <c r="AC739">
        <v>48</v>
      </c>
      <c r="AD739">
        <v>38.9</v>
      </c>
      <c r="AE739">
        <v>20.100000000000001</v>
      </c>
      <c r="AF739">
        <v>72.561000000000007</v>
      </c>
      <c r="AG739">
        <v>64.234999999999999</v>
      </c>
      <c r="AH739">
        <v>27.22</v>
      </c>
      <c r="AI739">
        <v>11.183</v>
      </c>
      <c r="AJ739">
        <v>97.930999999999997</v>
      </c>
      <c r="AK739">
        <v>84.384</v>
      </c>
      <c r="AL739">
        <v>7.9630000000000001</v>
      </c>
      <c r="AM739">
        <v>27.22</v>
      </c>
      <c r="AN739">
        <v>64.234999999999999</v>
      </c>
      <c r="AO739">
        <v>72.561000000000007</v>
      </c>
      <c r="AP739">
        <v>-7.9630000000000001</v>
      </c>
      <c r="AQ739">
        <v>2.069</v>
      </c>
      <c r="AR739">
        <v>88.816999999999993</v>
      </c>
      <c r="AS739">
        <v>15.616</v>
      </c>
    </row>
    <row r="740" spans="1:45" x14ac:dyDescent="0.25">
      <c r="A740">
        <v>47</v>
      </c>
      <c r="B740">
        <v>-29</v>
      </c>
      <c r="C740">
        <v>0</v>
      </c>
      <c r="D740">
        <v>2020</v>
      </c>
      <c r="E740">
        <v>16</v>
      </c>
      <c r="F740" t="str">
        <f>IFERROR(VLOOKUP(G740, Map!$A$1:$B$33, 2, FALSE),"WAS")</f>
        <v>NE</v>
      </c>
      <c r="G740" t="s">
        <v>151</v>
      </c>
      <c r="H740" t="str">
        <f>IFERROR(VLOOKUP(I740, Map!$A$1:$B$33, 2, FALSE),"WAS")</f>
        <v>BUF</v>
      </c>
      <c r="I740" t="s">
        <v>165</v>
      </c>
      <c r="J740" t="s">
        <v>187</v>
      </c>
      <c r="K740" t="s">
        <v>180</v>
      </c>
      <c r="L740">
        <v>0</v>
      </c>
      <c r="M740">
        <v>0</v>
      </c>
      <c r="N740">
        <v>39.125</v>
      </c>
      <c r="O740">
        <v>6.375</v>
      </c>
      <c r="P740">
        <v>6.5</v>
      </c>
      <c r="Q740">
        <v>0</v>
      </c>
      <c r="R740">
        <v>0.8</v>
      </c>
      <c r="S740">
        <v>3.3</v>
      </c>
      <c r="T740">
        <v>-3.8</v>
      </c>
      <c r="U740">
        <v>-4.4000000000000004</v>
      </c>
      <c r="V740">
        <v>0</v>
      </c>
      <c r="W740">
        <v>0</v>
      </c>
      <c r="X740">
        <v>0</v>
      </c>
      <c r="Y740">
        <v>0</v>
      </c>
      <c r="Z740">
        <v>25</v>
      </c>
      <c r="AA740">
        <v>59.8</v>
      </c>
      <c r="AB740">
        <v>292</v>
      </c>
      <c r="AC740">
        <v>61</v>
      </c>
      <c r="AD740">
        <v>37.5</v>
      </c>
      <c r="AE740">
        <v>16.7</v>
      </c>
      <c r="AF740">
        <v>41.167999999999999</v>
      </c>
      <c r="AG740">
        <v>70.522999999999996</v>
      </c>
      <c r="AH740">
        <v>58.502000000000002</v>
      </c>
      <c r="AI740">
        <v>4.2880000000000003</v>
      </c>
      <c r="AJ740">
        <v>49.53</v>
      </c>
      <c r="AK740">
        <v>5.1310000000000002</v>
      </c>
      <c r="AL740">
        <v>-2.8929999999999998</v>
      </c>
      <c r="AM740">
        <v>58.502000000000002</v>
      </c>
      <c r="AN740">
        <v>70.522999999999996</v>
      </c>
      <c r="AO740">
        <v>41.167999999999999</v>
      </c>
      <c r="AP740">
        <v>2.8929999999999998</v>
      </c>
      <c r="AQ740">
        <v>50.47</v>
      </c>
      <c r="AR740">
        <v>95.712000000000003</v>
      </c>
      <c r="AS740">
        <v>94.869</v>
      </c>
    </row>
    <row r="741" spans="1:45" x14ac:dyDescent="0.25">
      <c r="A741">
        <v>54</v>
      </c>
      <c r="B741">
        <v>20</v>
      </c>
      <c r="C741">
        <v>1</v>
      </c>
      <c r="D741">
        <v>2020</v>
      </c>
      <c r="E741">
        <v>16</v>
      </c>
      <c r="F741" t="str">
        <f>IFERROR(VLOOKUP(G741, Map!$A$1:$B$33, 2, FALSE),"WAS")</f>
        <v>DAL</v>
      </c>
      <c r="G741" t="s">
        <v>150</v>
      </c>
      <c r="H741" t="str">
        <f>IFERROR(VLOOKUP(I741, Map!$A$1:$B$33, 2, FALSE),"WAS")</f>
        <v>PHI</v>
      </c>
      <c r="I741" t="s">
        <v>147</v>
      </c>
      <c r="J741" t="s">
        <v>184</v>
      </c>
      <c r="K741" t="s">
        <v>206</v>
      </c>
      <c r="L741">
        <v>1</v>
      </c>
      <c r="M741">
        <v>0</v>
      </c>
      <c r="N741">
        <v>41.9166666666667</v>
      </c>
      <c r="O741">
        <v>2.5</v>
      </c>
      <c r="P741">
        <v>-1</v>
      </c>
      <c r="Q741">
        <v>0</v>
      </c>
      <c r="R741">
        <v>15.2</v>
      </c>
      <c r="S741">
        <v>23.1</v>
      </c>
      <c r="T741">
        <v>11.1</v>
      </c>
      <c r="U741">
        <v>10.199999999999999</v>
      </c>
      <c r="V741">
        <v>0</v>
      </c>
      <c r="W741">
        <v>0</v>
      </c>
      <c r="X741">
        <v>0</v>
      </c>
      <c r="Y741">
        <v>0</v>
      </c>
      <c r="Z741">
        <v>31.7</v>
      </c>
      <c r="AA741">
        <v>54.7</v>
      </c>
      <c r="AB741">
        <v>203</v>
      </c>
      <c r="AC741">
        <v>52</v>
      </c>
      <c r="AD741">
        <v>43.9</v>
      </c>
      <c r="AE741">
        <v>25.5</v>
      </c>
      <c r="AF741">
        <v>51.734000000000002</v>
      </c>
      <c r="AG741">
        <v>14.923999999999999</v>
      </c>
      <c r="AH741">
        <v>47.881</v>
      </c>
      <c r="AI741">
        <v>44.970999999999997</v>
      </c>
      <c r="AJ741">
        <v>96.736999999999995</v>
      </c>
      <c r="AK741">
        <v>84.415999999999997</v>
      </c>
      <c r="AL741">
        <v>0.63800000000000001</v>
      </c>
      <c r="AM741">
        <v>47.881</v>
      </c>
      <c r="AN741">
        <v>14.923999999999999</v>
      </c>
      <c r="AO741">
        <v>51.734000000000002</v>
      </c>
      <c r="AP741">
        <v>-0.63800000000000001</v>
      </c>
      <c r="AQ741">
        <v>3.2629999999999999</v>
      </c>
      <c r="AR741">
        <v>55.029000000000003</v>
      </c>
      <c r="AS741">
        <v>15.584</v>
      </c>
    </row>
    <row r="742" spans="1:45" x14ac:dyDescent="0.25">
      <c r="A742">
        <v>32</v>
      </c>
      <c r="B742">
        <v>-8</v>
      </c>
      <c r="C742">
        <v>0</v>
      </c>
      <c r="D742">
        <v>2020</v>
      </c>
      <c r="E742">
        <v>16</v>
      </c>
      <c r="F742" t="str">
        <f>IFERROR(VLOOKUP(G742, Map!$A$1:$B$33, 2, FALSE),"WAS")</f>
        <v>ARI</v>
      </c>
      <c r="G742" t="s">
        <v>156</v>
      </c>
      <c r="H742" t="str">
        <f>IFERROR(VLOOKUP(I742, Map!$A$1:$B$33, 2, FALSE),"WAS")</f>
        <v>SF</v>
      </c>
      <c r="I742" t="s">
        <v>143</v>
      </c>
      <c r="J742" t="s">
        <v>190</v>
      </c>
      <c r="K742" t="s">
        <v>197</v>
      </c>
      <c r="L742">
        <v>0</v>
      </c>
      <c r="M742">
        <v>0</v>
      </c>
      <c r="N742">
        <v>42.076923076923102</v>
      </c>
      <c r="O742">
        <v>-5.5</v>
      </c>
      <c r="P742">
        <v>-5.5</v>
      </c>
      <c r="Q742">
        <v>9.5</v>
      </c>
      <c r="R742">
        <v>15.8</v>
      </c>
      <c r="S742">
        <v>20.2</v>
      </c>
      <c r="T742">
        <v>11.7</v>
      </c>
      <c r="U742">
        <v>13.2</v>
      </c>
      <c r="V742">
        <v>0</v>
      </c>
      <c r="W742">
        <v>0</v>
      </c>
      <c r="X742">
        <v>0</v>
      </c>
      <c r="Y742">
        <v>0</v>
      </c>
      <c r="Z742">
        <v>8.9</v>
      </c>
      <c r="AA742">
        <v>21.6</v>
      </c>
      <c r="AB742">
        <v>105</v>
      </c>
      <c r="AC742">
        <v>38</v>
      </c>
      <c r="AD742">
        <v>11.1</v>
      </c>
      <c r="AE742">
        <v>4.8</v>
      </c>
      <c r="AF742">
        <v>59.155000000000001</v>
      </c>
      <c r="AG742">
        <v>58.439</v>
      </c>
      <c r="AH742">
        <v>40.518999999999998</v>
      </c>
      <c r="AI742">
        <v>20.681000000000001</v>
      </c>
      <c r="AJ742">
        <v>18.247</v>
      </c>
      <c r="AK742">
        <v>23.727</v>
      </c>
      <c r="AL742">
        <v>3.1139999999999999</v>
      </c>
      <c r="AM742">
        <v>40.518999999999998</v>
      </c>
      <c r="AN742">
        <v>58.439</v>
      </c>
      <c r="AO742">
        <v>59.155000000000001</v>
      </c>
      <c r="AP742">
        <v>-3.1139999999999999</v>
      </c>
      <c r="AQ742">
        <v>81.753</v>
      </c>
      <c r="AR742">
        <v>79.319000000000003</v>
      </c>
      <c r="AS742">
        <v>76.272999999999996</v>
      </c>
    </row>
    <row r="743" spans="1:45" x14ac:dyDescent="0.25">
      <c r="A743">
        <v>33</v>
      </c>
      <c r="B743">
        <v>-7</v>
      </c>
      <c r="C743">
        <v>0</v>
      </c>
      <c r="D743">
        <v>2020</v>
      </c>
      <c r="E743">
        <v>16</v>
      </c>
      <c r="F743" t="str">
        <f>IFERROR(VLOOKUP(G743, Map!$A$1:$B$33, 2, FALSE),"WAS")</f>
        <v>WAS</v>
      </c>
      <c r="G743" t="s">
        <v>169</v>
      </c>
      <c r="H743" t="str">
        <f>IFERROR(VLOOKUP(I743, Map!$A$1:$B$33, 2, FALSE),"WAS")</f>
        <v>CAR</v>
      </c>
      <c r="I743" t="s">
        <v>142</v>
      </c>
      <c r="J743" t="s">
        <v>205</v>
      </c>
      <c r="K743" t="s">
        <v>185</v>
      </c>
      <c r="L743">
        <v>0</v>
      </c>
      <c r="M743">
        <v>0</v>
      </c>
      <c r="N743">
        <v>37.549999999999997</v>
      </c>
      <c r="O743">
        <v>0.9</v>
      </c>
      <c r="P743">
        <v>1</v>
      </c>
      <c r="Q743">
        <v>0</v>
      </c>
      <c r="R743">
        <v>-0.8</v>
      </c>
      <c r="S743">
        <v>5.3</v>
      </c>
      <c r="T743">
        <v>-4.5</v>
      </c>
      <c r="U743">
        <v>-4.8</v>
      </c>
      <c r="V743">
        <v>0</v>
      </c>
      <c r="W743">
        <v>0</v>
      </c>
      <c r="X743">
        <v>0</v>
      </c>
      <c r="Y743">
        <v>0</v>
      </c>
      <c r="Z743">
        <v>10.7</v>
      </c>
      <c r="AA743">
        <v>19.399999999999999</v>
      </c>
      <c r="AB743">
        <v>57</v>
      </c>
      <c r="AC743">
        <v>61</v>
      </c>
      <c r="AD743">
        <v>12.6</v>
      </c>
      <c r="AE743">
        <v>6.2</v>
      </c>
      <c r="AF743">
        <v>50.271000000000001</v>
      </c>
      <c r="AG743">
        <v>32.787999999999997</v>
      </c>
      <c r="AH743">
        <v>49.332000000000001</v>
      </c>
      <c r="AI743">
        <v>62.143000000000001</v>
      </c>
      <c r="AJ743">
        <v>9.3520000000000003</v>
      </c>
      <c r="AK743">
        <v>11.201000000000001</v>
      </c>
      <c r="AL743">
        <v>0.155</v>
      </c>
      <c r="AM743">
        <v>49.332000000000001</v>
      </c>
      <c r="AN743">
        <v>32.787999999999997</v>
      </c>
      <c r="AO743">
        <v>50.271000000000001</v>
      </c>
      <c r="AP743">
        <v>-0.155</v>
      </c>
      <c r="AQ743">
        <v>90.647999999999996</v>
      </c>
      <c r="AR743">
        <v>37.856999999999999</v>
      </c>
      <c r="AS743">
        <v>88.799000000000007</v>
      </c>
    </row>
    <row r="744" spans="1:45" x14ac:dyDescent="0.25">
      <c r="A744">
        <v>54</v>
      </c>
      <c r="B744">
        <v>-40</v>
      </c>
      <c r="C744">
        <v>0</v>
      </c>
      <c r="D744">
        <v>2020</v>
      </c>
      <c r="E744">
        <v>16</v>
      </c>
      <c r="F744" t="str">
        <f>IFERROR(VLOOKUP(G744, Map!$A$1:$B$33, 2, FALSE),"WAS")</f>
        <v>DET</v>
      </c>
      <c r="G744" t="s">
        <v>164</v>
      </c>
      <c r="H744" t="str">
        <f>IFERROR(VLOOKUP(I744, Map!$A$1:$B$33, 2, FALSE),"WAS")</f>
        <v>TB</v>
      </c>
      <c r="I744" t="s">
        <v>141</v>
      </c>
      <c r="J744" t="s">
        <v>173</v>
      </c>
      <c r="K744" t="s">
        <v>186</v>
      </c>
      <c r="L744">
        <v>0</v>
      </c>
      <c r="M744">
        <v>0</v>
      </c>
      <c r="N744">
        <v>45</v>
      </c>
      <c r="O744">
        <v>10</v>
      </c>
      <c r="P744">
        <v>8</v>
      </c>
      <c r="Q744">
        <v>0</v>
      </c>
      <c r="R744">
        <v>-5.2</v>
      </c>
      <c r="S744">
        <v>-2</v>
      </c>
      <c r="T744">
        <v>-7</v>
      </c>
      <c r="U744">
        <v>-11.8</v>
      </c>
      <c r="V744">
        <v>0.7</v>
      </c>
      <c r="W744">
        <v>0.49</v>
      </c>
      <c r="X744">
        <v>7</v>
      </c>
      <c r="Y744">
        <v>0</v>
      </c>
      <c r="Z744">
        <v>30.3</v>
      </c>
      <c r="AA744">
        <v>50</v>
      </c>
      <c r="AB744">
        <v>246</v>
      </c>
      <c r="AC744">
        <v>67</v>
      </c>
      <c r="AD744">
        <v>38.5</v>
      </c>
      <c r="AE744">
        <v>22.3</v>
      </c>
      <c r="AF744">
        <v>21.558</v>
      </c>
      <c r="AG744">
        <v>56.773000000000003</v>
      </c>
      <c r="AH744">
        <v>78.269000000000005</v>
      </c>
      <c r="AI744">
        <v>0.56999999999999995</v>
      </c>
      <c r="AJ744">
        <v>2.6909999999999998</v>
      </c>
      <c r="AK744">
        <v>0.54400000000000004</v>
      </c>
      <c r="AL744">
        <v>-10.359</v>
      </c>
      <c r="AM744">
        <v>78.269000000000005</v>
      </c>
      <c r="AN744">
        <v>56.773000000000003</v>
      </c>
      <c r="AO744">
        <v>21.558</v>
      </c>
      <c r="AP744">
        <v>10.359</v>
      </c>
      <c r="AQ744">
        <v>97.308999999999997</v>
      </c>
      <c r="AR744">
        <v>99.43</v>
      </c>
      <c r="AS744">
        <v>99.456000000000003</v>
      </c>
    </row>
    <row r="745" spans="1:45" x14ac:dyDescent="0.25">
      <c r="A745">
        <v>54</v>
      </c>
      <c r="B745">
        <v>26</v>
      </c>
      <c r="C745">
        <v>1</v>
      </c>
      <c r="D745">
        <v>2020</v>
      </c>
      <c r="E745">
        <v>16</v>
      </c>
      <c r="F745" t="str">
        <f>IFERROR(VLOOKUP(G745, Map!$A$1:$B$33, 2, FALSE),"WAS")</f>
        <v>GB</v>
      </c>
      <c r="G745" t="s">
        <v>154</v>
      </c>
      <c r="H745" t="str">
        <f>IFERROR(VLOOKUP(I745, Map!$A$1:$B$33, 2, FALSE),"WAS")</f>
        <v>TEN</v>
      </c>
      <c r="I745" t="s">
        <v>140</v>
      </c>
      <c r="J745" t="s">
        <v>200</v>
      </c>
      <c r="K745" t="s">
        <v>174</v>
      </c>
      <c r="L745">
        <v>1</v>
      </c>
      <c r="M745">
        <v>0</v>
      </c>
      <c r="N745">
        <v>44.576923076923102</v>
      </c>
      <c r="O745">
        <v>-2.8461538461538498</v>
      </c>
      <c r="P745">
        <v>-3</v>
      </c>
      <c r="Q745">
        <v>0</v>
      </c>
      <c r="R745">
        <v>-4.2</v>
      </c>
      <c r="S745">
        <v>-1.6</v>
      </c>
      <c r="T745">
        <v>-6.7</v>
      </c>
      <c r="U745">
        <v>-9.9</v>
      </c>
      <c r="V745">
        <v>3.4</v>
      </c>
      <c r="W745">
        <v>2.38</v>
      </c>
      <c r="X745">
        <v>4</v>
      </c>
      <c r="Y745">
        <v>0</v>
      </c>
      <c r="Z745">
        <v>22</v>
      </c>
      <c r="AA745">
        <v>47.9</v>
      </c>
      <c r="AB745">
        <v>306</v>
      </c>
      <c r="AC745">
        <v>66</v>
      </c>
      <c r="AD745">
        <v>35.6</v>
      </c>
      <c r="AE745">
        <v>17.600000000000001</v>
      </c>
      <c r="AF745">
        <v>62.402000000000001</v>
      </c>
      <c r="AG745">
        <v>70.236999999999995</v>
      </c>
      <c r="AH745">
        <v>37.298000000000002</v>
      </c>
      <c r="AI745">
        <v>60.408000000000001</v>
      </c>
      <c r="AJ745">
        <v>98.876000000000005</v>
      </c>
      <c r="AK745">
        <v>97.43</v>
      </c>
      <c r="AL745">
        <v>4.2270000000000003</v>
      </c>
      <c r="AM745">
        <v>37.298000000000002</v>
      </c>
      <c r="AN745">
        <v>70.236999999999995</v>
      </c>
      <c r="AO745">
        <v>62.402000000000001</v>
      </c>
      <c r="AP745">
        <v>-4.2270000000000003</v>
      </c>
      <c r="AQ745">
        <v>1.1240000000000001</v>
      </c>
      <c r="AR745">
        <v>39.591999999999999</v>
      </c>
      <c r="AS745">
        <v>2.57</v>
      </c>
    </row>
    <row r="746" spans="1:45" x14ac:dyDescent="0.25">
      <c r="A746">
        <v>58</v>
      </c>
      <c r="B746">
        <v>-24</v>
      </c>
      <c r="C746">
        <v>0</v>
      </c>
      <c r="D746">
        <v>2020</v>
      </c>
      <c r="E746">
        <v>16</v>
      </c>
      <c r="F746" t="str">
        <f>IFERROR(VLOOKUP(G746, Map!$A$1:$B$33, 2, FALSE),"WAS")</f>
        <v>JAX</v>
      </c>
      <c r="G746" t="s">
        <v>139</v>
      </c>
      <c r="H746" t="str">
        <f>IFERROR(VLOOKUP(I746, Map!$A$1:$B$33, 2, FALSE),"WAS")</f>
        <v>CHI</v>
      </c>
      <c r="I746" t="s">
        <v>163</v>
      </c>
      <c r="J746" t="s">
        <v>220</v>
      </c>
      <c r="K746" t="s">
        <v>216</v>
      </c>
      <c r="L746">
        <v>0</v>
      </c>
      <c r="M746">
        <v>0</v>
      </c>
      <c r="N746">
        <v>42.9583333333333</v>
      </c>
      <c r="O746">
        <v>7.9166666666666696</v>
      </c>
      <c r="P746">
        <v>7.5</v>
      </c>
      <c r="Q746">
        <v>46.5</v>
      </c>
      <c r="R746">
        <v>5.9</v>
      </c>
      <c r="S746">
        <v>13.7</v>
      </c>
      <c r="T746">
        <v>0</v>
      </c>
      <c r="U746">
        <v>3.1</v>
      </c>
      <c r="V746">
        <v>0</v>
      </c>
      <c r="W746">
        <v>0</v>
      </c>
      <c r="X746">
        <v>0</v>
      </c>
      <c r="Y746">
        <v>0</v>
      </c>
      <c r="Z746">
        <v>11.7</v>
      </c>
      <c r="AA746">
        <v>22.3</v>
      </c>
      <c r="AB746">
        <v>15</v>
      </c>
      <c r="AC746">
        <v>78</v>
      </c>
      <c r="AD746">
        <v>14.8</v>
      </c>
      <c r="AE746">
        <v>8</v>
      </c>
      <c r="AF746">
        <v>28.19</v>
      </c>
      <c r="AG746">
        <v>10.941000000000001</v>
      </c>
      <c r="AH746">
        <v>71.582999999999998</v>
      </c>
      <c r="AI746">
        <v>12.122999999999999</v>
      </c>
      <c r="AJ746">
        <v>40.435000000000002</v>
      </c>
      <c r="AK746">
        <v>11.877000000000001</v>
      </c>
      <c r="AL746">
        <v>-7.58</v>
      </c>
      <c r="AM746">
        <v>71.582999999999998</v>
      </c>
      <c r="AN746">
        <v>10.941000000000001</v>
      </c>
      <c r="AO746">
        <v>28.19</v>
      </c>
      <c r="AP746">
        <v>7.58</v>
      </c>
      <c r="AQ746">
        <v>59.564999999999998</v>
      </c>
      <c r="AR746">
        <v>87.876999999999995</v>
      </c>
      <c r="AS746">
        <v>88.123000000000005</v>
      </c>
    </row>
    <row r="747" spans="1:45" x14ac:dyDescent="0.25">
      <c r="A747">
        <v>39</v>
      </c>
      <c r="B747">
        <v>7</v>
      </c>
      <c r="C747">
        <v>1</v>
      </c>
      <c r="D747">
        <v>2020</v>
      </c>
      <c r="E747">
        <v>16</v>
      </c>
      <c r="F747" t="str">
        <f>IFERROR(VLOOKUP(G747, Map!$A$1:$B$33, 2, FALSE),"WAS")</f>
        <v>NYJ</v>
      </c>
      <c r="G747" t="s">
        <v>166</v>
      </c>
      <c r="H747" t="str">
        <f>IFERROR(VLOOKUP(I747, Map!$A$1:$B$33, 2, FALSE),"WAS")</f>
        <v>CLE</v>
      </c>
      <c r="I747" t="s">
        <v>162</v>
      </c>
      <c r="J747" t="s">
        <v>172</v>
      </c>
      <c r="K747" t="s">
        <v>171</v>
      </c>
      <c r="L747">
        <v>1</v>
      </c>
      <c r="M747">
        <v>0</v>
      </c>
      <c r="N747">
        <v>41.384615384615401</v>
      </c>
      <c r="O747">
        <v>6.2307692307692299</v>
      </c>
      <c r="P747">
        <v>6.5</v>
      </c>
      <c r="Q747">
        <v>44.5</v>
      </c>
      <c r="R747">
        <v>-2.1</v>
      </c>
      <c r="S747">
        <v>3.1</v>
      </c>
      <c r="T747">
        <v>-5.0999999999999996</v>
      </c>
      <c r="U747">
        <v>-6.7</v>
      </c>
      <c r="V747">
        <v>0</v>
      </c>
      <c r="W747">
        <v>0</v>
      </c>
      <c r="X747">
        <v>0</v>
      </c>
      <c r="Y747">
        <v>0</v>
      </c>
      <c r="Z747">
        <v>16.600000000000001</v>
      </c>
      <c r="AA747">
        <v>32.4</v>
      </c>
      <c r="AB747">
        <v>255</v>
      </c>
      <c r="AC747">
        <v>59</v>
      </c>
      <c r="AD747">
        <v>21.3</v>
      </c>
      <c r="AE747">
        <v>9.8000000000000007</v>
      </c>
      <c r="AF747">
        <v>28.234000000000002</v>
      </c>
      <c r="AG747">
        <v>19.111999999999998</v>
      </c>
      <c r="AH747">
        <v>71.539000000000001</v>
      </c>
      <c r="AI747">
        <v>81.153000000000006</v>
      </c>
      <c r="AJ747">
        <v>56.963999999999999</v>
      </c>
      <c r="AK747">
        <v>73.281999999999996</v>
      </c>
      <c r="AL747">
        <v>-7.5629999999999997</v>
      </c>
      <c r="AM747">
        <v>71.539000000000001</v>
      </c>
      <c r="AN747">
        <v>19.111999999999998</v>
      </c>
      <c r="AO747">
        <v>28.234000000000002</v>
      </c>
      <c r="AP747">
        <v>7.5629999999999997</v>
      </c>
      <c r="AQ747">
        <v>43.036000000000001</v>
      </c>
      <c r="AR747">
        <v>18.847000000000001</v>
      </c>
      <c r="AS747">
        <v>26.718</v>
      </c>
    </row>
    <row r="748" spans="1:45" x14ac:dyDescent="0.25">
      <c r="A748">
        <v>51</v>
      </c>
      <c r="B748">
        <v>-1</v>
      </c>
      <c r="C748">
        <v>0</v>
      </c>
      <c r="D748">
        <v>2020</v>
      </c>
      <c r="E748">
        <v>16</v>
      </c>
      <c r="F748" t="str">
        <f>IFERROR(VLOOKUP(G748, Map!$A$1:$B$33, 2, FALSE),"WAS")</f>
        <v>LV</v>
      </c>
      <c r="G748" t="s">
        <v>157</v>
      </c>
      <c r="H748" t="str">
        <f>IFERROR(VLOOKUP(I748, Map!$A$1:$B$33, 2, FALSE),"WAS")</f>
        <v>MIA</v>
      </c>
      <c r="I748" t="s">
        <v>152</v>
      </c>
      <c r="J748" t="s">
        <v>179</v>
      </c>
      <c r="K748" t="s">
        <v>175</v>
      </c>
      <c r="L748">
        <v>0</v>
      </c>
      <c r="M748">
        <v>0</v>
      </c>
      <c r="N748">
        <v>45.181818181818201</v>
      </c>
      <c r="O748">
        <v>2.4545454545454501</v>
      </c>
      <c r="P748">
        <v>2</v>
      </c>
      <c r="Q748">
        <v>0</v>
      </c>
      <c r="R748">
        <v>8.6999999999999993</v>
      </c>
      <c r="S748">
        <v>12</v>
      </c>
      <c r="T748">
        <v>5.9</v>
      </c>
      <c r="U748">
        <v>4.9000000000000004</v>
      </c>
      <c r="V748">
        <v>0.1</v>
      </c>
      <c r="W748">
        <v>0</v>
      </c>
      <c r="X748">
        <v>1</v>
      </c>
      <c r="Y748">
        <v>0.1</v>
      </c>
      <c r="Z748">
        <v>10.7</v>
      </c>
      <c r="AA748">
        <v>16.600000000000001</v>
      </c>
      <c r="AB748">
        <v>277</v>
      </c>
      <c r="AC748">
        <v>30</v>
      </c>
      <c r="AD748">
        <v>9.1999999999999993</v>
      </c>
      <c r="AE748">
        <v>4.7</v>
      </c>
      <c r="AF748">
        <v>55.743000000000002</v>
      </c>
      <c r="AG748">
        <v>40.901000000000003</v>
      </c>
      <c r="AH748">
        <v>43.905000000000001</v>
      </c>
      <c r="AI748">
        <v>45.292999999999999</v>
      </c>
      <c r="AJ748">
        <v>69.096000000000004</v>
      </c>
      <c r="AK748">
        <v>52.67</v>
      </c>
      <c r="AL748">
        <v>1.9670000000000001</v>
      </c>
      <c r="AM748">
        <v>43.905000000000001</v>
      </c>
      <c r="AN748">
        <v>40.901000000000003</v>
      </c>
      <c r="AO748">
        <v>55.743000000000002</v>
      </c>
      <c r="AP748">
        <v>-1.9670000000000001</v>
      </c>
      <c r="AQ748">
        <v>30.904</v>
      </c>
      <c r="AR748">
        <v>54.707000000000001</v>
      </c>
      <c r="AS748">
        <v>47.33</v>
      </c>
    </row>
    <row r="749" spans="1:45" x14ac:dyDescent="0.25">
      <c r="A749">
        <v>35</v>
      </c>
      <c r="B749">
        <v>3</v>
      </c>
      <c r="C749">
        <v>1</v>
      </c>
      <c r="D749">
        <v>2020</v>
      </c>
      <c r="E749">
        <v>16</v>
      </c>
      <c r="F749" t="str">
        <f>IFERROR(VLOOKUP(G749, Map!$A$1:$B$33, 2, FALSE),"WAS")</f>
        <v>LAC</v>
      </c>
      <c r="G749" t="s">
        <v>160</v>
      </c>
      <c r="H749" t="str">
        <f>IFERROR(VLOOKUP(I749, Map!$A$1:$B$33, 2, FALSE),"WAS")</f>
        <v>DEN</v>
      </c>
      <c r="I749" t="s">
        <v>159</v>
      </c>
      <c r="J749" t="s">
        <v>210</v>
      </c>
      <c r="K749" t="s">
        <v>183</v>
      </c>
      <c r="L749">
        <v>1</v>
      </c>
      <c r="M749">
        <v>0</v>
      </c>
      <c r="N749">
        <v>40.307692307692299</v>
      </c>
      <c r="O749">
        <v>-1.92307692307692</v>
      </c>
      <c r="P749">
        <v>-1.5</v>
      </c>
      <c r="Q749">
        <v>0</v>
      </c>
      <c r="R749">
        <v>13</v>
      </c>
      <c r="S749">
        <v>17</v>
      </c>
      <c r="T749">
        <v>10.1</v>
      </c>
      <c r="U749">
        <v>12.1</v>
      </c>
      <c r="V749">
        <v>0</v>
      </c>
      <c r="W749">
        <v>0</v>
      </c>
      <c r="X749">
        <v>0</v>
      </c>
      <c r="Y749">
        <v>0</v>
      </c>
      <c r="Z749">
        <v>17.399999999999999</v>
      </c>
      <c r="AA749">
        <v>28.8</v>
      </c>
      <c r="AB749">
        <v>69</v>
      </c>
      <c r="AC749">
        <v>87</v>
      </c>
      <c r="AD749">
        <v>14.2</v>
      </c>
      <c r="AE749">
        <v>7.7</v>
      </c>
      <c r="AF749">
        <v>54.408000000000001</v>
      </c>
      <c r="AG749">
        <v>25.920999999999999</v>
      </c>
      <c r="AH749">
        <v>45.228999999999999</v>
      </c>
      <c r="AI749">
        <v>56.139000000000003</v>
      </c>
      <c r="AJ749">
        <v>56.701000000000001</v>
      </c>
      <c r="AK749">
        <v>66.361000000000004</v>
      </c>
      <c r="AL749">
        <v>1.5229999999999999</v>
      </c>
      <c r="AM749">
        <v>45.228999999999999</v>
      </c>
      <c r="AN749">
        <v>25.920999999999999</v>
      </c>
      <c r="AO749">
        <v>54.408000000000001</v>
      </c>
      <c r="AP749">
        <v>-1.5229999999999999</v>
      </c>
      <c r="AQ749">
        <v>43.298999999999999</v>
      </c>
      <c r="AR749">
        <v>43.860999999999997</v>
      </c>
      <c r="AS749">
        <v>33.639000000000003</v>
      </c>
    </row>
    <row r="750" spans="1:45" x14ac:dyDescent="0.25">
      <c r="A750">
        <v>29</v>
      </c>
      <c r="B750">
        <v>11</v>
      </c>
      <c r="C750">
        <v>1</v>
      </c>
      <c r="D750">
        <v>2020</v>
      </c>
      <c r="E750">
        <v>16</v>
      </c>
      <c r="F750" t="str">
        <f>IFERROR(VLOOKUP(G750, Map!$A$1:$B$33, 2, FALSE),"WAS")</f>
        <v>SEA</v>
      </c>
      <c r="G750" t="s">
        <v>144</v>
      </c>
      <c r="H750" t="str">
        <f>IFERROR(VLOOKUP(I750, Map!$A$1:$B$33, 2, FALSE),"WAS")</f>
        <v>LA</v>
      </c>
      <c r="I750" t="s">
        <v>155</v>
      </c>
      <c r="J750" t="s">
        <v>182</v>
      </c>
      <c r="K750" t="s">
        <v>178</v>
      </c>
      <c r="L750">
        <v>1</v>
      </c>
      <c r="M750">
        <v>0</v>
      </c>
      <c r="N750">
        <v>39.6666666666667</v>
      </c>
      <c r="O750">
        <v>-1.375</v>
      </c>
      <c r="P750">
        <v>-1.5</v>
      </c>
      <c r="Q750">
        <v>0</v>
      </c>
      <c r="R750">
        <v>6</v>
      </c>
      <c r="S750">
        <v>7.3</v>
      </c>
      <c r="T750">
        <v>5.3</v>
      </c>
      <c r="U750">
        <v>3.1</v>
      </c>
      <c r="V750">
        <v>5.2</v>
      </c>
      <c r="W750">
        <v>0</v>
      </c>
      <c r="X750">
        <v>10</v>
      </c>
      <c r="Y750">
        <v>5.2</v>
      </c>
      <c r="Z750">
        <v>18.3</v>
      </c>
      <c r="AA750">
        <v>43.9</v>
      </c>
      <c r="AB750">
        <v>149</v>
      </c>
      <c r="AC750">
        <v>86</v>
      </c>
      <c r="AD750">
        <v>22.5</v>
      </c>
      <c r="AE750">
        <v>10.3</v>
      </c>
      <c r="AF750">
        <v>49.715000000000003</v>
      </c>
      <c r="AG750">
        <v>80.597999999999999</v>
      </c>
      <c r="AH750">
        <v>49.884999999999998</v>
      </c>
      <c r="AI750">
        <v>77.358999999999995</v>
      </c>
      <c r="AJ750">
        <v>48.567999999999998</v>
      </c>
      <c r="AK750">
        <v>69.432000000000002</v>
      </c>
      <c r="AL750">
        <v>-2.8000000000000001E-2</v>
      </c>
      <c r="AM750">
        <v>49.884999999999998</v>
      </c>
      <c r="AN750">
        <v>80.597999999999999</v>
      </c>
      <c r="AO750">
        <v>49.715000000000003</v>
      </c>
      <c r="AP750">
        <v>2.8000000000000001E-2</v>
      </c>
      <c r="AQ750">
        <v>51.432000000000002</v>
      </c>
      <c r="AR750">
        <v>22.640999999999998</v>
      </c>
      <c r="AS750">
        <v>30.568000000000001</v>
      </c>
    </row>
    <row r="751" spans="1:45" x14ac:dyDescent="0.25">
      <c r="A751">
        <v>68</v>
      </c>
      <c r="B751">
        <v>-6</v>
      </c>
      <c r="C751">
        <v>0</v>
      </c>
      <c r="D751">
        <v>2020</v>
      </c>
      <c r="E751">
        <v>16</v>
      </c>
      <c r="F751" t="str">
        <f>IFERROR(VLOOKUP(G751, Map!$A$1:$B$33, 2, FALSE),"WAS")</f>
        <v>HOU</v>
      </c>
      <c r="G751" t="s">
        <v>137</v>
      </c>
      <c r="H751" t="str">
        <f>IFERROR(VLOOKUP(I751, Map!$A$1:$B$33, 2, FALSE),"WAS")</f>
        <v>CIN</v>
      </c>
      <c r="I751" t="s">
        <v>161</v>
      </c>
      <c r="J751" t="s">
        <v>209</v>
      </c>
      <c r="K751" t="s">
        <v>176</v>
      </c>
      <c r="L751">
        <v>0</v>
      </c>
      <c r="M751">
        <v>0</v>
      </c>
      <c r="N751">
        <v>41.7916666666667</v>
      </c>
      <c r="O751">
        <v>-6.75</v>
      </c>
      <c r="P751">
        <v>-7</v>
      </c>
      <c r="Q751">
        <v>44.5</v>
      </c>
      <c r="R751">
        <v>15.3</v>
      </c>
      <c r="S751">
        <v>21.3</v>
      </c>
      <c r="T751">
        <v>11.9</v>
      </c>
      <c r="U751">
        <v>13.1</v>
      </c>
      <c r="V751">
        <v>0.1</v>
      </c>
      <c r="W751">
        <v>0</v>
      </c>
      <c r="X751">
        <v>1</v>
      </c>
      <c r="Y751">
        <v>0.1</v>
      </c>
      <c r="Z751">
        <v>25.1</v>
      </c>
      <c r="AA751">
        <v>42.5</v>
      </c>
      <c r="AB751">
        <v>168</v>
      </c>
      <c r="AC751">
        <v>77</v>
      </c>
      <c r="AD751">
        <v>29.3</v>
      </c>
      <c r="AE751">
        <v>17.3</v>
      </c>
      <c r="AF751">
        <v>63.085000000000001</v>
      </c>
      <c r="AG751">
        <v>28.745999999999999</v>
      </c>
      <c r="AH751">
        <v>36.621000000000002</v>
      </c>
      <c r="AI751">
        <v>6.1</v>
      </c>
      <c r="AJ751">
        <v>93.480999999999995</v>
      </c>
      <c r="AK751">
        <v>37.628999999999998</v>
      </c>
      <c r="AL751">
        <v>4.4649999999999999</v>
      </c>
      <c r="AM751">
        <v>36.621000000000002</v>
      </c>
      <c r="AN751">
        <v>28.745999999999999</v>
      </c>
      <c r="AO751">
        <v>63.085000000000001</v>
      </c>
      <c r="AP751">
        <v>-4.4649999999999999</v>
      </c>
      <c r="AQ751">
        <v>6.5190000000000001</v>
      </c>
      <c r="AR751">
        <v>93.9</v>
      </c>
      <c r="AS751">
        <v>62.371000000000002</v>
      </c>
    </row>
    <row r="752" spans="1:45" x14ac:dyDescent="0.25">
      <c r="A752">
        <v>40</v>
      </c>
      <c r="B752">
        <v>14</v>
      </c>
      <c r="C752">
        <v>1</v>
      </c>
      <c r="D752">
        <v>2020</v>
      </c>
      <c r="E752">
        <v>16</v>
      </c>
      <c r="F752" t="str">
        <f>IFERROR(VLOOKUP(G752, Map!$A$1:$B$33, 2, FALSE),"WAS")</f>
        <v>BAL</v>
      </c>
      <c r="G752" t="s">
        <v>146</v>
      </c>
      <c r="H752" t="str">
        <f>IFERROR(VLOOKUP(I752, Map!$A$1:$B$33, 2, FALSE),"WAS")</f>
        <v>NYG</v>
      </c>
      <c r="I752" t="s">
        <v>149</v>
      </c>
      <c r="J752" t="s">
        <v>181</v>
      </c>
      <c r="K752" t="s">
        <v>219</v>
      </c>
      <c r="L752">
        <v>1</v>
      </c>
      <c r="M752">
        <v>0</v>
      </c>
      <c r="N752">
        <v>39.875</v>
      </c>
      <c r="O752">
        <v>-8.8333333333333304</v>
      </c>
      <c r="P752">
        <v>-9.5</v>
      </c>
      <c r="Q752">
        <v>43</v>
      </c>
      <c r="R752">
        <v>-1.7</v>
      </c>
      <c r="S752">
        <v>2.9</v>
      </c>
      <c r="T752">
        <v>-4.8</v>
      </c>
      <c r="U752">
        <v>-5.8</v>
      </c>
      <c r="V752">
        <v>0</v>
      </c>
      <c r="W752">
        <v>0</v>
      </c>
      <c r="X752">
        <v>0</v>
      </c>
      <c r="Y752">
        <v>0</v>
      </c>
      <c r="Z752">
        <v>12.2</v>
      </c>
      <c r="AA752">
        <v>24.8</v>
      </c>
      <c r="AB752">
        <v>271</v>
      </c>
      <c r="AC752">
        <v>67</v>
      </c>
      <c r="AD752">
        <v>15.7</v>
      </c>
      <c r="AE752">
        <v>7.3</v>
      </c>
      <c r="AF752">
        <v>80.167000000000002</v>
      </c>
      <c r="AG752">
        <v>53.484000000000002</v>
      </c>
      <c r="AH752">
        <v>19.675000000000001</v>
      </c>
      <c r="AI752">
        <v>70.843999999999994</v>
      </c>
      <c r="AJ752">
        <v>92.403000000000006</v>
      </c>
      <c r="AK752">
        <v>91.081999999999994</v>
      </c>
      <c r="AL752">
        <v>11.233000000000001</v>
      </c>
      <c r="AM752">
        <v>19.675000000000001</v>
      </c>
      <c r="AN752">
        <v>53.484000000000002</v>
      </c>
      <c r="AO752">
        <v>80.167000000000002</v>
      </c>
      <c r="AP752">
        <v>-11.233000000000001</v>
      </c>
      <c r="AQ752">
        <v>7.5970000000000004</v>
      </c>
      <c r="AR752">
        <v>29.155999999999999</v>
      </c>
      <c r="AS752">
        <v>8.9179999999999993</v>
      </c>
    </row>
    <row r="753" spans="1:45" x14ac:dyDescent="0.25">
      <c r="A753">
        <v>52</v>
      </c>
      <c r="B753">
        <v>4</v>
      </c>
      <c r="C753">
        <v>1</v>
      </c>
      <c r="D753">
        <v>2020</v>
      </c>
      <c r="E753">
        <v>16</v>
      </c>
      <c r="F753" t="str">
        <f>IFERROR(VLOOKUP(G753, Map!$A$1:$B$33, 2, FALSE),"WAS")</f>
        <v>PIT</v>
      </c>
      <c r="G753" t="s">
        <v>145</v>
      </c>
      <c r="H753" t="str">
        <f>IFERROR(VLOOKUP(I753, Map!$A$1:$B$33, 2, FALSE),"WAS")</f>
        <v>IND</v>
      </c>
      <c r="I753" t="s">
        <v>138</v>
      </c>
      <c r="J753" t="s">
        <v>170</v>
      </c>
      <c r="K753" t="s">
        <v>177</v>
      </c>
      <c r="L753">
        <v>1</v>
      </c>
      <c r="M753">
        <v>0</v>
      </c>
      <c r="N753">
        <v>39</v>
      </c>
      <c r="O753">
        <v>8.3333333333333301E-2</v>
      </c>
      <c r="P753">
        <v>0</v>
      </c>
      <c r="Q753">
        <v>42</v>
      </c>
      <c r="R753">
        <v>-5.8</v>
      </c>
      <c r="S753">
        <v>5.3</v>
      </c>
      <c r="T753">
        <v>-13.9</v>
      </c>
      <c r="U753">
        <v>-10.1</v>
      </c>
      <c r="V753">
        <v>0</v>
      </c>
      <c r="W753">
        <v>0</v>
      </c>
      <c r="X753">
        <v>0</v>
      </c>
      <c r="Y753">
        <v>0</v>
      </c>
      <c r="Z753">
        <v>11.6</v>
      </c>
      <c r="AA753">
        <v>25.9</v>
      </c>
      <c r="AB753">
        <v>181</v>
      </c>
      <c r="AC753">
        <v>77</v>
      </c>
      <c r="AD753">
        <v>17.3</v>
      </c>
      <c r="AE753">
        <v>8.3000000000000007</v>
      </c>
      <c r="AF753">
        <v>61.884</v>
      </c>
      <c r="AG753">
        <v>67.325000000000003</v>
      </c>
      <c r="AH753">
        <v>37.813000000000002</v>
      </c>
      <c r="AI753">
        <v>47.83</v>
      </c>
      <c r="AJ753">
        <v>67.816999999999993</v>
      </c>
      <c r="AK753">
        <v>55.99</v>
      </c>
      <c r="AL753">
        <v>4.0469999999999997</v>
      </c>
      <c r="AM753">
        <v>37.813000000000002</v>
      </c>
      <c r="AN753">
        <v>67.325000000000003</v>
      </c>
      <c r="AO753">
        <v>61.884</v>
      </c>
      <c r="AP753">
        <v>-4.0469999999999997</v>
      </c>
      <c r="AQ753">
        <v>32.183</v>
      </c>
      <c r="AR753">
        <v>52.17</v>
      </c>
      <c r="AS753">
        <v>44.01</v>
      </c>
    </row>
    <row r="754" spans="1:45" x14ac:dyDescent="0.25">
      <c r="A754">
        <v>72</v>
      </c>
      <c r="B754">
        <v>-2</v>
      </c>
      <c r="C754">
        <v>0</v>
      </c>
      <c r="D754">
        <v>2020</v>
      </c>
      <c r="E754">
        <v>17</v>
      </c>
      <c r="F754" t="str">
        <f>IFERROR(VLOOKUP(G754, Map!$A$1:$B$33, 2, FALSE),"WAS")</f>
        <v>DET</v>
      </c>
      <c r="G754" t="s">
        <v>164</v>
      </c>
      <c r="H754" t="str">
        <f>IFERROR(VLOOKUP(I754, Map!$A$1:$B$33, 2, FALSE),"WAS")</f>
        <v>MIN</v>
      </c>
      <c r="I754" t="s">
        <v>153</v>
      </c>
      <c r="J754" t="s">
        <v>173</v>
      </c>
      <c r="K754" t="s">
        <v>214</v>
      </c>
      <c r="L754">
        <v>0</v>
      </c>
      <c r="M754">
        <v>0</v>
      </c>
      <c r="N754">
        <v>49.1666666666667</v>
      </c>
      <c r="O754">
        <v>3</v>
      </c>
      <c r="P754">
        <v>3</v>
      </c>
      <c r="Q754">
        <v>53.5</v>
      </c>
      <c r="R754">
        <v>1</v>
      </c>
      <c r="S754">
        <v>3.3</v>
      </c>
      <c r="T754">
        <v>-0.1</v>
      </c>
      <c r="U754">
        <v>-2.2000000000000002</v>
      </c>
      <c r="V754">
        <v>3.7</v>
      </c>
      <c r="W754">
        <v>2.4500000000000002</v>
      </c>
      <c r="X754">
        <v>6</v>
      </c>
      <c r="Y754">
        <v>0.2</v>
      </c>
      <c r="Z754">
        <v>15.8</v>
      </c>
      <c r="AA754">
        <v>28.8</v>
      </c>
      <c r="AB754">
        <v>80</v>
      </c>
      <c r="AC754">
        <v>93</v>
      </c>
      <c r="AD754">
        <v>14.4</v>
      </c>
      <c r="AE754">
        <v>7.6</v>
      </c>
      <c r="AF754">
        <v>31.433</v>
      </c>
      <c r="AG754">
        <v>24.850999999999999</v>
      </c>
      <c r="AH754">
        <v>68.314999999999998</v>
      </c>
      <c r="AI754">
        <v>7.149</v>
      </c>
      <c r="AJ754">
        <v>87.475999999999999</v>
      </c>
      <c r="AK754">
        <v>37.591999999999999</v>
      </c>
      <c r="AL754">
        <v>-6.3339999999999996</v>
      </c>
      <c r="AM754">
        <v>68.314999999999998</v>
      </c>
      <c r="AN754">
        <v>24.850999999999999</v>
      </c>
      <c r="AO754">
        <v>31.433</v>
      </c>
      <c r="AP754">
        <v>6.3339999999999996</v>
      </c>
      <c r="AQ754">
        <v>12.523999999999999</v>
      </c>
      <c r="AR754">
        <v>92.850999999999999</v>
      </c>
      <c r="AS754">
        <v>62.408000000000001</v>
      </c>
    </row>
    <row r="755" spans="1:45" x14ac:dyDescent="0.25">
      <c r="A755">
        <v>25</v>
      </c>
      <c r="B755">
        <v>11</v>
      </c>
      <c r="C755">
        <v>1</v>
      </c>
      <c r="D755">
        <v>2020</v>
      </c>
      <c r="E755">
        <v>17</v>
      </c>
      <c r="F755" t="str">
        <f>IFERROR(VLOOKUP(G755, Map!$A$1:$B$33, 2, FALSE),"WAS")</f>
        <v>LA</v>
      </c>
      <c r="G755" t="s">
        <v>155</v>
      </c>
      <c r="H755" t="str">
        <f>IFERROR(VLOOKUP(I755, Map!$A$1:$B$33, 2, FALSE),"WAS")</f>
        <v>ARI</v>
      </c>
      <c r="I755" t="s">
        <v>156</v>
      </c>
      <c r="J755" t="s">
        <v>178</v>
      </c>
      <c r="K755" t="s">
        <v>190</v>
      </c>
      <c r="L755">
        <v>1</v>
      </c>
      <c r="M755">
        <v>0</v>
      </c>
      <c r="N755">
        <v>38.2083333333333</v>
      </c>
      <c r="O755">
        <v>-0.54166666666666696</v>
      </c>
      <c r="P755">
        <v>0</v>
      </c>
      <c r="Q755">
        <v>41</v>
      </c>
      <c r="R755">
        <v>10.8</v>
      </c>
      <c r="S755">
        <v>16.3</v>
      </c>
      <c r="T755">
        <v>7.1</v>
      </c>
      <c r="U755">
        <v>9.3000000000000007</v>
      </c>
      <c r="V755">
        <v>0</v>
      </c>
      <c r="W755">
        <v>0</v>
      </c>
      <c r="X755">
        <v>0</v>
      </c>
      <c r="Y755">
        <v>0</v>
      </c>
      <c r="Z755">
        <v>12.9</v>
      </c>
      <c r="AA755">
        <v>21.2</v>
      </c>
      <c r="AB755">
        <v>110</v>
      </c>
      <c r="AC755">
        <v>88</v>
      </c>
      <c r="AD755">
        <v>13.4</v>
      </c>
      <c r="AE755">
        <v>7.4</v>
      </c>
      <c r="AF755">
        <v>55.536999999999999</v>
      </c>
      <c r="AG755">
        <v>60.326999999999998</v>
      </c>
      <c r="AH755">
        <v>44.107999999999997</v>
      </c>
      <c r="AI755">
        <v>97.855999999999995</v>
      </c>
      <c r="AJ755">
        <v>30.815999999999999</v>
      </c>
      <c r="AK755">
        <v>77.715999999999994</v>
      </c>
      <c r="AL755">
        <v>1.8959999999999999</v>
      </c>
      <c r="AM755">
        <v>44.107999999999997</v>
      </c>
      <c r="AN755">
        <v>60.326999999999998</v>
      </c>
      <c r="AO755">
        <v>55.536999999999999</v>
      </c>
      <c r="AP755">
        <v>-1.8959999999999999</v>
      </c>
      <c r="AQ755">
        <v>69.183999999999997</v>
      </c>
      <c r="AR755">
        <v>2.1440000000000001</v>
      </c>
      <c r="AS755">
        <v>22.283999999999999</v>
      </c>
    </row>
    <row r="756" spans="1:45" x14ac:dyDescent="0.25">
      <c r="A756">
        <v>46</v>
      </c>
      <c r="B756">
        <v>2</v>
      </c>
      <c r="C756">
        <v>1</v>
      </c>
      <c r="D756">
        <v>2020</v>
      </c>
      <c r="E756">
        <v>17</v>
      </c>
      <c r="F756" t="str">
        <f>IFERROR(VLOOKUP(G756, Map!$A$1:$B$33, 2, FALSE),"WAS")</f>
        <v>CLE</v>
      </c>
      <c r="G756" t="s">
        <v>162</v>
      </c>
      <c r="H756" t="str">
        <f>IFERROR(VLOOKUP(I756, Map!$A$1:$B$33, 2, FALSE),"WAS")</f>
        <v>PIT</v>
      </c>
      <c r="I756" t="s">
        <v>145</v>
      </c>
      <c r="J756" t="s">
        <v>171</v>
      </c>
      <c r="K756" t="s">
        <v>170</v>
      </c>
      <c r="L756">
        <v>1</v>
      </c>
      <c r="M756">
        <v>0</v>
      </c>
      <c r="N756">
        <v>40.5833333333333</v>
      </c>
      <c r="O756">
        <v>-9.125</v>
      </c>
      <c r="P756">
        <v>-9.5</v>
      </c>
      <c r="Q756">
        <v>43</v>
      </c>
      <c r="R756">
        <v>2.2000000000000002</v>
      </c>
      <c r="S756">
        <v>3.2</v>
      </c>
      <c r="T756">
        <v>1.3</v>
      </c>
      <c r="U756">
        <v>-1.3</v>
      </c>
      <c r="V756">
        <v>2.1</v>
      </c>
      <c r="W756">
        <v>0.28000000000000003</v>
      </c>
      <c r="X756">
        <v>7</v>
      </c>
      <c r="Y756">
        <v>1.7</v>
      </c>
      <c r="Z756">
        <v>21.8</v>
      </c>
      <c r="AA756">
        <v>36</v>
      </c>
      <c r="AB756">
        <v>297</v>
      </c>
      <c r="AC756">
        <v>92</v>
      </c>
      <c r="AD756">
        <v>18.5</v>
      </c>
      <c r="AE756">
        <v>10.4</v>
      </c>
      <c r="AF756">
        <v>44.225000000000001</v>
      </c>
      <c r="AG756">
        <v>54.868000000000002</v>
      </c>
      <c r="AH756">
        <v>55.418999999999997</v>
      </c>
      <c r="AI756">
        <v>53.618000000000002</v>
      </c>
      <c r="AJ756">
        <v>79.536000000000001</v>
      </c>
      <c r="AK756">
        <v>70.188999999999993</v>
      </c>
      <c r="AL756">
        <v>-1.857</v>
      </c>
      <c r="AM756">
        <v>55.418999999999997</v>
      </c>
      <c r="AN756">
        <v>54.868000000000002</v>
      </c>
      <c r="AO756">
        <v>44.225000000000001</v>
      </c>
      <c r="AP756">
        <v>1.857</v>
      </c>
      <c r="AQ756">
        <v>20.463999999999999</v>
      </c>
      <c r="AR756">
        <v>46.381999999999998</v>
      </c>
      <c r="AS756">
        <v>29.811</v>
      </c>
    </row>
    <row r="757" spans="1:45" x14ac:dyDescent="0.25">
      <c r="A757">
        <v>49</v>
      </c>
      <c r="B757">
        <v>-3</v>
      </c>
      <c r="C757">
        <v>0</v>
      </c>
      <c r="D757">
        <v>2020</v>
      </c>
      <c r="E757">
        <v>17</v>
      </c>
      <c r="F757" t="str">
        <f>IFERROR(VLOOKUP(G757, Map!$A$1:$B$33, 2, FALSE),"WAS")</f>
        <v>SF</v>
      </c>
      <c r="G757" t="s">
        <v>143</v>
      </c>
      <c r="H757" t="str">
        <f>IFERROR(VLOOKUP(I757, Map!$A$1:$B$33, 2, FALSE),"WAS")</f>
        <v>SEA</v>
      </c>
      <c r="I757" t="s">
        <v>144</v>
      </c>
      <c r="J757" t="s">
        <v>197</v>
      </c>
      <c r="K757" t="s">
        <v>182</v>
      </c>
      <c r="L757">
        <v>0</v>
      </c>
      <c r="M757">
        <v>0</v>
      </c>
      <c r="N757">
        <v>41.75</v>
      </c>
      <c r="O757">
        <v>6.0833333333333304</v>
      </c>
      <c r="P757">
        <v>4</v>
      </c>
      <c r="Q757">
        <v>45</v>
      </c>
      <c r="R757">
        <v>11.2</v>
      </c>
      <c r="S757">
        <v>15.3</v>
      </c>
      <c r="T757">
        <v>7.3</v>
      </c>
      <c r="U757">
        <v>9.6999999999999993</v>
      </c>
      <c r="V757">
        <v>0</v>
      </c>
      <c r="W757">
        <v>0</v>
      </c>
      <c r="X757">
        <v>0</v>
      </c>
      <c r="Y757">
        <v>0</v>
      </c>
      <c r="Z757">
        <v>8</v>
      </c>
      <c r="AA757">
        <v>20.5</v>
      </c>
      <c r="AB757">
        <v>110</v>
      </c>
      <c r="AC757">
        <v>75</v>
      </c>
      <c r="AD757">
        <v>11.7</v>
      </c>
      <c r="AE757">
        <v>5.3</v>
      </c>
      <c r="AF757">
        <v>39.548999999999999</v>
      </c>
      <c r="AG757">
        <v>72.611000000000004</v>
      </c>
      <c r="AH757">
        <v>60.134</v>
      </c>
      <c r="AI757">
        <v>37.365000000000002</v>
      </c>
      <c r="AJ757">
        <v>36.826000000000001</v>
      </c>
      <c r="AK757">
        <v>37.615000000000002</v>
      </c>
      <c r="AL757">
        <v>-3.4430000000000001</v>
      </c>
      <c r="AM757">
        <v>60.134</v>
      </c>
      <c r="AN757">
        <v>72.611000000000004</v>
      </c>
      <c r="AO757">
        <v>39.548999999999999</v>
      </c>
      <c r="AP757">
        <v>3.4430000000000001</v>
      </c>
      <c r="AQ757">
        <v>63.173999999999999</v>
      </c>
      <c r="AR757">
        <v>62.634999999999998</v>
      </c>
      <c r="AS757">
        <v>62.384999999999998</v>
      </c>
    </row>
    <row r="758" spans="1:45" x14ac:dyDescent="0.25">
      <c r="A758">
        <v>79</v>
      </c>
      <c r="B758">
        <v>-3</v>
      </c>
      <c r="C758">
        <v>0</v>
      </c>
      <c r="D758">
        <v>2020</v>
      </c>
      <c r="E758">
        <v>17</v>
      </c>
      <c r="F758" t="str">
        <f>IFERROR(VLOOKUP(G758, Map!$A$1:$B$33, 2, FALSE),"WAS")</f>
        <v>HOU</v>
      </c>
      <c r="G758" t="s">
        <v>137</v>
      </c>
      <c r="H758" t="str">
        <f>IFERROR(VLOOKUP(I758, Map!$A$1:$B$33, 2, FALSE),"WAS")</f>
        <v>TEN</v>
      </c>
      <c r="I758" t="s">
        <v>140</v>
      </c>
      <c r="J758" t="s">
        <v>209</v>
      </c>
      <c r="K758" t="s">
        <v>174</v>
      </c>
      <c r="L758">
        <v>0</v>
      </c>
      <c r="M758">
        <v>0</v>
      </c>
      <c r="N758">
        <v>51.269230769230802</v>
      </c>
      <c r="O758">
        <v>6.5384615384615401</v>
      </c>
      <c r="P758">
        <v>7</v>
      </c>
      <c r="Q758">
        <v>55.5</v>
      </c>
      <c r="R758">
        <v>9.9</v>
      </c>
      <c r="S758">
        <v>18.2</v>
      </c>
      <c r="T758">
        <v>4.7</v>
      </c>
      <c r="U758">
        <v>7</v>
      </c>
      <c r="V758">
        <v>0</v>
      </c>
      <c r="W758">
        <v>0</v>
      </c>
      <c r="X758">
        <v>0</v>
      </c>
      <c r="Y758">
        <v>0</v>
      </c>
      <c r="Z758">
        <v>16.399999999999999</v>
      </c>
      <c r="AA758">
        <v>31</v>
      </c>
      <c r="AB758">
        <v>203</v>
      </c>
      <c r="AC758">
        <v>68</v>
      </c>
      <c r="AD758">
        <v>17.7</v>
      </c>
      <c r="AE758">
        <v>10.5</v>
      </c>
      <c r="AF758">
        <v>41.536999999999999</v>
      </c>
      <c r="AG758">
        <v>46.564999999999998</v>
      </c>
      <c r="AH758">
        <v>58.13</v>
      </c>
      <c r="AI758">
        <v>9.1630000000000003</v>
      </c>
      <c r="AJ758">
        <v>72.465999999999994</v>
      </c>
      <c r="AK758">
        <v>32.738</v>
      </c>
      <c r="AL758">
        <v>-2.7639999999999998</v>
      </c>
      <c r="AM758">
        <v>58.13</v>
      </c>
      <c r="AN758">
        <v>46.564999999999998</v>
      </c>
      <c r="AO758">
        <v>41.536999999999999</v>
      </c>
      <c r="AP758">
        <v>2.7639999999999998</v>
      </c>
      <c r="AQ758">
        <v>27.533999999999999</v>
      </c>
      <c r="AR758">
        <v>90.837000000000003</v>
      </c>
      <c r="AS758">
        <v>67.262</v>
      </c>
    </row>
    <row r="759" spans="1:45" x14ac:dyDescent="0.25">
      <c r="A759">
        <v>41</v>
      </c>
      <c r="B759">
        <v>-35</v>
      </c>
      <c r="C759">
        <v>0</v>
      </c>
      <c r="D759">
        <v>2020</v>
      </c>
      <c r="E759">
        <v>17</v>
      </c>
      <c r="F759" t="str">
        <f>IFERROR(VLOOKUP(G759, Map!$A$1:$B$33, 2, FALSE),"WAS")</f>
        <v>CIN</v>
      </c>
      <c r="G759" t="s">
        <v>161</v>
      </c>
      <c r="H759" t="str">
        <f>IFERROR(VLOOKUP(I759, Map!$A$1:$B$33, 2, FALSE),"WAS")</f>
        <v>BAL</v>
      </c>
      <c r="I759" t="s">
        <v>146</v>
      </c>
      <c r="J759" t="s">
        <v>176</v>
      </c>
      <c r="K759" t="s">
        <v>181</v>
      </c>
      <c r="L759">
        <v>0</v>
      </c>
      <c r="M759">
        <v>0</v>
      </c>
      <c r="N759">
        <v>41.125</v>
      </c>
      <c r="O759">
        <v>12.2083333333333</v>
      </c>
      <c r="P759">
        <v>11.5</v>
      </c>
      <c r="Q759">
        <v>44</v>
      </c>
      <c r="R759">
        <v>3.4</v>
      </c>
      <c r="S759">
        <v>4.0999999999999996</v>
      </c>
      <c r="T759">
        <v>2.8</v>
      </c>
      <c r="U759">
        <v>0</v>
      </c>
      <c r="V759">
        <v>1.1000000000000001</v>
      </c>
      <c r="W759">
        <v>7.0000000000000007E-2</v>
      </c>
      <c r="X759">
        <v>7</v>
      </c>
      <c r="Y759">
        <v>1</v>
      </c>
      <c r="Z759">
        <v>18.100000000000001</v>
      </c>
      <c r="AA759">
        <v>37.1</v>
      </c>
      <c r="AB759">
        <v>269</v>
      </c>
      <c r="AC759">
        <v>83</v>
      </c>
      <c r="AD759">
        <v>19.600000000000001</v>
      </c>
      <c r="AE759">
        <v>9.1</v>
      </c>
      <c r="AF759">
        <v>25.715</v>
      </c>
      <c r="AG759">
        <v>56.935000000000002</v>
      </c>
      <c r="AH759">
        <v>74.078000000000003</v>
      </c>
      <c r="AI759">
        <v>9.7680000000000007</v>
      </c>
      <c r="AJ759">
        <v>1.2090000000000001</v>
      </c>
      <c r="AK759">
        <v>1.798</v>
      </c>
      <c r="AL759">
        <v>-8.5619999999999994</v>
      </c>
      <c r="AM759">
        <v>74.078000000000003</v>
      </c>
      <c r="AN759">
        <v>56.935000000000002</v>
      </c>
      <c r="AO759">
        <v>25.715</v>
      </c>
      <c r="AP759">
        <v>8.5619999999999994</v>
      </c>
      <c r="AQ759">
        <v>98.790999999999997</v>
      </c>
      <c r="AR759">
        <v>90.231999999999999</v>
      </c>
      <c r="AS759">
        <v>98.201999999999998</v>
      </c>
    </row>
    <row r="760" spans="1:45" x14ac:dyDescent="0.25">
      <c r="A760">
        <v>34</v>
      </c>
      <c r="B760">
        <v>-6</v>
      </c>
      <c r="C760">
        <v>0</v>
      </c>
      <c r="D760">
        <v>2020</v>
      </c>
      <c r="E760">
        <v>17</v>
      </c>
      <c r="F760" t="str">
        <f>IFERROR(VLOOKUP(G760, Map!$A$1:$B$33, 2, FALSE),"WAS")</f>
        <v>PHI</v>
      </c>
      <c r="G760" t="s">
        <v>147</v>
      </c>
      <c r="H760" t="str">
        <f>IFERROR(VLOOKUP(I760, Map!$A$1:$B$33, 2, FALSE),"WAS")</f>
        <v>WAS</v>
      </c>
      <c r="I760" t="s">
        <v>169</v>
      </c>
      <c r="J760" t="s">
        <v>206</v>
      </c>
      <c r="K760" t="s">
        <v>205</v>
      </c>
      <c r="L760">
        <v>0</v>
      </c>
      <c r="M760">
        <v>0</v>
      </c>
      <c r="N760">
        <v>43.4166666666667</v>
      </c>
      <c r="O760">
        <v>5.625</v>
      </c>
      <c r="P760">
        <v>-1</v>
      </c>
      <c r="Q760">
        <v>43</v>
      </c>
      <c r="R760">
        <v>4.0999999999999996</v>
      </c>
      <c r="S760">
        <v>7.6</v>
      </c>
      <c r="T760">
        <v>1.4</v>
      </c>
      <c r="U760">
        <v>0.9</v>
      </c>
      <c r="V760">
        <v>1.7</v>
      </c>
      <c r="W760">
        <v>0</v>
      </c>
      <c r="X760">
        <v>6</v>
      </c>
      <c r="Y760">
        <v>1.7</v>
      </c>
      <c r="Z760">
        <v>13.7</v>
      </c>
      <c r="AA760">
        <v>28.1</v>
      </c>
      <c r="AB760">
        <v>357</v>
      </c>
      <c r="AC760">
        <v>84</v>
      </c>
      <c r="AD760">
        <v>19.600000000000001</v>
      </c>
      <c r="AE760">
        <v>9.5</v>
      </c>
      <c r="AF760">
        <v>39.347000000000001</v>
      </c>
      <c r="AG760">
        <v>20.295999999999999</v>
      </c>
      <c r="AH760">
        <v>60.337000000000003</v>
      </c>
      <c r="AI760">
        <v>76.715999999999994</v>
      </c>
      <c r="AJ760">
        <v>11.673</v>
      </c>
      <c r="AK760">
        <v>34.189</v>
      </c>
      <c r="AL760">
        <v>-3.512</v>
      </c>
      <c r="AM760">
        <v>60.337000000000003</v>
      </c>
      <c r="AN760">
        <v>20.295999999999999</v>
      </c>
      <c r="AO760">
        <v>39.347000000000001</v>
      </c>
      <c r="AP760">
        <v>3.512</v>
      </c>
      <c r="AQ760">
        <v>88.326999999999998</v>
      </c>
      <c r="AR760">
        <v>23.283999999999999</v>
      </c>
      <c r="AS760">
        <v>65.811000000000007</v>
      </c>
    </row>
    <row r="761" spans="1:45" x14ac:dyDescent="0.25">
      <c r="A761">
        <v>82</v>
      </c>
      <c r="B761">
        <v>30</v>
      </c>
      <c r="C761">
        <v>1</v>
      </c>
      <c r="D761">
        <v>2020</v>
      </c>
      <c r="E761">
        <v>17</v>
      </c>
      <c r="F761" t="str">
        <f>IFERROR(VLOOKUP(G761, Map!$A$1:$B$33, 2, FALSE),"WAS")</f>
        <v>BUF</v>
      </c>
      <c r="G761" t="s">
        <v>165</v>
      </c>
      <c r="H761" t="str">
        <f>IFERROR(VLOOKUP(I761, Map!$A$1:$B$33, 2, FALSE),"WAS")</f>
        <v>MIA</v>
      </c>
      <c r="I761" t="s">
        <v>152</v>
      </c>
      <c r="J761" t="s">
        <v>180</v>
      </c>
      <c r="K761" t="s">
        <v>175</v>
      </c>
      <c r="L761">
        <v>1</v>
      </c>
      <c r="M761">
        <v>0</v>
      </c>
      <c r="N761">
        <v>38.590909090909101</v>
      </c>
      <c r="O761">
        <v>2.0454545454545499</v>
      </c>
      <c r="P761">
        <v>-1</v>
      </c>
      <c r="Q761">
        <v>42</v>
      </c>
      <c r="R761">
        <v>11.4</v>
      </c>
      <c r="S761">
        <v>12.8</v>
      </c>
      <c r="T761">
        <v>10.5</v>
      </c>
      <c r="U761">
        <v>10.3</v>
      </c>
      <c r="V761">
        <v>7.6</v>
      </c>
      <c r="W761">
        <v>0</v>
      </c>
      <c r="X761">
        <v>11</v>
      </c>
      <c r="Y761">
        <v>7.6</v>
      </c>
      <c r="Z761">
        <v>16.600000000000001</v>
      </c>
      <c r="AA761">
        <v>33.5</v>
      </c>
      <c r="AB761">
        <v>260</v>
      </c>
      <c r="AC761">
        <v>92</v>
      </c>
      <c r="AD761">
        <v>19</v>
      </c>
      <c r="AE761">
        <v>8.1999999999999993</v>
      </c>
      <c r="AF761">
        <v>69.7</v>
      </c>
      <c r="AG761">
        <v>57.127000000000002</v>
      </c>
      <c r="AH761">
        <v>30.058</v>
      </c>
      <c r="AI761">
        <v>89.102000000000004</v>
      </c>
      <c r="AJ761">
        <v>81.69</v>
      </c>
      <c r="AK761">
        <v>95.215000000000003</v>
      </c>
      <c r="AL761">
        <v>6.851</v>
      </c>
      <c r="AM761">
        <v>30.058</v>
      </c>
      <c r="AN761">
        <v>57.127000000000002</v>
      </c>
      <c r="AO761">
        <v>69.7</v>
      </c>
      <c r="AP761">
        <v>-6.851</v>
      </c>
      <c r="AQ761">
        <v>18.309999999999999</v>
      </c>
      <c r="AR761">
        <v>10.898</v>
      </c>
      <c r="AS761">
        <v>4.7850000000000001</v>
      </c>
    </row>
    <row r="762" spans="1:45" x14ac:dyDescent="0.25">
      <c r="A762">
        <v>63</v>
      </c>
      <c r="B762">
        <v>-1</v>
      </c>
      <c r="C762">
        <v>0</v>
      </c>
      <c r="D762">
        <v>2020</v>
      </c>
      <c r="E762">
        <v>17</v>
      </c>
      <c r="F762" t="str">
        <f>IFERROR(VLOOKUP(G762, Map!$A$1:$B$33, 2, FALSE),"WAS")</f>
        <v>DEN</v>
      </c>
      <c r="G762" t="s">
        <v>159</v>
      </c>
      <c r="H762" t="str">
        <f>IFERROR(VLOOKUP(I762, Map!$A$1:$B$33, 2, FALSE),"WAS")</f>
        <v>LV</v>
      </c>
      <c r="I762" t="s">
        <v>157</v>
      </c>
      <c r="J762" t="s">
        <v>183</v>
      </c>
      <c r="K762" t="s">
        <v>179</v>
      </c>
      <c r="L762">
        <v>0</v>
      </c>
      <c r="M762">
        <v>0</v>
      </c>
      <c r="N762">
        <v>50.4583333333333</v>
      </c>
      <c r="O762">
        <v>2.2916666666666701</v>
      </c>
      <c r="P762">
        <v>-1</v>
      </c>
      <c r="Q762">
        <v>50</v>
      </c>
      <c r="R762">
        <v>0.7</v>
      </c>
      <c r="S762">
        <v>9.4</v>
      </c>
      <c r="T762">
        <v>-3.8</v>
      </c>
      <c r="U762">
        <v>-4.2</v>
      </c>
      <c r="V762">
        <v>0</v>
      </c>
      <c r="W762">
        <v>0</v>
      </c>
      <c r="X762">
        <v>0</v>
      </c>
      <c r="Y762">
        <v>0</v>
      </c>
      <c r="Z762">
        <v>14.5</v>
      </c>
      <c r="AA762">
        <v>26.3</v>
      </c>
      <c r="AB762">
        <v>126</v>
      </c>
      <c r="AC762">
        <v>41</v>
      </c>
      <c r="AD762">
        <v>19.2</v>
      </c>
      <c r="AE762">
        <v>9.9</v>
      </c>
      <c r="AF762">
        <v>46.237000000000002</v>
      </c>
      <c r="AG762">
        <v>30.52</v>
      </c>
      <c r="AH762">
        <v>53.392000000000003</v>
      </c>
      <c r="AI762">
        <v>45.174999999999997</v>
      </c>
      <c r="AJ762">
        <v>68.200999999999993</v>
      </c>
      <c r="AK762">
        <v>52.381</v>
      </c>
      <c r="AL762">
        <v>-1.1850000000000001</v>
      </c>
      <c r="AM762">
        <v>53.392000000000003</v>
      </c>
      <c r="AN762">
        <v>30.52</v>
      </c>
      <c r="AO762">
        <v>46.237000000000002</v>
      </c>
      <c r="AP762">
        <v>1.1850000000000001</v>
      </c>
      <c r="AQ762">
        <v>31.798999999999999</v>
      </c>
      <c r="AR762">
        <v>54.825000000000003</v>
      </c>
      <c r="AS762">
        <v>47.619</v>
      </c>
    </row>
    <row r="763" spans="1:45" x14ac:dyDescent="0.25">
      <c r="A763">
        <v>51</v>
      </c>
      <c r="B763">
        <v>-19</v>
      </c>
      <c r="C763">
        <v>0</v>
      </c>
      <c r="D763">
        <v>2020</v>
      </c>
      <c r="E763">
        <v>17</v>
      </c>
      <c r="F763" t="str">
        <f>IFERROR(VLOOKUP(G763, Map!$A$1:$B$33, 2, FALSE),"WAS")</f>
        <v>CHI</v>
      </c>
      <c r="G763" t="s">
        <v>163</v>
      </c>
      <c r="H763" t="str">
        <f>IFERROR(VLOOKUP(I763, Map!$A$1:$B$33, 2, FALSE),"WAS")</f>
        <v>GB</v>
      </c>
      <c r="I763" t="s">
        <v>154</v>
      </c>
      <c r="J763" t="s">
        <v>216</v>
      </c>
      <c r="K763" t="s">
        <v>200</v>
      </c>
      <c r="L763">
        <v>0</v>
      </c>
      <c r="M763">
        <v>0</v>
      </c>
      <c r="N763">
        <v>44.4583333333333</v>
      </c>
      <c r="O763">
        <v>4.0416666666666696</v>
      </c>
      <c r="P763">
        <v>4</v>
      </c>
      <c r="Q763">
        <v>48</v>
      </c>
      <c r="R763">
        <v>0.6</v>
      </c>
      <c r="S763">
        <v>2.2999999999999998</v>
      </c>
      <c r="T763">
        <v>-0.4</v>
      </c>
      <c r="U763">
        <v>-3.1</v>
      </c>
      <c r="V763">
        <v>3.3</v>
      </c>
      <c r="W763">
        <v>2.31</v>
      </c>
      <c r="X763">
        <v>12</v>
      </c>
      <c r="Y763">
        <v>0</v>
      </c>
      <c r="Z763">
        <v>12.4</v>
      </c>
      <c r="AA763">
        <v>21.6</v>
      </c>
      <c r="AB763">
        <v>293</v>
      </c>
      <c r="AC763">
        <v>91</v>
      </c>
      <c r="AD763">
        <v>16</v>
      </c>
      <c r="AE763">
        <v>9.8000000000000007</v>
      </c>
      <c r="AF763">
        <v>33.856999999999999</v>
      </c>
      <c r="AG763">
        <v>74.400999999999996</v>
      </c>
      <c r="AH763">
        <v>65.870999999999995</v>
      </c>
      <c r="AI763">
        <v>2.601</v>
      </c>
      <c r="AJ763">
        <v>34.259</v>
      </c>
      <c r="AK763">
        <v>18.271000000000001</v>
      </c>
      <c r="AL763">
        <v>-5.444</v>
      </c>
      <c r="AM763">
        <v>65.870999999999995</v>
      </c>
      <c r="AN763">
        <v>74.400999999999996</v>
      </c>
      <c r="AO763">
        <v>33.856999999999999</v>
      </c>
      <c r="AP763">
        <v>5.444</v>
      </c>
      <c r="AQ763">
        <v>65.741</v>
      </c>
      <c r="AR763">
        <v>97.399000000000001</v>
      </c>
      <c r="AS763">
        <v>81.728999999999999</v>
      </c>
    </row>
    <row r="764" spans="1:45" x14ac:dyDescent="0.25">
      <c r="A764">
        <v>42</v>
      </c>
      <c r="B764">
        <v>4</v>
      </c>
      <c r="C764">
        <v>1</v>
      </c>
      <c r="D764">
        <v>2020</v>
      </c>
      <c r="E764">
        <v>17</v>
      </c>
      <c r="F764" t="str">
        <f>IFERROR(VLOOKUP(G764, Map!$A$1:$B$33, 2, FALSE),"WAS")</f>
        <v>NYG</v>
      </c>
      <c r="G764" t="s">
        <v>149</v>
      </c>
      <c r="H764" t="str">
        <f>IFERROR(VLOOKUP(I764, Map!$A$1:$B$33, 2, FALSE),"WAS")</f>
        <v>DAL</v>
      </c>
      <c r="I764" t="s">
        <v>150</v>
      </c>
      <c r="J764" t="s">
        <v>219</v>
      </c>
      <c r="K764" t="s">
        <v>184</v>
      </c>
      <c r="L764">
        <v>1</v>
      </c>
      <c r="M764">
        <v>0</v>
      </c>
      <c r="N764">
        <v>40.384615384615401</v>
      </c>
      <c r="O764">
        <v>1.65384615384615</v>
      </c>
      <c r="P764">
        <v>1.5</v>
      </c>
      <c r="Q764">
        <v>43.5</v>
      </c>
      <c r="R764">
        <v>1.2</v>
      </c>
      <c r="S764">
        <v>3.4</v>
      </c>
      <c r="T764">
        <v>-1.7</v>
      </c>
      <c r="U764">
        <v>-3</v>
      </c>
      <c r="V764">
        <v>4.7</v>
      </c>
      <c r="W764">
        <v>0.91</v>
      </c>
      <c r="X764">
        <v>8</v>
      </c>
      <c r="Y764">
        <v>3.4</v>
      </c>
      <c r="Z764">
        <v>20</v>
      </c>
      <c r="AA764">
        <v>38.5</v>
      </c>
      <c r="AB764">
        <v>28</v>
      </c>
      <c r="AC764">
        <v>84</v>
      </c>
      <c r="AD764">
        <v>27</v>
      </c>
      <c r="AE764">
        <v>13.1</v>
      </c>
      <c r="AF764">
        <v>59.55</v>
      </c>
      <c r="AG764">
        <v>23.373000000000001</v>
      </c>
      <c r="AH764">
        <v>40.128</v>
      </c>
      <c r="AI764">
        <v>70.513000000000005</v>
      </c>
      <c r="AJ764">
        <v>56.189</v>
      </c>
      <c r="AK764">
        <v>62.613</v>
      </c>
      <c r="AL764">
        <v>3.2440000000000002</v>
      </c>
      <c r="AM764">
        <v>40.128</v>
      </c>
      <c r="AN764">
        <v>23.373000000000001</v>
      </c>
      <c r="AO764">
        <v>59.55</v>
      </c>
      <c r="AP764">
        <v>-3.2440000000000002</v>
      </c>
      <c r="AQ764">
        <v>43.811</v>
      </c>
      <c r="AR764">
        <v>29.486999999999998</v>
      </c>
      <c r="AS764">
        <v>37.387</v>
      </c>
    </row>
    <row r="765" spans="1:45" x14ac:dyDescent="0.25">
      <c r="A765">
        <v>40</v>
      </c>
      <c r="B765">
        <v>-26</v>
      </c>
      <c r="C765">
        <v>0</v>
      </c>
      <c r="D765">
        <v>2020</v>
      </c>
      <c r="E765">
        <v>17</v>
      </c>
      <c r="F765" t="str">
        <f>IFERROR(VLOOKUP(G765, Map!$A$1:$B$33, 2, FALSE),"WAS")</f>
        <v>CAR</v>
      </c>
      <c r="G765" t="s">
        <v>142</v>
      </c>
      <c r="H765" t="str">
        <f>IFERROR(VLOOKUP(I765, Map!$A$1:$B$33, 2, FALSE),"WAS")</f>
        <v>NO</v>
      </c>
      <c r="I765" t="s">
        <v>168</v>
      </c>
      <c r="J765" t="s">
        <v>185</v>
      </c>
      <c r="K765" t="s">
        <v>192</v>
      </c>
      <c r="L765">
        <v>0</v>
      </c>
      <c r="M765">
        <v>0</v>
      </c>
      <c r="N765">
        <v>43.038461538461497</v>
      </c>
      <c r="O765">
        <v>5.4230769230769198</v>
      </c>
      <c r="P765">
        <v>5.5</v>
      </c>
      <c r="Q765">
        <v>46.5</v>
      </c>
      <c r="R765">
        <v>10.9</v>
      </c>
      <c r="S765">
        <v>12.5</v>
      </c>
      <c r="T765">
        <v>9</v>
      </c>
      <c r="U765">
        <v>9.6999999999999993</v>
      </c>
      <c r="V765">
        <v>9.9</v>
      </c>
      <c r="W765">
        <v>0</v>
      </c>
      <c r="X765">
        <v>11</v>
      </c>
      <c r="Y765">
        <v>9.9</v>
      </c>
      <c r="Z765">
        <v>16.3</v>
      </c>
      <c r="AA765">
        <v>33.5</v>
      </c>
      <c r="AB765">
        <v>273</v>
      </c>
      <c r="AC765">
        <v>93</v>
      </c>
      <c r="AD765">
        <v>16.899999999999999</v>
      </c>
      <c r="AE765">
        <v>8</v>
      </c>
      <c r="AF765">
        <v>26.952000000000002</v>
      </c>
      <c r="AG765">
        <v>70.686000000000007</v>
      </c>
      <c r="AH765">
        <v>72.831999999999994</v>
      </c>
      <c r="AI765">
        <v>19.995000000000001</v>
      </c>
      <c r="AJ765">
        <v>6.97</v>
      </c>
      <c r="AK765">
        <v>6.859</v>
      </c>
      <c r="AL765">
        <v>-8.0609999999999999</v>
      </c>
      <c r="AM765">
        <v>72.831999999999994</v>
      </c>
      <c r="AN765">
        <v>70.686000000000007</v>
      </c>
      <c r="AO765">
        <v>26.952000000000002</v>
      </c>
      <c r="AP765">
        <v>8.0609999999999999</v>
      </c>
      <c r="AQ765">
        <v>93.03</v>
      </c>
      <c r="AR765">
        <v>80.004999999999995</v>
      </c>
      <c r="AS765">
        <v>93.141000000000005</v>
      </c>
    </row>
    <row r="766" spans="1:45" x14ac:dyDescent="0.25">
      <c r="A766">
        <v>59</v>
      </c>
      <c r="B766">
        <v>-17</v>
      </c>
      <c r="C766">
        <v>0</v>
      </c>
      <c r="D766">
        <v>2020</v>
      </c>
      <c r="E766">
        <v>17</v>
      </c>
      <c r="F766" t="str">
        <f>IFERROR(VLOOKUP(G766, Map!$A$1:$B$33, 2, FALSE),"WAS")</f>
        <v>KC</v>
      </c>
      <c r="G766" t="s">
        <v>158</v>
      </c>
      <c r="H766" t="str">
        <f>IFERROR(VLOOKUP(I766, Map!$A$1:$B$33, 2, FALSE),"WAS")</f>
        <v>LAC</v>
      </c>
      <c r="I766" t="s">
        <v>160</v>
      </c>
      <c r="J766" t="s">
        <v>202</v>
      </c>
      <c r="K766" t="s">
        <v>210</v>
      </c>
      <c r="L766">
        <v>0</v>
      </c>
      <c r="M766">
        <v>0</v>
      </c>
      <c r="N766">
        <v>39.846153846153797</v>
      </c>
      <c r="O766">
        <v>5.6153846153846203</v>
      </c>
      <c r="P766">
        <v>3.5</v>
      </c>
      <c r="Q766">
        <v>42.5</v>
      </c>
      <c r="R766">
        <v>-3.1</v>
      </c>
      <c r="S766">
        <v>7.8</v>
      </c>
      <c r="T766">
        <v>-9.5</v>
      </c>
      <c r="U766">
        <v>-7.3</v>
      </c>
      <c r="V766">
        <v>0</v>
      </c>
      <c r="W766">
        <v>0</v>
      </c>
      <c r="X766">
        <v>0</v>
      </c>
      <c r="Y766">
        <v>0</v>
      </c>
      <c r="Z766">
        <v>13.5</v>
      </c>
      <c r="AA766">
        <v>18.7</v>
      </c>
      <c r="AB766">
        <v>206</v>
      </c>
      <c r="AC766">
        <v>88</v>
      </c>
      <c r="AD766">
        <v>15.9</v>
      </c>
      <c r="AE766">
        <v>9.6999999999999993</v>
      </c>
      <c r="AF766">
        <v>65.540000000000006</v>
      </c>
      <c r="AG766">
        <v>52.731000000000002</v>
      </c>
      <c r="AH766">
        <v>34.185000000000002</v>
      </c>
      <c r="AI766">
        <v>8.3729999999999993</v>
      </c>
      <c r="AJ766">
        <v>70.341999999999999</v>
      </c>
      <c r="AK766">
        <v>13.41</v>
      </c>
      <c r="AL766">
        <v>5.3259999999999996</v>
      </c>
      <c r="AM766">
        <v>34.185000000000002</v>
      </c>
      <c r="AN766">
        <v>52.731000000000002</v>
      </c>
      <c r="AO766">
        <v>65.540000000000006</v>
      </c>
      <c r="AP766">
        <v>-5.3259999999999996</v>
      </c>
      <c r="AQ766">
        <v>29.658000000000001</v>
      </c>
      <c r="AR766">
        <v>91.626999999999995</v>
      </c>
      <c r="AS766">
        <v>86.59</v>
      </c>
    </row>
    <row r="767" spans="1:45" x14ac:dyDescent="0.25">
      <c r="A767">
        <v>71</v>
      </c>
      <c r="B767">
        <v>17</v>
      </c>
      <c r="C767">
        <v>1</v>
      </c>
      <c r="D767">
        <v>2020</v>
      </c>
      <c r="E767">
        <v>17</v>
      </c>
      <c r="F767" t="str">
        <f>IFERROR(VLOOKUP(G767, Map!$A$1:$B$33, 2, FALSE),"WAS")</f>
        <v>TB</v>
      </c>
      <c r="G767" t="s">
        <v>141</v>
      </c>
      <c r="H767" t="str">
        <f>IFERROR(VLOOKUP(I767, Map!$A$1:$B$33, 2, FALSE),"WAS")</f>
        <v>ATL</v>
      </c>
      <c r="I767" t="s">
        <v>167</v>
      </c>
      <c r="J767" t="s">
        <v>186</v>
      </c>
      <c r="K767" t="s">
        <v>188</v>
      </c>
      <c r="L767">
        <v>1</v>
      </c>
      <c r="M767">
        <v>0</v>
      </c>
      <c r="N767">
        <v>46.4583333333333</v>
      </c>
      <c r="O767">
        <v>-6.3333333333333304</v>
      </c>
      <c r="P767">
        <v>-6.5</v>
      </c>
      <c r="Q767">
        <v>50</v>
      </c>
      <c r="R767">
        <v>19.2</v>
      </c>
      <c r="S767">
        <v>21.8</v>
      </c>
      <c r="T767">
        <v>15.7</v>
      </c>
      <c r="U767">
        <v>19.3</v>
      </c>
      <c r="V767">
        <v>7.7</v>
      </c>
      <c r="W767">
        <v>0</v>
      </c>
      <c r="X767">
        <v>6</v>
      </c>
      <c r="Y767">
        <v>7.7</v>
      </c>
      <c r="Z767">
        <v>23.2</v>
      </c>
      <c r="AA767">
        <v>50.4</v>
      </c>
      <c r="AB767">
        <v>235</v>
      </c>
      <c r="AC767">
        <v>88</v>
      </c>
      <c r="AD767">
        <v>33.4</v>
      </c>
      <c r="AE767">
        <v>17.7</v>
      </c>
      <c r="AF767">
        <v>74.298000000000002</v>
      </c>
      <c r="AG767">
        <v>66.540000000000006</v>
      </c>
      <c r="AH767">
        <v>25.497</v>
      </c>
      <c r="AI767">
        <v>31.077999999999999</v>
      </c>
      <c r="AJ767">
        <v>97.528000000000006</v>
      </c>
      <c r="AK767">
        <v>86.22</v>
      </c>
      <c r="AL767">
        <v>8.6509999999999998</v>
      </c>
      <c r="AM767">
        <v>25.497</v>
      </c>
      <c r="AN767">
        <v>66.540000000000006</v>
      </c>
      <c r="AO767">
        <v>74.298000000000002</v>
      </c>
      <c r="AP767">
        <v>-8.6509999999999998</v>
      </c>
      <c r="AQ767">
        <v>2.472</v>
      </c>
      <c r="AR767">
        <v>68.921999999999997</v>
      </c>
      <c r="AS767">
        <v>13.78</v>
      </c>
    </row>
    <row r="768" spans="1:45" x14ac:dyDescent="0.25">
      <c r="A768">
        <v>42</v>
      </c>
      <c r="B768">
        <v>14</v>
      </c>
      <c r="C768">
        <v>1</v>
      </c>
      <c r="D768">
        <v>2020</v>
      </c>
      <c r="E768">
        <v>17</v>
      </c>
      <c r="F768" t="str">
        <f>IFERROR(VLOOKUP(G768, Map!$A$1:$B$33, 2, FALSE),"WAS")</f>
        <v>IND</v>
      </c>
      <c r="G768" t="s">
        <v>138</v>
      </c>
      <c r="H768" t="str">
        <f>IFERROR(VLOOKUP(I768, Map!$A$1:$B$33, 2, FALSE),"WAS")</f>
        <v>JAX</v>
      </c>
      <c r="I768" t="s">
        <v>139</v>
      </c>
      <c r="J768" t="s">
        <v>177</v>
      </c>
      <c r="K768" t="s">
        <v>220</v>
      </c>
      <c r="L768">
        <v>1</v>
      </c>
      <c r="M768">
        <v>0</v>
      </c>
      <c r="N768">
        <v>44.3333333333333</v>
      </c>
      <c r="O768">
        <v>-14.0416666666667</v>
      </c>
      <c r="P768">
        <v>-14</v>
      </c>
      <c r="Q768">
        <v>48</v>
      </c>
      <c r="R768">
        <v>1</v>
      </c>
      <c r="S768">
        <v>2.1</v>
      </c>
      <c r="T768">
        <v>0.4</v>
      </c>
      <c r="U768">
        <v>-2.6</v>
      </c>
      <c r="V768">
        <v>0.8</v>
      </c>
      <c r="W768">
        <v>0.49</v>
      </c>
      <c r="X768">
        <v>5</v>
      </c>
      <c r="Y768">
        <v>0.1</v>
      </c>
      <c r="Z768">
        <v>16</v>
      </c>
      <c r="AA768">
        <v>31.7</v>
      </c>
      <c r="AB768">
        <v>239</v>
      </c>
      <c r="AC768">
        <v>90</v>
      </c>
      <c r="AD768">
        <v>19.3</v>
      </c>
      <c r="AE768">
        <v>9.8000000000000007</v>
      </c>
      <c r="AF768">
        <v>85.350999999999999</v>
      </c>
      <c r="AG768">
        <v>41.478000000000002</v>
      </c>
      <c r="AH768">
        <v>14.532</v>
      </c>
      <c r="AI768">
        <v>88.46</v>
      </c>
      <c r="AJ768">
        <v>74.936000000000007</v>
      </c>
      <c r="AK768">
        <v>83.17</v>
      </c>
      <c r="AL768">
        <v>13.907999999999999</v>
      </c>
      <c r="AM768">
        <v>14.532</v>
      </c>
      <c r="AN768">
        <v>41.478000000000002</v>
      </c>
      <c r="AO768">
        <v>85.350999999999999</v>
      </c>
      <c r="AP768">
        <v>-13.907999999999999</v>
      </c>
      <c r="AQ768">
        <v>25.064</v>
      </c>
      <c r="AR768">
        <v>11.54</v>
      </c>
      <c r="AS768">
        <v>16.829999999999998</v>
      </c>
    </row>
    <row r="769" spans="1:45" x14ac:dyDescent="0.25">
      <c r="A769">
        <v>42</v>
      </c>
      <c r="B769">
        <v>14</v>
      </c>
      <c r="C769">
        <v>1</v>
      </c>
      <c r="D769">
        <v>2020</v>
      </c>
      <c r="E769">
        <v>17</v>
      </c>
      <c r="F769" t="str">
        <f>IFERROR(VLOOKUP(G769, Map!$A$1:$B$33, 2, FALSE),"WAS")</f>
        <v>NE</v>
      </c>
      <c r="G769" t="s">
        <v>151</v>
      </c>
      <c r="H769" t="str">
        <f>IFERROR(VLOOKUP(I769, Map!$A$1:$B$33, 2, FALSE),"WAS")</f>
        <v>NYJ</v>
      </c>
      <c r="I769" t="s">
        <v>166</v>
      </c>
      <c r="J769" t="s">
        <v>187</v>
      </c>
      <c r="K769" t="s">
        <v>172</v>
      </c>
      <c r="L769">
        <v>1</v>
      </c>
      <c r="M769">
        <v>0</v>
      </c>
      <c r="N769">
        <v>37.423076923076898</v>
      </c>
      <c r="O769">
        <v>-2.7692307692307701</v>
      </c>
      <c r="P769">
        <v>-3</v>
      </c>
      <c r="Q769">
        <v>40</v>
      </c>
      <c r="R769">
        <v>-0.2</v>
      </c>
      <c r="S769">
        <v>2.8</v>
      </c>
      <c r="T769">
        <v>-3.6</v>
      </c>
      <c r="U769">
        <v>-4.4000000000000004</v>
      </c>
      <c r="V769">
        <v>1.2</v>
      </c>
      <c r="W769">
        <v>0.84</v>
      </c>
      <c r="X769">
        <v>3</v>
      </c>
      <c r="Y769">
        <v>0</v>
      </c>
      <c r="Z769">
        <v>19</v>
      </c>
      <c r="AA769">
        <v>47.5</v>
      </c>
      <c r="AB769">
        <v>9</v>
      </c>
      <c r="AC769">
        <v>79</v>
      </c>
      <c r="AD769">
        <v>26.4</v>
      </c>
      <c r="AE769">
        <v>11</v>
      </c>
      <c r="AF769">
        <v>73.084999999999994</v>
      </c>
      <c r="AG769">
        <v>32.197000000000003</v>
      </c>
      <c r="AH769">
        <v>26.7</v>
      </c>
      <c r="AI769">
        <v>50.395000000000003</v>
      </c>
      <c r="AJ769">
        <v>86.707999999999998</v>
      </c>
      <c r="AK769">
        <v>78.98</v>
      </c>
      <c r="AL769">
        <v>8.1620000000000008</v>
      </c>
      <c r="AM769">
        <v>26.7</v>
      </c>
      <c r="AN769">
        <v>32.197000000000003</v>
      </c>
      <c r="AO769">
        <v>73.084999999999994</v>
      </c>
      <c r="AP769">
        <v>-8.1620000000000008</v>
      </c>
      <c r="AQ769">
        <v>13.292</v>
      </c>
      <c r="AR769">
        <v>49.604999999999997</v>
      </c>
      <c r="AS769">
        <v>21.02</v>
      </c>
    </row>
    <row r="770" spans="1:45" x14ac:dyDescent="0.25">
      <c r="A770">
        <v>44</v>
      </c>
      <c r="B770">
        <v>-12</v>
      </c>
      <c r="C770">
        <v>0</v>
      </c>
      <c r="D770">
        <v>2021</v>
      </c>
      <c r="E770">
        <v>1</v>
      </c>
      <c r="F770" t="str">
        <f>IFERROR(VLOOKUP(G770, Map!$A$1:$B$33, 2, FALSE),"WAS")</f>
        <v>IND</v>
      </c>
      <c r="G770" t="s">
        <v>138</v>
      </c>
      <c r="H770" t="str">
        <f>IFERROR(VLOOKUP(I770, Map!$A$1:$B$33, 2, FALSE),"WAS")</f>
        <v>SEA</v>
      </c>
      <c r="I770" t="s">
        <v>144</v>
      </c>
      <c r="J770" t="s">
        <v>177</v>
      </c>
      <c r="K770" t="s">
        <v>182</v>
      </c>
      <c r="L770">
        <v>0</v>
      </c>
      <c r="M770">
        <v>0</v>
      </c>
      <c r="N770">
        <v>45.78125</v>
      </c>
      <c r="O770">
        <v>2.75</v>
      </c>
      <c r="P770">
        <v>2.5</v>
      </c>
      <c r="Q770">
        <v>48</v>
      </c>
      <c r="R770">
        <v>25.5</v>
      </c>
      <c r="S770">
        <v>32</v>
      </c>
      <c r="T770">
        <v>21.6</v>
      </c>
      <c r="U770">
        <v>24.9</v>
      </c>
      <c r="V770">
        <v>0</v>
      </c>
      <c r="W770">
        <v>0</v>
      </c>
      <c r="X770">
        <v>0</v>
      </c>
      <c r="Y770">
        <v>0</v>
      </c>
      <c r="Z770">
        <v>23.7</v>
      </c>
      <c r="AA770">
        <v>45.4</v>
      </c>
      <c r="AB770">
        <v>223</v>
      </c>
      <c r="AC770">
        <v>57</v>
      </c>
      <c r="AD770">
        <v>38.4</v>
      </c>
      <c r="AE770">
        <v>20</v>
      </c>
      <c r="AF770">
        <v>52.680999999999997</v>
      </c>
      <c r="AG770">
        <v>65.341999999999999</v>
      </c>
      <c r="AH770">
        <v>46.942</v>
      </c>
      <c r="AI770">
        <v>13.948</v>
      </c>
      <c r="AJ770">
        <v>27.664000000000001</v>
      </c>
      <c r="AK770">
        <v>15.762</v>
      </c>
      <c r="AL770">
        <v>1.0349999999999999</v>
      </c>
      <c r="AM770">
        <v>46.942</v>
      </c>
      <c r="AN770">
        <v>65.341999999999999</v>
      </c>
      <c r="AO770">
        <v>52.680999999999997</v>
      </c>
      <c r="AP770">
        <v>-1.0349999999999999</v>
      </c>
      <c r="AQ770">
        <v>72.335999999999999</v>
      </c>
      <c r="AR770">
        <v>86.052000000000007</v>
      </c>
      <c r="AS770">
        <v>84.238</v>
      </c>
    </row>
    <row r="771" spans="1:45" x14ac:dyDescent="0.25">
      <c r="A771">
        <v>62</v>
      </c>
      <c r="B771">
        <v>4</v>
      </c>
      <c r="C771">
        <v>1</v>
      </c>
      <c r="D771">
        <v>2021</v>
      </c>
      <c r="E771">
        <v>1</v>
      </c>
      <c r="F771" t="str">
        <f>IFERROR(VLOOKUP(G771, Map!$A$1:$B$33, 2, FALSE),"WAS")</f>
        <v>KC</v>
      </c>
      <c r="G771" t="s">
        <v>158</v>
      </c>
      <c r="H771" t="str">
        <f>IFERROR(VLOOKUP(I771, Map!$A$1:$B$33, 2, FALSE),"WAS")</f>
        <v>CLE</v>
      </c>
      <c r="I771" t="s">
        <v>162</v>
      </c>
      <c r="J771" t="s">
        <v>202</v>
      </c>
      <c r="K771" t="s">
        <v>171</v>
      </c>
      <c r="L771">
        <v>1</v>
      </c>
      <c r="M771">
        <v>0</v>
      </c>
      <c r="N771">
        <v>51</v>
      </c>
      <c r="O771">
        <v>-5.09375</v>
      </c>
      <c r="P771">
        <v>-5</v>
      </c>
      <c r="Q771">
        <v>52.5</v>
      </c>
      <c r="R771">
        <v>27.3</v>
      </c>
      <c r="S771">
        <v>32.700000000000003</v>
      </c>
      <c r="T771">
        <v>22.6</v>
      </c>
      <c r="U771">
        <v>26.8</v>
      </c>
      <c r="V771">
        <v>0</v>
      </c>
      <c r="W771">
        <v>0</v>
      </c>
      <c r="X771">
        <v>0</v>
      </c>
      <c r="Y771">
        <v>0</v>
      </c>
      <c r="Z771">
        <v>22.2</v>
      </c>
      <c r="AA771">
        <v>40.700000000000003</v>
      </c>
      <c r="AB771">
        <v>211</v>
      </c>
      <c r="AC771">
        <v>48</v>
      </c>
      <c r="AD771">
        <v>33.9</v>
      </c>
      <c r="AE771">
        <v>17.8</v>
      </c>
      <c r="AF771">
        <v>67.643000000000001</v>
      </c>
      <c r="AG771">
        <v>64.668999999999997</v>
      </c>
      <c r="AH771">
        <v>32.098999999999997</v>
      </c>
      <c r="AI771">
        <v>15.497</v>
      </c>
      <c r="AJ771">
        <v>82.620999999999995</v>
      </c>
      <c r="AK771">
        <v>59.378999999999998</v>
      </c>
      <c r="AL771">
        <v>6.6340000000000003</v>
      </c>
      <c r="AM771">
        <v>32.098999999999997</v>
      </c>
      <c r="AN771">
        <v>64.668999999999997</v>
      </c>
      <c r="AO771">
        <v>67.643000000000001</v>
      </c>
      <c r="AP771">
        <v>-6.6340000000000003</v>
      </c>
      <c r="AQ771">
        <v>17.379000000000001</v>
      </c>
      <c r="AR771">
        <v>84.503</v>
      </c>
      <c r="AS771">
        <v>40.621000000000002</v>
      </c>
    </row>
    <row r="772" spans="1:45" x14ac:dyDescent="0.25">
      <c r="A772">
        <v>58</v>
      </c>
      <c r="B772">
        <v>16</v>
      </c>
      <c r="C772">
        <v>1</v>
      </c>
      <c r="D772">
        <v>2021</v>
      </c>
      <c r="E772">
        <v>1</v>
      </c>
      <c r="F772" t="str">
        <f>IFERROR(VLOOKUP(G772, Map!$A$1:$B$33, 2, FALSE),"WAS")</f>
        <v>HOU</v>
      </c>
      <c r="G772" t="s">
        <v>137</v>
      </c>
      <c r="H772" t="str">
        <f>IFERROR(VLOOKUP(I772, Map!$A$1:$B$33, 2, FALSE),"WAS")</f>
        <v>JAX</v>
      </c>
      <c r="I772" t="s">
        <v>139</v>
      </c>
      <c r="J772" t="s">
        <v>209</v>
      </c>
      <c r="K772" t="s">
        <v>220</v>
      </c>
      <c r="L772">
        <v>1</v>
      </c>
      <c r="M772">
        <v>0</v>
      </c>
      <c r="N772">
        <v>42.3333333333333</v>
      </c>
      <c r="O772">
        <v>3</v>
      </c>
      <c r="P772">
        <v>2.5</v>
      </c>
      <c r="Q772">
        <v>44.5</v>
      </c>
      <c r="R772">
        <v>26.3</v>
      </c>
      <c r="S772">
        <v>31.5</v>
      </c>
      <c r="T772">
        <v>21.8</v>
      </c>
      <c r="U772">
        <v>28.5</v>
      </c>
      <c r="V772">
        <v>0.3</v>
      </c>
      <c r="W772">
        <v>0</v>
      </c>
      <c r="X772">
        <v>2</v>
      </c>
      <c r="Y772">
        <v>0.3</v>
      </c>
      <c r="Z772">
        <v>19.5</v>
      </c>
      <c r="AA772">
        <v>35.6</v>
      </c>
      <c r="AB772">
        <v>89</v>
      </c>
      <c r="AC772">
        <v>69</v>
      </c>
      <c r="AD772">
        <v>23</v>
      </c>
      <c r="AE772">
        <v>12.7</v>
      </c>
      <c r="AF772">
        <v>47.706000000000003</v>
      </c>
      <c r="AG772">
        <v>2.4460000000000002</v>
      </c>
      <c r="AH772">
        <v>51.91</v>
      </c>
      <c r="AI772">
        <v>79.867000000000004</v>
      </c>
      <c r="AJ772">
        <v>83.850999999999999</v>
      </c>
      <c r="AK772">
        <v>90.983999999999995</v>
      </c>
      <c r="AL772">
        <v>-0.75800000000000001</v>
      </c>
      <c r="AM772">
        <v>51.91</v>
      </c>
      <c r="AN772">
        <v>2.4460000000000002</v>
      </c>
      <c r="AO772">
        <v>47.706000000000003</v>
      </c>
      <c r="AP772">
        <v>0.75800000000000001</v>
      </c>
      <c r="AQ772">
        <v>16.149000000000001</v>
      </c>
      <c r="AR772">
        <v>20.132999999999999</v>
      </c>
      <c r="AS772">
        <v>9.016</v>
      </c>
    </row>
    <row r="773" spans="1:45" x14ac:dyDescent="0.25">
      <c r="A773">
        <v>40</v>
      </c>
      <c r="B773">
        <v>-14</v>
      </c>
      <c r="C773">
        <v>0</v>
      </c>
      <c r="D773">
        <v>2021</v>
      </c>
      <c r="E773">
        <v>1</v>
      </c>
      <c r="F773" t="str">
        <f>IFERROR(VLOOKUP(G773, Map!$A$1:$B$33, 2, FALSE),"WAS")</f>
        <v>NYG</v>
      </c>
      <c r="G773" t="s">
        <v>149</v>
      </c>
      <c r="H773" t="str">
        <f>IFERROR(VLOOKUP(I773, Map!$A$1:$B$33, 2, FALSE),"WAS")</f>
        <v>DEN</v>
      </c>
      <c r="I773" t="s">
        <v>159</v>
      </c>
      <c r="J773" t="s">
        <v>219</v>
      </c>
      <c r="K773" t="s">
        <v>183</v>
      </c>
      <c r="L773">
        <v>0</v>
      </c>
      <c r="M773">
        <v>0</v>
      </c>
      <c r="N773">
        <v>38.9375</v>
      </c>
      <c r="O773">
        <v>2.5625</v>
      </c>
      <c r="P773">
        <v>2</v>
      </c>
      <c r="Q773">
        <v>41</v>
      </c>
      <c r="R773">
        <v>22</v>
      </c>
      <c r="S773">
        <v>28.9</v>
      </c>
      <c r="T773">
        <v>18</v>
      </c>
      <c r="U773">
        <v>21.8</v>
      </c>
      <c r="V773">
        <v>0</v>
      </c>
      <c r="W773">
        <v>0</v>
      </c>
      <c r="X773">
        <v>0</v>
      </c>
      <c r="Y773">
        <v>0</v>
      </c>
      <c r="Z773">
        <v>22.3</v>
      </c>
      <c r="AA773">
        <v>45.4</v>
      </c>
      <c r="AB773">
        <v>232</v>
      </c>
      <c r="AC773">
        <v>67</v>
      </c>
      <c r="AD773">
        <v>31.3</v>
      </c>
      <c r="AE773">
        <v>15.4</v>
      </c>
      <c r="AF773">
        <v>52.991999999999997</v>
      </c>
      <c r="AG773">
        <v>29.629000000000001</v>
      </c>
      <c r="AH773">
        <v>46.634</v>
      </c>
      <c r="AI773">
        <v>15.694000000000001</v>
      </c>
      <c r="AJ773">
        <v>39.823</v>
      </c>
      <c r="AK773">
        <v>17.472999999999999</v>
      </c>
      <c r="AL773">
        <v>1.147</v>
      </c>
      <c r="AM773">
        <v>46.634</v>
      </c>
      <c r="AN773">
        <v>29.629000000000001</v>
      </c>
      <c r="AO773">
        <v>52.991999999999997</v>
      </c>
      <c r="AP773">
        <v>-1.147</v>
      </c>
      <c r="AQ773">
        <v>60.177</v>
      </c>
      <c r="AR773">
        <v>84.305999999999997</v>
      </c>
      <c r="AS773">
        <v>82.527000000000001</v>
      </c>
    </row>
    <row r="774" spans="1:45" x14ac:dyDescent="0.25">
      <c r="A774">
        <v>51</v>
      </c>
      <c r="B774">
        <v>3</v>
      </c>
      <c r="C774">
        <v>1</v>
      </c>
      <c r="D774">
        <v>2021</v>
      </c>
      <c r="E774">
        <v>1</v>
      </c>
      <c r="F774" t="str">
        <f>IFERROR(VLOOKUP(G774, Map!$A$1:$B$33, 2, FALSE),"WAS")</f>
        <v>CIN</v>
      </c>
      <c r="G774" t="s">
        <v>161</v>
      </c>
      <c r="H774" t="str">
        <f>IFERROR(VLOOKUP(I774, Map!$A$1:$B$33, 2, FALSE),"WAS")</f>
        <v>MIN</v>
      </c>
      <c r="I774" t="s">
        <v>153</v>
      </c>
      <c r="J774" t="s">
        <v>176</v>
      </c>
      <c r="K774" t="s">
        <v>214</v>
      </c>
      <c r="L774">
        <v>1</v>
      </c>
      <c r="M774">
        <v>0</v>
      </c>
      <c r="N774">
        <v>44.28125</v>
      </c>
      <c r="O774">
        <v>2.8125</v>
      </c>
      <c r="P774">
        <v>2.5</v>
      </c>
      <c r="Q774">
        <v>47</v>
      </c>
      <c r="R774">
        <v>25.2</v>
      </c>
      <c r="S774">
        <v>32</v>
      </c>
      <c r="T774">
        <v>20.7</v>
      </c>
      <c r="U774">
        <v>24.8</v>
      </c>
      <c r="V774">
        <v>0</v>
      </c>
      <c r="W774">
        <v>0</v>
      </c>
      <c r="X774">
        <v>0</v>
      </c>
      <c r="Y774">
        <v>0</v>
      </c>
      <c r="Z774">
        <v>22.9</v>
      </c>
      <c r="AA774">
        <v>47.2</v>
      </c>
      <c r="AB774">
        <v>222</v>
      </c>
      <c r="AC774">
        <v>59</v>
      </c>
      <c r="AD774">
        <v>39.1</v>
      </c>
      <c r="AE774">
        <v>18.899999999999999</v>
      </c>
      <c r="AF774">
        <v>46.850999999999999</v>
      </c>
      <c r="AG774">
        <v>59.262</v>
      </c>
      <c r="AH774">
        <v>52.771999999999998</v>
      </c>
      <c r="AI774">
        <v>57.110999999999997</v>
      </c>
      <c r="AJ774">
        <v>60.406999999999996</v>
      </c>
      <c r="AK774">
        <v>58.444000000000003</v>
      </c>
      <c r="AL774">
        <v>-1.0680000000000001</v>
      </c>
      <c r="AM774">
        <v>52.771999999999998</v>
      </c>
      <c r="AN774">
        <v>59.262</v>
      </c>
      <c r="AO774">
        <v>46.850999999999999</v>
      </c>
      <c r="AP774">
        <v>1.0680000000000001</v>
      </c>
      <c r="AQ774">
        <v>39.593000000000004</v>
      </c>
      <c r="AR774">
        <v>42.889000000000003</v>
      </c>
      <c r="AS774">
        <v>41.555999999999997</v>
      </c>
    </row>
    <row r="775" spans="1:45" x14ac:dyDescent="0.25">
      <c r="A775">
        <v>60</v>
      </c>
      <c r="B775">
        <v>2</v>
      </c>
      <c r="C775">
        <v>1</v>
      </c>
      <c r="D775">
        <v>2021</v>
      </c>
      <c r="E775">
        <v>1</v>
      </c>
      <c r="F775" t="str">
        <f>IFERROR(VLOOKUP(G775, Map!$A$1:$B$33, 2, FALSE),"WAS")</f>
        <v>TB</v>
      </c>
      <c r="G775" t="s">
        <v>141</v>
      </c>
      <c r="H775" t="str">
        <f>IFERROR(VLOOKUP(I775, Map!$A$1:$B$33, 2, FALSE),"WAS")</f>
        <v>DAL</v>
      </c>
      <c r="I775" t="s">
        <v>150</v>
      </c>
      <c r="J775" t="s">
        <v>186</v>
      </c>
      <c r="K775" t="s">
        <v>184</v>
      </c>
      <c r="L775">
        <v>1</v>
      </c>
      <c r="M775">
        <v>0</v>
      </c>
      <c r="N775">
        <v>49.15625</v>
      </c>
      <c r="O775">
        <v>-8.5</v>
      </c>
      <c r="P775">
        <v>-8.5</v>
      </c>
      <c r="Q775">
        <v>51.5</v>
      </c>
      <c r="R775">
        <v>26.3</v>
      </c>
      <c r="S775">
        <v>29.3</v>
      </c>
      <c r="T775">
        <v>24.1</v>
      </c>
      <c r="U775">
        <v>31.5</v>
      </c>
      <c r="V775">
        <v>4.4000000000000004</v>
      </c>
      <c r="W775">
        <v>0</v>
      </c>
      <c r="X775">
        <v>10</v>
      </c>
      <c r="Y775">
        <v>4.4000000000000004</v>
      </c>
      <c r="Z775">
        <v>11.3</v>
      </c>
      <c r="AA775">
        <v>23.8</v>
      </c>
      <c r="AB775">
        <v>278</v>
      </c>
      <c r="AC775">
        <v>87</v>
      </c>
      <c r="AD775">
        <v>17</v>
      </c>
      <c r="AE775">
        <v>6.8</v>
      </c>
      <c r="AF775">
        <v>69.954999999999998</v>
      </c>
      <c r="AG775">
        <v>84.938000000000002</v>
      </c>
      <c r="AH775">
        <v>29.805</v>
      </c>
      <c r="AI775">
        <v>36.887</v>
      </c>
      <c r="AJ775">
        <v>55.238999999999997</v>
      </c>
      <c r="AK775">
        <v>54.213000000000001</v>
      </c>
      <c r="AL775">
        <v>7.5720000000000001</v>
      </c>
      <c r="AM775">
        <v>29.805</v>
      </c>
      <c r="AN775">
        <v>84.938000000000002</v>
      </c>
      <c r="AO775">
        <v>69.954999999999998</v>
      </c>
      <c r="AP775">
        <v>-7.5720000000000001</v>
      </c>
      <c r="AQ775">
        <v>44.761000000000003</v>
      </c>
      <c r="AR775">
        <v>63.113</v>
      </c>
      <c r="AS775">
        <v>45.786999999999999</v>
      </c>
    </row>
    <row r="776" spans="1:45" x14ac:dyDescent="0.25">
      <c r="A776">
        <v>48</v>
      </c>
      <c r="B776">
        <v>20</v>
      </c>
      <c r="C776">
        <v>1</v>
      </c>
      <c r="D776">
        <v>2021</v>
      </c>
      <c r="E776">
        <v>1</v>
      </c>
      <c r="F776" t="str">
        <f>IFERROR(VLOOKUP(G776, Map!$A$1:$B$33, 2, FALSE),"WAS")</f>
        <v>LA</v>
      </c>
      <c r="G776" t="s">
        <v>155</v>
      </c>
      <c r="H776" t="str">
        <f>IFERROR(VLOOKUP(I776, Map!$A$1:$B$33, 2, FALSE),"WAS")</f>
        <v>CHI</v>
      </c>
      <c r="I776" t="s">
        <v>163</v>
      </c>
      <c r="J776" t="s">
        <v>178</v>
      </c>
      <c r="K776" t="s">
        <v>216</v>
      </c>
      <c r="L776">
        <v>1</v>
      </c>
      <c r="M776">
        <v>0</v>
      </c>
      <c r="N776">
        <v>43.46875</v>
      </c>
      <c r="O776">
        <v>-8.34375</v>
      </c>
      <c r="P776">
        <v>-7.5</v>
      </c>
      <c r="Q776">
        <v>46</v>
      </c>
      <c r="R776">
        <v>20.3</v>
      </c>
      <c r="S776">
        <v>27.8</v>
      </c>
      <c r="T776">
        <v>14.2</v>
      </c>
      <c r="U776">
        <v>20.6</v>
      </c>
      <c r="V776">
        <v>0</v>
      </c>
      <c r="W776">
        <v>0</v>
      </c>
      <c r="X776">
        <v>0</v>
      </c>
      <c r="Y776">
        <v>0</v>
      </c>
      <c r="Z776">
        <v>22.4</v>
      </c>
      <c r="AA776">
        <v>42.1</v>
      </c>
      <c r="AB776">
        <v>229</v>
      </c>
      <c r="AC776">
        <v>74</v>
      </c>
      <c r="AD776">
        <v>20.6</v>
      </c>
      <c r="AE776">
        <v>10.3</v>
      </c>
      <c r="AF776">
        <v>71.171999999999997</v>
      </c>
      <c r="AG776">
        <v>51.645000000000003</v>
      </c>
      <c r="AH776">
        <v>28.597999999999999</v>
      </c>
      <c r="AI776">
        <v>57.618000000000002</v>
      </c>
      <c r="AJ776">
        <v>98.105000000000004</v>
      </c>
      <c r="AK776">
        <v>87.287000000000006</v>
      </c>
      <c r="AL776">
        <v>8.0790000000000006</v>
      </c>
      <c r="AM776">
        <v>28.597999999999999</v>
      </c>
      <c r="AN776">
        <v>51.645000000000003</v>
      </c>
      <c r="AO776">
        <v>71.171999999999997</v>
      </c>
      <c r="AP776">
        <v>-8.0790000000000006</v>
      </c>
      <c r="AQ776">
        <v>1.895</v>
      </c>
      <c r="AR776">
        <v>42.381999999999998</v>
      </c>
      <c r="AS776">
        <v>12.712999999999999</v>
      </c>
    </row>
    <row r="777" spans="1:45" x14ac:dyDescent="0.25">
      <c r="A777">
        <v>38</v>
      </c>
      <c r="B777">
        <v>-26</v>
      </c>
      <c r="C777">
        <v>0</v>
      </c>
      <c r="D777">
        <v>2021</v>
      </c>
      <c r="E777">
        <v>1</v>
      </c>
      <c r="F777" t="str">
        <f>IFERROR(VLOOKUP(G777, Map!$A$1:$B$33, 2, FALSE),"WAS")</f>
        <v>ATL</v>
      </c>
      <c r="G777" t="s">
        <v>167</v>
      </c>
      <c r="H777" t="str">
        <f>IFERROR(VLOOKUP(I777, Map!$A$1:$B$33, 2, FALSE),"WAS")</f>
        <v>PHI</v>
      </c>
      <c r="I777" t="s">
        <v>147</v>
      </c>
      <c r="J777" t="s">
        <v>188</v>
      </c>
      <c r="K777" t="s">
        <v>206</v>
      </c>
      <c r="L777">
        <v>0</v>
      </c>
      <c r="M777">
        <v>0</v>
      </c>
      <c r="N777">
        <v>45.5625</v>
      </c>
      <c r="O777">
        <v>-3.15625</v>
      </c>
      <c r="P777">
        <v>-3</v>
      </c>
      <c r="Q777">
        <v>48.5</v>
      </c>
      <c r="R777">
        <v>21.9</v>
      </c>
      <c r="S777">
        <v>27.9</v>
      </c>
      <c r="T777">
        <v>15.8</v>
      </c>
      <c r="U777">
        <v>23.4</v>
      </c>
      <c r="V777">
        <v>0.8</v>
      </c>
      <c r="W777">
        <v>0</v>
      </c>
      <c r="X777">
        <v>2</v>
      </c>
      <c r="Y777">
        <v>0.8</v>
      </c>
      <c r="Z777">
        <v>11.9</v>
      </c>
      <c r="AA777">
        <v>19.8</v>
      </c>
      <c r="AB777">
        <v>151</v>
      </c>
      <c r="AC777">
        <v>72</v>
      </c>
      <c r="AD777">
        <v>13.1</v>
      </c>
      <c r="AE777">
        <v>5.7</v>
      </c>
      <c r="AF777">
        <v>63.21</v>
      </c>
      <c r="AG777">
        <v>28.52</v>
      </c>
      <c r="AH777">
        <v>36.497</v>
      </c>
      <c r="AI777">
        <v>25.649000000000001</v>
      </c>
      <c r="AJ777">
        <v>23.959</v>
      </c>
      <c r="AK777">
        <v>16.532</v>
      </c>
      <c r="AL777">
        <v>4.9080000000000004</v>
      </c>
      <c r="AM777">
        <v>36.497</v>
      </c>
      <c r="AN777">
        <v>28.52</v>
      </c>
      <c r="AO777">
        <v>63.21</v>
      </c>
      <c r="AP777">
        <v>-4.9080000000000004</v>
      </c>
      <c r="AQ777">
        <v>76.040999999999997</v>
      </c>
      <c r="AR777">
        <v>74.350999999999999</v>
      </c>
      <c r="AS777">
        <v>83.468000000000004</v>
      </c>
    </row>
    <row r="778" spans="1:45" x14ac:dyDescent="0.25">
      <c r="A778">
        <v>39</v>
      </c>
      <c r="B778">
        <v>-7</v>
      </c>
      <c r="C778">
        <v>0</v>
      </c>
      <c r="D778">
        <v>2021</v>
      </c>
      <c r="E778">
        <v>1</v>
      </c>
      <c r="F778" t="str">
        <f>IFERROR(VLOOKUP(G778, Map!$A$1:$B$33, 2, FALSE),"WAS")</f>
        <v>BUF</v>
      </c>
      <c r="G778" t="s">
        <v>165</v>
      </c>
      <c r="H778" t="str">
        <f>IFERROR(VLOOKUP(I778, Map!$A$1:$B$33, 2, FALSE),"WAS")</f>
        <v>PIT</v>
      </c>
      <c r="I778" t="s">
        <v>145</v>
      </c>
      <c r="J778" t="s">
        <v>180</v>
      </c>
      <c r="K778" t="s">
        <v>170</v>
      </c>
      <c r="L778">
        <v>0</v>
      </c>
      <c r="M778">
        <v>0</v>
      </c>
      <c r="N778">
        <v>44.90625</v>
      </c>
      <c r="O778">
        <v>-6.0625</v>
      </c>
      <c r="P778">
        <v>-6</v>
      </c>
      <c r="Q778">
        <v>47.5</v>
      </c>
      <c r="R778">
        <v>23.3</v>
      </c>
      <c r="S778">
        <v>31</v>
      </c>
      <c r="T778">
        <v>16.600000000000001</v>
      </c>
      <c r="U778">
        <v>23.3</v>
      </c>
      <c r="V778">
        <v>0</v>
      </c>
      <c r="W778">
        <v>0</v>
      </c>
      <c r="X778">
        <v>0</v>
      </c>
      <c r="Y778">
        <v>0</v>
      </c>
      <c r="Z778">
        <v>13.7</v>
      </c>
      <c r="AA778">
        <v>26.6</v>
      </c>
      <c r="AB778">
        <v>219</v>
      </c>
      <c r="AC778">
        <v>56</v>
      </c>
      <c r="AD778">
        <v>19.3</v>
      </c>
      <c r="AE778">
        <v>8.9</v>
      </c>
      <c r="AF778">
        <v>67.872</v>
      </c>
      <c r="AG778">
        <v>59.88</v>
      </c>
      <c r="AH778">
        <v>31.872</v>
      </c>
      <c r="AI778">
        <v>56.707000000000001</v>
      </c>
      <c r="AJ778">
        <v>23.542999999999999</v>
      </c>
      <c r="AK778">
        <v>31.824000000000002</v>
      </c>
      <c r="AL778">
        <v>6.726</v>
      </c>
      <c r="AM778">
        <v>31.872</v>
      </c>
      <c r="AN778">
        <v>59.88</v>
      </c>
      <c r="AO778">
        <v>67.872</v>
      </c>
      <c r="AP778">
        <v>-6.726</v>
      </c>
      <c r="AQ778">
        <v>76.456999999999994</v>
      </c>
      <c r="AR778">
        <v>43.292999999999999</v>
      </c>
      <c r="AS778">
        <v>68.176000000000002</v>
      </c>
    </row>
    <row r="779" spans="1:45" x14ac:dyDescent="0.25">
      <c r="A779">
        <v>74</v>
      </c>
      <c r="B779">
        <v>-8</v>
      </c>
      <c r="C779">
        <v>0</v>
      </c>
      <c r="D779">
        <v>2021</v>
      </c>
      <c r="E779">
        <v>1</v>
      </c>
      <c r="F779" t="str">
        <f>IFERROR(VLOOKUP(G779, Map!$A$1:$B$33, 2, FALSE),"WAS")</f>
        <v>DET</v>
      </c>
      <c r="G779" t="s">
        <v>164</v>
      </c>
      <c r="H779" t="str">
        <f>IFERROR(VLOOKUP(I779, Map!$A$1:$B$33, 2, FALSE),"WAS")</f>
        <v>SF</v>
      </c>
      <c r="I779" t="s">
        <v>143</v>
      </c>
      <c r="J779" t="s">
        <v>173</v>
      </c>
      <c r="K779" t="s">
        <v>197</v>
      </c>
      <c r="L779">
        <v>0</v>
      </c>
      <c r="M779">
        <v>0</v>
      </c>
      <c r="N779">
        <v>43.1875</v>
      </c>
      <c r="O779">
        <v>8.28125</v>
      </c>
      <c r="P779">
        <v>6.5</v>
      </c>
      <c r="Q779">
        <v>45.5</v>
      </c>
      <c r="R779">
        <v>25.2</v>
      </c>
      <c r="S779">
        <v>30.3</v>
      </c>
      <c r="T779">
        <v>21.5</v>
      </c>
      <c r="U779">
        <v>25</v>
      </c>
      <c r="V779">
        <v>0</v>
      </c>
      <c r="W779">
        <v>0</v>
      </c>
      <c r="X779">
        <v>0</v>
      </c>
      <c r="Y779">
        <v>0</v>
      </c>
      <c r="Z779">
        <v>23.9</v>
      </c>
      <c r="AA779">
        <v>40.700000000000003</v>
      </c>
      <c r="AB779">
        <v>240</v>
      </c>
      <c r="AC779">
        <v>63</v>
      </c>
      <c r="AD779">
        <v>35.1</v>
      </c>
      <c r="AE779">
        <v>20.3</v>
      </c>
      <c r="AF779">
        <v>38.171999999999997</v>
      </c>
      <c r="AG779">
        <v>43.488999999999997</v>
      </c>
      <c r="AH779">
        <v>61.521000000000001</v>
      </c>
      <c r="AI779">
        <v>2.7789999999999999</v>
      </c>
      <c r="AJ779">
        <v>32.524000000000001</v>
      </c>
      <c r="AK779">
        <v>9.3699999999999992</v>
      </c>
      <c r="AL779">
        <v>-4.2699999999999996</v>
      </c>
      <c r="AM779">
        <v>61.521000000000001</v>
      </c>
      <c r="AN779">
        <v>43.488999999999997</v>
      </c>
      <c r="AO779">
        <v>38.171999999999997</v>
      </c>
      <c r="AP779">
        <v>4.2699999999999996</v>
      </c>
      <c r="AQ779">
        <v>67.475999999999999</v>
      </c>
      <c r="AR779">
        <v>97.221000000000004</v>
      </c>
      <c r="AS779">
        <v>90.63</v>
      </c>
    </row>
    <row r="780" spans="1:45" x14ac:dyDescent="0.25">
      <c r="A780">
        <v>33</v>
      </c>
      <c r="B780">
        <v>-1</v>
      </c>
      <c r="C780">
        <v>0</v>
      </c>
      <c r="D780">
        <v>2021</v>
      </c>
      <c r="E780">
        <v>1</v>
      </c>
      <c r="F780" t="str">
        <f>IFERROR(VLOOKUP(G780, Map!$A$1:$B$33, 2, FALSE),"WAS")</f>
        <v>NE</v>
      </c>
      <c r="G780" t="s">
        <v>151</v>
      </c>
      <c r="H780" t="str">
        <f>IFERROR(VLOOKUP(I780, Map!$A$1:$B$33, 2, FALSE),"WAS")</f>
        <v>MIA</v>
      </c>
      <c r="I780" t="s">
        <v>152</v>
      </c>
      <c r="J780" t="s">
        <v>187</v>
      </c>
      <c r="K780" t="s">
        <v>175</v>
      </c>
      <c r="L780">
        <v>0</v>
      </c>
      <c r="M780">
        <v>0</v>
      </c>
      <c r="N780">
        <v>40.625</v>
      </c>
      <c r="O780">
        <v>-3.25</v>
      </c>
      <c r="P780">
        <v>-3</v>
      </c>
      <c r="Q780">
        <v>43</v>
      </c>
      <c r="R780">
        <v>20.5</v>
      </c>
      <c r="S780">
        <v>26.3</v>
      </c>
      <c r="T780">
        <v>16.3</v>
      </c>
      <c r="U780">
        <v>20.399999999999999</v>
      </c>
      <c r="V780">
        <v>0</v>
      </c>
      <c r="W780">
        <v>0</v>
      </c>
      <c r="X780">
        <v>0</v>
      </c>
      <c r="Y780">
        <v>0</v>
      </c>
      <c r="Z780">
        <v>26.5</v>
      </c>
      <c r="AA780">
        <v>60.8</v>
      </c>
      <c r="AB780">
        <v>221</v>
      </c>
      <c r="AC780">
        <v>79</v>
      </c>
      <c r="AD780">
        <v>38.299999999999997</v>
      </c>
      <c r="AE780">
        <v>16.899999999999999</v>
      </c>
      <c r="AF780">
        <v>59.929000000000002</v>
      </c>
      <c r="AG780">
        <v>57.213000000000001</v>
      </c>
      <c r="AH780">
        <v>39.752000000000002</v>
      </c>
      <c r="AI780">
        <v>52.225000000000001</v>
      </c>
      <c r="AJ780">
        <v>47.627000000000002</v>
      </c>
      <c r="AK780">
        <v>48.576999999999998</v>
      </c>
      <c r="AL780">
        <v>3.6760000000000002</v>
      </c>
      <c r="AM780">
        <v>39.752000000000002</v>
      </c>
      <c r="AN780">
        <v>57.213000000000001</v>
      </c>
      <c r="AO780">
        <v>59.929000000000002</v>
      </c>
      <c r="AP780">
        <v>-3.6760000000000002</v>
      </c>
      <c r="AQ780">
        <v>52.372999999999998</v>
      </c>
      <c r="AR780">
        <v>47.774999999999999</v>
      </c>
      <c r="AS780">
        <v>51.423000000000002</v>
      </c>
    </row>
    <row r="781" spans="1:45" x14ac:dyDescent="0.25">
      <c r="A781">
        <v>60</v>
      </c>
      <c r="B781">
        <v>6</v>
      </c>
      <c r="C781">
        <v>1</v>
      </c>
      <c r="D781">
        <v>2021</v>
      </c>
      <c r="E781">
        <v>1</v>
      </c>
      <c r="F781" t="str">
        <f>IFERROR(VLOOKUP(G781, Map!$A$1:$B$33, 2, FALSE),"WAS")</f>
        <v>LV</v>
      </c>
      <c r="G781" t="s">
        <v>157</v>
      </c>
      <c r="H781" t="str">
        <f>IFERROR(VLOOKUP(I781, Map!$A$1:$B$33, 2, FALSE),"WAS")</f>
        <v>BAL</v>
      </c>
      <c r="I781" t="s">
        <v>146</v>
      </c>
      <c r="J781" t="s">
        <v>179</v>
      </c>
      <c r="K781" t="s">
        <v>181</v>
      </c>
      <c r="L781">
        <v>1</v>
      </c>
      <c r="M781">
        <v>0</v>
      </c>
      <c r="N781">
        <v>50.5</v>
      </c>
      <c r="O781">
        <v>3.3333333333333299</v>
      </c>
      <c r="P781">
        <v>3</v>
      </c>
      <c r="Q781">
        <v>50.5</v>
      </c>
      <c r="R781">
        <v>32.1</v>
      </c>
      <c r="S781">
        <v>39.200000000000003</v>
      </c>
      <c r="T781">
        <v>23.8</v>
      </c>
      <c r="U781">
        <v>28.3</v>
      </c>
      <c r="V781">
        <v>0</v>
      </c>
      <c r="W781">
        <v>0</v>
      </c>
      <c r="X781">
        <v>0</v>
      </c>
      <c r="Y781">
        <v>0</v>
      </c>
      <c r="Z781">
        <v>27.7</v>
      </c>
      <c r="AA781">
        <v>44.6</v>
      </c>
      <c r="AB781">
        <v>246</v>
      </c>
      <c r="AC781">
        <v>10</v>
      </c>
      <c r="AD781">
        <v>20.6</v>
      </c>
      <c r="AE781">
        <v>10.6</v>
      </c>
      <c r="AF781">
        <v>42.494999999999997</v>
      </c>
      <c r="AG781">
        <v>44.406999999999996</v>
      </c>
      <c r="AH781">
        <v>57.164000000000001</v>
      </c>
      <c r="AI781">
        <v>59.188000000000002</v>
      </c>
      <c r="AJ781">
        <v>62.996000000000002</v>
      </c>
      <c r="AK781">
        <v>64.947000000000003</v>
      </c>
      <c r="AL781">
        <v>-2.6589999999999998</v>
      </c>
      <c r="AM781">
        <v>57.164000000000001</v>
      </c>
      <c r="AN781">
        <v>44.406999999999996</v>
      </c>
      <c r="AO781">
        <v>42.494999999999997</v>
      </c>
      <c r="AP781">
        <v>2.6589999999999998</v>
      </c>
      <c r="AQ781">
        <v>37.003999999999998</v>
      </c>
      <c r="AR781">
        <v>40.811999999999998</v>
      </c>
      <c r="AS781">
        <v>35.052999999999997</v>
      </c>
    </row>
    <row r="782" spans="1:45" x14ac:dyDescent="0.25">
      <c r="A782">
        <v>36</v>
      </c>
      <c r="B782">
        <v>-4</v>
      </c>
      <c r="C782">
        <v>0</v>
      </c>
      <c r="D782">
        <v>2021</v>
      </c>
      <c r="E782">
        <v>1</v>
      </c>
      <c r="F782" t="str">
        <f>IFERROR(VLOOKUP(G782, Map!$A$1:$B$33, 2, FALSE),"WAS")</f>
        <v>WAS</v>
      </c>
      <c r="G782" t="s">
        <v>169</v>
      </c>
      <c r="H782" t="str">
        <f>IFERROR(VLOOKUP(I782, Map!$A$1:$B$33, 2, FALSE),"WAS")</f>
        <v>LAC</v>
      </c>
      <c r="I782" t="s">
        <v>160</v>
      </c>
      <c r="J782" t="s">
        <v>205</v>
      </c>
      <c r="K782" t="s">
        <v>210</v>
      </c>
      <c r="L782">
        <v>0</v>
      </c>
      <c r="M782">
        <v>0</v>
      </c>
      <c r="N782">
        <v>45.3333333333333</v>
      </c>
      <c r="O782">
        <v>-1.9666666666666699</v>
      </c>
      <c r="P782">
        <v>-1.5</v>
      </c>
      <c r="Q782">
        <v>44.5</v>
      </c>
      <c r="R782">
        <v>23.5</v>
      </c>
      <c r="S782">
        <v>31.3</v>
      </c>
      <c r="T782">
        <v>17.8</v>
      </c>
      <c r="U782">
        <v>23.7</v>
      </c>
      <c r="V782">
        <v>0</v>
      </c>
      <c r="W782">
        <v>0</v>
      </c>
      <c r="X782">
        <v>0</v>
      </c>
      <c r="Y782">
        <v>0</v>
      </c>
      <c r="Z782">
        <v>18.2</v>
      </c>
      <c r="AA782">
        <v>36.700000000000003</v>
      </c>
      <c r="AB782">
        <v>203</v>
      </c>
      <c r="AC782">
        <v>65</v>
      </c>
      <c r="AD782">
        <v>27.9</v>
      </c>
      <c r="AE782">
        <v>13.8</v>
      </c>
      <c r="AF782">
        <v>59.3</v>
      </c>
      <c r="AG782">
        <v>49.024000000000001</v>
      </c>
      <c r="AH782">
        <v>40.375</v>
      </c>
      <c r="AI782">
        <v>45.488</v>
      </c>
      <c r="AJ782">
        <v>39.273000000000003</v>
      </c>
      <c r="AK782">
        <v>36.374000000000002</v>
      </c>
      <c r="AL782">
        <v>3.444</v>
      </c>
      <c r="AM782">
        <v>40.375</v>
      </c>
      <c r="AN782">
        <v>49.024000000000001</v>
      </c>
      <c r="AO782">
        <v>59.3</v>
      </c>
      <c r="AP782">
        <v>-3.444</v>
      </c>
      <c r="AQ782">
        <v>60.726999999999997</v>
      </c>
      <c r="AR782">
        <v>54.512</v>
      </c>
      <c r="AS782">
        <v>63.625999999999998</v>
      </c>
    </row>
    <row r="783" spans="1:45" x14ac:dyDescent="0.25">
      <c r="A783">
        <v>51</v>
      </c>
      <c r="B783">
        <v>-25</v>
      </c>
      <c r="C783">
        <v>0</v>
      </c>
      <c r="D783">
        <v>2021</v>
      </c>
      <c r="E783">
        <v>1</v>
      </c>
      <c r="F783" t="str">
        <f>IFERROR(VLOOKUP(G783, Map!$A$1:$B$33, 2, FALSE),"WAS")</f>
        <v>TEN</v>
      </c>
      <c r="G783" t="s">
        <v>140</v>
      </c>
      <c r="H783" t="str">
        <f>IFERROR(VLOOKUP(I783, Map!$A$1:$B$33, 2, FALSE),"WAS")</f>
        <v>ARI</v>
      </c>
      <c r="I783" t="s">
        <v>156</v>
      </c>
      <c r="J783" t="s">
        <v>174</v>
      </c>
      <c r="K783" t="s">
        <v>190</v>
      </c>
      <c r="L783">
        <v>0</v>
      </c>
      <c r="M783">
        <v>0</v>
      </c>
      <c r="N783">
        <v>50.28125</v>
      </c>
      <c r="O783">
        <v>-2.5</v>
      </c>
      <c r="P783">
        <v>-2.5</v>
      </c>
      <c r="Q783">
        <v>51.5</v>
      </c>
      <c r="R783">
        <v>24</v>
      </c>
      <c r="S783">
        <v>31</v>
      </c>
      <c r="T783">
        <v>18.5</v>
      </c>
      <c r="U783">
        <v>26</v>
      </c>
      <c r="V783">
        <v>0</v>
      </c>
      <c r="W783">
        <v>0</v>
      </c>
      <c r="X783">
        <v>0</v>
      </c>
      <c r="Y783">
        <v>0</v>
      </c>
      <c r="Z783">
        <v>11.3</v>
      </c>
      <c r="AA783">
        <v>25.2</v>
      </c>
      <c r="AB783">
        <v>202</v>
      </c>
      <c r="AC783">
        <v>71</v>
      </c>
      <c r="AD783">
        <v>16.3</v>
      </c>
      <c r="AE783">
        <v>8</v>
      </c>
      <c r="AF783">
        <v>63.573999999999998</v>
      </c>
      <c r="AG783">
        <v>69.641999999999996</v>
      </c>
      <c r="AH783">
        <v>36.136000000000003</v>
      </c>
      <c r="AI783">
        <v>22.905999999999999</v>
      </c>
      <c r="AJ783">
        <v>3.67</v>
      </c>
      <c r="AK783">
        <v>5.4619999999999997</v>
      </c>
      <c r="AL783">
        <v>5.0469999999999997</v>
      </c>
      <c r="AM783">
        <v>36.136000000000003</v>
      </c>
      <c r="AN783">
        <v>69.641999999999996</v>
      </c>
      <c r="AO783">
        <v>63.573999999999998</v>
      </c>
      <c r="AP783">
        <v>-5.0469999999999997</v>
      </c>
      <c r="AQ783">
        <v>96.33</v>
      </c>
      <c r="AR783">
        <v>77.093999999999994</v>
      </c>
      <c r="AS783">
        <v>94.537999999999997</v>
      </c>
    </row>
    <row r="784" spans="1:45" x14ac:dyDescent="0.25">
      <c r="A784">
        <v>33</v>
      </c>
      <c r="B784">
        <v>5</v>
      </c>
      <c r="C784">
        <v>1</v>
      </c>
      <c r="D784">
        <v>2021</v>
      </c>
      <c r="E784">
        <v>1</v>
      </c>
      <c r="F784" t="str">
        <f>IFERROR(VLOOKUP(G784, Map!$A$1:$B$33, 2, FALSE),"WAS")</f>
        <v>CAR</v>
      </c>
      <c r="G784" t="s">
        <v>142</v>
      </c>
      <c r="H784" t="str">
        <f>IFERROR(VLOOKUP(I784, Map!$A$1:$B$33, 2, FALSE),"WAS")</f>
        <v>NYJ</v>
      </c>
      <c r="I784" t="s">
        <v>166</v>
      </c>
      <c r="J784" t="s">
        <v>185</v>
      </c>
      <c r="K784" t="s">
        <v>172</v>
      </c>
      <c r="L784">
        <v>1</v>
      </c>
      <c r="M784">
        <v>0</v>
      </c>
      <c r="N784">
        <v>41.84375</v>
      </c>
      <c r="O784">
        <v>-3.34375</v>
      </c>
      <c r="P784">
        <v>-3.5</v>
      </c>
      <c r="Q784">
        <v>44.5</v>
      </c>
      <c r="R784">
        <v>23.1</v>
      </c>
      <c r="S784">
        <v>30.7</v>
      </c>
      <c r="T784">
        <v>16.600000000000001</v>
      </c>
      <c r="U784">
        <v>23.2</v>
      </c>
      <c r="V784">
        <v>0</v>
      </c>
      <c r="W784">
        <v>0</v>
      </c>
      <c r="X784">
        <v>0</v>
      </c>
      <c r="Y784">
        <v>0</v>
      </c>
      <c r="Z784">
        <v>12.4</v>
      </c>
      <c r="AA784">
        <v>26.3</v>
      </c>
      <c r="AB784">
        <v>213</v>
      </c>
      <c r="AC784">
        <v>57</v>
      </c>
      <c r="AD784">
        <v>19.3</v>
      </c>
      <c r="AE784">
        <v>8.9</v>
      </c>
      <c r="AF784">
        <v>65.745000000000005</v>
      </c>
      <c r="AG784">
        <v>17.62</v>
      </c>
      <c r="AH784">
        <v>33.981999999999999</v>
      </c>
      <c r="AI784">
        <v>90.44</v>
      </c>
      <c r="AJ784">
        <v>56.482999999999997</v>
      </c>
      <c r="AK784">
        <v>78.381</v>
      </c>
      <c r="AL784">
        <v>5.8849999999999998</v>
      </c>
      <c r="AM784">
        <v>33.981999999999999</v>
      </c>
      <c r="AN784">
        <v>17.62</v>
      </c>
      <c r="AO784">
        <v>65.745000000000005</v>
      </c>
      <c r="AP784">
        <v>-5.8849999999999998</v>
      </c>
      <c r="AQ784">
        <v>43.517000000000003</v>
      </c>
      <c r="AR784">
        <v>9.56</v>
      </c>
      <c r="AS784">
        <v>21.619</v>
      </c>
    </row>
    <row r="785" spans="1:45" x14ac:dyDescent="0.25">
      <c r="A785">
        <v>41</v>
      </c>
      <c r="B785">
        <v>35</v>
      </c>
      <c r="C785">
        <v>1</v>
      </c>
      <c r="D785">
        <v>2021</v>
      </c>
      <c r="E785">
        <v>1</v>
      </c>
      <c r="F785" t="str">
        <f>IFERROR(VLOOKUP(G785, Map!$A$1:$B$33, 2, FALSE),"WAS")</f>
        <v>NO</v>
      </c>
      <c r="G785" t="s">
        <v>168</v>
      </c>
      <c r="H785" t="str">
        <f>IFERROR(VLOOKUP(I785, Map!$A$1:$B$33, 2, FALSE),"WAS")</f>
        <v>GB</v>
      </c>
      <c r="I785" t="s">
        <v>154</v>
      </c>
      <c r="J785" t="s">
        <v>192</v>
      </c>
      <c r="K785" t="s">
        <v>200</v>
      </c>
      <c r="L785">
        <v>1</v>
      </c>
      <c r="M785">
        <v>0</v>
      </c>
      <c r="N785">
        <v>45.933333333333302</v>
      </c>
      <c r="O785">
        <v>3.3333333333333299</v>
      </c>
      <c r="P785">
        <v>3.5</v>
      </c>
      <c r="Q785">
        <v>48.5</v>
      </c>
      <c r="R785">
        <v>26.2</v>
      </c>
      <c r="S785">
        <v>29.3</v>
      </c>
      <c r="T785">
        <v>23.8</v>
      </c>
      <c r="U785">
        <v>29.3</v>
      </c>
      <c r="V785">
        <v>0.5</v>
      </c>
      <c r="W785">
        <v>0</v>
      </c>
      <c r="X785">
        <v>2</v>
      </c>
      <c r="Y785">
        <v>0.5</v>
      </c>
      <c r="Z785">
        <v>17.3</v>
      </c>
      <c r="AA785">
        <v>33.1</v>
      </c>
      <c r="AB785">
        <v>53</v>
      </c>
      <c r="AC785">
        <v>77</v>
      </c>
      <c r="AD785">
        <v>21.7</v>
      </c>
      <c r="AE785">
        <v>11.9</v>
      </c>
      <c r="AF785">
        <v>44.524999999999999</v>
      </c>
      <c r="AG785">
        <v>79.759</v>
      </c>
      <c r="AH785">
        <v>55.116999999999997</v>
      </c>
      <c r="AI785">
        <v>95.430999999999997</v>
      </c>
      <c r="AJ785">
        <v>87.283000000000001</v>
      </c>
      <c r="AK785">
        <v>97.9</v>
      </c>
      <c r="AL785">
        <v>-1.915</v>
      </c>
      <c r="AM785">
        <v>55.116999999999997</v>
      </c>
      <c r="AN785">
        <v>79.759</v>
      </c>
      <c r="AO785">
        <v>44.524999999999999</v>
      </c>
      <c r="AP785">
        <v>1.915</v>
      </c>
      <c r="AQ785">
        <v>12.717000000000001</v>
      </c>
      <c r="AR785">
        <v>4.569</v>
      </c>
      <c r="AS785">
        <v>2.1</v>
      </c>
    </row>
    <row r="786" spans="1:45" x14ac:dyDescent="0.25">
      <c r="A786">
        <v>28</v>
      </c>
      <c r="B786">
        <v>-6</v>
      </c>
      <c r="C786">
        <v>0</v>
      </c>
      <c r="D786">
        <v>2021</v>
      </c>
      <c r="E786">
        <v>2</v>
      </c>
      <c r="F786" t="str">
        <f>IFERROR(VLOOKUP(G786, Map!$A$1:$B$33, 2, FALSE),"WAS")</f>
        <v>PHI</v>
      </c>
      <c r="G786" t="s">
        <v>147</v>
      </c>
      <c r="H786" t="str">
        <f>IFERROR(VLOOKUP(I786, Map!$A$1:$B$33, 2, FALSE),"WAS")</f>
        <v>SF</v>
      </c>
      <c r="I786" t="s">
        <v>143</v>
      </c>
      <c r="J786" t="s">
        <v>206</v>
      </c>
      <c r="K786" t="s">
        <v>197</v>
      </c>
      <c r="L786">
        <v>0</v>
      </c>
      <c r="M786">
        <v>0</v>
      </c>
      <c r="N786">
        <v>46.0625</v>
      </c>
      <c r="O786">
        <v>2.84375</v>
      </c>
      <c r="P786">
        <v>2.5</v>
      </c>
      <c r="Q786">
        <v>49</v>
      </c>
      <c r="R786">
        <v>22.5</v>
      </c>
      <c r="S786">
        <v>25.9</v>
      </c>
      <c r="T786">
        <v>17.5</v>
      </c>
      <c r="U786">
        <v>22.2</v>
      </c>
      <c r="V786">
        <v>0</v>
      </c>
      <c r="W786">
        <v>0</v>
      </c>
      <c r="X786">
        <v>0</v>
      </c>
      <c r="Y786">
        <v>0</v>
      </c>
      <c r="Z786">
        <v>18</v>
      </c>
      <c r="AA786">
        <v>35.6</v>
      </c>
      <c r="AB786">
        <v>351</v>
      </c>
      <c r="AC786">
        <v>59</v>
      </c>
      <c r="AD786">
        <v>23.5</v>
      </c>
      <c r="AE786">
        <v>11.8</v>
      </c>
      <c r="AF786">
        <v>46.813000000000002</v>
      </c>
      <c r="AG786">
        <v>67.632999999999996</v>
      </c>
      <c r="AH786">
        <v>52.811</v>
      </c>
      <c r="AI786">
        <v>32.518000000000001</v>
      </c>
      <c r="AJ786">
        <v>49.811</v>
      </c>
      <c r="AK786">
        <v>30.138000000000002</v>
      </c>
      <c r="AL786">
        <v>-1.0649999999999999</v>
      </c>
      <c r="AM786">
        <v>52.811</v>
      </c>
      <c r="AN786">
        <v>67.632999999999996</v>
      </c>
      <c r="AO786">
        <v>46.813000000000002</v>
      </c>
      <c r="AP786">
        <v>1.0649999999999999</v>
      </c>
      <c r="AQ786">
        <v>50.189</v>
      </c>
      <c r="AR786">
        <v>67.481999999999999</v>
      </c>
      <c r="AS786">
        <v>69.861999999999995</v>
      </c>
    </row>
    <row r="787" spans="1:45" x14ac:dyDescent="0.25">
      <c r="A787">
        <v>36</v>
      </c>
      <c r="B787">
        <v>-10</v>
      </c>
      <c r="C787">
        <v>0</v>
      </c>
      <c r="D787">
        <v>2021</v>
      </c>
      <c r="E787">
        <v>2</v>
      </c>
      <c r="F787" t="str">
        <f>IFERROR(VLOOKUP(G787, Map!$A$1:$B$33, 2, FALSE),"WAS")</f>
        <v>JAX</v>
      </c>
      <c r="G787" t="s">
        <v>139</v>
      </c>
      <c r="H787" t="str">
        <f>IFERROR(VLOOKUP(I787, Map!$A$1:$B$33, 2, FALSE),"WAS")</f>
        <v>DEN</v>
      </c>
      <c r="I787" t="s">
        <v>159</v>
      </c>
      <c r="J787" t="s">
        <v>220</v>
      </c>
      <c r="K787" t="s">
        <v>183</v>
      </c>
      <c r="L787">
        <v>0</v>
      </c>
      <c r="M787">
        <v>0</v>
      </c>
      <c r="N787">
        <v>42.28125</v>
      </c>
      <c r="O787">
        <v>5.625</v>
      </c>
      <c r="P787">
        <v>6</v>
      </c>
      <c r="Q787">
        <v>45</v>
      </c>
      <c r="R787">
        <v>25</v>
      </c>
      <c r="S787">
        <v>26.6</v>
      </c>
      <c r="T787">
        <v>24</v>
      </c>
      <c r="U787">
        <v>30.1</v>
      </c>
      <c r="V787">
        <v>62.3</v>
      </c>
      <c r="W787">
        <v>0</v>
      </c>
      <c r="X787">
        <v>22</v>
      </c>
      <c r="Y787">
        <v>62.3</v>
      </c>
      <c r="Z787">
        <v>12.3</v>
      </c>
      <c r="AA787">
        <v>25.9</v>
      </c>
      <c r="AB787">
        <v>88</v>
      </c>
      <c r="AC787">
        <v>93</v>
      </c>
      <c r="AD787">
        <v>13.7</v>
      </c>
      <c r="AE787">
        <v>6</v>
      </c>
      <c r="AF787">
        <v>36.795000000000002</v>
      </c>
      <c r="AG787">
        <v>19.899000000000001</v>
      </c>
      <c r="AH787">
        <v>62.91</v>
      </c>
      <c r="AI787">
        <v>29.613</v>
      </c>
      <c r="AJ787">
        <v>28.712</v>
      </c>
      <c r="AK787">
        <v>20.366</v>
      </c>
      <c r="AL787">
        <v>-4.7169999999999996</v>
      </c>
      <c r="AM787">
        <v>62.91</v>
      </c>
      <c r="AN787">
        <v>19.899000000000001</v>
      </c>
      <c r="AO787">
        <v>36.795000000000002</v>
      </c>
      <c r="AP787">
        <v>4.7169999999999996</v>
      </c>
      <c r="AQ787">
        <v>71.287999999999997</v>
      </c>
      <c r="AR787">
        <v>70.387</v>
      </c>
      <c r="AS787">
        <v>79.634</v>
      </c>
    </row>
    <row r="788" spans="1:45" x14ac:dyDescent="0.25">
      <c r="A788">
        <v>51</v>
      </c>
      <c r="B788">
        <v>-3</v>
      </c>
      <c r="C788">
        <v>0</v>
      </c>
      <c r="D788">
        <v>2021</v>
      </c>
      <c r="E788">
        <v>2</v>
      </c>
      <c r="F788" t="str">
        <f>IFERROR(VLOOKUP(G788, Map!$A$1:$B$33, 2, FALSE),"WAS")</f>
        <v>IND</v>
      </c>
      <c r="G788" t="s">
        <v>138</v>
      </c>
      <c r="H788" t="str">
        <f>IFERROR(VLOOKUP(I788, Map!$A$1:$B$33, 2, FALSE),"WAS")</f>
        <v>LA</v>
      </c>
      <c r="I788" t="s">
        <v>155</v>
      </c>
      <c r="J788" t="s">
        <v>177</v>
      </c>
      <c r="K788" t="s">
        <v>178</v>
      </c>
      <c r="L788">
        <v>0</v>
      </c>
      <c r="M788">
        <v>0</v>
      </c>
      <c r="N788">
        <v>44.65625</v>
      </c>
      <c r="O788">
        <v>3.71875</v>
      </c>
      <c r="P788">
        <v>3.5</v>
      </c>
      <c r="Q788">
        <v>47</v>
      </c>
      <c r="R788">
        <v>25</v>
      </c>
      <c r="S788">
        <v>30.4</v>
      </c>
      <c r="T788">
        <v>19.2</v>
      </c>
      <c r="U788">
        <v>26.5</v>
      </c>
      <c r="V788">
        <v>0</v>
      </c>
      <c r="W788">
        <v>0</v>
      </c>
      <c r="X788">
        <v>0</v>
      </c>
      <c r="Y788">
        <v>0</v>
      </c>
      <c r="Z788">
        <v>13.2</v>
      </c>
      <c r="AA788">
        <v>32.799999999999997</v>
      </c>
      <c r="AB788">
        <v>113</v>
      </c>
      <c r="AC788">
        <v>65</v>
      </c>
      <c r="AD788">
        <v>17.100000000000001</v>
      </c>
      <c r="AE788">
        <v>8.1</v>
      </c>
      <c r="AF788">
        <v>44.037999999999997</v>
      </c>
      <c r="AG788">
        <v>80.007999999999996</v>
      </c>
      <c r="AH788">
        <v>55.609000000000002</v>
      </c>
      <c r="AI788">
        <v>26.184999999999999</v>
      </c>
      <c r="AJ788">
        <v>38.884999999999998</v>
      </c>
      <c r="AK788">
        <v>41.167000000000002</v>
      </c>
      <c r="AL788">
        <v>-2.0590000000000002</v>
      </c>
      <c r="AM788">
        <v>55.609000000000002</v>
      </c>
      <c r="AN788">
        <v>80.007999999999996</v>
      </c>
      <c r="AO788">
        <v>44.037999999999997</v>
      </c>
      <c r="AP788">
        <v>2.0590000000000002</v>
      </c>
      <c r="AQ788">
        <v>61.115000000000002</v>
      </c>
      <c r="AR788">
        <v>73.814999999999998</v>
      </c>
      <c r="AS788">
        <v>58.832999999999998</v>
      </c>
    </row>
    <row r="789" spans="1:45" x14ac:dyDescent="0.25">
      <c r="A789">
        <v>67</v>
      </c>
      <c r="B789">
        <v>1</v>
      </c>
      <c r="C789">
        <v>1</v>
      </c>
      <c r="D789">
        <v>2021</v>
      </c>
      <c r="E789">
        <v>2</v>
      </c>
      <c r="F789" t="str">
        <f>IFERROR(VLOOKUP(G789, Map!$A$1:$B$33, 2, FALSE),"WAS")</f>
        <v>ARI</v>
      </c>
      <c r="G789" t="s">
        <v>156</v>
      </c>
      <c r="H789" t="str">
        <f>IFERROR(VLOOKUP(I789, Map!$A$1:$B$33, 2, FALSE),"WAS")</f>
        <v>MIN</v>
      </c>
      <c r="I789" t="s">
        <v>153</v>
      </c>
      <c r="J789" t="s">
        <v>190</v>
      </c>
      <c r="K789" t="s">
        <v>214</v>
      </c>
      <c r="L789">
        <v>1</v>
      </c>
      <c r="M789">
        <v>0</v>
      </c>
      <c r="N789">
        <v>47.53125</v>
      </c>
      <c r="O789">
        <v>-3.40625</v>
      </c>
      <c r="P789">
        <v>-3.5</v>
      </c>
      <c r="Q789">
        <v>50.5</v>
      </c>
      <c r="R789">
        <v>18.3</v>
      </c>
      <c r="S789">
        <v>27.3</v>
      </c>
      <c r="T789">
        <v>13.3</v>
      </c>
      <c r="U789">
        <v>18.5</v>
      </c>
      <c r="V789">
        <v>0</v>
      </c>
      <c r="W789">
        <v>0</v>
      </c>
      <c r="X789">
        <v>0</v>
      </c>
      <c r="Y789">
        <v>0</v>
      </c>
      <c r="Z789">
        <v>13.8</v>
      </c>
      <c r="AA789">
        <v>33.799999999999997</v>
      </c>
      <c r="AB789">
        <v>184</v>
      </c>
      <c r="AC789">
        <v>74</v>
      </c>
      <c r="AD789">
        <v>16.5</v>
      </c>
      <c r="AE789">
        <v>6.4</v>
      </c>
      <c r="AF789">
        <v>61.298000000000002</v>
      </c>
      <c r="AG789">
        <v>63.384999999999998</v>
      </c>
      <c r="AH789">
        <v>38.393999999999998</v>
      </c>
      <c r="AI789">
        <v>28.827000000000002</v>
      </c>
      <c r="AJ789">
        <v>63.319000000000003</v>
      </c>
      <c r="AK789">
        <v>50.439</v>
      </c>
      <c r="AL789">
        <v>4.1189999999999998</v>
      </c>
      <c r="AM789">
        <v>38.393999999999998</v>
      </c>
      <c r="AN789">
        <v>63.384999999999998</v>
      </c>
      <c r="AO789">
        <v>61.298000000000002</v>
      </c>
      <c r="AP789">
        <v>-4.1189999999999998</v>
      </c>
      <c r="AQ789">
        <v>36.680999999999997</v>
      </c>
      <c r="AR789">
        <v>71.173000000000002</v>
      </c>
      <c r="AS789">
        <v>49.561</v>
      </c>
    </row>
    <row r="790" spans="1:45" x14ac:dyDescent="0.25">
      <c r="A790">
        <v>63</v>
      </c>
      <c r="B790">
        <v>-3</v>
      </c>
      <c r="C790">
        <v>0</v>
      </c>
      <c r="D790">
        <v>2021</v>
      </c>
      <c r="E790">
        <v>2</v>
      </c>
      <c r="F790" t="str">
        <f>IFERROR(VLOOKUP(G790, Map!$A$1:$B$33, 2, FALSE),"WAS")</f>
        <v>SEA</v>
      </c>
      <c r="G790" t="s">
        <v>144</v>
      </c>
      <c r="H790" t="str">
        <f>IFERROR(VLOOKUP(I790, Map!$A$1:$B$33, 2, FALSE),"WAS")</f>
        <v>TEN</v>
      </c>
      <c r="I790" t="s">
        <v>140</v>
      </c>
      <c r="J790" t="s">
        <v>182</v>
      </c>
      <c r="K790" t="s">
        <v>174</v>
      </c>
      <c r="L790">
        <v>0</v>
      </c>
      <c r="M790">
        <v>0</v>
      </c>
      <c r="N790">
        <v>50.53125</v>
      </c>
      <c r="O790">
        <v>-6.03125</v>
      </c>
      <c r="P790">
        <v>-5.5</v>
      </c>
      <c r="Q790">
        <v>53.5</v>
      </c>
      <c r="R790">
        <v>13.7</v>
      </c>
      <c r="S790">
        <v>17.3</v>
      </c>
      <c r="T790">
        <v>11.8</v>
      </c>
      <c r="U790">
        <v>11.3</v>
      </c>
      <c r="V790">
        <v>4.5</v>
      </c>
      <c r="W790">
        <v>0</v>
      </c>
      <c r="X790">
        <v>17</v>
      </c>
      <c r="Y790">
        <v>4.5</v>
      </c>
      <c r="Z790">
        <v>25.6</v>
      </c>
      <c r="AA790">
        <v>51.1</v>
      </c>
      <c r="AB790">
        <v>187</v>
      </c>
      <c r="AC790">
        <v>87</v>
      </c>
      <c r="AD790">
        <v>37.799999999999997</v>
      </c>
      <c r="AE790">
        <v>19.399999999999999</v>
      </c>
      <c r="AF790">
        <v>70.754000000000005</v>
      </c>
      <c r="AG790">
        <v>62.404000000000003</v>
      </c>
      <c r="AH790">
        <v>29.013000000000002</v>
      </c>
      <c r="AI790">
        <v>37.734999999999999</v>
      </c>
      <c r="AJ790">
        <v>72.317999999999998</v>
      </c>
      <c r="AK790">
        <v>54.454999999999998</v>
      </c>
      <c r="AL790">
        <v>7.7759999999999998</v>
      </c>
      <c r="AM790">
        <v>29.013000000000002</v>
      </c>
      <c r="AN790">
        <v>62.404000000000003</v>
      </c>
      <c r="AO790">
        <v>70.754000000000005</v>
      </c>
      <c r="AP790">
        <v>-7.7759999999999998</v>
      </c>
      <c r="AQ790">
        <v>27.681999999999999</v>
      </c>
      <c r="AR790">
        <v>62.265000000000001</v>
      </c>
      <c r="AS790">
        <v>45.545000000000002</v>
      </c>
    </row>
    <row r="791" spans="1:45" x14ac:dyDescent="0.25">
      <c r="A791">
        <v>37</v>
      </c>
      <c r="B791">
        <v>-3</v>
      </c>
      <c r="C791">
        <v>0</v>
      </c>
      <c r="D791">
        <v>2021</v>
      </c>
      <c r="E791">
        <v>2</v>
      </c>
      <c r="F791" t="str">
        <f>IFERROR(VLOOKUP(G791, Map!$A$1:$B$33, 2, FALSE),"WAS")</f>
        <v>LAC</v>
      </c>
      <c r="G791" t="s">
        <v>160</v>
      </c>
      <c r="H791" t="str">
        <f>IFERROR(VLOOKUP(I791, Map!$A$1:$B$33, 2, FALSE),"WAS")</f>
        <v>DAL</v>
      </c>
      <c r="I791" t="s">
        <v>150</v>
      </c>
      <c r="J791" t="s">
        <v>210</v>
      </c>
      <c r="K791" t="s">
        <v>184</v>
      </c>
      <c r="L791">
        <v>0</v>
      </c>
      <c r="M791">
        <v>0</v>
      </c>
      <c r="N791">
        <v>51.53125</v>
      </c>
      <c r="O791">
        <v>-2.84375</v>
      </c>
      <c r="P791">
        <v>-2.5</v>
      </c>
      <c r="Q791">
        <v>54.5</v>
      </c>
      <c r="R791">
        <v>17.899999999999999</v>
      </c>
      <c r="S791">
        <v>25.9</v>
      </c>
      <c r="T791">
        <v>12.8</v>
      </c>
      <c r="U791">
        <v>17.899999999999999</v>
      </c>
      <c r="V791">
        <v>0</v>
      </c>
      <c r="W791">
        <v>0</v>
      </c>
      <c r="X791">
        <v>0</v>
      </c>
      <c r="Y791">
        <v>0</v>
      </c>
      <c r="Z791">
        <v>21.1</v>
      </c>
      <c r="AA791">
        <v>42.8</v>
      </c>
      <c r="AB791">
        <v>226</v>
      </c>
      <c r="AC791">
        <v>80</v>
      </c>
      <c r="AD791">
        <v>20.399999999999999</v>
      </c>
      <c r="AE791">
        <v>10.1</v>
      </c>
      <c r="AF791">
        <v>50.137999999999998</v>
      </c>
      <c r="AG791">
        <v>77.724000000000004</v>
      </c>
      <c r="AH791">
        <v>49.465000000000003</v>
      </c>
      <c r="AI791">
        <v>38.119</v>
      </c>
      <c r="AJ791">
        <v>50.290999999999997</v>
      </c>
      <c r="AK791">
        <v>41.478999999999999</v>
      </c>
      <c r="AL791">
        <v>0.11899999999999999</v>
      </c>
      <c r="AM791">
        <v>49.465000000000003</v>
      </c>
      <c r="AN791">
        <v>77.724000000000004</v>
      </c>
      <c r="AO791">
        <v>50.137999999999998</v>
      </c>
      <c r="AP791">
        <v>-0.11899999999999999</v>
      </c>
      <c r="AQ791">
        <v>49.709000000000003</v>
      </c>
      <c r="AR791">
        <v>61.881</v>
      </c>
      <c r="AS791">
        <v>58.521000000000001</v>
      </c>
    </row>
    <row r="792" spans="1:45" x14ac:dyDescent="0.25">
      <c r="A792">
        <v>43</v>
      </c>
      <c r="B792">
        <v>-9</v>
      </c>
      <c r="C792">
        <v>0</v>
      </c>
      <c r="D792">
        <v>2021</v>
      </c>
      <c r="E792">
        <v>2</v>
      </c>
      <c r="F792" t="str">
        <f>IFERROR(VLOOKUP(G792, Map!$A$1:$B$33, 2, FALSE),"WAS")</f>
        <v>PIT</v>
      </c>
      <c r="G792" t="s">
        <v>145</v>
      </c>
      <c r="H792" t="str">
        <f>IFERROR(VLOOKUP(I792, Map!$A$1:$B$33, 2, FALSE),"WAS")</f>
        <v>LV</v>
      </c>
      <c r="I792" t="s">
        <v>157</v>
      </c>
      <c r="J792" t="s">
        <v>170</v>
      </c>
      <c r="K792" t="s">
        <v>179</v>
      </c>
      <c r="L792">
        <v>0</v>
      </c>
      <c r="M792">
        <v>0</v>
      </c>
      <c r="N792">
        <v>46.733333333333299</v>
      </c>
      <c r="O792">
        <v>-5.43333333333333</v>
      </c>
      <c r="P792">
        <v>-5</v>
      </c>
      <c r="Q792">
        <v>46.5</v>
      </c>
      <c r="R792">
        <v>21.5</v>
      </c>
      <c r="S792">
        <v>26.6</v>
      </c>
      <c r="T792">
        <v>17</v>
      </c>
      <c r="U792">
        <v>22.9</v>
      </c>
      <c r="V792">
        <v>0</v>
      </c>
      <c r="W792">
        <v>0</v>
      </c>
      <c r="X792">
        <v>0</v>
      </c>
      <c r="Y792">
        <v>0</v>
      </c>
      <c r="Z792">
        <v>12.3</v>
      </c>
      <c r="AA792">
        <v>23</v>
      </c>
      <c r="AB792">
        <v>39</v>
      </c>
      <c r="AC792">
        <v>76</v>
      </c>
      <c r="AD792">
        <v>17.8</v>
      </c>
      <c r="AE792">
        <v>7.9</v>
      </c>
      <c r="AF792">
        <v>64.677000000000007</v>
      </c>
      <c r="AG792">
        <v>38.380000000000003</v>
      </c>
      <c r="AH792">
        <v>35.040999999999997</v>
      </c>
      <c r="AI792">
        <v>24.012</v>
      </c>
      <c r="AJ792">
        <v>45.643000000000001</v>
      </c>
      <c r="AK792">
        <v>28.849</v>
      </c>
      <c r="AL792">
        <v>5.383</v>
      </c>
      <c r="AM792">
        <v>35.040999999999997</v>
      </c>
      <c r="AN792">
        <v>38.380000000000003</v>
      </c>
      <c r="AO792">
        <v>64.677000000000007</v>
      </c>
      <c r="AP792">
        <v>-5.383</v>
      </c>
      <c r="AQ792">
        <v>54.356999999999999</v>
      </c>
      <c r="AR792">
        <v>75.988</v>
      </c>
      <c r="AS792">
        <v>71.150999999999996</v>
      </c>
    </row>
    <row r="793" spans="1:45" x14ac:dyDescent="0.25">
      <c r="A793">
        <v>52</v>
      </c>
      <c r="B793">
        <v>10</v>
      </c>
      <c r="C793">
        <v>1</v>
      </c>
      <c r="D793">
        <v>2021</v>
      </c>
      <c r="E793">
        <v>2</v>
      </c>
      <c r="F793" t="str">
        <f>IFERROR(VLOOKUP(G793, Map!$A$1:$B$33, 2, FALSE),"WAS")</f>
        <v>CLE</v>
      </c>
      <c r="G793" t="s">
        <v>162</v>
      </c>
      <c r="H793" t="str">
        <f>IFERROR(VLOOKUP(I793, Map!$A$1:$B$33, 2, FALSE),"WAS")</f>
        <v>HOU</v>
      </c>
      <c r="I793" t="s">
        <v>137</v>
      </c>
      <c r="J793" t="s">
        <v>171</v>
      </c>
      <c r="K793" t="s">
        <v>209</v>
      </c>
      <c r="L793">
        <v>1</v>
      </c>
      <c r="M793">
        <v>0</v>
      </c>
      <c r="N793">
        <v>45.5</v>
      </c>
      <c r="O793">
        <v>-12.5</v>
      </c>
      <c r="P793">
        <v>-12.5</v>
      </c>
      <c r="Q793">
        <v>48</v>
      </c>
      <c r="R793">
        <v>20.6</v>
      </c>
      <c r="S793">
        <v>24.3</v>
      </c>
      <c r="T793">
        <v>16.100000000000001</v>
      </c>
      <c r="U793">
        <v>21.6</v>
      </c>
      <c r="V793">
        <v>0</v>
      </c>
      <c r="W793">
        <v>0</v>
      </c>
      <c r="X793">
        <v>0</v>
      </c>
      <c r="Y793">
        <v>0</v>
      </c>
      <c r="Z793">
        <v>20.6</v>
      </c>
      <c r="AA793">
        <v>34.9</v>
      </c>
      <c r="AB793">
        <v>55</v>
      </c>
      <c r="AC793">
        <v>80</v>
      </c>
      <c r="AD793">
        <v>20</v>
      </c>
      <c r="AE793">
        <v>11</v>
      </c>
      <c r="AF793">
        <v>79.716999999999999</v>
      </c>
      <c r="AG793">
        <v>38.232999999999997</v>
      </c>
      <c r="AH793">
        <v>20.120999999999999</v>
      </c>
      <c r="AI793">
        <v>35.942999999999998</v>
      </c>
      <c r="AJ793">
        <v>76.968000000000004</v>
      </c>
      <c r="AK793">
        <v>74.344999999999999</v>
      </c>
      <c r="AL793">
        <v>11.807</v>
      </c>
      <c r="AM793">
        <v>20.120999999999999</v>
      </c>
      <c r="AN793">
        <v>38.232999999999997</v>
      </c>
      <c r="AO793">
        <v>79.716999999999999</v>
      </c>
      <c r="AP793">
        <v>-11.807</v>
      </c>
      <c r="AQ793">
        <v>23.032</v>
      </c>
      <c r="AR793">
        <v>64.057000000000002</v>
      </c>
      <c r="AS793">
        <v>25.655000000000001</v>
      </c>
    </row>
    <row r="794" spans="1:45" x14ac:dyDescent="0.25">
      <c r="A794">
        <v>71</v>
      </c>
      <c r="B794">
        <v>1</v>
      </c>
      <c r="C794">
        <v>1</v>
      </c>
      <c r="D794">
        <v>2021</v>
      </c>
      <c r="E794">
        <v>2</v>
      </c>
      <c r="F794" t="str">
        <f>IFERROR(VLOOKUP(G794, Map!$A$1:$B$33, 2, FALSE),"WAS")</f>
        <v>BAL</v>
      </c>
      <c r="G794" t="s">
        <v>146</v>
      </c>
      <c r="H794" t="str">
        <f>IFERROR(VLOOKUP(I794, Map!$A$1:$B$33, 2, FALSE),"WAS")</f>
        <v>KC</v>
      </c>
      <c r="I794" t="s">
        <v>158</v>
      </c>
      <c r="J794" t="s">
        <v>181</v>
      </c>
      <c r="K794" t="s">
        <v>202</v>
      </c>
      <c r="L794">
        <v>1</v>
      </c>
      <c r="M794">
        <v>0</v>
      </c>
      <c r="N794">
        <v>50.40625</v>
      </c>
      <c r="O794">
        <v>3.28125</v>
      </c>
      <c r="P794">
        <v>3</v>
      </c>
      <c r="Q794">
        <v>53.5</v>
      </c>
      <c r="R794">
        <v>20.7</v>
      </c>
      <c r="S794">
        <v>24.7</v>
      </c>
      <c r="T794">
        <v>17</v>
      </c>
      <c r="U794">
        <v>21.7</v>
      </c>
      <c r="V794">
        <v>0</v>
      </c>
      <c r="W794">
        <v>0</v>
      </c>
      <c r="X794">
        <v>0</v>
      </c>
      <c r="Y794">
        <v>0</v>
      </c>
      <c r="Z794">
        <v>17.600000000000001</v>
      </c>
      <c r="AA794">
        <v>31</v>
      </c>
      <c r="AB794">
        <v>107</v>
      </c>
      <c r="AC794">
        <v>79</v>
      </c>
      <c r="AD794">
        <v>18.399999999999999</v>
      </c>
      <c r="AE794">
        <v>10.1</v>
      </c>
      <c r="AF794">
        <v>43.817</v>
      </c>
      <c r="AG794">
        <v>78.116</v>
      </c>
      <c r="AH794">
        <v>55.831000000000003</v>
      </c>
      <c r="AI794">
        <v>9.8209999999999997</v>
      </c>
      <c r="AJ794">
        <v>71.673000000000002</v>
      </c>
      <c r="AK794">
        <v>48.561</v>
      </c>
      <c r="AL794">
        <v>-2.1379999999999999</v>
      </c>
      <c r="AM794">
        <v>55.831000000000003</v>
      </c>
      <c r="AN794">
        <v>78.116</v>
      </c>
      <c r="AO794">
        <v>43.817</v>
      </c>
      <c r="AP794">
        <v>2.1379999999999999</v>
      </c>
      <c r="AQ794">
        <v>28.327000000000002</v>
      </c>
      <c r="AR794">
        <v>90.179000000000002</v>
      </c>
      <c r="AS794">
        <v>51.439</v>
      </c>
    </row>
    <row r="795" spans="1:45" x14ac:dyDescent="0.25">
      <c r="A795">
        <v>33</v>
      </c>
      <c r="B795">
        <v>19</v>
      </c>
      <c r="C795">
        <v>1</v>
      </c>
      <c r="D795">
        <v>2021</v>
      </c>
      <c r="E795">
        <v>2</v>
      </c>
      <c r="F795" t="str">
        <f>IFERROR(VLOOKUP(G795, Map!$A$1:$B$33, 2, FALSE),"WAS")</f>
        <v>CAR</v>
      </c>
      <c r="G795" t="s">
        <v>142</v>
      </c>
      <c r="H795" t="str">
        <f>IFERROR(VLOOKUP(I795, Map!$A$1:$B$33, 2, FALSE),"WAS")</f>
        <v>NO</v>
      </c>
      <c r="I795" t="s">
        <v>168</v>
      </c>
      <c r="J795" t="s">
        <v>185</v>
      </c>
      <c r="K795" t="s">
        <v>192</v>
      </c>
      <c r="L795">
        <v>1</v>
      </c>
      <c r="M795">
        <v>0</v>
      </c>
      <c r="N795">
        <v>42.15625</v>
      </c>
      <c r="O795">
        <v>2.875</v>
      </c>
      <c r="P795">
        <v>3</v>
      </c>
      <c r="Q795">
        <v>44.5</v>
      </c>
      <c r="R795">
        <v>24.9</v>
      </c>
      <c r="S795">
        <v>30.4</v>
      </c>
      <c r="T795">
        <v>19.3</v>
      </c>
      <c r="U795">
        <v>27.1</v>
      </c>
      <c r="V795">
        <v>0.1</v>
      </c>
      <c r="W795">
        <v>0</v>
      </c>
      <c r="X795">
        <v>1</v>
      </c>
      <c r="Y795">
        <v>0.1</v>
      </c>
      <c r="Z795">
        <v>13.7</v>
      </c>
      <c r="AA795">
        <v>33.1</v>
      </c>
      <c r="AB795">
        <v>104</v>
      </c>
      <c r="AC795">
        <v>71</v>
      </c>
      <c r="AD795">
        <v>17.3</v>
      </c>
      <c r="AE795">
        <v>7.6</v>
      </c>
      <c r="AF795">
        <v>39.514000000000003</v>
      </c>
      <c r="AG795">
        <v>42.256999999999998</v>
      </c>
      <c r="AH795">
        <v>60.168999999999997</v>
      </c>
      <c r="AI795">
        <v>97.563999999999993</v>
      </c>
      <c r="AJ795">
        <v>78.022999999999996</v>
      </c>
      <c r="AK795">
        <v>91.244</v>
      </c>
      <c r="AL795">
        <v>-3.7050000000000001</v>
      </c>
      <c r="AM795">
        <v>60.168999999999997</v>
      </c>
      <c r="AN795">
        <v>42.256999999999998</v>
      </c>
      <c r="AO795">
        <v>39.514000000000003</v>
      </c>
      <c r="AP795">
        <v>3.7050000000000001</v>
      </c>
      <c r="AQ795">
        <v>21.977</v>
      </c>
      <c r="AR795">
        <v>2.4359999999999999</v>
      </c>
      <c r="AS795">
        <v>8.7560000000000002</v>
      </c>
    </row>
    <row r="796" spans="1:45" x14ac:dyDescent="0.25">
      <c r="A796">
        <v>35</v>
      </c>
      <c r="B796">
        <v>-35</v>
      </c>
      <c r="C796">
        <v>0</v>
      </c>
      <c r="D796">
        <v>2021</v>
      </c>
      <c r="E796">
        <v>2</v>
      </c>
      <c r="F796" t="str">
        <f>IFERROR(VLOOKUP(G796, Map!$A$1:$B$33, 2, FALSE),"WAS")</f>
        <v>MIA</v>
      </c>
      <c r="G796" t="s">
        <v>152</v>
      </c>
      <c r="H796" t="str">
        <f>IFERROR(VLOOKUP(I796, Map!$A$1:$B$33, 2, FALSE),"WAS")</f>
        <v>BUF</v>
      </c>
      <c r="I796" t="s">
        <v>165</v>
      </c>
      <c r="J796" t="s">
        <v>175</v>
      </c>
      <c r="K796" t="s">
        <v>180</v>
      </c>
      <c r="L796">
        <v>0</v>
      </c>
      <c r="M796">
        <v>0</v>
      </c>
      <c r="N796">
        <v>44.8125</v>
      </c>
      <c r="O796">
        <v>3.28125</v>
      </c>
      <c r="P796">
        <v>3</v>
      </c>
      <c r="Q796">
        <v>47</v>
      </c>
      <c r="R796">
        <v>26.3</v>
      </c>
      <c r="S796">
        <v>30.9</v>
      </c>
      <c r="T796">
        <v>22.7</v>
      </c>
      <c r="U796">
        <v>31.6</v>
      </c>
      <c r="V796">
        <v>6.3</v>
      </c>
      <c r="W796">
        <v>0</v>
      </c>
      <c r="X796">
        <v>6</v>
      </c>
      <c r="Y796">
        <v>6.3</v>
      </c>
      <c r="Z796">
        <v>10.199999999999999</v>
      </c>
      <c r="AA796">
        <v>26.3</v>
      </c>
      <c r="AB796">
        <v>27</v>
      </c>
      <c r="AC796">
        <v>87</v>
      </c>
      <c r="AD796">
        <v>12.8</v>
      </c>
      <c r="AE796">
        <v>5.5</v>
      </c>
      <c r="AF796">
        <v>49.369</v>
      </c>
      <c r="AG796">
        <v>76.793999999999997</v>
      </c>
      <c r="AH796">
        <v>50.234000000000002</v>
      </c>
      <c r="AI796">
        <v>32.676000000000002</v>
      </c>
      <c r="AJ796">
        <v>1.877</v>
      </c>
      <c r="AK796">
        <v>2.5790000000000002</v>
      </c>
      <c r="AL796">
        <v>-0.153</v>
      </c>
      <c r="AM796">
        <v>50.234000000000002</v>
      </c>
      <c r="AN796">
        <v>76.793999999999997</v>
      </c>
      <c r="AO796">
        <v>49.369</v>
      </c>
      <c r="AP796">
        <v>0.153</v>
      </c>
      <c r="AQ796">
        <v>98.123000000000005</v>
      </c>
      <c r="AR796">
        <v>67.323999999999998</v>
      </c>
      <c r="AS796">
        <v>97.421000000000006</v>
      </c>
    </row>
    <row r="797" spans="1:45" x14ac:dyDescent="0.25">
      <c r="A797">
        <v>59</v>
      </c>
      <c r="B797">
        <v>1</v>
      </c>
      <c r="C797">
        <v>1</v>
      </c>
      <c r="D797">
        <v>2021</v>
      </c>
      <c r="E797">
        <v>2</v>
      </c>
      <c r="F797" t="str">
        <f>IFERROR(VLOOKUP(G797, Map!$A$1:$B$33, 2, FALSE),"WAS")</f>
        <v>WAS</v>
      </c>
      <c r="G797" t="s">
        <v>169</v>
      </c>
      <c r="H797" t="str">
        <f>IFERROR(VLOOKUP(I797, Map!$A$1:$B$33, 2, FALSE),"WAS")</f>
        <v>NYG</v>
      </c>
      <c r="I797" t="s">
        <v>149</v>
      </c>
      <c r="J797" t="s">
        <v>205</v>
      </c>
      <c r="K797" t="s">
        <v>219</v>
      </c>
      <c r="L797">
        <v>1</v>
      </c>
      <c r="M797">
        <v>0</v>
      </c>
      <c r="N797">
        <v>41.2</v>
      </c>
      <c r="O797">
        <v>-3.8666666666666698</v>
      </c>
      <c r="P797">
        <v>-3</v>
      </c>
      <c r="Q797">
        <v>40.5</v>
      </c>
      <c r="R797">
        <v>23.2</v>
      </c>
      <c r="S797">
        <v>26.3</v>
      </c>
      <c r="T797">
        <v>22.1</v>
      </c>
      <c r="U797">
        <v>26.4</v>
      </c>
      <c r="V797">
        <v>8</v>
      </c>
      <c r="W797">
        <v>0</v>
      </c>
      <c r="X797">
        <v>16</v>
      </c>
      <c r="Y797">
        <v>8</v>
      </c>
      <c r="Z797">
        <v>12.6</v>
      </c>
      <c r="AA797">
        <v>23.4</v>
      </c>
      <c r="AB797">
        <v>47</v>
      </c>
      <c r="AC797">
        <v>90</v>
      </c>
      <c r="AD797">
        <v>19.7</v>
      </c>
      <c r="AE797">
        <v>9.6</v>
      </c>
      <c r="AF797">
        <v>55.99</v>
      </c>
      <c r="AG797">
        <v>24.495999999999999</v>
      </c>
      <c r="AH797">
        <v>43.66</v>
      </c>
      <c r="AI797">
        <v>36.963999999999999</v>
      </c>
      <c r="AJ797">
        <v>69.182000000000002</v>
      </c>
      <c r="AK797">
        <v>53.414999999999999</v>
      </c>
      <c r="AL797">
        <v>2.1949999999999998</v>
      </c>
      <c r="AM797">
        <v>43.66</v>
      </c>
      <c r="AN797">
        <v>24.495999999999999</v>
      </c>
      <c r="AO797">
        <v>55.99</v>
      </c>
      <c r="AP797">
        <v>-2.1949999999999998</v>
      </c>
      <c r="AQ797">
        <v>30.818000000000001</v>
      </c>
      <c r="AR797">
        <v>63.036000000000001</v>
      </c>
      <c r="AS797">
        <v>46.585000000000001</v>
      </c>
    </row>
    <row r="798" spans="1:45" x14ac:dyDescent="0.25">
      <c r="A798">
        <v>52</v>
      </c>
      <c r="B798">
        <v>18</v>
      </c>
      <c r="C798">
        <v>1</v>
      </c>
      <c r="D798">
        <v>2021</v>
      </c>
      <c r="E798">
        <v>2</v>
      </c>
      <c r="F798" t="str">
        <f>IFERROR(VLOOKUP(G798, Map!$A$1:$B$33, 2, FALSE),"WAS")</f>
        <v>GB</v>
      </c>
      <c r="G798" t="s">
        <v>154</v>
      </c>
      <c r="H798" t="str">
        <f>IFERROR(VLOOKUP(I798, Map!$A$1:$B$33, 2, FALSE),"WAS")</f>
        <v>DET</v>
      </c>
      <c r="I798" t="s">
        <v>164</v>
      </c>
      <c r="J798" t="s">
        <v>200</v>
      </c>
      <c r="K798" t="s">
        <v>173</v>
      </c>
      <c r="L798">
        <v>1</v>
      </c>
      <c r="M798">
        <v>0</v>
      </c>
      <c r="N798">
        <v>46.15625</v>
      </c>
      <c r="O798">
        <v>-10.78125</v>
      </c>
      <c r="P798">
        <v>-11</v>
      </c>
      <c r="Q798">
        <v>48.5</v>
      </c>
      <c r="R798">
        <v>19.5</v>
      </c>
      <c r="S798">
        <v>22.8</v>
      </c>
      <c r="T798">
        <v>15.6</v>
      </c>
      <c r="U798">
        <v>18.2</v>
      </c>
      <c r="V798">
        <v>6.5</v>
      </c>
      <c r="W798">
        <v>0</v>
      </c>
      <c r="X798">
        <v>6</v>
      </c>
      <c r="Y798">
        <v>6.5</v>
      </c>
      <c r="Z798">
        <v>24.9</v>
      </c>
      <c r="AA798">
        <v>59</v>
      </c>
      <c r="AB798">
        <v>280</v>
      </c>
      <c r="AC798">
        <v>71</v>
      </c>
      <c r="AD798">
        <v>40.5</v>
      </c>
      <c r="AE798">
        <v>18.8</v>
      </c>
      <c r="AF798">
        <v>67.328999999999994</v>
      </c>
      <c r="AG798">
        <v>49.311999999999998</v>
      </c>
      <c r="AH798">
        <v>32.411000000000001</v>
      </c>
      <c r="AI798">
        <v>50.045000000000002</v>
      </c>
      <c r="AJ798">
        <v>94.290999999999997</v>
      </c>
      <c r="AK798">
        <v>85.447999999999993</v>
      </c>
      <c r="AL798">
        <v>6.4039999999999999</v>
      </c>
      <c r="AM798">
        <v>32.411000000000001</v>
      </c>
      <c r="AN798">
        <v>49.311999999999998</v>
      </c>
      <c r="AO798">
        <v>67.328999999999994</v>
      </c>
      <c r="AP798">
        <v>-6.4039999999999999</v>
      </c>
      <c r="AQ798">
        <v>5.7089999999999996</v>
      </c>
      <c r="AR798">
        <v>49.954999999999998</v>
      </c>
      <c r="AS798">
        <v>14.552</v>
      </c>
    </row>
    <row r="799" spans="1:45" x14ac:dyDescent="0.25">
      <c r="A799">
        <v>73</v>
      </c>
      <c r="B799">
        <v>23</v>
      </c>
      <c r="C799">
        <v>1</v>
      </c>
      <c r="D799">
        <v>2021</v>
      </c>
      <c r="E799">
        <v>2</v>
      </c>
      <c r="F799" t="str">
        <f>IFERROR(VLOOKUP(G799, Map!$A$1:$B$33, 2, FALSE),"WAS")</f>
        <v>TB</v>
      </c>
      <c r="G799" t="s">
        <v>141</v>
      </c>
      <c r="H799" t="str">
        <f>IFERROR(VLOOKUP(I799, Map!$A$1:$B$33, 2, FALSE),"WAS")</f>
        <v>ATL</v>
      </c>
      <c r="I799" t="s">
        <v>167</v>
      </c>
      <c r="J799" t="s">
        <v>186</v>
      </c>
      <c r="K799" t="s">
        <v>188</v>
      </c>
      <c r="L799">
        <v>1</v>
      </c>
      <c r="M799">
        <v>0</v>
      </c>
      <c r="N799">
        <v>48.6875</v>
      </c>
      <c r="O799">
        <v>-11.9375</v>
      </c>
      <c r="P799">
        <v>-12</v>
      </c>
      <c r="Q799">
        <v>51.5</v>
      </c>
      <c r="R799">
        <v>25.6</v>
      </c>
      <c r="S799">
        <v>28</v>
      </c>
      <c r="T799">
        <v>23.7</v>
      </c>
      <c r="U799">
        <v>30.8</v>
      </c>
      <c r="V799">
        <v>13.4</v>
      </c>
      <c r="W799">
        <v>0</v>
      </c>
      <c r="X799">
        <v>14</v>
      </c>
      <c r="Y799">
        <v>13.4</v>
      </c>
      <c r="Z799">
        <v>11.9</v>
      </c>
      <c r="AA799">
        <v>24.1</v>
      </c>
      <c r="AB799">
        <v>269</v>
      </c>
      <c r="AC799">
        <v>89</v>
      </c>
      <c r="AD799">
        <v>12.4</v>
      </c>
      <c r="AE799">
        <v>5</v>
      </c>
      <c r="AF799">
        <v>78.504000000000005</v>
      </c>
      <c r="AG799">
        <v>50.789000000000001</v>
      </c>
      <c r="AH799">
        <v>21.324999999999999</v>
      </c>
      <c r="AI799">
        <v>80.367999999999995</v>
      </c>
      <c r="AJ799">
        <v>75.694999999999993</v>
      </c>
      <c r="AK799">
        <v>86.17</v>
      </c>
      <c r="AL799">
        <v>11.21</v>
      </c>
      <c r="AM799">
        <v>21.324999999999999</v>
      </c>
      <c r="AN799">
        <v>50.789000000000001</v>
      </c>
      <c r="AO799">
        <v>78.504000000000005</v>
      </c>
      <c r="AP799">
        <v>-11.21</v>
      </c>
      <c r="AQ799">
        <v>24.305</v>
      </c>
      <c r="AR799">
        <v>19.632000000000001</v>
      </c>
      <c r="AS799">
        <v>13.83</v>
      </c>
    </row>
    <row r="800" spans="1:45" x14ac:dyDescent="0.25">
      <c r="A800">
        <v>31</v>
      </c>
      <c r="B800">
        <v>-19</v>
      </c>
      <c r="C800">
        <v>0</v>
      </c>
      <c r="D800">
        <v>2021</v>
      </c>
      <c r="E800">
        <v>2</v>
      </c>
      <c r="F800" t="str">
        <f>IFERROR(VLOOKUP(G800, Map!$A$1:$B$33, 2, FALSE),"WAS")</f>
        <v>NYJ</v>
      </c>
      <c r="G800" t="s">
        <v>166</v>
      </c>
      <c r="H800" t="str">
        <f>IFERROR(VLOOKUP(I800, Map!$A$1:$B$33, 2, FALSE),"WAS")</f>
        <v>NE</v>
      </c>
      <c r="I800" t="s">
        <v>151</v>
      </c>
      <c r="J800" t="s">
        <v>172</v>
      </c>
      <c r="K800" t="s">
        <v>187</v>
      </c>
      <c r="L800">
        <v>0</v>
      </c>
      <c r="M800">
        <v>0</v>
      </c>
      <c r="N800">
        <v>40.21875</v>
      </c>
      <c r="O800">
        <v>5.15625</v>
      </c>
      <c r="P800">
        <v>4</v>
      </c>
      <c r="Q800">
        <v>42.5</v>
      </c>
      <c r="R800">
        <v>21</v>
      </c>
      <c r="S800">
        <v>23.7</v>
      </c>
      <c r="T800">
        <v>16.100000000000001</v>
      </c>
      <c r="U800">
        <v>20.9</v>
      </c>
      <c r="V800">
        <v>0</v>
      </c>
      <c r="W800">
        <v>0</v>
      </c>
      <c r="X800">
        <v>0</v>
      </c>
      <c r="Y800">
        <v>0</v>
      </c>
      <c r="Z800">
        <v>15.2</v>
      </c>
      <c r="AA800">
        <v>34.9</v>
      </c>
      <c r="AB800">
        <v>354</v>
      </c>
      <c r="AC800">
        <v>68</v>
      </c>
      <c r="AD800">
        <v>25.3</v>
      </c>
      <c r="AE800">
        <v>12</v>
      </c>
      <c r="AF800">
        <v>34.698</v>
      </c>
      <c r="AG800">
        <v>38.93</v>
      </c>
      <c r="AH800">
        <v>65.022999999999996</v>
      </c>
      <c r="AI800">
        <v>50.976999999999997</v>
      </c>
      <c r="AJ800">
        <v>3.6459999999999999</v>
      </c>
      <c r="AK800">
        <v>10.382</v>
      </c>
      <c r="AL800">
        <v>-5.5140000000000002</v>
      </c>
      <c r="AM800">
        <v>65.022999999999996</v>
      </c>
      <c r="AN800">
        <v>38.93</v>
      </c>
      <c r="AO800">
        <v>34.698</v>
      </c>
      <c r="AP800">
        <v>5.5140000000000002</v>
      </c>
      <c r="AQ800">
        <v>96.353999999999999</v>
      </c>
      <c r="AR800">
        <v>49.023000000000003</v>
      </c>
      <c r="AS800">
        <v>89.617999999999995</v>
      </c>
    </row>
    <row r="801" spans="1:45" x14ac:dyDescent="0.25">
      <c r="A801">
        <v>37</v>
      </c>
      <c r="B801">
        <v>3</v>
      </c>
      <c r="C801">
        <v>1</v>
      </c>
      <c r="D801">
        <v>2021</v>
      </c>
      <c r="E801">
        <v>2</v>
      </c>
      <c r="F801" t="str">
        <f>IFERROR(VLOOKUP(G801, Map!$A$1:$B$33, 2, FALSE),"WAS")</f>
        <v>CHI</v>
      </c>
      <c r="G801" t="s">
        <v>163</v>
      </c>
      <c r="H801" t="str">
        <f>IFERROR(VLOOKUP(I801, Map!$A$1:$B$33, 2, FALSE),"WAS")</f>
        <v>CIN</v>
      </c>
      <c r="I801" t="s">
        <v>161</v>
      </c>
      <c r="J801" t="s">
        <v>216</v>
      </c>
      <c r="K801" t="s">
        <v>176</v>
      </c>
      <c r="L801">
        <v>1</v>
      </c>
      <c r="M801">
        <v>0</v>
      </c>
      <c r="N801">
        <v>41.84375</v>
      </c>
      <c r="O801">
        <v>-1.9375</v>
      </c>
      <c r="P801">
        <v>-1.5</v>
      </c>
      <c r="Q801">
        <v>44</v>
      </c>
      <c r="R801">
        <v>22.2</v>
      </c>
      <c r="S801">
        <v>28.4</v>
      </c>
      <c r="T801">
        <v>18.2</v>
      </c>
      <c r="U801">
        <v>23.3</v>
      </c>
      <c r="V801">
        <v>0.3</v>
      </c>
      <c r="W801">
        <v>0</v>
      </c>
      <c r="X801">
        <v>3</v>
      </c>
      <c r="Y801">
        <v>0.3</v>
      </c>
      <c r="Z801">
        <v>16.899999999999999</v>
      </c>
      <c r="AA801">
        <v>30.6</v>
      </c>
      <c r="AB801">
        <v>89</v>
      </c>
      <c r="AC801">
        <v>75</v>
      </c>
      <c r="AD801">
        <v>19.899999999999999</v>
      </c>
      <c r="AE801">
        <v>11.1</v>
      </c>
      <c r="AF801">
        <v>54.261000000000003</v>
      </c>
      <c r="AG801">
        <v>40.292000000000002</v>
      </c>
      <c r="AH801">
        <v>45.375</v>
      </c>
      <c r="AI801">
        <v>97.063000000000002</v>
      </c>
      <c r="AJ801">
        <v>26.164000000000001</v>
      </c>
      <c r="AK801">
        <v>74.376999999999995</v>
      </c>
      <c r="AL801">
        <v>1.579</v>
      </c>
      <c r="AM801">
        <v>45.375</v>
      </c>
      <c r="AN801">
        <v>40.292000000000002</v>
      </c>
      <c r="AO801">
        <v>54.261000000000003</v>
      </c>
      <c r="AP801">
        <v>-1.579</v>
      </c>
      <c r="AQ801">
        <v>73.835999999999999</v>
      </c>
      <c r="AR801">
        <v>2.9369999999999998</v>
      </c>
      <c r="AS801">
        <v>25.623000000000001</v>
      </c>
    </row>
    <row r="802" spans="1:45" x14ac:dyDescent="0.25">
      <c r="A802">
        <v>34</v>
      </c>
      <c r="B802">
        <v>-14</v>
      </c>
      <c r="C802">
        <v>0</v>
      </c>
      <c r="D802">
        <v>2021</v>
      </c>
      <c r="E802">
        <v>3</v>
      </c>
      <c r="F802" t="str">
        <f>IFERROR(VLOOKUP(G802, Map!$A$1:$B$33, 2, FALSE),"WAS")</f>
        <v>PIT</v>
      </c>
      <c r="G802" t="s">
        <v>145</v>
      </c>
      <c r="H802" t="str">
        <f>IFERROR(VLOOKUP(I802, Map!$A$1:$B$33, 2, FALSE),"WAS")</f>
        <v>CIN</v>
      </c>
      <c r="I802" t="s">
        <v>161</v>
      </c>
      <c r="J802" t="s">
        <v>170</v>
      </c>
      <c r="K802" t="s">
        <v>176</v>
      </c>
      <c r="L802">
        <v>0</v>
      </c>
      <c r="M802">
        <v>0</v>
      </c>
      <c r="N802">
        <v>39.53125</v>
      </c>
      <c r="O802">
        <v>-2.40625</v>
      </c>
      <c r="P802">
        <v>-2.5</v>
      </c>
      <c r="Q802">
        <v>42</v>
      </c>
      <c r="R802">
        <v>15.4</v>
      </c>
      <c r="S802">
        <v>21.9</v>
      </c>
      <c r="T802">
        <v>9.6</v>
      </c>
      <c r="U802">
        <v>13.6</v>
      </c>
      <c r="V802">
        <v>0.2</v>
      </c>
      <c r="W802">
        <v>0</v>
      </c>
      <c r="X802">
        <v>2</v>
      </c>
      <c r="Y802">
        <v>0.2</v>
      </c>
      <c r="Z802">
        <v>20</v>
      </c>
      <c r="AA802">
        <v>43.6</v>
      </c>
      <c r="AB802">
        <v>255</v>
      </c>
      <c r="AC802">
        <v>68</v>
      </c>
      <c r="AD802">
        <v>26</v>
      </c>
      <c r="AE802">
        <v>11.7</v>
      </c>
      <c r="AF802">
        <v>63.103000000000002</v>
      </c>
      <c r="AG802">
        <v>50.606000000000002</v>
      </c>
      <c r="AH802">
        <v>36.603000000000002</v>
      </c>
      <c r="AI802">
        <v>32.145000000000003</v>
      </c>
      <c r="AJ802">
        <v>20.698</v>
      </c>
      <c r="AK802">
        <v>15.526999999999999</v>
      </c>
      <c r="AL802">
        <v>4.7270000000000003</v>
      </c>
      <c r="AM802">
        <v>36.603000000000002</v>
      </c>
      <c r="AN802">
        <v>50.606000000000002</v>
      </c>
      <c r="AO802">
        <v>63.103000000000002</v>
      </c>
      <c r="AP802">
        <v>-4.7270000000000003</v>
      </c>
      <c r="AQ802">
        <v>79.302000000000007</v>
      </c>
      <c r="AR802">
        <v>67.855000000000004</v>
      </c>
      <c r="AS802">
        <v>84.472999999999999</v>
      </c>
    </row>
    <row r="803" spans="1:45" x14ac:dyDescent="0.25">
      <c r="A803">
        <v>41</v>
      </c>
      <c r="B803">
        <v>9</v>
      </c>
      <c r="C803">
        <v>1</v>
      </c>
      <c r="D803">
        <v>2021</v>
      </c>
      <c r="E803">
        <v>3</v>
      </c>
      <c r="F803" t="str">
        <f>IFERROR(VLOOKUP(G803, Map!$A$1:$B$33, 2, FALSE),"WAS")</f>
        <v>TEN</v>
      </c>
      <c r="G803" t="s">
        <v>140</v>
      </c>
      <c r="H803" t="str">
        <f>IFERROR(VLOOKUP(I803, Map!$A$1:$B$33, 2, FALSE),"WAS")</f>
        <v>IND</v>
      </c>
      <c r="I803" t="s">
        <v>138</v>
      </c>
      <c r="J803" t="s">
        <v>174</v>
      </c>
      <c r="K803" t="s">
        <v>177</v>
      </c>
      <c r="L803">
        <v>1</v>
      </c>
      <c r="M803">
        <v>0</v>
      </c>
      <c r="N803">
        <v>44.125</v>
      </c>
      <c r="O803">
        <v>-4.25</v>
      </c>
      <c r="P803">
        <v>-4.5</v>
      </c>
      <c r="Q803">
        <v>46.5</v>
      </c>
      <c r="R803">
        <v>18.3</v>
      </c>
      <c r="S803">
        <v>24.6</v>
      </c>
      <c r="T803">
        <v>14.1</v>
      </c>
      <c r="U803">
        <v>19.600000000000001</v>
      </c>
      <c r="V803">
        <v>0</v>
      </c>
      <c r="W803">
        <v>0</v>
      </c>
      <c r="X803">
        <v>0</v>
      </c>
      <c r="Y803">
        <v>0</v>
      </c>
      <c r="Z803">
        <v>8.9</v>
      </c>
      <c r="AA803">
        <v>13.7</v>
      </c>
      <c r="AB803">
        <v>49</v>
      </c>
      <c r="AC803">
        <v>84</v>
      </c>
      <c r="AD803">
        <v>10.3</v>
      </c>
      <c r="AE803">
        <v>4.4000000000000004</v>
      </c>
      <c r="AF803">
        <v>55.689</v>
      </c>
      <c r="AG803">
        <v>64.448999999999998</v>
      </c>
      <c r="AH803">
        <v>43.957999999999998</v>
      </c>
      <c r="AI803">
        <v>46.566000000000003</v>
      </c>
      <c r="AJ803">
        <v>67.947999999999993</v>
      </c>
      <c r="AK803">
        <v>72.263999999999996</v>
      </c>
      <c r="AL803">
        <v>2.0609999999999999</v>
      </c>
      <c r="AM803">
        <v>43.957999999999998</v>
      </c>
      <c r="AN803">
        <v>64.448999999999998</v>
      </c>
      <c r="AO803">
        <v>55.689</v>
      </c>
      <c r="AP803">
        <v>-2.0609999999999999</v>
      </c>
      <c r="AQ803">
        <v>32.052</v>
      </c>
      <c r="AR803">
        <v>53.433999999999997</v>
      </c>
      <c r="AS803">
        <v>27.736000000000001</v>
      </c>
    </row>
    <row r="804" spans="1:45" x14ac:dyDescent="0.25">
      <c r="A804">
        <v>26</v>
      </c>
      <c r="B804">
        <v>26</v>
      </c>
      <c r="C804">
        <v>1</v>
      </c>
      <c r="D804">
        <v>2021</v>
      </c>
      <c r="E804">
        <v>3</v>
      </c>
      <c r="F804" t="str">
        <f>IFERROR(VLOOKUP(G804, Map!$A$1:$B$33, 2, FALSE),"WAS")</f>
        <v>DEN</v>
      </c>
      <c r="G804" t="s">
        <v>159</v>
      </c>
      <c r="H804" t="str">
        <f>IFERROR(VLOOKUP(I804, Map!$A$1:$B$33, 2, FALSE),"WAS")</f>
        <v>NYJ</v>
      </c>
      <c r="I804" t="s">
        <v>166</v>
      </c>
      <c r="J804" t="s">
        <v>183</v>
      </c>
      <c r="K804" t="s">
        <v>172</v>
      </c>
      <c r="L804">
        <v>1</v>
      </c>
      <c r="M804">
        <v>0</v>
      </c>
      <c r="N804">
        <v>38.875</v>
      </c>
      <c r="O804">
        <v>-9.46875</v>
      </c>
      <c r="P804">
        <v>-10</v>
      </c>
      <c r="Q804">
        <v>41</v>
      </c>
      <c r="R804">
        <v>20.7</v>
      </c>
      <c r="S804">
        <v>30.8</v>
      </c>
      <c r="T804">
        <v>10.4</v>
      </c>
      <c r="U804">
        <v>17.100000000000001</v>
      </c>
      <c r="V804">
        <v>0</v>
      </c>
      <c r="W804">
        <v>0</v>
      </c>
      <c r="X804">
        <v>0</v>
      </c>
      <c r="Y804">
        <v>0</v>
      </c>
      <c r="Z804">
        <v>14.3</v>
      </c>
      <c r="AA804">
        <v>28.4</v>
      </c>
      <c r="AB804">
        <v>162</v>
      </c>
      <c r="AC804">
        <v>23</v>
      </c>
      <c r="AD804">
        <v>18.600000000000001</v>
      </c>
      <c r="AE804">
        <v>9.1</v>
      </c>
      <c r="AF804">
        <v>76.938999999999993</v>
      </c>
      <c r="AG804">
        <v>39.738999999999997</v>
      </c>
      <c r="AH804">
        <v>22.876999999999999</v>
      </c>
      <c r="AI804">
        <v>96.899000000000001</v>
      </c>
      <c r="AJ804">
        <v>69.626999999999995</v>
      </c>
      <c r="AK804">
        <v>95.340999999999994</v>
      </c>
      <c r="AL804">
        <v>10.332000000000001</v>
      </c>
      <c r="AM804">
        <v>22.876999999999999</v>
      </c>
      <c r="AN804">
        <v>39.738999999999997</v>
      </c>
      <c r="AO804">
        <v>76.938999999999993</v>
      </c>
      <c r="AP804">
        <v>-10.332000000000001</v>
      </c>
      <c r="AQ804">
        <v>30.373000000000001</v>
      </c>
      <c r="AR804">
        <v>3.101</v>
      </c>
      <c r="AS804">
        <v>4.6589999999999998</v>
      </c>
    </row>
    <row r="805" spans="1:45" x14ac:dyDescent="0.25">
      <c r="A805">
        <v>64</v>
      </c>
      <c r="B805">
        <v>22</v>
      </c>
      <c r="C805">
        <v>1</v>
      </c>
      <c r="D805">
        <v>2021</v>
      </c>
      <c r="E805">
        <v>3</v>
      </c>
      <c r="F805" t="str">
        <f>IFERROR(VLOOKUP(G805, Map!$A$1:$B$33, 2, FALSE),"WAS")</f>
        <v>BUF</v>
      </c>
      <c r="G805" t="s">
        <v>165</v>
      </c>
      <c r="H805" t="str">
        <f>IFERROR(VLOOKUP(I805, Map!$A$1:$B$33, 2, FALSE),"WAS")</f>
        <v>WAS</v>
      </c>
      <c r="I805" t="s">
        <v>169</v>
      </c>
      <c r="J805" t="s">
        <v>180</v>
      </c>
      <c r="K805" t="s">
        <v>205</v>
      </c>
      <c r="L805">
        <v>1</v>
      </c>
      <c r="M805">
        <v>0</v>
      </c>
      <c r="N805">
        <v>45.5</v>
      </c>
      <c r="O805">
        <v>-7.06666666666667</v>
      </c>
      <c r="P805">
        <v>-7</v>
      </c>
      <c r="Q805">
        <v>45.5</v>
      </c>
      <c r="R805">
        <v>17.899999999999999</v>
      </c>
      <c r="S805">
        <v>24.6</v>
      </c>
      <c r="T805">
        <v>12.2</v>
      </c>
      <c r="U805">
        <v>17.8</v>
      </c>
      <c r="V805">
        <v>0</v>
      </c>
      <c r="W805">
        <v>0</v>
      </c>
      <c r="X805">
        <v>0</v>
      </c>
      <c r="Y805">
        <v>0</v>
      </c>
      <c r="Z805">
        <v>10</v>
      </c>
      <c r="AA805">
        <v>23</v>
      </c>
      <c r="AB805">
        <v>322</v>
      </c>
      <c r="AC805">
        <v>73</v>
      </c>
      <c r="AD805">
        <v>14.2</v>
      </c>
      <c r="AE805">
        <v>6.9</v>
      </c>
      <c r="AF805">
        <v>71.596000000000004</v>
      </c>
      <c r="AG805">
        <v>56.997</v>
      </c>
      <c r="AH805">
        <v>28.177</v>
      </c>
      <c r="AI805">
        <v>94.744</v>
      </c>
      <c r="AJ805">
        <v>81.551000000000002</v>
      </c>
      <c r="AK805">
        <v>92.819000000000003</v>
      </c>
      <c r="AL805">
        <v>8.0190000000000001</v>
      </c>
      <c r="AM805">
        <v>28.177</v>
      </c>
      <c r="AN805">
        <v>56.997</v>
      </c>
      <c r="AO805">
        <v>71.596000000000004</v>
      </c>
      <c r="AP805">
        <v>-8.0190000000000001</v>
      </c>
      <c r="AQ805">
        <v>18.449000000000002</v>
      </c>
      <c r="AR805">
        <v>5.2560000000000002</v>
      </c>
      <c r="AS805">
        <v>7.181</v>
      </c>
    </row>
    <row r="806" spans="1:45" x14ac:dyDescent="0.25">
      <c r="A806">
        <v>41</v>
      </c>
      <c r="B806">
        <v>-15</v>
      </c>
      <c r="C806">
        <v>0</v>
      </c>
      <c r="D806">
        <v>2021</v>
      </c>
      <c r="E806">
        <v>3</v>
      </c>
      <c r="F806" t="str">
        <f>IFERROR(VLOOKUP(G806, Map!$A$1:$B$33, 2, FALSE),"WAS")</f>
        <v>NE</v>
      </c>
      <c r="G806" t="s">
        <v>151</v>
      </c>
      <c r="H806" t="str">
        <f>IFERROR(VLOOKUP(I806, Map!$A$1:$B$33, 2, FALSE),"WAS")</f>
        <v>NO</v>
      </c>
      <c r="I806" t="s">
        <v>168</v>
      </c>
      <c r="J806" t="s">
        <v>187</v>
      </c>
      <c r="K806" t="s">
        <v>192</v>
      </c>
      <c r="L806">
        <v>0</v>
      </c>
      <c r="M806">
        <v>0</v>
      </c>
      <c r="N806">
        <v>40.71875</v>
      </c>
      <c r="O806">
        <v>-2.6875</v>
      </c>
      <c r="P806">
        <v>-2.5</v>
      </c>
      <c r="Q806">
        <v>42.5</v>
      </c>
      <c r="R806">
        <v>18.399999999999999</v>
      </c>
      <c r="S806">
        <v>22</v>
      </c>
      <c r="T806">
        <v>16.2</v>
      </c>
      <c r="U806">
        <v>18.5</v>
      </c>
      <c r="V806">
        <v>9.3000000000000007</v>
      </c>
      <c r="W806">
        <v>0</v>
      </c>
      <c r="X806">
        <v>12</v>
      </c>
      <c r="Y806">
        <v>9.3000000000000007</v>
      </c>
      <c r="Z806">
        <v>19.399999999999999</v>
      </c>
      <c r="AA806">
        <v>45.4</v>
      </c>
      <c r="AB806">
        <v>302</v>
      </c>
      <c r="AC806">
        <v>81</v>
      </c>
      <c r="AD806">
        <v>25.7</v>
      </c>
      <c r="AE806">
        <v>10.4</v>
      </c>
      <c r="AF806">
        <v>58.454999999999998</v>
      </c>
      <c r="AG806">
        <v>71.385999999999996</v>
      </c>
      <c r="AH806">
        <v>41.213999999999999</v>
      </c>
      <c r="AI806">
        <v>36.636000000000003</v>
      </c>
      <c r="AJ806">
        <v>4.4909999999999997</v>
      </c>
      <c r="AK806">
        <v>13.510999999999999</v>
      </c>
      <c r="AL806">
        <v>3.0409999999999999</v>
      </c>
      <c r="AM806">
        <v>41.213999999999999</v>
      </c>
      <c r="AN806">
        <v>71.385999999999996</v>
      </c>
      <c r="AO806">
        <v>58.454999999999998</v>
      </c>
      <c r="AP806">
        <v>-3.0409999999999999</v>
      </c>
      <c r="AQ806">
        <v>95.509</v>
      </c>
      <c r="AR806">
        <v>63.363999999999997</v>
      </c>
      <c r="AS806">
        <v>86.489000000000004</v>
      </c>
    </row>
    <row r="807" spans="1:45" x14ac:dyDescent="0.25">
      <c r="A807">
        <v>33</v>
      </c>
      <c r="B807">
        <v>-15</v>
      </c>
      <c r="C807">
        <v>0</v>
      </c>
      <c r="D807">
        <v>2021</v>
      </c>
      <c r="E807">
        <v>3</v>
      </c>
      <c r="F807" t="str">
        <f>IFERROR(VLOOKUP(G807, Map!$A$1:$B$33, 2, FALSE),"WAS")</f>
        <v>HOU</v>
      </c>
      <c r="G807" t="s">
        <v>137</v>
      </c>
      <c r="H807" t="str">
        <f>IFERROR(VLOOKUP(I807, Map!$A$1:$B$33, 2, FALSE),"WAS")</f>
        <v>CAR</v>
      </c>
      <c r="I807" t="s">
        <v>142</v>
      </c>
      <c r="J807" t="s">
        <v>209</v>
      </c>
      <c r="K807" t="s">
        <v>185</v>
      </c>
      <c r="L807">
        <v>0</v>
      </c>
      <c r="M807">
        <v>0</v>
      </c>
      <c r="N807">
        <v>40.375</v>
      </c>
      <c r="O807">
        <v>7.46875</v>
      </c>
      <c r="P807">
        <v>7</v>
      </c>
      <c r="Q807">
        <v>43</v>
      </c>
      <c r="R807">
        <v>20.8</v>
      </c>
      <c r="S807">
        <v>26.4</v>
      </c>
      <c r="T807">
        <v>15</v>
      </c>
      <c r="U807">
        <v>21</v>
      </c>
      <c r="V807">
        <v>0</v>
      </c>
      <c r="W807">
        <v>0</v>
      </c>
      <c r="X807">
        <v>0</v>
      </c>
      <c r="Y807">
        <v>0</v>
      </c>
      <c r="Z807">
        <v>13.9</v>
      </c>
      <c r="AA807">
        <v>27.7</v>
      </c>
      <c r="AB807">
        <v>124</v>
      </c>
      <c r="AC807">
        <v>66</v>
      </c>
      <c r="AD807">
        <v>16.399999999999999</v>
      </c>
      <c r="AE807">
        <v>9</v>
      </c>
      <c r="AF807">
        <v>37.299999999999997</v>
      </c>
      <c r="AG807">
        <v>7.1559999999999997</v>
      </c>
      <c r="AH807">
        <v>62.401000000000003</v>
      </c>
      <c r="AI807">
        <v>21.928999999999998</v>
      </c>
      <c r="AJ807">
        <v>36.866999999999997</v>
      </c>
      <c r="AK807">
        <v>20.079000000000001</v>
      </c>
      <c r="AL807">
        <v>-4.468</v>
      </c>
      <c r="AM807">
        <v>62.401000000000003</v>
      </c>
      <c r="AN807">
        <v>7.1559999999999997</v>
      </c>
      <c r="AO807">
        <v>37.299999999999997</v>
      </c>
      <c r="AP807">
        <v>4.468</v>
      </c>
      <c r="AQ807">
        <v>63.133000000000003</v>
      </c>
      <c r="AR807">
        <v>78.070999999999998</v>
      </c>
      <c r="AS807">
        <v>79.921000000000006</v>
      </c>
    </row>
    <row r="808" spans="1:45" x14ac:dyDescent="0.25">
      <c r="A808">
        <v>58</v>
      </c>
      <c r="B808">
        <v>-2</v>
      </c>
      <c r="C808">
        <v>0</v>
      </c>
      <c r="D808">
        <v>2021</v>
      </c>
      <c r="E808">
        <v>3</v>
      </c>
      <c r="F808" t="str">
        <f>IFERROR(VLOOKUP(G808, Map!$A$1:$B$33, 2, FALSE),"WAS")</f>
        <v>SF</v>
      </c>
      <c r="G808" t="s">
        <v>143</v>
      </c>
      <c r="H808" t="str">
        <f>IFERROR(VLOOKUP(I808, Map!$A$1:$B$33, 2, FALSE),"WAS")</f>
        <v>GB</v>
      </c>
      <c r="I808" t="s">
        <v>154</v>
      </c>
      <c r="J808" t="s">
        <v>197</v>
      </c>
      <c r="K808" t="s">
        <v>200</v>
      </c>
      <c r="L808">
        <v>0</v>
      </c>
      <c r="M808">
        <v>0</v>
      </c>
      <c r="N808">
        <v>47.15625</v>
      </c>
      <c r="O808">
        <v>-2.875</v>
      </c>
      <c r="P808">
        <v>-3</v>
      </c>
      <c r="Q808">
        <v>48.5</v>
      </c>
      <c r="R808">
        <v>16.8</v>
      </c>
      <c r="S808">
        <v>23.9</v>
      </c>
      <c r="T808">
        <v>12.7</v>
      </c>
      <c r="U808">
        <v>16.399999999999999</v>
      </c>
      <c r="V808">
        <v>0.1</v>
      </c>
      <c r="W808">
        <v>0</v>
      </c>
      <c r="X808">
        <v>1</v>
      </c>
      <c r="Y808">
        <v>0.1</v>
      </c>
      <c r="Z808">
        <v>21.7</v>
      </c>
      <c r="AA808">
        <v>38.200000000000003</v>
      </c>
      <c r="AB808">
        <v>340</v>
      </c>
      <c r="AC808">
        <v>76</v>
      </c>
      <c r="AD808">
        <v>18.600000000000001</v>
      </c>
      <c r="AE808">
        <v>9</v>
      </c>
      <c r="AF808">
        <v>61.515000000000001</v>
      </c>
      <c r="AG808">
        <v>80.096999999999994</v>
      </c>
      <c r="AH808">
        <v>38.177999999999997</v>
      </c>
      <c r="AI808">
        <v>23.585000000000001</v>
      </c>
      <c r="AJ808">
        <v>72.037000000000006</v>
      </c>
      <c r="AK808">
        <v>41.276000000000003</v>
      </c>
      <c r="AL808">
        <v>4.1449999999999996</v>
      </c>
      <c r="AM808">
        <v>38.177999999999997</v>
      </c>
      <c r="AN808">
        <v>80.096999999999994</v>
      </c>
      <c r="AO808">
        <v>61.515000000000001</v>
      </c>
      <c r="AP808">
        <v>-4.1449999999999996</v>
      </c>
      <c r="AQ808">
        <v>27.963000000000001</v>
      </c>
      <c r="AR808">
        <v>76.415000000000006</v>
      </c>
      <c r="AS808">
        <v>58.723999999999997</v>
      </c>
    </row>
    <row r="809" spans="1:45" x14ac:dyDescent="0.25">
      <c r="A809">
        <v>54</v>
      </c>
      <c r="B809">
        <v>-6</v>
      </c>
      <c r="C809">
        <v>0</v>
      </c>
      <c r="D809">
        <v>2021</v>
      </c>
      <c r="E809">
        <v>3</v>
      </c>
      <c r="F809" t="str">
        <f>IFERROR(VLOOKUP(G809, Map!$A$1:$B$33, 2, FALSE),"WAS")</f>
        <v>KC</v>
      </c>
      <c r="G809" t="s">
        <v>158</v>
      </c>
      <c r="H809" t="str">
        <f>IFERROR(VLOOKUP(I809, Map!$A$1:$B$33, 2, FALSE),"WAS")</f>
        <v>LAC</v>
      </c>
      <c r="I809" t="s">
        <v>160</v>
      </c>
      <c r="J809" t="s">
        <v>202</v>
      </c>
      <c r="K809" t="s">
        <v>210</v>
      </c>
      <c r="L809">
        <v>0</v>
      </c>
      <c r="M809">
        <v>0</v>
      </c>
      <c r="N809">
        <v>51.46875</v>
      </c>
      <c r="O809">
        <v>-6.53125</v>
      </c>
      <c r="P809">
        <v>-6.5</v>
      </c>
      <c r="Q809">
        <v>54</v>
      </c>
      <c r="R809">
        <v>22</v>
      </c>
      <c r="S809">
        <v>31.2</v>
      </c>
      <c r="T809">
        <v>16.600000000000001</v>
      </c>
      <c r="U809">
        <v>19.5</v>
      </c>
      <c r="V809">
        <v>0</v>
      </c>
      <c r="W809">
        <v>0</v>
      </c>
      <c r="X809">
        <v>0</v>
      </c>
      <c r="Y809">
        <v>0</v>
      </c>
      <c r="Z809">
        <v>29.3</v>
      </c>
      <c r="AA809">
        <v>54.4</v>
      </c>
      <c r="AB809">
        <v>199</v>
      </c>
      <c r="AC809">
        <v>46</v>
      </c>
      <c r="AD809">
        <v>31.8</v>
      </c>
      <c r="AE809">
        <v>17.3</v>
      </c>
      <c r="AF809">
        <v>72.825999999999993</v>
      </c>
      <c r="AG809">
        <v>68.95</v>
      </c>
      <c r="AH809">
        <v>26.957000000000001</v>
      </c>
      <c r="AI809">
        <v>16.823</v>
      </c>
      <c r="AJ809">
        <v>57.933</v>
      </c>
      <c r="AK809">
        <v>38.463999999999999</v>
      </c>
      <c r="AL809">
        <v>8.5299999999999994</v>
      </c>
      <c r="AM809">
        <v>26.957000000000001</v>
      </c>
      <c r="AN809">
        <v>68.95</v>
      </c>
      <c r="AO809">
        <v>72.825999999999993</v>
      </c>
      <c r="AP809">
        <v>-8.5299999999999994</v>
      </c>
      <c r="AQ809">
        <v>42.067</v>
      </c>
      <c r="AR809">
        <v>83.177000000000007</v>
      </c>
      <c r="AS809">
        <v>61.536000000000001</v>
      </c>
    </row>
    <row r="810" spans="1:45" x14ac:dyDescent="0.25">
      <c r="A810">
        <v>50</v>
      </c>
      <c r="B810">
        <v>-12</v>
      </c>
      <c r="C810">
        <v>0</v>
      </c>
      <c r="D810">
        <v>2021</v>
      </c>
      <c r="E810">
        <v>3</v>
      </c>
      <c r="F810" t="str">
        <f>IFERROR(VLOOKUP(G810, Map!$A$1:$B$33, 2, FALSE),"WAS")</f>
        <v>JAX</v>
      </c>
      <c r="G810" t="s">
        <v>139</v>
      </c>
      <c r="H810" t="str">
        <f>IFERROR(VLOOKUP(I810, Map!$A$1:$B$33, 2, FALSE),"WAS")</f>
        <v>ARI</v>
      </c>
      <c r="I810" t="s">
        <v>156</v>
      </c>
      <c r="J810" t="s">
        <v>220</v>
      </c>
      <c r="K810" t="s">
        <v>190</v>
      </c>
      <c r="L810">
        <v>0</v>
      </c>
      <c r="M810">
        <v>0</v>
      </c>
      <c r="N810">
        <v>48.21875</v>
      </c>
      <c r="O810">
        <v>7.375</v>
      </c>
      <c r="P810">
        <v>7</v>
      </c>
      <c r="Q810">
        <v>51</v>
      </c>
      <c r="R810">
        <v>22.9</v>
      </c>
      <c r="S810">
        <v>27.7</v>
      </c>
      <c r="T810">
        <v>18.7</v>
      </c>
      <c r="U810">
        <v>24.8</v>
      </c>
      <c r="V810">
        <v>0</v>
      </c>
      <c r="W810">
        <v>0</v>
      </c>
      <c r="X810">
        <v>0</v>
      </c>
      <c r="Y810">
        <v>0</v>
      </c>
      <c r="Z810">
        <v>17.8</v>
      </c>
      <c r="AA810">
        <v>31.7</v>
      </c>
      <c r="AB810">
        <v>43</v>
      </c>
      <c r="AC810">
        <v>75</v>
      </c>
      <c r="AD810">
        <v>16</v>
      </c>
      <c r="AE810">
        <v>8.1</v>
      </c>
      <c r="AF810">
        <v>33.896999999999998</v>
      </c>
      <c r="AG810">
        <v>32.491999999999997</v>
      </c>
      <c r="AH810">
        <v>65.831000000000003</v>
      </c>
      <c r="AI810">
        <v>27.129000000000001</v>
      </c>
      <c r="AJ810">
        <v>18.484000000000002</v>
      </c>
      <c r="AK810">
        <v>25.759</v>
      </c>
      <c r="AL810">
        <v>-5.7469999999999999</v>
      </c>
      <c r="AM810">
        <v>65.831000000000003</v>
      </c>
      <c r="AN810">
        <v>32.491999999999997</v>
      </c>
      <c r="AO810">
        <v>33.896999999999998</v>
      </c>
      <c r="AP810">
        <v>5.7469999999999999</v>
      </c>
      <c r="AQ810">
        <v>81.516000000000005</v>
      </c>
      <c r="AR810">
        <v>72.870999999999995</v>
      </c>
      <c r="AS810">
        <v>74.241</v>
      </c>
    </row>
    <row r="811" spans="1:45" x14ac:dyDescent="0.25">
      <c r="A811">
        <v>62</v>
      </c>
      <c r="B811">
        <v>20</v>
      </c>
      <c r="C811">
        <v>1</v>
      </c>
      <c r="D811">
        <v>2021</v>
      </c>
      <c r="E811">
        <v>3</v>
      </c>
      <c r="F811" t="str">
        <f>IFERROR(VLOOKUP(G811, Map!$A$1:$B$33, 2, FALSE),"WAS")</f>
        <v>DAL</v>
      </c>
      <c r="G811" t="s">
        <v>150</v>
      </c>
      <c r="H811" t="str">
        <f>IFERROR(VLOOKUP(I811, Map!$A$1:$B$33, 2, FALSE),"WAS")</f>
        <v>PHI</v>
      </c>
      <c r="I811" t="s">
        <v>147</v>
      </c>
      <c r="J811" t="s">
        <v>184</v>
      </c>
      <c r="K811" t="s">
        <v>206</v>
      </c>
      <c r="L811">
        <v>1</v>
      </c>
      <c r="M811">
        <v>0</v>
      </c>
      <c r="N811">
        <v>48.066666666666698</v>
      </c>
      <c r="O811">
        <v>-3.2666666666666702</v>
      </c>
      <c r="P811">
        <v>-3.5</v>
      </c>
      <c r="Q811">
        <v>51.5</v>
      </c>
      <c r="R811">
        <v>26.5</v>
      </c>
      <c r="S811">
        <v>32.4</v>
      </c>
      <c r="T811">
        <v>22.9</v>
      </c>
      <c r="U811">
        <v>26.9</v>
      </c>
      <c r="V811">
        <v>0</v>
      </c>
      <c r="W811">
        <v>0</v>
      </c>
      <c r="X811">
        <v>0</v>
      </c>
      <c r="Y811">
        <v>0</v>
      </c>
      <c r="Z811">
        <v>18.7</v>
      </c>
      <c r="AA811">
        <v>34.9</v>
      </c>
      <c r="AB811">
        <v>172</v>
      </c>
      <c r="AC811">
        <v>52</v>
      </c>
      <c r="AD811">
        <v>22.9</v>
      </c>
      <c r="AE811">
        <v>12.2</v>
      </c>
      <c r="AF811">
        <v>67.331999999999994</v>
      </c>
      <c r="AG811">
        <v>62.277999999999999</v>
      </c>
      <c r="AH811">
        <v>32.408000000000001</v>
      </c>
      <c r="AI811">
        <v>97.176000000000002</v>
      </c>
      <c r="AJ811">
        <v>65.995999999999995</v>
      </c>
      <c r="AK811">
        <v>92.465999999999994</v>
      </c>
      <c r="AL811">
        <v>6.3220000000000001</v>
      </c>
      <c r="AM811">
        <v>32.408000000000001</v>
      </c>
      <c r="AN811">
        <v>62.277999999999999</v>
      </c>
      <c r="AO811">
        <v>67.331999999999994</v>
      </c>
      <c r="AP811">
        <v>-6.3220000000000001</v>
      </c>
      <c r="AQ811">
        <v>34.003999999999998</v>
      </c>
      <c r="AR811">
        <v>2.8239999999999998</v>
      </c>
      <c r="AS811">
        <v>7.5339999999999998</v>
      </c>
    </row>
    <row r="812" spans="1:45" x14ac:dyDescent="0.25">
      <c r="A812">
        <v>32</v>
      </c>
      <c r="B812">
        <v>20</v>
      </c>
      <c r="C812">
        <v>1</v>
      </c>
      <c r="D812">
        <v>2021</v>
      </c>
      <c r="E812">
        <v>3</v>
      </c>
      <c r="F812" t="str">
        <f>IFERROR(VLOOKUP(G812, Map!$A$1:$B$33, 2, FALSE),"WAS")</f>
        <v>CLE</v>
      </c>
      <c r="G812" t="s">
        <v>162</v>
      </c>
      <c r="H812" t="str">
        <f>IFERROR(VLOOKUP(I812, Map!$A$1:$B$33, 2, FALSE),"WAS")</f>
        <v>CHI</v>
      </c>
      <c r="I812" t="s">
        <v>163</v>
      </c>
      <c r="J812" t="s">
        <v>171</v>
      </c>
      <c r="K812" t="s">
        <v>216</v>
      </c>
      <c r="L812">
        <v>1</v>
      </c>
      <c r="M812">
        <v>0</v>
      </c>
      <c r="N812">
        <v>42.0625</v>
      </c>
      <c r="O812">
        <v>-7.0625</v>
      </c>
      <c r="P812">
        <v>-7.5</v>
      </c>
      <c r="Q812">
        <v>44.5</v>
      </c>
      <c r="R812">
        <v>16</v>
      </c>
      <c r="S812">
        <v>21.8</v>
      </c>
      <c r="T812">
        <v>11.5</v>
      </c>
      <c r="U812">
        <v>13.6</v>
      </c>
      <c r="V812">
        <v>0</v>
      </c>
      <c r="W812">
        <v>0</v>
      </c>
      <c r="X812">
        <v>0</v>
      </c>
      <c r="Y812">
        <v>0</v>
      </c>
      <c r="Z812">
        <v>25.2</v>
      </c>
      <c r="AA812">
        <v>41.8</v>
      </c>
      <c r="AB812">
        <v>238</v>
      </c>
      <c r="AC812">
        <v>65</v>
      </c>
      <c r="AD812">
        <v>26.4</v>
      </c>
      <c r="AE812">
        <v>15.6</v>
      </c>
      <c r="AF812">
        <v>71.656999999999996</v>
      </c>
      <c r="AG812">
        <v>39.17</v>
      </c>
      <c r="AH812">
        <v>28.117000000000001</v>
      </c>
      <c r="AI812">
        <v>95.16</v>
      </c>
      <c r="AJ812">
        <v>50.155999999999999</v>
      </c>
      <c r="AK812">
        <v>86.206999999999994</v>
      </c>
      <c r="AL812">
        <v>8.0440000000000005</v>
      </c>
      <c r="AM812">
        <v>28.117000000000001</v>
      </c>
      <c r="AN812">
        <v>39.17</v>
      </c>
      <c r="AO812">
        <v>71.656999999999996</v>
      </c>
      <c r="AP812">
        <v>-8.0440000000000005</v>
      </c>
      <c r="AQ812">
        <v>49.844000000000001</v>
      </c>
      <c r="AR812">
        <v>4.84</v>
      </c>
      <c r="AS812">
        <v>13.792999999999999</v>
      </c>
    </row>
    <row r="813" spans="1:45" x14ac:dyDescent="0.25">
      <c r="A813">
        <v>58</v>
      </c>
      <c r="B813">
        <v>10</v>
      </c>
      <c r="C813">
        <v>1</v>
      </c>
      <c r="D813">
        <v>2021</v>
      </c>
      <c r="E813">
        <v>3</v>
      </c>
      <c r="F813" t="str">
        <f>IFERROR(VLOOKUP(G813, Map!$A$1:$B$33, 2, FALSE),"WAS")</f>
        <v>LA</v>
      </c>
      <c r="G813" t="s">
        <v>155</v>
      </c>
      <c r="H813" t="str">
        <f>IFERROR(VLOOKUP(I813, Map!$A$1:$B$33, 2, FALSE),"WAS")</f>
        <v>TB</v>
      </c>
      <c r="I813" t="s">
        <v>141</v>
      </c>
      <c r="J813" t="s">
        <v>178</v>
      </c>
      <c r="K813" t="s">
        <v>186</v>
      </c>
      <c r="L813">
        <v>1</v>
      </c>
      <c r="M813">
        <v>0</v>
      </c>
      <c r="N813">
        <v>51.4</v>
      </c>
      <c r="O813">
        <v>0.73333333333333295</v>
      </c>
      <c r="P813">
        <v>-1</v>
      </c>
      <c r="Q813">
        <v>54.5</v>
      </c>
      <c r="R813">
        <v>18.7</v>
      </c>
      <c r="S813">
        <v>21.8</v>
      </c>
      <c r="T813">
        <v>16.8</v>
      </c>
      <c r="U813">
        <v>19.100000000000001</v>
      </c>
      <c r="V813">
        <v>0</v>
      </c>
      <c r="W813">
        <v>0</v>
      </c>
      <c r="X813">
        <v>0</v>
      </c>
      <c r="Y813">
        <v>0</v>
      </c>
      <c r="Z813">
        <v>23.1</v>
      </c>
      <c r="AA813">
        <v>41</v>
      </c>
      <c r="AB813">
        <v>236</v>
      </c>
      <c r="AC813">
        <v>80</v>
      </c>
      <c r="AD813">
        <v>19.8</v>
      </c>
      <c r="AE813">
        <v>9.4</v>
      </c>
      <c r="AF813">
        <v>55.406999999999996</v>
      </c>
      <c r="AG813">
        <v>91.667000000000002</v>
      </c>
      <c r="AH813">
        <v>44.237000000000002</v>
      </c>
      <c r="AI813">
        <v>29.707000000000001</v>
      </c>
      <c r="AJ813">
        <v>95.911000000000001</v>
      </c>
      <c r="AK813">
        <v>82.228999999999999</v>
      </c>
      <c r="AL813">
        <v>1.9610000000000001</v>
      </c>
      <c r="AM813">
        <v>44.237000000000002</v>
      </c>
      <c r="AN813">
        <v>91.667000000000002</v>
      </c>
      <c r="AO813">
        <v>55.406999999999996</v>
      </c>
      <c r="AP813">
        <v>-1.9610000000000001</v>
      </c>
      <c r="AQ813">
        <v>4.0890000000000004</v>
      </c>
      <c r="AR813">
        <v>70.293000000000006</v>
      </c>
      <c r="AS813">
        <v>17.771000000000001</v>
      </c>
    </row>
    <row r="814" spans="1:45" x14ac:dyDescent="0.25">
      <c r="A814">
        <v>36</v>
      </c>
      <c r="B814">
        <v>-2</v>
      </c>
      <c r="C814">
        <v>0</v>
      </c>
      <c r="D814">
        <v>2021</v>
      </c>
      <c r="E814">
        <v>3</v>
      </c>
      <c r="F814" t="str">
        <f>IFERROR(VLOOKUP(G814, Map!$A$1:$B$33, 2, FALSE),"WAS")</f>
        <v>DET</v>
      </c>
      <c r="G814" t="s">
        <v>164</v>
      </c>
      <c r="H814" t="str">
        <f>IFERROR(VLOOKUP(I814, Map!$A$1:$B$33, 2, FALSE),"WAS")</f>
        <v>BAL</v>
      </c>
      <c r="I814" t="s">
        <v>146</v>
      </c>
      <c r="J814" t="s">
        <v>173</v>
      </c>
      <c r="K814" t="s">
        <v>181</v>
      </c>
      <c r="L814">
        <v>0</v>
      </c>
      <c r="M814">
        <v>0</v>
      </c>
      <c r="N814">
        <v>47.625</v>
      </c>
      <c r="O814">
        <v>7.15625</v>
      </c>
      <c r="P814">
        <v>7.5</v>
      </c>
      <c r="Q814">
        <v>49.5</v>
      </c>
      <c r="R814">
        <v>15.1</v>
      </c>
      <c r="S814">
        <v>22.5</v>
      </c>
      <c r="T814">
        <v>10.1</v>
      </c>
      <c r="U814">
        <v>12.5</v>
      </c>
      <c r="V814">
        <v>0</v>
      </c>
      <c r="W814">
        <v>0</v>
      </c>
      <c r="X814">
        <v>0</v>
      </c>
      <c r="Y814">
        <v>0</v>
      </c>
      <c r="Z814">
        <v>23.3</v>
      </c>
      <c r="AA814">
        <v>38.200000000000003</v>
      </c>
      <c r="AB814">
        <v>238</v>
      </c>
      <c r="AC814">
        <v>63</v>
      </c>
      <c r="AD814">
        <v>26.6</v>
      </c>
      <c r="AE814">
        <v>15.4</v>
      </c>
      <c r="AF814">
        <v>28.367000000000001</v>
      </c>
      <c r="AG814">
        <v>30.123000000000001</v>
      </c>
      <c r="AH814">
        <v>71.405000000000001</v>
      </c>
      <c r="AI814">
        <v>49.7</v>
      </c>
      <c r="AJ814">
        <v>47.13</v>
      </c>
      <c r="AK814">
        <v>43.951000000000001</v>
      </c>
      <c r="AL814">
        <v>-7.9409999999999998</v>
      </c>
      <c r="AM814">
        <v>71.405000000000001</v>
      </c>
      <c r="AN814">
        <v>30.123000000000001</v>
      </c>
      <c r="AO814">
        <v>28.367000000000001</v>
      </c>
      <c r="AP814">
        <v>7.9409999999999998</v>
      </c>
      <c r="AQ814">
        <v>52.87</v>
      </c>
      <c r="AR814">
        <v>50.3</v>
      </c>
      <c r="AS814">
        <v>56.048999999999999</v>
      </c>
    </row>
    <row r="815" spans="1:45" x14ac:dyDescent="0.25">
      <c r="A815">
        <v>31</v>
      </c>
      <c r="B815">
        <v>-3</v>
      </c>
      <c r="C815">
        <v>0</v>
      </c>
      <c r="D815">
        <v>2021</v>
      </c>
      <c r="E815">
        <v>3</v>
      </c>
      <c r="F815" t="str">
        <f>IFERROR(VLOOKUP(G815, Map!$A$1:$B$33, 2, FALSE),"WAS")</f>
        <v>NYG</v>
      </c>
      <c r="G815" t="s">
        <v>149</v>
      </c>
      <c r="H815" t="str">
        <f>IFERROR(VLOOKUP(I815, Map!$A$1:$B$33, 2, FALSE),"WAS")</f>
        <v>ATL</v>
      </c>
      <c r="I815" t="s">
        <v>167</v>
      </c>
      <c r="J815" t="s">
        <v>219</v>
      </c>
      <c r="K815" t="s">
        <v>188</v>
      </c>
      <c r="L815">
        <v>0</v>
      </c>
      <c r="M815">
        <v>0</v>
      </c>
      <c r="N815">
        <v>44.46875</v>
      </c>
      <c r="O815">
        <v>-2.375</v>
      </c>
      <c r="P815">
        <v>-2.5</v>
      </c>
      <c r="Q815">
        <v>47</v>
      </c>
      <c r="R815">
        <v>18.2</v>
      </c>
      <c r="S815">
        <v>21.5</v>
      </c>
      <c r="T815">
        <v>15.3</v>
      </c>
      <c r="U815">
        <v>16.399999999999999</v>
      </c>
      <c r="V815">
        <v>0</v>
      </c>
      <c r="W815">
        <v>0</v>
      </c>
      <c r="X815">
        <v>0</v>
      </c>
      <c r="Y815">
        <v>0</v>
      </c>
      <c r="Z815">
        <v>21.9</v>
      </c>
      <c r="AA815">
        <v>45.4</v>
      </c>
      <c r="AB815">
        <v>296</v>
      </c>
      <c r="AC815">
        <v>62</v>
      </c>
      <c r="AD815">
        <v>29.5</v>
      </c>
      <c r="AE815">
        <v>14.2</v>
      </c>
      <c r="AF815">
        <v>63.381999999999998</v>
      </c>
      <c r="AG815">
        <v>17.021999999999998</v>
      </c>
      <c r="AH815">
        <v>36.326000000000001</v>
      </c>
      <c r="AI815">
        <v>40.185000000000002</v>
      </c>
      <c r="AJ815">
        <v>49.459000000000003</v>
      </c>
      <c r="AK815">
        <v>43.07</v>
      </c>
      <c r="AL815">
        <v>4.83</v>
      </c>
      <c r="AM815">
        <v>36.326000000000001</v>
      </c>
      <c r="AN815">
        <v>17.021999999999998</v>
      </c>
      <c r="AO815">
        <v>63.381999999999998</v>
      </c>
      <c r="AP815">
        <v>-4.83</v>
      </c>
      <c r="AQ815">
        <v>50.540999999999997</v>
      </c>
      <c r="AR815">
        <v>59.814999999999998</v>
      </c>
      <c r="AS815">
        <v>56.93</v>
      </c>
    </row>
    <row r="816" spans="1:45" x14ac:dyDescent="0.25">
      <c r="A816">
        <v>47</v>
      </c>
      <c r="B816">
        <v>13</v>
      </c>
      <c r="C816">
        <v>1</v>
      </c>
      <c r="D816">
        <v>2021</v>
      </c>
      <c r="E816">
        <v>3</v>
      </c>
      <c r="F816" t="str">
        <f>IFERROR(VLOOKUP(G816, Map!$A$1:$B$33, 2, FALSE),"WAS")</f>
        <v>MIN</v>
      </c>
      <c r="G816" t="s">
        <v>153</v>
      </c>
      <c r="H816" t="str">
        <f>IFERROR(VLOOKUP(I816, Map!$A$1:$B$33, 2, FALSE),"WAS")</f>
        <v>SEA</v>
      </c>
      <c r="I816" t="s">
        <v>144</v>
      </c>
      <c r="J816" t="s">
        <v>214</v>
      </c>
      <c r="K816" t="s">
        <v>182</v>
      </c>
      <c r="L816">
        <v>1</v>
      </c>
      <c r="M816">
        <v>0</v>
      </c>
      <c r="N816">
        <v>50.71875</v>
      </c>
      <c r="O816">
        <v>1.75</v>
      </c>
      <c r="P816">
        <v>1.5</v>
      </c>
      <c r="Q816">
        <v>53.5</v>
      </c>
      <c r="R816">
        <v>15.8</v>
      </c>
      <c r="S816">
        <v>26.1</v>
      </c>
      <c r="T816">
        <v>10.199999999999999</v>
      </c>
      <c r="U816">
        <v>14.2</v>
      </c>
      <c r="V816">
        <v>0</v>
      </c>
      <c r="W816">
        <v>0</v>
      </c>
      <c r="X816">
        <v>0</v>
      </c>
      <c r="Y816">
        <v>0</v>
      </c>
      <c r="Z816">
        <v>11.8</v>
      </c>
      <c r="AA816">
        <v>20.5</v>
      </c>
      <c r="AB816">
        <v>196</v>
      </c>
      <c r="AC816">
        <v>63</v>
      </c>
      <c r="AD816">
        <v>15.8</v>
      </c>
      <c r="AE816">
        <v>9.1</v>
      </c>
      <c r="AF816">
        <v>49.515999999999998</v>
      </c>
      <c r="AG816">
        <v>62.475999999999999</v>
      </c>
      <c r="AH816">
        <v>50.085999999999999</v>
      </c>
      <c r="AI816">
        <v>26.768999999999998</v>
      </c>
      <c r="AJ816">
        <v>90.513000000000005</v>
      </c>
      <c r="AK816">
        <v>77.367000000000004</v>
      </c>
      <c r="AL816">
        <v>-0.1</v>
      </c>
      <c r="AM816">
        <v>50.085999999999999</v>
      </c>
      <c r="AN816">
        <v>62.475999999999999</v>
      </c>
      <c r="AO816">
        <v>49.515999999999998</v>
      </c>
      <c r="AP816">
        <v>0.1</v>
      </c>
      <c r="AQ816">
        <v>9.4870000000000001</v>
      </c>
      <c r="AR816">
        <v>73.230999999999995</v>
      </c>
      <c r="AS816">
        <v>22.632999999999999</v>
      </c>
    </row>
    <row r="817" spans="1:45" x14ac:dyDescent="0.25">
      <c r="A817">
        <v>59</v>
      </c>
      <c r="B817">
        <v>3</v>
      </c>
      <c r="C817">
        <v>1</v>
      </c>
      <c r="D817">
        <v>2021</v>
      </c>
      <c r="E817">
        <v>3</v>
      </c>
      <c r="F817" t="str">
        <f>IFERROR(VLOOKUP(G817, Map!$A$1:$B$33, 2, FALSE),"WAS")</f>
        <v>LV</v>
      </c>
      <c r="G817" t="s">
        <v>157</v>
      </c>
      <c r="H817" t="str">
        <f>IFERROR(VLOOKUP(I817, Map!$A$1:$B$33, 2, FALSE),"WAS")</f>
        <v>MIA</v>
      </c>
      <c r="I817" t="s">
        <v>152</v>
      </c>
      <c r="J817" t="s">
        <v>179</v>
      </c>
      <c r="K817" t="s">
        <v>175</v>
      </c>
      <c r="L817">
        <v>1</v>
      </c>
      <c r="M817">
        <v>0</v>
      </c>
      <c r="N817">
        <v>44.9</v>
      </c>
      <c r="O817">
        <v>-3.5333333333333301</v>
      </c>
      <c r="P817">
        <v>-3.5</v>
      </c>
      <c r="Q817">
        <v>44.5</v>
      </c>
      <c r="R817">
        <v>28.3</v>
      </c>
      <c r="S817">
        <v>34.4</v>
      </c>
      <c r="T817">
        <v>22</v>
      </c>
      <c r="U817">
        <v>27.5</v>
      </c>
      <c r="V817">
        <v>0</v>
      </c>
      <c r="W817">
        <v>0</v>
      </c>
      <c r="X817">
        <v>0</v>
      </c>
      <c r="Y817">
        <v>0</v>
      </c>
      <c r="Z817">
        <v>13.1</v>
      </c>
      <c r="AA817">
        <v>21.6</v>
      </c>
      <c r="AB817">
        <v>175</v>
      </c>
      <c r="AC817">
        <v>32</v>
      </c>
      <c r="AD817">
        <v>13.7</v>
      </c>
      <c r="AE817">
        <v>5.8</v>
      </c>
      <c r="AF817">
        <v>62.67</v>
      </c>
      <c r="AG817">
        <v>34.700000000000003</v>
      </c>
      <c r="AH817">
        <v>37.031999999999996</v>
      </c>
      <c r="AI817">
        <v>56.848999999999997</v>
      </c>
      <c r="AJ817">
        <v>58.162999999999997</v>
      </c>
      <c r="AK817">
        <v>62.151000000000003</v>
      </c>
      <c r="AL817">
        <v>4.5670000000000002</v>
      </c>
      <c r="AM817">
        <v>37.031999999999996</v>
      </c>
      <c r="AN817">
        <v>34.700000000000003</v>
      </c>
      <c r="AO817">
        <v>62.67</v>
      </c>
      <c r="AP817">
        <v>-4.5670000000000002</v>
      </c>
      <c r="AQ817">
        <v>41.837000000000003</v>
      </c>
      <c r="AR817">
        <v>43.151000000000003</v>
      </c>
      <c r="AS817">
        <v>37.848999999999997</v>
      </c>
    </row>
    <row r="818" spans="1:45" x14ac:dyDescent="0.25">
      <c r="A818">
        <v>44</v>
      </c>
      <c r="B818">
        <v>-10</v>
      </c>
      <c r="C818">
        <v>0</v>
      </c>
      <c r="D818">
        <v>2021</v>
      </c>
      <c r="E818">
        <v>4</v>
      </c>
      <c r="F818" t="str">
        <f>IFERROR(VLOOKUP(G818, Map!$A$1:$B$33, 2, FALSE),"WAS")</f>
        <v>MIA</v>
      </c>
      <c r="G818" t="s">
        <v>152</v>
      </c>
      <c r="H818" t="str">
        <f>IFERROR(VLOOKUP(I818, Map!$A$1:$B$33, 2, FALSE),"WAS")</f>
        <v>IND</v>
      </c>
      <c r="I818" t="s">
        <v>138</v>
      </c>
      <c r="J818" t="s">
        <v>175</v>
      </c>
      <c r="K818" t="s">
        <v>177</v>
      </c>
      <c r="L818">
        <v>0</v>
      </c>
      <c r="M818">
        <v>0</v>
      </c>
      <c r="N818">
        <v>39.40625</v>
      </c>
      <c r="O818">
        <v>-2.34375</v>
      </c>
      <c r="P818">
        <v>-2.5</v>
      </c>
      <c r="Q818">
        <v>41.5</v>
      </c>
      <c r="R818">
        <v>26.4</v>
      </c>
      <c r="S818">
        <v>28.8</v>
      </c>
      <c r="T818">
        <v>24.2</v>
      </c>
      <c r="U818">
        <v>28.4</v>
      </c>
      <c r="V818">
        <v>0.9</v>
      </c>
      <c r="W818">
        <v>0</v>
      </c>
      <c r="X818">
        <v>5</v>
      </c>
      <c r="Y818">
        <v>0.9</v>
      </c>
      <c r="Z818">
        <v>16.5</v>
      </c>
      <c r="AA818">
        <v>34.9</v>
      </c>
      <c r="AB818">
        <v>73</v>
      </c>
      <c r="AC818">
        <v>69</v>
      </c>
      <c r="AD818">
        <v>25.5</v>
      </c>
      <c r="AE818">
        <v>12.6</v>
      </c>
      <c r="AF818">
        <v>53.7</v>
      </c>
      <c r="AG818">
        <v>49.866999999999997</v>
      </c>
      <c r="AH818">
        <v>45.930999999999997</v>
      </c>
      <c r="AI818">
        <v>37.148000000000003</v>
      </c>
      <c r="AJ818">
        <v>16.28</v>
      </c>
      <c r="AK818">
        <v>15.285</v>
      </c>
      <c r="AL818">
        <v>1.347</v>
      </c>
      <c r="AM818">
        <v>45.930999999999997</v>
      </c>
      <c r="AN818">
        <v>49.866999999999997</v>
      </c>
      <c r="AO818">
        <v>53.7</v>
      </c>
      <c r="AP818">
        <v>-1.347</v>
      </c>
      <c r="AQ818">
        <v>83.72</v>
      </c>
      <c r="AR818">
        <v>62.851999999999997</v>
      </c>
      <c r="AS818">
        <v>84.715000000000003</v>
      </c>
    </row>
    <row r="819" spans="1:45" x14ac:dyDescent="0.25">
      <c r="A819">
        <v>30</v>
      </c>
      <c r="B819">
        <v>-16</v>
      </c>
      <c r="C819">
        <v>0</v>
      </c>
      <c r="D819">
        <v>2021</v>
      </c>
      <c r="E819">
        <v>4</v>
      </c>
      <c r="F819" t="str">
        <f>IFERROR(VLOOKUP(G819, Map!$A$1:$B$33, 2, FALSE),"WAS")</f>
        <v>DEN</v>
      </c>
      <c r="G819" t="s">
        <v>159</v>
      </c>
      <c r="H819" t="str">
        <f>IFERROR(VLOOKUP(I819, Map!$A$1:$B$33, 2, FALSE),"WAS")</f>
        <v>BAL</v>
      </c>
      <c r="I819" t="s">
        <v>146</v>
      </c>
      <c r="J819" t="s">
        <v>183</v>
      </c>
      <c r="K819" t="s">
        <v>181</v>
      </c>
      <c r="L819">
        <v>0</v>
      </c>
      <c r="M819">
        <v>0</v>
      </c>
      <c r="N819">
        <v>41.3125</v>
      </c>
      <c r="O819">
        <v>-0.875</v>
      </c>
      <c r="P819">
        <v>-1</v>
      </c>
      <c r="Q819">
        <v>44</v>
      </c>
      <c r="R819">
        <v>15</v>
      </c>
      <c r="S819">
        <v>24.6</v>
      </c>
      <c r="T819">
        <v>6.5</v>
      </c>
      <c r="U819">
        <v>12.5</v>
      </c>
      <c r="V819">
        <v>0</v>
      </c>
      <c r="W819">
        <v>0</v>
      </c>
      <c r="X819">
        <v>0</v>
      </c>
      <c r="Y819">
        <v>0</v>
      </c>
      <c r="Z819">
        <v>19.100000000000001</v>
      </c>
      <c r="AA819">
        <v>31.3</v>
      </c>
      <c r="AB819">
        <v>224</v>
      </c>
      <c r="AC819">
        <v>51</v>
      </c>
      <c r="AD819">
        <v>15.6</v>
      </c>
      <c r="AE819">
        <v>6.7</v>
      </c>
      <c r="AF819">
        <v>54.698999999999998</v>
      </c>
      <c r="AG819">
        <v>55.338000000000001</v>
      </c>
      <c r="AH819">
        <v>44.94</v>
      </c>
      <c r="AI819">
        <v>44.261000000000003</v>
      </c>
      <c r="AJ819">
        <v>19.068999999999999</v>
      </c>
      <c r="AK819">
        <v>19.959</v>
      </c>
      <c r="AL819">
        <v>1.694</v>
      </c>
      <c r="AM819">
        <v>44.94</v>
      </c>
      <c r="AN819">
        <v>55.338000000000001</v>
      </c>
      <c r="AO819">
        <v>54.698999999999998</v>
      </c>
      <c r="AP819">
        <v>-1.694</v>
      </c>
      <c r="AQ819">
        <v>80.930999999999997</v>
      </c>
      <c r="AR819">
        <v>55.738999999999997</v>
      </c>
      <c r="AS819">
        <v>80.040999999999997</v>
      </c>
    </row>
    <row r="820" spans="1:45" x14ac:dyDescent="0.25">
      <c r="A820">
        <v>45</v>
      </c>
      <c r="B820">
        <v>3</v>
      </c>
      <c r="C820">
        <v>1</v>
      </c>
      <c r="D820">
        <v>2021</v>
      </c>
      <c r="E820">
        <v>4</v>
      </c>
      <c r="F820" t="str">
        <f>IFERROR(VLOOKUP(G820, Map!$A$1:$B$33, 2, FALSE),"WAS")</f>
        <v>CIN</v>
      </c>
      <c r="G820" t="s">
        <v>161</v>
      </c>
      <c r="H820" t="str">
        <f>IFERROR(VLOOKUP(I820, Map!$A$1:$B$33, 2, FALSE),"WAS")</f>
        <v>JAX</v>
      </c>
      <c r="I820" t="s">
        <v>139</v>
      </c>
      <c r="J820" t="s">
        <v>176</v>
      </c>
      <c r="K820" t="s">
        <v>220</v>
      </c>
      <c r="L820">
        <v>1</v>
      </c>
      <c r="M820">
        <v>0</v>
      </c>
      <c r="N820">
        <v>43.03125</v>
      </c>
      <c r="O820">
        <v>-6.90625</v>
      </c>
      <c r="P820">
        <v>-7</v>
      </c>
      <c r="Q820">
        <v>45.5</v>
      </c>
      <c r="R820">
        <v>18.899999999999999</v>
      </c>
      <c r="S820">
        <v>25.8</v>
      </c>
      <c r="T820">
        <v>13.1</v>
      </c>
      <c r="U820">
        <v>18.2</v>
      </c>
      <c r="V820">
        <v>0</v>
      </c>
      <c r="W820">
        <v>0</v>
      </c>
      <c r="X820">
        <v>0</v>
      </c>
      <c r="Y820">
        <v>0</v>
      </c>
      <c r="Z820">
        <v>9.3000000000000007</v>
      </c>
      <c r="AA820">
        <v>21.2</v>
      </c>
      <c r="AB820">
        <v>109</v>
      </c>
      <c r="AC820">
        <v>61</v>
      </c>
      <c r="AD820">
        <v>15.2</v>
      </c>
      <c r="AE820">
        <v>6.7</v>
      </c>
      <c r="AF820">
        <v>69.167000000000002</v>
      </c>
      <c r="AG820">
        <v>41.426000000000002</v>
      </c>
      <c r="AH820">
        <v>30.587</v>
      </c>
      <c r="AI820">
        <v>23.300999999999998</v>
      </c>
      <c r="AJ820">
        <v>87.150999999999996</v>
      </c>
      <c r="AK820">
        <v>53.912999999999997</v>
      </c>
      <c r="AL820">
        <v>6.9630000000000001</v>
      </c>
      <c r="AM820">
        <v>30.587</v>
      </c>
      <c r="AN820">
        <v>41.426000000000002</v>
      </c>
      <c r="AO820">
        <v>69.167000000000002</v>
      </c>
      <c r="AP820">
        <v>-6.9630000000000001</v>
      </c>
      <c r="AQ820">
        <v>12.849</v>
      </c>
      <c r="AR820">
        <v>76.698999999999998</v>
      </c>
      <c r="AS820">
        <v>46.087000000000003</v>
      </c>
    </row>
    <row r="821" spans="1:45" x14ac:dyDescent="0.25">
      <c r="A821">
        <v>51</v>
      </c>
      <c r="B821">
        <v>3</v>
      </c>
      <c r="C821">
        <v>1</v>
      </c>
      <c r="D821">
        <v>2021</v>
      </c>
      <c r="E821">
        <v>4</v>
      </c>
      <c r="F821" t="str">
        <f>IFERROR(VLOOKUP(G821, Map!$A$1:$B$33, 2, FALSE),"WAS")</f>
        <v>NYJ</v>
      </c>
      <c r="G821" t="s">
        <v>166</v>
      </c>
      <c r="H821" t="str">
        <f>IFERROR(VLOOKUP(I821, Map!$A$1:$B$33, 2, FALSE),"WAS")</f>
        <v>TEN</v>
      </c>
      <c r="I821" t="s">
        <v>140</v>
      </c>
      <c r="J821" t="s">
        <v>172</v>
      </c>
      <c r="K821" t="s">
        <v>174</v>
      </c>
      <c r="L821">
        <v>1</v>
      </c>
      <c r="M821">
        <v>0</v>
      </c>
      <c r="N821">
        <v>41.5625</v>
      </c>
      <c r="O821">
        <v>5.875</v>
      </c>
      <c r="P821">
        <v>5.5</v>
      </c>
      <c r="Q821">
        <v>44</v>
      </c>
      <c r="R821">
        <v>18.7</v>
      </c>
      <c r="S821">
        <v>26.2</v>
      </c>
      <c r="T821">
        <v>12.5</v>
      </c>
      <c r="U821">
        <v>18.7</v>
      </c>
      <c r="V821">
        <v>0</v>
      </c>
      <c r="W821">
        <v>0</v>
      </c>
      <c r="X821">
        <v>0</v>
      </c>
      <c r="Y821">
        <v>0</v>
      </c>
      <c r="Z821">
        <v>10.199999999999999</v>
      </c>
      <c r="AA821">
        <v>23.8</v>
      </c>
      <c r="AB821">
        <v>238</v>
      </c>
      <c r="AC821">
        <v>72</v>
      </c>
      <c r="AD821">
        <v>16.899999999999999</v>
      </c>
      <c r="AE821">
        <v>7.9</v>
      </c>
      <c r="AF821">
        <v>34.405999999999999</v>
      </c>
      <c r="AG821">
        <v>24.439</v>
      </c>
      <c r="AH821">
        <v>65.316999999999993</v>
      </c>
      <c r="AI821">
        <v>51.207000000000001</v>
      </c>
      <c r="AJ821">
        <v>59.158000000000001</v>
      </c>
      <c r="AK821">
        <v>55.875</v>
      </c>
      <c r="AL821">
        <v>-5.4930000000000003</v>
      </c>
      <c r="AM821">
        <v>65.316999999999993</v>
      </c>
      <c r="AN821">
        <v>24.439</v>
      </c>
      <c r="AO821">
        <v>34.405999999999999</v>
      </c>
      <c r="AP821">
        <v>5.4930000000000003</v>
      </c>
      <c r="AQ821">
        <v>40.841999999999999</v>
      </c>
      <c r="AR821">
        <v>48.792999999999999</v>
      </c>
      <c r="AS821">
        <v>44.125</v>
      </c>
    </row>
    <row r="822" spans="1:45" x14ac:dyDescent="0.25">
      <c r="A822">
        <v>57</v>
      </c>
      <c r="B822">
        <v>-17</v>
      </c>
      <c r="C822">
        <v>0</v>
      </c>
      <c r="D822">
        <v>2021</v>
      </c>
      <c r="E822">
        <v>4</v>
      </c>
      <c r="F822" t="str">
        <f>IFERROR(VLOOKUP(G822, Map!$A$1:$B$33, 2, FALSE),"WAS")</f>
        <v>LA</v>
      </c>
      <c r="G822" t="s">
        <v>155</v>
      </c>
      <c r="H822" t="str">
        <f>IFERROR(VLOOKUP(I822, Map!$A$1:$B$33, 2, FALSE),"WAS")</f>
        <v>ARI</v>
      </c>
      <c r="I822" t="s">
        <v>156</v>
      </c>
      <c r="J822" t="s">
        <v>178</v>
      </c>
      <c r="K822" t="s">
        <v>190</v>
      </c>
      <c r="L822">
        <v>0</v>
      </c>
      <c r="M822">
        <v>0</v>
      </c>
      <c r="N822">
        <v>50.625</v>
      </c>
      <c r="O822">
        <v>-3.59375</v>
      </c>
      <c r="P822">
        <v>-3.5</v>
      </c>
      <c r="Q822">
        <v>53.5</v>
      </c>
      <c r="R822">
        <v>24.9</v>
      </c>
      <c r="S822">
        <v>35.200000000000003</v>
      </c>
      <c r="T822">
        <v>16.5</v>
      </c>
      <c r="U822">
        <v>21.7</v>
      </c>
      <c r="V822">
        <v>0</v>
      </c>
      <c r="W822">
        <v>0</v>
      </c>
      <c r="X822">
        <v>0</v>
      </c>
      <c r="Y822">
        <v>0</v>
      </c>
      <c r="Z822">
        <v>22.4</v>
      </c>
      <c r="AA822">
        <v>40.700000000000003</v>
      </c>
      <c r="AB822">
        <v>259</v>
      </c>
      <c r="AC822">
        <v>23</v>
      </c>
      <c r="AD822">
        <v>19</v>
      </c>
      <c r="AE822">
        <v>10.199999999999999</v>
      </c>
      <c r="AF822">
        <v>60.902000000000001</v>
      </c>
      <c r="AG822">
        <v>78.879000000000005</v>
      </c>
      <c r="AH822">
        <v>38.786000000000001</v>
      </c>
      <c r="AI822">
        <v>15.648</v>
      </c>
      <c r="AJ822">
        <v>44.345999999999997</v>
      </c>
      <c r="AK822">
        <v>14.282999999999999</v>
      </c>
      <c r="AL822">
        <v>3.879</v>
      </c>
      <c r="AM822">
        <v>38.786000000000001</v>
      </c>
      <c r="AN822">
        <v>78.879000000000005</v>
      </c>
      <c r="AO822">
        <v>60.902000000000001</v>
      </c>
      <c r="AP822">
        <v>-3.879</v>
      </c>
      <c r="AQ822">
        <v>55.654000000000003</v>
      </c>
      <c r="AR822">
        <v>84.352000000000004</v>
      </c>
      <c r="AS822">
        <v>85.716999999999999</v>
      </c>
    </row>
    <row r="823" spans="1:45" x14ac:dyDescent="0.25">
      <c r="A823">
        <v>64</v>
      </c>
      <c r="B823">
        <v>-4</v>
      </c>
      <c r="C823">
        <v>0</v>
      </c>
      <c r="D823">
        <v>2021</v>
      </c>
      <c r="E823">
        <v>4</v>
      </c>
      <c r="F823" t="str">
        <f>IFERROR(VLOOKUP(G823, Map!$A$1:$B$33, 2, FALSE),"WAS")</f>
        <v>ATL</v>
      </c>
      <c r="G823" t="s">
        <v>167</v>
      </c>
      <c r="H823" t="str">
        <f>IFERROR(VLOOKUP(I823, Map!$A$1:$B$33, 2, FALSE),"WAS")</f>
        <v>WAS</v>
      </c>
      <c r="I823" t="s">
        <v>169</v>
      </c>
      <c r="J823" t="s">
        <v>188</v>
      </c>
      <c r="K823" t="s">
        <v>205</v>
      </c>
      <c r="L823">
        <v>0</v>
      </c>
      <c r="M823">
        <v>0</v>
      </c>
      <c r="N823">
        <v>47.3333333333333</v>
      </c>
      <c r="O823">
        <v>1.8</v>
      </c>
      <c r="P823">
        <v>1</v>
      </c>
      <c r="Q823">
        <v>46.5</v>
      </c>
      <c r="R823">
        <v>21.3</v>
      </c>
      <c r="S823">
        <v>23.7</v>
      </c>
      <c r="T823">
        <v>19.3</v>
      </c>
      <c r="U823">
        <v>23.2</v>
      </c>
      <c r="V823">
        <v>6.8</v>
      </c>
      <c r="W823">
        <v>0</v>
      </c>
      <c r="X823">
        <v>11</v>
      </c>
      <c r="Y823">
        <v>6.8</v>
      </c>
      <c r="Z823">
        <v>20.7</v>
      </c>
      <c r="AA823">
        <v>40.299999999999997</v>
      </c>
      <c r="AB823">
        <v>170</v>
      </c>
      <c r="AC823">
        <v>87</v>
      </c>
      <c r="AD823">
        <v>20.100000000000001</v>
      </c>
      <c r="AE823">
        <v>9.8000000000000007</v>
      </c>
      <c r="AF823">
        <v>47.923000000000002</v>
      </c>
      <c r="AG823">
        <v>18.943000000000001</v>
      </c>
      <c r="AH823">
        <v>51.692</v>
      </c>
      <c r="AI823">
        <v>17.181999999999999</v>
      </c>
      <c r="AJ823">
        <v>82.3</v>
      </c>
      <c r="AK823">
        <v>46.975999999999999</v>
      </c>
      <c r="AL823">
        <v>-0.65300000000000002</v>
      </c>
      <c r="AM823">
        <v>51.692</v>
      </c>
      <c r="AN823">
        <v>18.943000000000001</v>
      </c>
      <c r="AO823">
        <v>47.923000000000002</v>
      </c>
      <c r="AP823">
        <v>0.65300000000000002</v>
      </c>
      <c r="AQ823">
        <v>17.7</v>
      </c>
      <c r="AR823">
        <v>82.817999999999998</v>
      </c>
      <c r="AS823">
        <v>53.024000000000001</v>
      </c>
    </row>
    <row r="824" spans="1:45" x14ac:dyDescent="0.25">
      <c r="A824">
        <v>44</v>
      </c>
      <c r="B824">
        <v>10</v>
      </c>
      <c r="C824">
        <v>1</v>
      </c>
      <c r="D824">
        <v>2021</v>
      </c>
      <c r="E824">
        <v>4</v>
      </c>
      <c r="F824" t="str">
        <f>IFERROR(VLOOKUP(G824, Map!$A$1:$B$33, 2, FALSE),"WAS")</f>
        <v>GB</v>
      </c>
      <c r="G824" t="s">
        <v>154</v>
      </c>
      <c r="H824" t="str">
        <f>IFERROR(VLOOKUP(I824, Map!$A$1:$B$33, 2, FALSE),"WAS")</f>
        <v>PIT</v>
      </c>
      <c r="I824" t="s">
        <v>145</v>
      </c>
      <c r="J824" t="s">
        <v>200</v>
      </c>
      <c r="K824" t="s">
        <v>170</v>
      </c>
      <c r="L824">
        <v>1</v>
      </c>
      <c r="M824">
        <v>0</v>
      </c>
      <c r="N824">
        <v>42.15625</v>
      </c>
      <c r="O824">
        <v>-5.65625</v>
      </c>
      <c r="P824">
        <v>-5.5</v>
      </c>
      <c r="Q824">
        <v>44.5</v>
      </c>
      <c r="R824">
        <v>19.100000000000001</v>
      </c>
      <c r="S824">
        <v>21.8</v>
      </c>
      <c r="T824">
        <v>16.3</v>
      </c>
      <c r="U824">
        <v>21</v>
      </c>
      <c r="V824">
        <v>7</v>
      </c>
      <c r="W824">
        <v>0</v>
      </c>
      <c r="X824">
        <v>12</v>
      </c>
      <c r="Y824">
        <v>7</v>
      </c>
      <c r="Z824">
        <v>11.9</v>
      </c>
      <c r="AA824">
        <v>23.4</v>
      </c>
      <c r="AB824">
        <v>91</v>
      </c>
      <c r="AC824">
        <v>93</v>
      </c>
      <c r="AD824">
        <v>15</v>
      </c>
      <c r="AE824">
        <v>6.9</v>
      </c>
      <c r="AF824">
        <v>61.279000000000003</v>
      </c>
      <c r="AG824">
        <v>57.997</v>
      </c>
      <c r="AH824">
        <v>38.412999999999997</v>
      </c>
      <c r="AI824">
        <v>78.671000000000006</v>
      </c>
      <c r="AJ824">
        <v>74.028999999999996</v>
      </c>
      <c r="AK824">
        <v>83.248999999999995</v>
      </c>
      <c r="AL824">
        <v>4.0140000000000002</v>
      </c>
      <c r="AM824">
        <v>38.412999999999997</v>
      </c>
      <c r="AN824">
        <v>57.997</v>
      </c>
      <c r="AO824">
        <v>61.279000000000003</v>
      </c>
      <c r="AP824">
        <v>-4.0140000000000002</v>
      </c>
      <c r="AQ824">
        <v>25.971</v>
      </c>
      <c r="AR824">
        <v>21.329000000000001</v>
      </c>
      <c r="AS824">
        <v>16.751000000000001</v>
      </c>
    </row>
    <row r="825" spans="1:45" x14ac:dyDescent="0.25">
      <c r="A825">
        <v>21</v>
      </c>
      <c r="B825">
        <v>-7</v>
      </c>
      <c r="C825">
        <v>0</v>
      </c>
      <c r="D825">
        <v>2021</v>
      </c>
      <c r="E825">
        <v>4</v>
      </c>
      <c r="F825" t="str">
        <f>IFERROR(VLOOKUP(G825, Map!$A$1:$B$33, 2, FALSE),"WAS")</f>
        <v>MIN</v>
      </c>
      <c r="G825" t="s">
        <v>153</v>
      </c>
      <c r="H825" t="str">
        <f>IFERROR(VLOOKUP(I825, Map!$A$1:$B$33, 2, FALSE),"WAS")</f>
        <v>CLE</v>
      </c>
      <c r="I825" t="s">
        <v>162</v>
      </c>
      <c r="J825" t="s">
        <v>214</v>
      </c>
      <c r="K825" t="s">
        <v>171</v>
      </c>
      <c r="L825">
        <v>0</v>
      </c>
      <c r="M825">
        <v>0</v>
      </c>
      <c r="N825">
        <v>48.5</v>
      </c>
      <c r="O825">
        <v>0.5625</v>
      </c>
      <c r="P825">
        <v>0</v>
      </c>
      <c r="Q825">
        <v>51.5</v>
      </c>
      <c r="R825">
        <v>17.2</v>
      </c>
      <c r="S825">
        <v>21.5</v>
      </c>
      <c r="T825">
        <v>13.3</v>
      </c>
      <c r="U825">
        <v>16.600000000000001</v>
      </c>
      <c r="V825">
        <v>2.7</v>
      </c>
      <c r="W825">
        <v>0</v>
      </c>
      <c r="X825">
        <v>3</v>
      </c>
      <c r="Y825">
        <v>2.7</v>
      </c>
      <c r="Z825">
        <v>14.4</v>
      </c>
      <c r="AA825">
        <v>31</v>
      </c>
      <c r="AB825">
        <v>333</v>
      </c>
      <c r="AC825">
        <v>80</v>
      </c>
      <c r="AD825">
        <v>23.2</v>
      </c>
      <c r="AE825">
        <v>11.2</v>
      </c>
      <c r="AF825">
        <v>51.335999999999999</v>
      </c>
      <c r="AG825">
        <v>54.875999999999998</v>
      </c>
      <c r="AH825">
        <v>48.276000000000003</v>
      </c>
      <c r="AI825">
        <v>61.508000000000003</v>
      </c>
      <c r="AJ825">
        <v>16.57</v>
      </c>
      <c r="AK825">
        <v>34.716000000000001</v>
      </c>
      <c r="AL825">
        <v>0.53</v>
      </c>
      <c r="AM825">
        <v>48.276000000000003</v>
      </c>
      <c r="AN825">
        <v>54.875999999999998</v>
      </c>
      <c r="AO825">
        <v>51.335999999999999</v>
      </c>
      <c r="AP825">
        <v>-0.53</v>
      </c>
      <c r="AQ825">
        <v>83.43</v>
      </c>
      <c r="AR825">
        <v>38.491999999999997</v>
      </c>
      <c r="AS825">
        <v>65.284000000000006</v>
      </c>
    </row>
    <row r="826" spans="1:45" x14ac:dyDescent="0.25">
      <c r="A826">
        <v>49</v>
      </c>
      <c r="B826">
        <v>-7</v>
      </c>
      <c r="C826">
        <v>0</v>
      </c>
      <c r="D826">
        <v>2021</v>
      </c>
      <c r="E826">
        <v>4</v>
      </c>
      <c r="F826" t="str">
        <f>IFERROR(VLOOKUP(G826, Map!$A$1:$B$33, 2, FALSE),"WAS")</f>
        <v>SF</v>
      </c>
      <c r="G826" t="s">
        <v>143</v>
      </c>
      <c r="H826" t="str">
        <f>IFERROR(VLOOKUP(I826, Map!$A$1:$B$33, 2, FALSE),"WAS")</f>
        <v>SEA</v>
      </c>
      <c r="I826" t="s">
        <v>144</v>
      </c>
      <c r="J826" t="s">
        <v>197</v>
      </c>
      <c r="K826" t="s">
        <v>182</v>
      </c>
      <c r="L826">
        <v>0</v>
      </c>
      <c r="M826">
        <v>0</v>
      </c>
      <c r="N826">
        <v>48.6875</v>
      </c>
      <c r="O826">
        <v>-2.34375</v>
      </c>
      <c r="P826">
        <v>-2.5</v>
      </c>
      <c r="Q826">
        <v>51.5</v>
      </c>
      <c r="R826">
        <v>23.7</v>
      </c>
      <c r="S826">
        <v>32.6</v>
      </c>
      <c r="T826">
        <v>18.2</v>
      </c>
      <c r="U826">
        <v>21.8</v>
      </c>
      <c r="V826">
        <v>0</v>
      </c>
      <c r="W826">
        <v>0</v>
      </c>
      <c r="X826">
        <v>0</v>
      </c>
      <c r="Y826">
        <v>0</v>
      </c>
      <c r="Z826">
        <v>19</v>
      </c>
      <c r="AA826">
        <v>35.6</v>
      </c>
      <c r="AB826">
        <v>322</v>
      </c>
      <c r="AC826">
        <v>35</v>
      </c>
      <c r="AD826">
        <v>15.2</v>
      </c>
      <c r="AE826">
        <v>7.5</v>
      </c>
      <c r="AF826">
        <v>56.317999999999998</v>
      </c>
      <c r="AG826">
        <v>71.084000000000003</v>
      </c>
      <c r="AH826">
        <v>43.334000000000003</v>
      </c>
      <c r="AI826">
        <v>37.691000000000003</v>
      </c>
      <c r="AJ826">
        <v>48.506999999999998</v>
      </c>
      <c r="AK826">
        <v>16.21</v>
      </c>
      <c r="AL826">
        <v>2.258</v>
      </c>
      <c r="AM826">
        <v>43.334000000000003</v>
      </c>
      <c r="AN826">
        <v>71.084000000000003</v>
      </c>
      <c r="AO826">
        <v>56.317999999999998</v>
      </c>
      <c r="AP826">
        <v>-2.258</v>
      </c>
      <c r="AQ826">
        <v>51.493000000000002</v>
      </c>
      <c r="AR826">
        <v>62.308999999999997</v>
      </c>
      <c r="AS826">
        <v>83.79</v>
      </c>
    </row>
    <row r="827" spans="1:45" x14ac:dyDescent="0.25">
      <c r="A827">
        <v>40</v>
      </c>
      <c r="B827">
        <v>40</v>
      </c>
      <c r="C827">
        <v>1</v>
      </c>
      <c r="D827">
        <v>2021</v>
      </c>
      <c r="E827">
        <v>4</v>
      </c>
      <c r="F827" t="str">
        <f>IFERROR(VLOOKUP(G827, Map!$A$1:$B$33, 2, FALSE),"WAS")</f>
        <v>BUF</v>
      </c>
      <c r="G827" t="s">
        <v>165</v>
      </c>
      <c r="H827" t="str">
        <f>IFERROR(VLOOKUP(I827, Map!$A$1:$B$33, 2, FALSE),"WAS")</f>
        <v>HOU</v>
      </c>
      <c r="I827" t="s">
        <v>137</v>
      </c>
      <c r="J827" t="s">
        <v>180</v>
      </c>
      <c r="K827" t="s">
        <v>209</v>
      </c>
      <c r="L827">
        <v>1</v>
      </c>
      <c r="M827">
        <v>0</v>
      </c>
      <c r="N827">
        <v>44.4375</v>
      </c>
      <c r="O827">
        <v>-17.15625</v>
      </c>
      <c r="P827">
        <v>-16.5</v>
      </c>
      <c r="Q827">
        <v>47</v>
      </c>
      <c r="R827">
        <v>22.4</v>
      </c>
      <c r="S827">
        <v>27.9</v>
      </c>
      <c r="T827">
        <v>17.5</v>
      </c>
      <c r="U827">
        <v>23.3</v>
      </c>
      <c r="V827">
        <v>0.5</v>
      </c>
      <c r="W827">
        <v>0</v>
      </c>
      <c r="X827">
        <v>5</v>
      </c>
      <c r="Y827">
        <v>0.5</v>
      </c>
      <c r="Z827">
        <v>13</v>
      </c>
      <c r="AA827">
        <v>28.8</v>
      </c>
      <c r="AB827">
        <v>212</v>
      </c>
      <c r="AC827">
        <v>72</v>
      </c>
      <c r="AD827">
        <v>19.600000000000001</v>
      </c>
      <c r="AE827">
        <v>9.6999999999999993</v>
      </c>
      <c r="AF827">
        <v>86.212999999999994</v>
      </c>
      <c r="AG827">
        <v>50</v>
      </c>
      <c r="AH827">
        <v>13.677</v>
      </c>
      <c r="AI827">
        <v>99.992000000000004</v>
      </c>
      <c r="AJ827">
        <v>51.728999999999999</v>
      </c>
      <c r="AK827">
        <v>98.524000000000001</v>
      </c>
      <c r="AL827">
        <v>15.09</v>
      </c>
      <c r="AM827">
        <v>13.677</v>
      </c>
      <c r="AN827">
        <v>50</v>
      </c>
      <c r="AO827">
        <v>86.212999999999994</v>
      </c>
      <c r="AP827">
        <v>-15.09</v>
      </c>
      <c r="AQ827">
        <v>48.271000000000001</v>
      </c>
      <c r="AR827">
        <v>8.0000000000000002E-3</v>
      </c>
      <c r="AS827">
        <v>1.476</v>
      </c>
    </row>
    <row r="828" spans="1:45" x14ac:dyDescent="0.25">
      <c r="A828">
        <v>72</v>
      </c>
      <c r="B828">
        <v>-12</v>
      </c>
      <c r="C828">
        <v>0</v>
      </c>
      <c r="D828">
        <v>2021</v>
      </c>
      <c r="E828">
        <v>4</v>
      </c>
      <c r="F828" t="str">
        <f>IFERROR(VLOOKUP(G828, Map!$A$1:$B$33, 2, FALSE),"WAS")</f>
        <v>PHI</v>
      </c>
      <c r="G828" t="s">
        <v>147</v>
      </c>
      <c r="H828" t="str">
        <f>IFERROR(VLOOKUP(I828, Map!$A$1:$B$33, 2, FALSE),"WAS")</f>
        <v>KC</v>
      </c>
      <c r="I828" t="s">
        <v>158</v>
      </c>
      <c r="J828" t="s">
        <v>206</v>
      </c>
      <c r="K828" t="s">
        <v>202</v>
      </c>
      <c r="L828">
        <v>0</v>
      </c>
      <c r="M828">
        <v>0</v>
      </c>
      <c r="N828">
        <v>50.5</v>
      </c>
      <c r="O828">
        <v>6.5</v>
      </c>
      <c r="P828">
        <v>6.5</v>
      </c>
      <c r="Q828">
        <v>53.5</v>
      </c>
      <c r="R828">
        <v>20</v>
      </c>
      <c r="S828">
        <v>27.8</v>
      </c>
      <c r="T828">
        <v>14.2</v>
      </c>
      <c r="U828">
        <v>21</v>
      </c>
      <c r="V828">
        <v>0.3</v>
      </c>
      <c r="W828">
        <v>0</v>
      </c>
      <c r="X828">
        <v>2</v>
      </c>
      <c r="Y828">
        <v>0.3</v>
      </c>
      <c r="Z828">
        <v>10.199999999999999</v>
      </c>
      <c r="AA828">
        <v>23.4</v>
      </c>
      <c r="AB828">
        <v>229</v>
      </c>
      <c r="AC828">
        <v>80</v>
      </c>
      <c r="AD828">
        <v>16.2</v>
      </c>
      <c r="AE828">
        <v>7.8</v>
      </c>
      <c r="AF828">
        <v>32.615000000000002</v>
      </c>
      <c r="AG828">
        <v>75.146000000000001</v>
      </c>
      <c r="AH828">
        <v>67.123000000000005</v>
      </c>
      <c r="AI828">
        <v>4.2869999999999999</v>
      </c>
      <c r="AJ828">
        <v>77.777000000000001</v>
      </c>
      <c r="AK828">
        <v>26.308</v>
      </c>
      <c r="AL828">
        <v>-6.173</v>
      </c>
      <c r="AM828">
        <v>67.123000000000005</v>
      </c>
      <c r="AN828">
        <v>75.146000000000001</v>
      </c>
      <c r="AO828">
        <v>32.615000000000002</v>
      </c>
      <c r="AP828">
        <v>6.173</v>
      </c>
      <c r="AQ828">
        <v>22.222999999999999</v>
      </c>
      <c r="AR828">
        <v>95.712999999999994</v>
      </c>
      <c r="AS828">
        <v>73.691999999999993</v>
      </c>
    </row>
    <row r="829" spans="1:45" x14ac:dyDescent="0.25">
      <c r="A829">
        <v>42</v>
      </c>
      <c r="B829">
        <v>14</v>
      </c>
      <c r="C829">
        <v>1</v>
      </c>
      <c r="D829">
        <v>2021</v>
      </c>
      <c r="E829">
        <v>4</v>
      </c>
      <c r="F829" t="str">
        <f>IFERROR(VLOOKUP(G829, Map!$A$1:$B$33, 2, FALSE),"WAS")</f>
        <v>LAC</v>
      </c>
      <c r="G829" t="s">
        <v>160</v>
      </c>
      <c r="H829" t="str">
        <f>IFERROR(VLOOKUP(I829, Map!$A$1:$B$33, 2, FALSE),"WAS")</f>
        <v>LV</v>
      </c>
      <c r="I829" t="s">
        <v>157</v>
      </c>
      <c r="J829" t="s">
        <v>210</v>
      </c>
      <c r="K829" t="s">
        <v>179</v>
      </c>
      <c r="L829">
        <v>1</v>
      </c>
      <c r="M829">
        <v>0</v>
      </c>
      <c r="N829">
        <v>51.607142857142897</v>
      </c>
      <c r="O829">
        <v>-3.0714285714285698</v>
      </c>
      <c r="P829">
        <v>-3</v>
      </c>
      <c r="Q829">
        <v>51.5</v>
      </c>
      <c r="R829">
        <v>22.5</v>
      </c>
      <c r="S829">
        <v>28.8</v>
      </c>
      <c r="T829">
        <v>19.100000000000001</v>
      </c>
      <c r="U829">
        <v>21.7</v>
      </c>
      <c r="V829">
        <v>0</v>
      </c>
      <c r="W829">
        <v>0</v>
      </c>
      <c r="X829">
        <v>0</v>
      </c>
      <c r="Y829">
        <v>0</v>
      </c>
      <c r="Z829">
        <v>23.7</v>
      </c>
      <c r="AA829">
        <v>42.8</v>
      </c>
      <c r="AB829">
        <v>236</v>
      </c>
      <c r="AC829">
        <v>58</v>
      </c>
      <c r="AD829">
        <v>28.5</v>
      </c>
      <c r="AE829">
        <v>13.9</v>
      </c>
      <c r="AF829">
        <v>59.978000000000002</v>
      </c>
      <c r="AG829">
        <v>48.165999999999997</v>
      </c>
      <c r="AH829">
        <v>39.703000000000003</v>
      </c>
      <c r="AI829">
        <v>83.105000000000004</v>
      </c>
      <c r="AJ829">
        <v>73.918000000000006</v>
      </c>
      <c r="AK829">
        <v>83.412000000000006</v>
      </c>
      <c r="AL829">
        <v>3.5489999999999999</v>
      </c>
      <c r="AM829">
        <v>39.703000000000003</v>
      </c>
      <c r="AN829">
        <v>48.165999999999997</v>
      </c>
      <c r="AO829">
        <v>59.978000000000002</v>
      </c>
      <c r="AP829">
        <v>-3.5489999999999999</v>
      </c>
      <c r="AQ829">
        <v>26.082000000000001</v>
      </c>
      <c r="AR829">
        <v>16.895</v>
      </c>
      <c r="AS829">
        <v>16.588000000000001</v>
      </c>
    </row>
    <row r="830" spans="1:45" x14ac:dyDescent="0.25">
      <c r="A830">
        <v>48</v>
      </c>
      <c r="B830">
        <v>-6</v>
      </c>
      <c r="C830">
        <v>0</v>
      </c>
      <c r="D830">
        <v>2021</v>
      </c>
      <c r="E830">
        <v>4</v>
      </c>
      <c r="F830" t="str">
        <f>IFERROR(VLOOKUP(G830, Map!$A$1:$B$33, 2, FALSE),"WAS")</f>
        <v>NO</v>
      </c>
      <c r="G830" t="s">
        <v>168</v>
      </c>
      <c r="H830" t="str">
        <f>IFERROR(VLOOKUP(I830, Map!$A$1:$B$33, 2, FALSE),"WAS")</f>
        <v>NYG</v>
      </c>
      <c r="I830" t="s">
        <v>149</v>
      </c>
      <c r="J830" t="s">
        <v>192</v>
      </c>
      <c r="K830" t="s">
        <v>219</v>
      </c>
      <c r="L830">
        <v>0</v>
      </c>
      <c r="M830">
        <v>0</v>
      </c>
      <c r="N830">
        <v>39.90625</v>
      </c>
      <c r="O830">
        <v>-6.625</v>
      </c>
      <c r="P830">
        <v>-7</v>
      </c>
      <c r="Q830">
        <v>42</v>
      </c>
      <c r="R830">
        <v>24.9</v>
      </c>
      <c r="S830">
        <v>26.3</v>
      </c>
      <c r="T830">
        <v>23.4</v>
      </c>
      <c r="U830">
        <v>29.8</v>
      </c>
      <c r="V830">
        <v>10.5</v>
      </c>
      <c r="W830">
        <v>0</v>
      </c>
      <c r="X830">
        <v>19</v>
      </c>
      <c r="Y830">
        <v>10.5</v>
      </c>
      <c r="Z830">
        <v>10.1</v>
      </c>
      <c r="AA830">
        <v>25.6</v>
      </c>
      <c r="AB830">
        <v>142</v>
      </c>
      <c r="AC830">
        <v>93</v>
      </c>
      <c r="AD830">
        <v>16.5</v>
      </c>
      <c r="AE830">
        <v>6.9</v>
      </c>
      <c r="AF830">
        <v>73.927999999999997</v>
      </c>
      <c r="AG830">
        <v>45.723999999999997</v>
      </c>
      <c r="AH830">
        <v>25.864000000000001</v>
      </c>
      <c r="AI830">
        <v>16.405000000000001</v>
      </c>
      <c r="AJ830">
        <v>69.781999999999996</v>
      </c>
      <c r="AK830">
        <v>40.533000000000001</v>
      </c>
      <c r="AL830">
        <v>8.9</v>
      </c>
      <c r="AM830">
        <v>25.864000000000001</v>
      </c>
      <c r="AN830">
        <v>45.723999999999997</v>
      </c>
      <c r="AO830">
        <v>73.927999999999997</v>
      </c>
      <c r="AP830">
        <v>-8.9</v>
      </c>
      <c r="AQ830">
        <v>30.218</v>
      </c>
      <c r="AR830">
        <v>83.594999999999999</v>
      </c>
      <c r="AS830">
        <v>59.466999999999999</v>
      </c>
    </row>
    <row r="831" spans="1:45" x14ac:dyDescent="0.25">
      <c r="A831">
        <v>36</v>
      </c>
      <c r="B831">
        <v>-2</v>
      </c>
      <c r="C831">
        <v>0</v>
      </c>
      <c r="D831">
        <v>2021</v>
      </c>
      <c r="E831">
        <v>4</v>
      </c>
      <c r="F831" t="str">
        <f>IFERROR(VLOOKUP(G831, Map!$A$1:$B$33, 2, FALSE),"WAS")</f>
        <v>NE</v>
      </c>
      <c r="G831" t="s">
        <v>151</v>
      </c>
      <c r="H831" t="str">
        <f>IFERROR(VLOOKUP(I831, Map!$A$1:$B$33, 2, FALSE),"WAS")</f>
        <v>TB</v>
      </c>
      <c r="I831" t="s">
        <v>141</v>
      </c>
      <c r="J831" t="s">
        <v>187</v>
      </c>
      <c r="K831" t="s">
        <v>186</v>
      </c>
      <c r="L831">
        <v>0</v>
      </c>
      <c r="M831">
        <v>0</v>
      </c>
      <c r="N831">
        <v>46.09375</v>
      </c>
      <c r="O831">
        <v>6.125</v>
      </c>
      <c r="P831">
        <v>5.5</v>
      </c>
      <c r="Q831">
        <v>49</v>
      </c>
      <c r="R831">
        <v>14.6</v>
      </c>
      <c r="S831">
        <v>15.4</v>
      </c>
      <c r="T831">
        <v>13.1</v>
      </c>
      <c r="U831">
        <v>14.2</v>
      </c>
      <c r="V831">
        <v>19.3</v>
      </c>
      <c r="W831">
        <v>0</v>
      </c>
      <c r="X831">
        <v>24</v>
      </c>
      <c r="Y831">
        <v>19.3</v>
      </c>
      <c r="Z831">
        <v>16.100000000000001</v>
      </c>
      <c r="AA831">
        <v>37.1</v>
      </c>
      <c r="AB831">
        <v>68</v>
      </c>
      <c r="AC831">
        <v>98</v>
      </c>
      <c r="AD831">
        <v>26.8</v>
      </c>
      <c r="AE831">
        <v>11.9</v>
      </c>
      <c r="AF831">
        <v>43.101999999999997</v>
      </c>
      <c r="AG831">
        <v>92.34</v>
      </c>
      <c r="AH831">
        <v>56.551000000000002</v>
      </c>
      <c r="AI831">
        <v>43.801000000000002</v>
      </c>
      <c r="AJ831">
        <v>38.914999999999999</v>
      </c>
      <c r="AK831">
        <v>45.337000000000003</v>
      </c>
      <c r="AL831">
        <v>-2.339</v>
      </c>
      <c r="AM831">
        <v>56.551000000000002</v>
      </c>
      <c r="AN831">
        <v>92.34</v>
      </c>
      <c r="AO831">
        <v>43.101999999999997</v>
      </c>
      <c r="AP831">
        <v>2.339</v>
      </c>
      <c r="AQ831">
        <v>61.085000000000001</v>
      </c>
      <c r="AR831">
        <v>56.198999999999998</v>
      </c>
      <c r="AS831">
        <v>54.662999999999997</v>
      </c>
    </row>
    <row r="832" spans="1:45" x14ac:dyDescent="0.25">
      <c r="A832">
        <v>38</v>
      </c>
      <c r="B832">
        <v>10</v>
      </c>
      <c r="C832">
        <v>1</v>
      </c>
      <c r="D832">
        <v>2021</v>
      </c>
      <c r="E832">
        <v>4</v>
      </c>
      <c r="F832" t="str">
        <f>IFERROR(VLOOKUP(G832, Map!$A$1:$B$33, 2, FALSE),"WAS")</f>
        <v>CHI</v>
      </c>
      <c r="G832" t="s">
        <v>163</v>
      </c>
      <c r="H832" t="str">
        <f>IFERROR(VLOOKUP(I832, Map!$A$1:$B$33, 2, FALSE),"WAS")</f>
        <v>DET</v>
      </c>
      <c r="I832" t="s">
        <v>164</v>
      </c>
      <c r="J832" t="s">
        <v>216</v>
      </c>
      <c r="K832" t="s">
        <v>173</v>
      </c>
      <c r="L832">
        <v>1</v>
      </c>
      <c r="M832">
        <v>0</v>
      </c>
      <c r="N832">
        <v>38.9375</v>
      </c>
      <c r="O832">
        <v>-2.75</v>
      </c>
      <c r="P832">
        <v>-2.5</v>
      </c>
      <c r="Q832">
        <v>41.5</v>
      </c>
      <c r="R832">
        <v>20.3</v>
      </c>
      <c r="S832">
        <v>23.3</v>
      </c>
      <c r="T832">
        <v>18.5</v>
      </c>
      <c r="U832">
        <v>22</v>
      </c>
      <c r="V832">
        <v>26.4</v>
      </c>
      <c r="W832">
        <v>0</v>
      </c>
      <c r="X832">
        <v>22</v>
      </c>
      <c r="Y832">
        <v>26.4</v>
      </c>
      <c r="Z832">
        <v>17.600000000000001</v>
      </c>
      <c r="AA832">
        <v>28.8</v>
      </c>
      <c r="AB832">
        <v>224</v>
      </c>
      <c r="AC832">
        <v>89</v>
      </c>
      <c r="AD832">
        <v>19.3</v>
      </c>
      <c r="AE832">
        <v>10</v>
      </c>
      <c r="AF832">
        <v>56.055</v>
      </c>
      <c r="AG832">
        <v>17.771999999999998</v>
      </c>
      <c r="AH832">
        <v>43.594999999999999</v>
      </c>
      <c r="AI832">
        <v>80.307000000000002</v>
      </c>
      <c r="AJ832">
        <v>87.721999999999994</v>
      </c>
      <c r="AK832">
        <v>89.156999999999996</v>
      </c>
      <c r="AL832">
        <v>2.1659999999999999</v>
      </c>
      <c r="AM832">
        <v>43.594999999999999</v>
      </c>
      <c r="AN832">
        <v>17.771999999999998</v>
      </c>
      <c r="AO832">
        <v>56.055</v>
      </c>
      <c r="AP832">
        <v>-2.1659999999999999</v>
      </c>
      <c r="AQ832">
        <v>12.278</v>
      </c>
      <c r="AR832">
        <v>19.693000000000001</v>
      </c>
      <c r="AS832">
        <v>10.843</v>
      </c>
    </row>
    <row r="833" spans="1:45" x14ac:dyDescent="0.25">
      <c r="A833">
        <v>64</v>
      </c>
      <c r="B833">
        <v>8</v>
      </c>
      <c r="C833">
        <v>1</v>
      </c>
      <c r="D833">
        <v>2021</v>
      </c>
      <c r="E833">
        <v>4</v>
      </c>
      <c r="F833" t="str">
        <f>IFERROR(VLOOKUP(G833, Map!$A$1:$B$33, 2, FALSE),"WAS")</f>
        <v>DAL</v>
      </c>
      <c r="G833" t="s">
        <v>150</v>
      </c>
      <c r="H833" t="str">
        <f>IFERROR(VLOOKUP(I833, Map!$A$1:$B$33, 2, FALSE),"WAS")</f>
        <v>CAR</v>
      </c>
      <c r="I833" t="s">
        <v>142</v>
      </c>
      <c r="J833" t="s">
        <v>184</v>
      </c>
      <c r="K833" t="s">
        <v>185</v>
      </c>
      <c r="L833">
        <v>1</v>
      </c>
      <c r="M833">
        <v>0</v>
      </c>
      <c r="N833">
        <v>48.15625</v>
      </c>
      <c r="O833">
        <v>-4.125</v>
      </c>
      <c r="P833">
        <v>-4</v>
      </c>
      <c r="Q833">
        <v>50.5</v>
      </c>
      <c r="R833">
        <v>23.2</v>
      </c>
      <c r="S833">
        <v>29</v>
      </c>
      <c r="T833">
        <v>17.899999999999999</v>
      </c>
      <c r="U833">
        <v>24.5</v>
      </c>
      <c r="V833">
        <v>0</v>
      </c>
      <c r="W833">
        <v>0</v>
      </c>
      <c r="X833">
        <v>0</v>
      </c>
      <c r="Y833">
        <v>0</v>
      </c>
      <c r="Z833">
        <v>11.3</v>
      </c>
      <c r="AA833">
        <v>24.8</v>
      </c>
      <c r="AB833">
        <v>320</v>
      </c>
      <c r="AC833">
        <v>69</v>
      </c>
      <c r="AD833">
        <v>14.7</v>
      </c>
      <c r="AE833">
        <v>7.4</v>
      </c>
      <c r="AF833">
        <v>57.774999999999999</v>
      </c>
      <c r="AG833">
        <v>51.378</v>
      </c>
      <c r="AH833">
        <v>41.887999999999998</v>
      </c>
      <c r="AI833">
        <v>47.000999999999998</v>
      </c>
      <c r="AJ833">
        <v>91.34</v>
      </c>
      <c r="AK833">
        <v>81.671999999999997</v>
      </c>
      <c r="AL833">
        <v>2.7690000000000001</v>
      </c>
      <c r="AM833">
        <v>41.887999999999998</v>
      </c>
      <c r="AN833">
        <v>51.378</v>
      </c>
      <c r="AO833">
        <v>57.774999999999999</v>
      </c>
      <c r="AP833">
        <v>-2.7690000000000001</v>
      </c>
      <c r="AQ833">
        <v>8.66</v>
      </c>
      <c r="AR833">
        <v>52.999000000000002</v>
      </c>
      <c r="AS833">
        <v>18.327999999999999</v>
      </c>
    </row>
    <row r="834" spans="1:45" x14ac:dyDescent="0.25">
      <c r="A834">
        <v>27</v>
      </c>
      <c r="B834">
        <v>7</v>
      </c>
      <c r="C834">
        <v>1</v>
      </c>
      <c r="D834">
        <v>2021</v>
      </c>
      <c r="E834">
        <v>5</v>
      </c>
      <c r="F834" t="str">
        <f>IFERROR(VLOOKUP(G834, Map!$A$1:$B$33, 2, FALSE),"WAS")</f>
        <v>ARI</v>
      </c>
      <c r="G834" t="s">
        <v>156</v>
      </c>
      <c r="H834" t="str">
        <f>IFERROR(VLOOKUP(I834, Map!$A$1:$B$33, 2, FALSE),"WAS")</f>
        <v>SF</v>
      </c>
      <c r="I834" t="s">
        <v>143</v>
      </c>
      <c r="J834" t="s">
        <v>190</v>
      </c>
      <c r="K834" t="s">
        <v>197</v>
      </c>
      <c r="L834">
        <v>1</v>
      </c>
      <c r="M834">
        <v>0</v>
      </c>
      <c r="N834">
        <v>44.441176470588204</v>
      </c>
      <c r="O834">
        <v>-5.4411764705882399</v>
      </c>
      <c r="P834">
        <v>-5.5</v>
      </c>
      <c r="Q834">
        <v>28.5</v>
      </c>
      <c r="R834">
        <v>17.399999999999999</v>
      </c>
      <c r="S834">
        <v>27.7</v>
      </c>
      <c r="T834">
        <v>11.9</v>
      </c>
      <c r="U834">
        <v>16.7</v>
      </c>
      <c r="V834">
        <v>0</v>
      </c>
      <c r="W834">
        <v>0</v>
      </c>
      <c r="X834">
        <v>0</v>
      </c>
      <c r="Y834">
        <v>0</v>
      </c>
      <c r="Z834">
        <v>14.2</v>
      </c>
      <c r="AA834">
        <v>33.5</v>
      </c>
      <c r="AB834">
        <v>127</v>
      </c>
      <c r="AC834">
        <v>61</v>
      </c>
      <c r="AD834">
        <v>13.2</v>
      </c>
      <c r="AE834">
        <v>4.5999999999999996</v>
      </c>
      <c r="AF834">
        <v>64.082999999999998</v>
      </c>
      <c r="AG834">
        <v>69.86</v>
      </c>
      <c r="AH834">
        <v>35.631</v>
      </c>
      <c r="AI834">
        <v>86.108000000000004</v>
      </c>
      <c r="AJ834">
        <v>47.241</v>
      </c>
      <c r="AK834">
        <v>70.882000000000005</v>
      </c>
      <c r="AL834">
        <v>5</v>
      </c>
      <c r="AM834">
        <v>35.631</v>
      </c>
      <c r="AN834">
        <v>69.86</v>
      </c>
      <c r="AO834">
        <v>64.082999999999998</v>
      </c>
      <c r="AP834">
        <v>-5</v>
      </c>
      <c r="AQ834">
        <v>52.759</v>
      </c>
      <c r="AR834">
        <v>13.891999999999999</v>
      </c>
      <c r="AS834">
        <v>29.117999999999999</v>
      </c>
    </row>
    <row r="835" spans="1:45" x14ac:dyDescent="0.25">
      <c r="A835">
        <v>47</v>
      </c>
      <c r="B835">
        <v>-3</v>
      </c>
      <c r="C835">
        <v>0</v>
      </c>
      <c r="D835">
        <v>2021</v>
      </c>
      <c r="E835">
        <v>5</v>
      </c>
      <c r="F835" t="str">
        <f>IFERROR(VLOOKUP(G835, Map!$A$1:$B$33, 2, FALSE),"WAS")</f>
        <v>CIN</v>
      </c>
      <c r="G835" t="s">
        <v>161</v>
      </c>
      <c r="H835" t="str">
        <f>IFERROR(VLOOKUP(I835, Map!$A$1:$B$33, 2, FALSE),"WAS")</f>
        <v>GB</v>
      </c>
      <c r="I835" t="s">
        <v>154</v>
      </c>
      <c r="J835" t="s">
        <v>176</v>
      </c>
      <c r="K835" t="s">
        <v>200</v>
      </c>
      <c r="L835">
        <v>0</v>
      </c>
      <c r="M835">
        <v>0</v>
      </c>
      <c r="N835">
        <v>47.029411764705898</v>
      </c>
      <c r="O835">
        <v>1.8529411764705901</v>
      </c>
      <c r="P835">
        <v>-1.5</v>
      </c>
      <c r="Q835">
        <v>49.5</v>
      </c>
      <c r="R835">
        <v>23.1</v>
      </c>
      <c r="S835">
        <v>29.2</v>
      </c>
      <c r="T835">
        <v>18.5</v>
      </c>
      <c r="U835">
        <v>23.8</v>
      </c>
      <c r="V835">
        <v>0</v>
      </c>
      <c r="W835">
        <v>0</v>
      </c>
      <c r="X835">
        <v>0</v>
      </c>
      <c r="Y835">
        <v>0</v>
      </c>
      <c r="Z835">
        <v>16.600000000000001</v>
      </c>
      <c r="AA835">
        <v>36.700000000000003</v>
      </c>
      <c r="AB835">
        <v>168</v>
      </c>
      <c r="AC835">
        <v>70</v>
      </c>
      <c r="AD835">
        <v>26.9</v>
      </c>
      <c r="AE835">
        <v>12.9</v>
      </c>
      <c r="AF835">
        <v>46.07</v>
      </c>
      <c r="AG835">
        <v>76.22</v>
      </c>
      <c r="AH835">
        <v>53.56</v>
      </c>
      <c r="AI835">
        <v>30.161000000000001</v>
      </c>
      <c r="AJ835">
        <v>53.000999999999998</v>
      </c>
      <c r="AK835">
        <v>40.994</v>
      </c>
      <c r="AL835">
        <v>-1.29</v>
      </c>
      <c r="AM835">
        <v>53.56</v>
      </c>
      <c r="AN835">
        <v>76.22</v>
      </c>
      <c r="AO835">
        <v>46.07</v>
      </c>
      <c r="AP835">
        <v>1.29</v>
      </c>
      <c r="AQ835">
        <v>46.999000000000002</v>
      </c>
      <c r="AR835">
        <v>69.838999999999999</v>
      </c>
      <c r="AS835">
        <v>59.006</v>
      </c>
    </row>
    <row r="836" spans="1:45" x14ac:dyDescent="0.25">
      <c r="A836">
        <v>39</v>
      </c>
      <c r="B836">
        <v>-3</v>
      </c>
      <c r="C836">
        <v>0</v>
      </c>
      <c r="D836">
        <v>2021</v>
      </c>
      <c r="E836">
        <v>5</v>
      </c>
      <c r="F836" t="str">
        <f>IFERROR(VLOOKUP(G836, Map!$A$1:$B$33, 2, FALSE),"WAS")</f>
        <v>CAR</v>
      </c>
      <c r="G836" t="s">
        <v>142</v>
      </c>
      <c r="H836" t="str">
        <f>IFERROR(VLOOKUP(I836, Map!$A$1:$B$33, 2, FALSE),"WAS")</f>
        <v>PHI</v>
      </c>
      <c r="I836" t="s">
        <v>147</v>
      </c>
      <c r="J836" t="s">
        <v>185</v>
      </c>
      <c r="K836" t="s">
        <v>206</v>
      </c>
      <c r="L836">
        <v>0</v>
      </c>
      <c r="M836">
        <v>0</v>
      </c>
      <c r="N836">
        <v>43</v>
      </c>
      <c r="O836">
        <v>-2.1176470588235299</v>
      </c>
      <c r="P836">
        <v>-2.5</v>
      </c>
      <c r="Q836">
        <v>40.5</v>
      </c>
      <c r="R836">
        <v>19.3</v>
      </c>
      <c r="S836">
        <v>25.6</v>
      </c>
      <c r="T836">
        <v>15.1</v>
      </c>
      <c r="U836">
        <v>19.3</v>
      </c>
      <c r="V836">
        <v>0</v>
      </c>
      <c r="W836">
        <v>0</v>
      </c>
      <c r="X836">
        <v>0</v>
      </c>
      <c r="Y836">
        <v>0</v>
      </c>
      <c r="Z836">
        <v>16.3</v>
      </c>
      <c r="AA836">
        <v>33.5</v>
      </c>
      <c r="AB836">
        <v>22</v>
      </c>
      <c r="AC836">
        <v>81</v>
      </c>
      <c r="AD836">
        <v>27.4</v>
      </c>
      <c r="AE836">
        <v>14.2</v>
      </c>
      <c r="AF836">
        <v>64.701999999999998</v>
      </c>
      <c r="AG836">
        <v>32.441000000000003</v>
      </c>
      <c r="AH836">
        <v>35.017000000000003</v>
      </c>
      <c r="AI836">
        <v>91.414000000000001</v>
      </c>
      <c r="AJ836">
        <v>9.3970000000000002</v>
      </c>
      <c r="AK836">
        <v>42.527000000000001</v>
      </c>
      <c r="AL836">
        <v>5.2279999999999998</v>
      </c>
      <c r="AM836">
        <v>35.017000000000003</v>
      </c>
      <c r="AN836">
        <v>32.441000000000003</v>
      </c>
      <c r="AO836">
        <v>64.701999999999998</v>
      </c>
      <c r="AP836">
        <v>-5.2279999999999998</v>
      </c>
      <c r="AQ836">
        <v>90.602999999999994</v>
      </c>
      <c r="AR836">
        <v>8.5860000000000003</v>
      </c>
      <c r="AS836">
        <v>57.472999999999999</v>
      </c>
    </row>
    <row r="837" spans="1:45" x14ac:dyDescent="0.25">
      <c r="A837">
        <v>56</v>
      </c>
      <c r="B837">
        <v>-18</v>
      </c>
      <c r="C837">
        <v>0</v>
      </c>
      <c r="D837">
        <v>2021</v>
      </c>
      <c r="E837">
        <v>5</v>
      </c>
      <c r="F837" t="str">
        <f>IFERROR(VLOOKUP(G837, Map!$A$1:$B$33, 2, FALSE),"WAS")</f>
        <v>JAX</v>
      </c>
      <c r="G837" t="s">
        <v>139</v>
      </c>
      <c r="H837" t="str">
        <f>IFERROR(VLOOKUP(I837, Map!$A$1:$B$33, 2, FALSE),"WAS")</f>
        <v>TEN</v>
      </c>
      <c r="I837" t="s">
        <v>140</v>
      </c>
      <c r="J837" t="s">
        <v>220</v>
      </c>
      <c r="K837" t="s">
        <v>174</v>
      </c>
      <c r="L837">
        <v>0</v>
      </c>
      <c r="M837">
        <v>0</v>
      </c>
      <c r="N837">
        <v>46.058823529411796</v>
      </c>
      <c r="O837">
        <v>4.7352941176470598</v>
      </c>
      <c r="P837">
        <v>3.5</v>
      </c>
      <c r="Q837">
        <v>48.5</v>
      </c>
      <c r="R837">
        <v>22.4</v>
      </c>
      <c r="S837">
        <v>26.6</v>
      </c>
      <c r="T837">
        <v>19.100000000000001</v>
      </c>
      <c r="U837">
        <v>24.3</v>
      </c>
      <c r="V837">
        <v>0.3</v>
      </c>
      <c r="W837">
        <v>0</v>
      </c>
      <c r="X837">
        <v>1</v>
      </c>
      <c r="Y837">
        <v>0.3</v>
      </c>
      <c r="Z837">
        <v>18.100000000000001</v>
      </c>
      <c r="AA837">
        <v>33.799999999999997</v>
      </c>
      <c r="AB837">
        <v>14</v>
      </c>
      <c r="AC837">
        <v>85</v>
      </c>
      <c r="AD837">
        <v>23.7</v>
      </c>
      <c r="AE837">
        <v>12.7</v>
      </c>
      <c r="AF837">
        <v>38.478000000000002</v>
      </c>
      <c r="AG837">
        <v>24.213000000000001</v>
      </c>
      <c r="AH837">
        <v>61.213000000000001</v>
      </c>
      <c r="AI837">
        <v>13.000999999999999</v>
      </c>
      <c r="AJ837">
        <v>39.847000000000001</v>
      </c>
      <c r="AK837">
        <v>14.157999999999999</v>
      </c>
      <c r="AL837">
        <v>-3.9630000000000001</v>
      </c>
      <c r="AM837">
        <v>61.213000000000001</v>
      </c>
      <c r="AN837">
        <v>24.213000000000001</v>
      </c>
      <c r="AO837">
        <v>38.478000000000002</v>
      </c>
      <c r="AP837">
        <v>3.9630000000000001</v>
      </c>
      <c r="AQ837">
        <v>60.152999999999999</v>
      </c>
      <c r="AR837">
        <v>86.998999999999995</v>
      </c>
      <c r="AS837">
        <v>85.841999999999999</v>
      </c>
    </row>
    <row r="838" spans="1:45" x14ac:dyDescent="0.25">
      <c r="A838">
        <v>55</v>
      </c>
      <c r="B838">
        <v>-11</v>
      </c>
      <c r="C838">
        <v>0</v>
      </c>
      <c r="D838">
        <v>2021</v>
      </c>
      <c r="E838">
        <v>5</v>
      </c>
      <c r="F838" t="str">
        <f>IFERROR(VLOOKUP(G838, Map!$A$1:$B$33, 2, FALSE),"WAS")</f>
        <v>WAS</v>
      </c>
      <c r="G838" t="s">
        <v>169</v>
      </c>
      <c r="H838" t="str">
        <f>IFERROR(VLOOKUP(I838, Map!$A$1:$B$33, 2, FALSE),"WAS")</f>
        <v>NO</v>
      </c>
      <c r="I838" t="s">
        <v>168</v>
      </c>
      <c r="J838" t="s">
        <v>205</v>
      </c>
      <c r="K838" t="s">
        <v>192</v>
      </c>
      <c r="L838">
        <v>0</v>
      </c>
      <c r="M838">
        <v>0</v>
      </c>
      <c r="N838">
        <v>44.25</v>
      </c>
      <c r="O838">
        <v>2.8125</v>
      </c>
      <c r="P838">
        <v>1.5</v>
      </c>
      <c r="Q838">
        <v>43.5</v>
      </c>
      <c r="R838">
        <v>19.899999999999999</v>
      </c>
      <c r="S838">
        <v>22.4</v>
      </c>
      <c r="T838">
        <v>18.3</v>
      </c>
      <c r="U838">
        <v>20.100000000000001</v>
      </c>
      <c r="V838">
        <v>1.2</v>
      </c>
      <c r="W838">
        <v>0</v>
      </c>
      <c r="X838">
        <v>9</v>
      </c>
      <c r="Y838">
        <v>1.2</v>
      </c>
      <c r="Z838">
        <v>21.6</v>
      </c>
      <c r="AA838">
        <v>43.6</v>
      </c>
      <c r="AB838">
        <v>42</v>
      </c>
      <c r="AC838">
        <v>84</v>
      </c>
      <c r="AD838">
        <v>31</v>
      </c>
      <c r="AE838">
        <v>15.8</v>
      </c>
      <c r="AF838">
        <v>42.735999999999997</v>
      </c>
      <c r="AG838">
        <v>48.563000000000002</v>
      </c>
      <c r="AH838">
        <v>56.920999999999999</v>
      </c>
      <c r="AI838">
        <v>30.422000000000001</v>
      </c>
      <c r="AJ838">
        <v>28.052</v>
      </c>
      <c r="AK838">
        <v>27.422000000000001</v>
      </c>
      <c r="AL838">
        <v>-2.452</v>
      </c>
      <c r="AM838">
        <v>56.920999999999999</v>
      </c>
      <c r="AN838">
        <v>48.563000000000002</v>
      </c>
      <c r="AO838">
        <v>42.735999999999997</v>
      </c>
      <c r="AP838">
        <v>2.452</v>
      </c>
      <c r="AQ838">
        <v>71.947999999999993</v>
      </c>
      <c r="AR838">
        <v>69.578000000000003</v>
      </c>
      <c r="AS838">
        <v>72.578000000000003</v>
      </c>
    </row>
    <row r="839" spans="1:45" x14ac:dyDescent="0.25">
      <c r="A839">
        <v>29</v>
      </c>
      <c r="B839">
        <v>-11</v>
      </c>
      <c r="C839">
        <v>0</v>
      </c>
      <c r="D839">
        <v>2021</v>
      </c>
      <c r="E839">
        <v>5</v>
      </c>
      <c r="F839" t="str">
        <f>IFERROR(VLOOKUP(G839, Map!$A$1:$B$33, 2, FALSE),"WAS")</f>
        <v>LV</v>
      </c>
      <c r="G839" t="s">
        <v>157</v>
      </c>
      <c r="H839" t="str">
        <f>IFERROR(VLOOKUP(I839, Map!$A$1:$B$33, 2, FALSE),"WAS")</f>
        <v>CHI</v>
      </c>
      <c r="I839" t="s">
        <v>163</v>
      </c>
      <c r="J839" t="s">
        <v>179</v>
      </c>
      <c r="K839" t="s">
        <v>216</v>
      </c>
      <c r="L839">
        <v>0</v>
      </c>
      <c r="M839">
        <v>0</v>
      </c>
      <c r="N839">
        <v>44.71875</v>
      </c>
      <c r="O839">
        <v>-4.75</v>
      </c>
      <c r="P839">
        <v>-5.5</v>
      </c>
      <c r="Q839">
        <v>27.5</v>
      </c>
      <c r="R839">
        <v>19.600000000000001</v>
      </c>
      <c r="S839">
        <v>24.4</v>
      </c>
      <c r="T839">
        <v>15</v>
      </c>
      <c r="U839">
        <v>15.3</v>
      </c>
      <c r="V839">
        <v>0</v>
      </c>
      <c r="W839">
        <v>0</v>
      </c>
      <c r="X839">
        <v>0</v>
      </c>
      <c r="Y839">
        <v>0</v>
      </c>
      <c r="Z839">
        <v>26.9</v>
      </c>
      <c r="AA839">
        <v>42.5</v>
      </c>
      <c r="AB839">
        <v>335</v>
      </c>
      <c r="AC839">
        <v>22</v>
      </c>
      <c r="AD839">
        <v>25.4</v>
      </c>
      <c r="AE839">
        <v>13.6</v>
      </c>
      <c r="AF839">
        <v>63.582000000000001</v>
      </c>
      <c r="AG839">
        <v>29.285</v>
      </c>
      <c r="AH839">
        <v>36.128</v>
      </c>
      <c r="AI839">
        <v>35.911999999999999</v>
      </c>
      <c r="AJ839">
        <v>29.323</v>
      </c>
      <c r="AK839">
        <v>26.309000000000001</v>
      </c>
      <c r="AL839">
        <v>4.8170000000000002</v>
      </c>
      <c r="AM839">
        <v>36.128</v>
      </c>
      <c r="AN839">
        <v>29.285</v>
      </c>
      <c r="AO839">
        <v>63.582000000000001</v>
      </c>
      <c r="AP839">
        <v>-4.8170000000000002</v>
      </c>
      <c r="AQ839">
        <v>70.677000000000007</v>
      </c>
      <c r="AR839">
        <v>64.087999999999994</v>
      </c>
      <c r="AS839">
        <v>73.691000000000003</v>
      </c>
    </row>
    <row r="840" spans="1:45" x14ac:dyDescent="0.25">
      <c r="A840">
        <v>89</v>
      </c>
      <c r="B840">
        <v>5</v>
      </c>
      <c r="C840">
        <v>1</v>
      </c>
      <c r="D840">
        <v>2021</v>
      </c>
      <c r="E840">
        <v>5</v>
      </c>
      <c r="F840" t="str">
        <f>IFERROR(VLOOKUP(G840, Map!$A$1:$B$33, 2, FALSE),"WAS")</f>
        <v>LAC</v>
      </c>
      <c r="G840" t="s">
        <v>160</v>
      </c>
      <c r="H840" t="str">
        <f>IFERROR(VLOOKUP(I840, Map!$A$1:$B$33, 2, FALSE),"WAS")</f>
        <v>CLE</v>
      </c>
      <c r="I840" t="s">
        <v>162</v>
      </c>
      <c r="J840" t="s">
        <v>210</v>
      </c>
      <c r="K840" t="s">
        <v>171</v>
      </c>
      <c r="L840">
        <v>1</v>
      </c>
      <c r="M840">
        <v>0</v>
      </c>
      <c r="N840">
        <v>46.617647058823501</v>
      </c>
      <c r="O840">
        <v>-2.3529411764705901</v>
      </c>
      <c r="P840">
        <v>-2.5</v>
      </c>
      <c r="Q840">
        <v>46.5</v>
      </c>
      <c r="R840">
        <v>17.3</v>
      </c>
      <c r="S840">
        <v>27</v>
      </c>
      <c r="T840">
        <v>10.7</v>
      </c>
      <c r="U840">
        <v>16.5</v>
      </c>
      <c r="V840">
        <v>0</v>
      </c>
      <c r="W840">
        <v>0</v>
      </c>
      <c r="X840">
        <v>0</v>
      </c>
      <c r="Y840">
        <v>0</v>
      </c>
      <c r="Z840">
        <v>25.6</v>
      </c>
      <c r="AA840">
        <v>49.3</v>
      </c>
      <c r="AB840">
        <v>287</v>
      </c>
      <c r="AC840">
        <v>71</v>
      </c>
      <c r="AD840">
        <v>18.7</v>
      </c>
      <c r="AE840">
        <v>9.1</v>
      </c>
      <c r="AF840">
        <v>54.798000000000002</v>
      </c>
      <c r="AG840">
        <v>56.781999999999996</v>
      </c>
      <c r="AH840">
        <v>44.841999999999999</v>
      </c>
      <c r="AI840">
        <v>8.3330000000000002</v>
      </c>
      <c r="AJ840">
        <v>95.975999999999999</v>
      </c>
      <c r="AK840">
        <v>57.56</v>
      </c>
      <c r="AL840">
        <v>1.716</v>
      </c>
      <c r="AM840">
        <v>44.841999999999999</v>
      </c>
      <c r="AN840">
        <v>56.781999999999996</v>
      </c>
      <c r="AO840">
        <v>54.798000000000002</v>
      </c>
      <c r="AP840">
        <v>-1.716</v>
      </c>
      <c r="AQ840">
        <v>4.024</v>
      </c>
      <c r="AR840">
        <v>91.667000000000002</v>
      </c>
      <c r="AS840">
        <v>42.44</v>
      </c>
    </row>
    <row r="841" spans="1:45" x14ac:dyDescent="0.25">
      <c r="A841">
        <v>43</v>
      </c>
      <c r="B841">
        <v>-9</v>
      </c>
      <c r="C841">
        <v>0</v>
      </c>
      <c r="D841">
        <v>2021</v>
      </c>
      <c r="E841">
        <v>5</v>
      </c>
      <c r="F841" t="str">
        <f>IFERROR(VLOOKUP(G841, Map!$A$1:$B$33, 2, FALSE),"WAS")</f>
        <v>SEA</v>
      </c>
      <c r="G841" t="s">
        <v>144</v>
      </c>
      <c r="H841" t="str">
        <f>IFERROR(VLOOKUP(I841, Map!$A$1:$B$33, 2, FALSE),"WAS")</f>
        <v>LA</v>
      </c>
      <c r="I841" t="s">
        <v>155</v>
      </c>
      <c r="J841" t="s">
        <v>182</v>
      </c>
      <c r="K841" t="s">
        <v>178</v>
      </c>
      <c r="L841">
        <v>0</v>
      </c>
      <c r="M841">
        <v>0</v>
      </c>
      <c r="N841">
        <v>49.53125</v>
      </c>
      <c r="O841">
        <v>2.5625</v>
      </c>
      <c r="P841">
        <v>2.5</v>
      </c>
      <c r="Q841">
        <v>41.5</v>
      </c>
      <c r="R841">
        <v>9</v>
      </c>
      <c r="S841">
        <v>13.6</v>
      </c>
      <c r="T841">
        <v>6</v>
      </c>
      <c r="U841">
        <v>7.3</v>
      </c>
      <c r="V841">
        <v>0</v>
      </c>
      <c r="W841">
        <v>0</v>
      </c>
      <c r="X841">
        <v>0</v>
      </c>
      <c r="Y841">
        <v>0</v>
      </c>
      <c r="Z841">
        <v>10.7</v>
      </c>
      <c r="AA841">
        <v>22</v>
      </c>
      <c r="AB841">
        <v>65</v>
      </c>
      <c r="AC841">
        <v>84</v>
      </c>
      <c r="AD841">
        <v>13.6</v>
      </c>
      <c r="AE841">
        <v>5.8</v>
      </c>
      <c r="AF841">
        <v>49.847999999999999</v>
      </c>
      <c r="AG841">
        <v>81.158000000000001</v>
      </c>
      <c r="AH841">
        <v>49.752000000000002</v>
      </c>
      <c r="AI841">
        <v>23.904</v>
      </c>
      <c r="AJ841">
        <v>44.470999999999997</v>
      </c>
      <c r="AK841">
        <v>28.908999999999999</v>
      </c>
      <c r="AL841">
        <v>1.7000000000000001E-2</v>
      </c>
      <c r="AM841">
        <v>49.752000000000002</v>
      </c>
      <c r="AN841">
        <v>81.158000000000001</v>
      </c>
      <c r="AO841">
        <v>49.847999999999999</v>
      </c>
      <c r="AP841">
        <v>-1.7000000000000001E-2</v>
      </c>
      <c r="AQ841">
        <v>55.529000000000003</v>
      </c>
      <c r="AR841">
        <v>76.096000000000004</v>
      </c>
      <c r="AS841">
        <v>71.090999999999994</v>
      </c>
    </row>
    <row r="842" spans="1:45" x14ac:dyDescent="0.25">
      <c r="A842">
        <v>47</v>
      </c>
      <c r="B842">
        <v>-3</v>
      </c>
      <c r="C842">
        <v>0</v>
      </c>
      <c r="D842">
        <v>2021</v>
      </c>
      <c r="E842">
        <v>5</v>
      </c>
      <c r="F842" t="str">
        <f>IFERROR(VLOOKUP(G842, Map!$A$1:$B$33, 2, FALSE),"WAS")</f>
        <v>HOU</v>
      </c>
      <c r="G842" t="s">
        <v>137</v>
      </c>
      <c r="H842" t="str">
        <f>IFERROR(VLOOKUP(I842, Map!$A$1:$B$33, 2, FALSE),"WAS")</f>
        <v>NE</v>
      </c>
      <c r="I842" t="s">
        <v>151</v>
      </c>
      <c r="J842" t="s">
        <v>209</v>
      </c>
      <c r="K842" t="s">
        <v>187</v>
      </c>
      <c r="L842">
        <v>0</v>
      </c>
      <c r="M842">
        <v>0</v>
      </c>
      <c r="N842">
        <v>37.147058823529399</v>
      </c>
      <c r="O842">
        <v>7.2647058823529402</v>
      </c>
      <c r="P842">
        <v>1.5</v>
      </c>
      <c r="Q842">
        <v>39</v>
      </c>
      <c r="R842">
        <v>25.1</v>
      </c>
      <c r="S842">
        <v>28.9</v>
      </c>
      <c r="T842">
        <v>21.7</v>
      </c>
      <c r="U842">
        <v>27.3</v>
      </c>
      <c r="V842">
        <v>1.8</v>
      </c>
      <c r="W842">
        <v>0</v>
      </c>
      <c r="X842">
        <v>8</v>
      </c>
      <c r="Y842">
        <v>1.8</v>
      </c>
      <c r="Z842">
        <v>29.9</v>
      </c>
      <c r="AA842">
        <v>50.8</v>
      </c>
      <c r="AB842">
        <v>161</v>
      </c>
      <c r="AC842">
        <v>83</v>
      </c>
      <c r="AD842">
        <v>31.6</v>
      </c>
      <c r="AE842">
        <v>18.7</v>
      </c>
      <c r="AF842">
        <v>30.626000000000001</v>
      </c>
      <c r="AG842">
        <v>37.826000000000001</v>
      </c>
      <c r="AH842">
        <v>69.128</v>
      </c>
      <c r="AI842">
        <v>44.798999999999999</v>
      </c>
      <c r="AJ842">
        <v>80.238</v>
      </c>
      <c r="AK842">
        <v>46.606000000000002</v>
      </c>
      <c r="AL842">
        <v>-6.9</v>
      </c>
      <c r="AM842">
        <v>69.128</v>
      </c>
      <c r="AN842">
        <v>37.826000000000001</v>
      </c>
      <c r="AO842">
        <v>30.626000000000001</v>
      </c>
      <c r="AP842">
        <v>6.9</v>
      </c>
      <c r="AQ842">
        <v>19.762</v>
      </c>
      <c r="AR842">
        <v>55.201000000000001</v>
      </c>
      <c r="AS842">
        <v>53.393999999999998</v>
      </c>
    </row>
    <row r="843" spans="1:45" x14ac:dyDescent="0.25">
      <c r="A843">
        <v>58</v>
      </c>
      <c r="B843">
        <v>-18</v>
      </c>
      <c r="C843">
        <v>0</v>
      </c>
      <c r="D843">
        <v>2021</v>
      </c>
      <c r="E843">
        <v>5</v>
      </c>
      <c r="F843" t="str">
        <f>IFERROR(VLOOKUP(G843, Map!$A$1:$B$33, 2, FALSE),"WAS")</f>
        <v>KC</v>
      </c>
      <c r="G843" t="s">
        <v>158</v>
      </c>
      <c r="H843" t="str">
        <f>IFERROR(VLOOKUP(I843, Map!$A$1:$B$33, 2, FALSE),"WAS")</f>
        <v>BUF</v>
      </c>
      <c r="I843" t="s">
        <v>165</v>
      </c>
      <c r="J843" t="s">
        <v>202</v>
      </c>
      <c r="K843" t="s">
        <v>180</v>
      </c>
      <c r="L843">
        <v>0</v>
      </c>
      <c r="M843">
        <v>0</v>
      </c>
      <c r="N843">
        <v>53.764705882352899</v>
      </c>
      <c r="O843">
        <v>-1.8529411764705901</v>
      </c>
      <c r="P843">
        <v>-2.5</v>
      </c>
      <c r="Q843">
        <v>56.5</v>
      </c>
      <c r="R843">
        <v>16</v>
      </c>
      <c r="S843">
        <v>19.399999999999999</v>
      </c>
      <c r="T843">
        <v>13.9</v>
      </c>
      <c r="U843">
        <v>14</v>
      </c>
      <c r="V843">
        <v>71.7</v>
      </c>
      <c r="W843">
        <v>0</v>
      </c>
      <c r="X843">
        <v>20</v>
      </c>
      <c r="Y843">
        <v>71.7</v>
      </c>
      <c r="Z843">
        <v>33.1</v>
      </c>
      <c r="AA843">
        <v>60.5</v>
      </c>
      <c r="AB843">
        <v>356</v>
      </c>
      <c r="AC843">
        <v>85</v>
      </c>
      <c r="AD843">
        <v>43.8</v>
      </c>
      <c r="AE843">
        <v>21.3</v>
      </c>
      <c r="AF843">
        <v>48.981999999999999</v>
      </c>
      <c r="AG843">
        <v>94.424000000000007</v>
      </c>
      <c r="AH843">
        <v>50.624000000000002</v>
      </c>
      <c r="AI843">
        <v>4.2309999999999999</v>
      </c>
      <c r="AJ843">
        <v>32.451999999999998</v>
      </c>
      <c r="AK843">
        <v>11.911</v>
      </c>
      <c r="AL843">
        <v>-0.28199999999999997</v>
      </c>
      <c r="AM843">
        <v>50.624000000000002</v>
      </c>
      <c r="AN843">
        <v>94.424000000000007</v>
      </c>
      <c r="AO843">
        <v>48.981999999999999</v>
      </c>
      <c r="AP843">
        <v>0.28199999999999997</v>
      </c>
      <c r="AQ843">
        <v>67.548000000000002</v>
      </c>
      <c r="AR843">
        <v>95.769000000000005</v>
      </c>
      <c r="AS843">
        <v>88.088999999999999</v>
      </c>
    </row>
    <row r="844" spans="1:45" x14ac:dyDescent="0.25">
      <c r="A844">
        <v>47</v>
      </c>
      <c r="B844">
        <v>7</v>
      </c>
      <c r="C844">
        <v>1</v>
      </c>
      <c r="D844">
        <v>2021</v>
      </c>
      <c r="E844">
        <v>5</v>
      </c>
      <c r="F844" t="str">
        <f>IFERROR(VLOOKUP(G844, Map!$A$1:$B$33, 2, FALSE),"WAS")</f>
        <v>ATL</v>
      </c>
      <c r="G844" t="s">
        <v>167</v>
      </c>
      <c r="H844" t="str">
        <f>IFERROR(VLOOKUP(I844, Map!$A$1:$B$33, 2, FALSE),"WAS")</f>
        <v>NYJ</v>
      </c>
      <c r="I844" t="s">
        <v>166</v>
      </c>
      <c r="J844" t="s">
        <v>188</v>
      </c>
      <c r="K844" t="s">
        <v>172</v>
      </c>
      <c r="L844">
        <v>1</v>
      </c>
      <c r="M844">
        <v>0</v>
      </c>
      <c r="N844">
        <v>42.852941176470601</v>
      </c>
      <c r="O844">
        <v>-3.02941176470588</v>
      </c>
      <c r="P844">
        <v>-2.5</v>
      </c>
      <c r="Q844">
        <v>45</v>
      </c>
      <c r="R844">
        <v>12.9</v>
      </c>
      <c r="S844">
        <v>18</v>
      </c>
      <c r="T844">
        <v>8.3000000000000007</v>
      </c>
      <c r="U844">
        <v>11.7</v>
      </c>
      <c r="V844">
        <v>0.2</v>
      </c>
      <c r="W844">
        <v>0</v>
      </c>
      <c r="X844">
        <v>2</v>
      </c>
      <c r="Y844">
        <v>0.2</v>
      </c>
      <c r="Z844">
        <v>15.2</v>
      </c>
      <c r="AA844">
        <v>26.3</v>
      </c>
      <c r="AB844">
        <v>334</v>
      </c>
      <c r="AC844">
        <v>85</v>
      </c>
      <c r="AD844">
        <v>16.100000000000001</v>
      </c>
      <c r="AE844">
        <v>8.8000000000000007</v>
      </c>
      <c r="AF844">
        <v>56.838000000000001</v>
      </c>
      <c r="AG844">
        <v>5.5679999999999996</v>
      </c>
      <c r="AH844">
        <v>42.817999999999998</v>
      </c>
      <c r="AI844">
        <v>53.366</v>
      </c>
      <c r="AJ844">
        <v>80.605000000000004</v>
      </c>
      <c r="AK844">
        <v>78.126000000000005</v>
      </c>
      <c r="AL844">
        <v>2.423</v>
      </c>
      <c r="AM844">
        <v>42.817999999999998</v>
      </c>
      <c r="AN844">
        <v>5.5679999999999996</v>
      </c>
      <c r="AO844">
        <v>56.838000000000001</v>
      </c>
      <c r="AP844">
        <v>-2.423</v>
      </c>
      <c r="AQ844">
        <v>19.395</v>
      </c>
      <c r="AR844">
        <v>46.634</v>
      </c>
      <c r="AS844">
        <v>21.873999999999999</v>
      </c>
    </row>
    <row r="845" spans="1:45" x14ac:dyDescent="0.25">
      <c r="A845">
        <v>62</v>
      </c>
      <c r="B845">
        <v>28</v>
      </c>
      <c r="C845">
        <v>1</v>
      </c>
      <c r="D845">
        <v>2021</v>
      </c>
      <c r="E845">
        <v>5</v>
      </c>
      <c r="F845" t="str">
        <f>IFERROR(VLOOKUP(G845, Map!$A$1:$B$33, 2, FALSE),"WAS")</f>
        <v>TB</v>
      </c>
      <c r="G845" t="s">
        <v>141</v>
      </c>
      <c r="H845" t="str">
        <f>IFERROR(VLOOKUP(I845, Map!$A$1:$B$33, 2, FALSE),"WAS")</f>
        <v>MIA</v>
      </c>
      <c r="I845" t="s">
        <v>152</v>
      </c>
      <c r="J845" t="s">
        <v>186</v>
      </c>
      <c r="K845" t="s">
        <v>175</v>
      </c>
      <c r="L845">
        <v>1</v>
      </c>
      <c r="M845">
        <v>0</v>
      </c>
      <c r="N845">
        <v>45.823529411764703</v>
      </c>
      <c r="O845">
        <v>-10.411764705882399</v>
      </c>
      <c r="P845">
        <v>-10.5</v>
      </c>
      <c r="Q845">
        <v>47.5</v>
      </c>
      <c r="R845">
        <v>24.3</v>
      </c>
      <c r="S845">
        <v>27.9</v>
      </c>
      <c r="T845">
        <v>21.1</v>
      </c>
      <c r="U845">
        <v>27.3</v>
      </c>
      <c r="V845">
        <v>1</v>
      </c>
      <c r="W845">
        <v>0</v>
      </c>
      <c r="X845">
        <v>6</v>
      </c>
      <c r="Y845">
        <v>1</v>
      </c>
      <c r="Z845">
        <v>13.5</v>
      </c>
      <c r="AA845">
        <v>24.5</v>
      </c>
      <c r="AB845">
        <v>27</v>
      </c>
      <c r="AC845">
        <v>82</v>
      </c>
      <c r="AD845">
        <v>18.600000000000001</v>
      </c>
      <c r="AE845">
        <v>9.6</v>
      </c>
      <c r="AF845">
        <v>74.977999999999994</v>
      </c>
      <c r="AG845">
        <v>57.636000000000003</v>
      </c>
      <c r="AH845">
        <v>24.821999999999999</v>
      </c>
      <c r="AI845">
        <v>32.363999999999997</v>
      </c>
      <c r="AJ845">
        <v>97.073999999999998</v>
      </c>
      <c r="AK845">
        <v>89.751999999999995</v>
      </c>
      <c r="AL845">
        <v>9.2870000000000008</v>
      </c>
      <c r="AM845">
        <v>24.821999999999999</v>
      </c>
      <c r="AN845">
        <v>57.636000000000003</v>
      </c>
      <c r="AO845">
        <v>74.977999999999994</v>
      </c>
      <c r="AP845">
        <v>-9.2870000000000008</v>
      </c>
      <c r="AQ845">
        <v>2.9260000000000002</v>
      </c>
      <c r="AR845">
        <v>67.635999999999996</v>
      </c>
      <c r="AS845">
        <v>10.247999999999999</v>
      </c>
    </row>
    <row r="846" spans="1:45" x14ac:dyDescent="0.25">
      <c r="A846">
        <v>56</v>
      </c>
      <c r="B846">
        <v>6</v>
      </c>
      <c r="C846">
        <v>1</v>
      </c>
      <c r="D846">
        <v>2021</v>
      </c>
      <c r="E846">
        <v>5</v>
      </c>
      <c r="F846" t="str">
        <f>IFERROR(VLOOKUP(G846, Map!$A$1:$B$33, 2, FALSE),"WAS")</f>
        <v>BAL</v>
      </c>
      <c r="G846" t="s">
        <v>146</v>
      </c>
      <c r="H846" t="str">
        <f>IFERROR(VLOOKUP(I846, Map!$A$1:$B$33, 2, FALSE),"WAS")</f>
        <v>IND</v>
      </c>
      <c r="I846" t="s">
        <v>138</v>
      </c>
      <c r="J846" t="s">
        <v>181</v>
      </c>
      <c r="K846" t="s">
        <v>177</v>
      </c>
      <c r="L846">
        <v>1</v>
      </c>
      <c r="M846">
        <v>0</v>
      </c>
      <c r="N846">
        <v>44.147058823529399</v>
      </c>
      <c r="O846">
        <v>-6.7647058823529402</v>
      </c>
      <c r="P846">
        <v>-2.5</v>
      </c>
      <c r="Q846">
        <v>45.5</v>
      </c>
      <c r="R846">
        <v>18.899999999999999</v>
      </c>
      <c r="S846">
        <v>22.1</v>
      </c>
      <c r="T846">
        <v>16</v>
      </c>
      <c r="U846">
        <v>20.100000000000001</v>
      </c>
      <c r="V846">
        <v>0</v>
      </c>
      <c r="W846">
        <v>0</v>
      </c>
      <c r="X846">
        <v>0</v>
      </c>
      <c r="Y846">
        <v>0</v>
      </c>
      <c r="Z846">
        <v>13.5</v>
      </c>
      <c r="AA846">
        <v>24.1</v>
      </c>
      <c r="AB846">
        <v>46</v>
      </c>
      <c r="AC846">
        <v>86</v>
      </c>
      <c r="AD846">
        <v>15.8</v>
      </c>
      <c r="AE846">
        <v>7.6</v>
      </c>
      <c r="AF846">
        <v>66.781999999999996</v>
      </c>
      <c r="AG846">
        <v>62.429000000000002</v>
      </c>
      <c r="AH846">
        <v>32.953000000000003</v>
      </c>
      <c r="AI846">
        <v>10.032</v>
      </c>
      <c r="AJ846">
        <v>80.3</v>
      </c>
      <c r="AK846">
        <v>49.74</v>
      </c>
      <c r="AL846">
        <v>6.0019999999999998</v>
      </c>
      <c r="AM846">
        <v>32.953000000000003</v>
      </c>
      <c r="AN846">
        <v>62.429000000000002</v>
      </c>
      <c r="AO846">
        <v>66.781999999999996</v>
      </c>
      <c r="AP846">
        <v>-6.0019999999999998</v>
      </c>
      <c r="AQ846">
        <v>19.7</v>
      </c>
      <c r="AR846">
        <v>89.968000000000004</v>
      </c>
      <c r="AS846">
        <v>50.26</v>
      </c>
    </row>
    <row r="847" spans="1:45" x14ac:dyDescent="0.25">
      <c r="A847">
        <v>64</v>
      </c>
      <c r="B847">
        <v>24</v>
      </c>
      <c r="C847">
        <v>1</v>
      </c>
      <c r="D847">
        <v>2021</v>
      </c>
      <c r="E847">
        <v>5</v>
      </c>
      <c r="F847" t="str">
        <f>IFERROR(VLOOKUP(G847, Map!$A$1:$B$33, 2, FALSE),"WAS")</f>
        <v>DAL</v>
      </c>
      <c r="G847" t="s">
        <v>150</v>
      </c>
      <c r="H847" t="str">
        <f>IFERROR(VLOOKUP(I847, Map!$A$1:$B$33, 2, FALSE),"WAS")</f>
        <v>NYG</v>
      </c>
      <c r="I847" t="s">
        <v>149</v>
      </c>
      <c r="J847" t="s">
        <v>184</v>
      </c>
      <c r="K847" t="s">
        <v>219</v>
      </c>
      <c r="L847">
        <v>1</v>
      </c>
      <c r="M847">
        <v>0</v>
      </c>
      <c r="N847">
        <v>49.676470588235297</v>
      </c>
      <c r="O847">
        <v>-7.4411764705882399</v>
      </c>
      <c r="P847">
        <v>-7</v>
      </c>
      <c r="Q847">
        <v>52.5</v>
      </c>
      <c r="R847">
        <v>26.6</v>
      </c>
      <c r="S847">
        <v>33.1</v>
      </c>
      <c r="T847">
        <v>21</v>
      </c>
      <c r="U847">
        <v>25.6</v>
      </c>
      <c r="V847">
        <v>0.1</v>
      </c>
      <c r="W847">
        <v>0</v>
      </c>
      <c r="X847">
        <v>1</v>
      </c>
      <c r="Y847">
        <v>0.1</v>
      </c>
      <c r="Z847">
        <v>36.4</v>
      </c>
      <c r="AA847">
        <v>62.3</v>
      </c>
      <c r="AB847">
        <v>179</v>
      </c>
      <c r="AC847">
        <v>61</v>
      </c>
      <c r="AD847">
        <v>45.3</v>
      </c>
      <c r="AE847">
        <v>26.6</v>
      </c>
      <c r="AF847">
        <v>72.932000000000002</v>
      </c>
      <c r="AG847">
        <v>49.893999999999998</v>
      </c>
      <c r="AH847">
        <v>26.852</v>
      </c>
      <c r="AI847">
        <v>65.015000000000001</v>
      </c>
      <c r="AJ847">
        <v>80.534000000000006</v>
      </c>
      <c r="AK847">
        <v>85.244</v>
      </c>
      <c r="AL847">
        <v>8.423</v>
      </c>
      <c r="AM847">
        <v>26.852</v>
      </c>
      <c r="AN847">
        <v>49.893999999999998</v>
      </c>
      <c r="AO847">
        <v>72.932000000000002</v>
      </c>
      <c r="AP847">
        <v>-8.423</v>
      </c>
      <c r="AQ847">
        <v>19.466000000000001</v>
      </c>
      <c r="AR847">
        <v>34.984999999999999</v>
      </c>
      <c r="AS847">
        <v>14.756</v>
      </c>
    </row>
    <row r="848" spans="1:45" x14ac:dyDescent="0.25">
      <c r="A848">
        <v>36</v>
      </c>
      <c r="B848">
        <v>2</v>
      </c>
      <c r="C848">
        <v>1</v>
      </c>
      <c r="D848">
        <v>2021</v>
      </c>
      <c r="E848">
        <v>5</v>
      </c>
      <c r="F848" t="str">
        <f>IFERROR(VLOOKUP(G848, Map!$A$1:$B$33, 2, FALSE),"WAS")</f>
        <v>MIN</v>
      </c>
      <c r="G848" t="s">
        <v>153</v>
      </c>
      <c r="H848" t="str">
        <f>IFERROR(VLOOKUP(I848, Map!$A$1:$B$33, 2, FALSE),"WAS")</f>
        <v>DET</v>
      </c>
      <c r="I848" t="s">
        <v>164</v>
      </c>
      <c r="J848" t="s">
        <v>214</v>
      </c>
      <c r="K848" t="s">
        <v>173</v>
      </c>
      <c r="L848">
        <v>1</v>
      </c>
      <c r="M848">
        <v>0</v>
      </c>
      <c r="N848">
        <v>46.294117647058798</v>
      </c>
      <c r="O848">
        <v>-9.5</v>
      </c>
      <c r="P848">
        <v>-9.5</v>
      </c>
      <c r="Q848">
        <v>43.5</v>
      </c>
      <c r="R848">
        <v>18.8</v>
      </c>
      <c r="S848">
        <v>22.1</v>
      </c>
      <c r="T848">
        <v>16.399999999999999</v>
      </c>
      <c r="U848">
        <v>18.2</v>
      </c>
      <c r="V848">
        <v>19</v>
      </c>
      <c r="W848">
        <v>0</v>
      </c>
      <c r="X848">
        <v>9</v>
      </c>
      <c r="Y848">
        <v>19</v>
      </c>
      <c r="Z848">
        <v>23.4</v>
      </c>
      <c r="AA848">
        <v>54.4</v>
      </c>
      <c r="AB848">
        <v>177</v>
      </c>
      <c r="AC848">
        <v>81</v>
      </c>
      <c r="AD848">
        <v>36.1</v>
      </c>
      <c r="AE848">
        <v>16.7</v>
      </c>
      <c r="AF848">
        <v>73.656999999999996</v>
      </c>
      <c r="AG848">
        <v>40.024999999999999</v>
      </c>
      <c r="AH848">
        <v>26.134</v>
      </c>
      <c r="AI848">
        <v>71.251999999999995</v>
      </c>
      <c r="AJ848">
        <v>45.728000000000002</v>
      </c>
      <c r="AK848">
        <v>61.493000000000002</v>
      </c>
      <c r="AL848">
        <v>8.7249999999999996</v>
      </c>
      <c r="AM848">
        <v>26.134</v>
      </c>
      <c r="AN848">
        <v>40.024999999999999</v>
      </c>
      <c r="AO848">
        <v>73.656999999999996</v>
      </c>
      <c r="AP848">
        <v>-8.7249999999999996</v>
      </c>
      <c r="AQ848">
        <v>54.271999999999998</v>
      </c>
      <c r="AR848">
        <v>28.748000000000001</v>
      </c>
      <c r="AS848">
        <v>38.506999999999998</v>
      </c>
    </row>
    <row r="849" spans="1:45" x14ac:dyDescent="0.25">
      <c r="A849">
        <v>46</v>
      </c>
      <c r="B849">
        <v>8</v>
      </c>
      <c r="C849">
        <v>1</v>
      </c>
      <c r="D849">
        <v>2021</v>
      </c>
      <c r="E849">
        <v>5</v>
      </c>
      <c r="F849" t="str">
        <f>IFERROR(VLOOKUP(G849, Map!$A$1:$B$33, 2, FALSE),"WAS")</f>
        <v>PIT</v>
      </c>
      <c r="G849" t="s">
        <v>145</v>
      </c>
      <c r="H849" t="str">
        <f>IFERROR(VLOOKUP(I849, Map!$A$1:$B$33, 2, FALSE),"WAS")</f>
        <v>DEN</v>
      </c>
      <c r="I849" t="s">
        <v>159</v>
      </c>
      <c r="J849" t="s">
        <v>170</v>
      </c>
      <c r="K849" t="s">
        <v>183</v>
      </c>
      <c r="L849">
        <v>1</v>
      </c>
      <c r="M849">
        <v>0</v>
      </c>
      <c r="N849">
        <v>37.941176470588204</v>
      </c>
      <c r="O849">
        <v>0.73529411764705899</v>
      </c>
      <c r="P849">
        <v>-1</v>
      </c>
      <c r="Q849">
        <v>39.5</v>
      </c>
      <c r="R849">
        <v>19.2</v>
      </c>
      <c r="S849">
        <v>25.5</v>
      </c>
      <c r="T849">
        <v>15.5</v>
      </c>
      <c r="U849">
        <v>19.600000000000001</v>
      </c>
      <c r="V849">
        <v>0.4</v>
      </c>
      <c r="W849">
        <v>0</v>
      </c>
      <c r="X849">
        <v>4</v>
      </c>
      <c r="Y849">
        <v>0.4</v>
      </c>
      <c r="Z849">
        <v>13</v>
      </c>
      <c r="AA849">
        <v>25.9</v>
      </c>
      <c r="AB849">
        <v>134</v>
      </c>
      <c r="AC849">
        <v>78</v>
      </c>
      <c r="AD849">
        <v>20.6</v>
      </c>
      <c r="AE849">
        <v>8.9</v>
      </c>
      <c r="AF849">
        <v>48.795999999999999</v>
      </c>
      <c r="AG849">
        <v>46.164999999999999</v>
      </c>
      <c r="AH849">
        <v>50.811999999999998</v>
      </c>
      <c r="AI849">
        <v>64.379000000000005</v>
      </c>
      <c r="AJ849">
        <v>72.516000000000005</v>
      </c>
      <c r="AK849">
        <v>80.483999999999995</v>
      </c>
      <c r="AL849">
        <v>-0.34699999999999998</v>
      </c>
      <c r="AM849">
        <v>50.811999999999998</v>
      </c>
      <c r="AN849">
        <v>46.164999999999999</v>
      </c>
      <c r="AO849">
        <v>48.795999999999999</v>
      </c>
      <c r="AP849">
        <v>0.34699999999999998</v>
      </c>
      <c r="AQ849">
        <v>27.484000000000002</v>
      </c>
      <c r="AR849">
        <v>35.621000000000002</v>
      </c>
      <c r="AS849">
        <v>19.515999999999998</v>
      </c>
    </row>
    <row r="850" spans="1:45" x14ac:dyDescent="0.25">
      <c r="A850">
        <v>64</v>
      </c>
      <c r="B850">
        <v>-6</v>
      </c>
      <c r="C850">
        <v>0</v>
      </c>
      <c r="D850">
        <v>2021</v>
      </c>
      <c r="E850">
        <v>6</v>
      </c>
      <c r="F850" t="str">
        <f>IFERROR(VLOOKUP(G850, Map!$A$1:$B$33, 2, FALSE),"WAS")</f>
        <v>NE</v>
      </c>
      <c r="G850" t="s">
        <v>151</v>
      </c>
      <c r="H850" t="str">
        <f>IFERROR(VLOOKUP(I850, Map!$A$1:$B$33, 2, FALSE),"WAS")</f>
        <v>DAL</v>
      </c>
      <c r="I850" t="s">
        <v>150</v>
      </c>
      <c r="J850" t="s">
        <v>187</v>
      </c>
      <c r="K850" t="s">
        <v>184</v>
      </c>
      <c r="L850">
        <v>0</v>
      </c>
      <c r="M850">
        <v>0</v>
      </c>
      <c r="N850">
        <v>48.176470588235297</v>
      </c>
      <c r="O850">
        <v>3.2941176470588198</v>
      </c>
      <c r="P850">
        <v>2.5</v>
      </c>
      <c r="Q850">
        <v>49.5</v>
      </c>
      <c r="R850">
        <v>15.3</v>
      </c>
      <c r="S850">
        <v>20.3</v>
      </c>
      <c r="T850">
        <v>11.2</v>
      </c>
      <c r="U850">
        <v>13.7</v>
      </c>
      <c r="V850">
        <v>8.8000000000000007</v>
      </c>
      <c r="W850">
        <v>0</v>
      </c>
      <c r="X850">
        <v>8</v>
      </c>
      <c r="Y850">
        <v>8.8000000000000007</v>
      </c>
      <c r="Z850">
        <v>21.4</v>
      </c>
      <c r="AA850">
        <v>50</v>
      </c>
      <c r="AB850">
        <v>276</v>
      </c>
      <c r="AC850">
        <v>79</v>
      </c>
      <c r="AD850">
        <v>35.9</v>
      </c>
      <c r="AE850">
        <v>15.3</v>
      </c>
      <c r="AF850">
        <v>43.790999999999997</v>
      </c>
      <c r="AG850">
        <v>82.328999999999994</v>
      </c>
      <c r="AH850">
        <v>55.856999999999999</v>
      </c>
      <c r="AI850">
        <v>44.895000000000003</v>
      </c>
      <c r="AJ850">
        <v>48.616</v>
      </c>
      <c r="AK850">
        <v>38.691000000000003</v>
      </c>
      <c r="AL850">
        <v>-2.0720000000000001</v>
      </c>
      <c r="AM850">
        <v>55.856999999999999</v>
      </c>
      <c r="AN850">
        <v>82.328999999999994</v>
      </c>
      <c r="AO850">
        <v>43.790999999999997</v>
      </c>
      <c r="AP850">
        <v>2.0720000000000001</v>
      </c>
      <c r="AQ850">
        <v>51.384</v>
      </c>
      <c r="AR850">
        <v>55.104999999999997</v>
      </c>
      <c r="AS850">
        <v>61.308999999999997</v>
      </c>
    </row>
    <row r="851" spans="1:45" x14ac:dyDescent="0.25">
      <c r="A851">
        <v>44</v>
      </c>
      <c r="B851">
        <v>-18</v>
      </c>
      <c r="C851">
        <v>0</v>
      </c>
      <c r="D851">
        <v>2021</v>
      </c>
      <c r="E851">
        <v>6</v>
      </c>
      <c r="F851" t="str">
        <f>IFERROR(VLOOKUP(G851, Map!$A$1:$B$33, 2, FALSE),"WAS")</f>
        <v>WAS</v>
      </c>
      <c r="G851" t="s">
        <v>169</v>
      </c>
      <c r="H851" t="str">
        <f>IFERROR(VLOOKUP(I851, Map!$A$1:$B$33, 2, FALSE),"WAS")</f>
        <v>KC</v>
      </c>
      <c r="I851" t="s">
        <v>158</v>
      </c>
      <c r="J851" t="s">
        <v>205</v>
      </c>
      <c r="K851" t="s">
        <v>202</v>
      </c>
      <c r="L851">
        <v>0</v>
      </c>
      <c r="M851">
        <v>0</v>
      </c>
      <c r="N851">
        <v>53.3125</v>
      </c>
      <c r="O851">
        <v>6.78125</v>
      </c>
      <c r="P851">
        <v>6</v>
      </c>
      <c r="Q851">
        <v>41.5</v>
      </c>
      <c r="R851">
        <v>14.3</v>
      </c>
      <c r="S851">
        <v>17.600000000000001</v>
      </c>
      <c r="T851">
        <v>11.1</v>
      </c>
      <c r="U851">
        <v>10.9</v>
      </c>
      <c r="V851">
        <v>0</v>
      </c>
      <c r="W851">
        <v>0</v>
      </c>
      <c r="X851">
        <v>0</v>
      </c>
      <c r="Y851">
        <v>0</v>
      </c>
      <c r="Z851">
        <v>26.1</v>
      </c>
      <c r="AA851">
        <v>50</v>
      </c>
      <c r="AB851">
        <v>298</v>
      </c>
      <c r="AC851">
        <v>61</v>
      </c>
      <c r="AD851">
        <v>34.1</v>
      </c>
      <c r="AE851">
        <v>17.5</v>
      </c>
      <c r="AF851">
        <v>34.03</v>
      </c>
      <c r="AG851">
        <v>62.957000000000001</v>
      </c>
      <c r="AH851">
        <v>65.695999999999998</v>
      </c>
      <c r="AI851">
        <v>37.75</v>
      </c>
      <c r="AJ851">
        <v>27.516999999999999</v>
      </c>
      <c r="AK851">
        <v>22.733000000000001</v>
      </c>
      <c r="AL851">
        <v>-5.5670000000000002</v>
      </c>
      <c r="AM851">
        <v>65.695999999999998</v>
      </c>
      <c r="AN851">
        <v>62.957000000000001</v>
      </c>
      <c r="AO851">
        <v>34.03</v>
      </c>
      <c r="AP851">
        <v>5.5670000000000002</v>
      </c>
      <c r="AQ851">
        <v>72.483000000000004</v>
      </c>
      <c r="AR851">
        <v>62.25</v>
      </c>
      <c r="AS851">
        <v>77.266999999999996</v>
      </c>
    </row>
    <row r="852" spans="1:45" x14ac:dyDescent="0.25">
      <c r="A852">
        <v>50</v>
      </c>
      <c r="B852">
        <v>-6</v>
      </c>
      <c r="C852">
        <v>0</v>
      </c>
      <c r="D852">
        <v>2021</v>
      </c>
      <c r="E852">
        <v>6</v>
      </c>
      <c r="F852" t="str">
        <f>IFERROR(VLOOKUP(G852, Map!$A$1:$B$33, 2, FALSE),"WAS")</f>
        <v>PHI</v>
      </c>
      <c r="G852" t="s">
        <v>147</v>
      </c>
      <c r="H852" t="str">
        <f>IFERROR(VLOOKUP(I852, Map!$A$1:$B$33, 2, FALSE),"WAS")</f>
        <v>TB</v>
      </c>
      <c r="I852" t="s">
        <v>141</v>
      </c>
      <c r="J852" t="s">
        <v>206</v>
      </c>
      <c r="K852" t="s">
        <v>186</v>
      </c>
      <c r="L852">
        <v>0</v>
      </c>
      <c r="M852">
        <v>0</v>
      </c>
      <c r="N852">
        <v>49.705882352941202</v>
      </c>
      <c r="O852">
        <v>6.5</v>
      </c>
      <c r="P852">
        <v>6.5</v>
      </c>
      <c r="Q852">
        <v>51.5</v>
      </c>
      <c r="R852">
        <v>20.5</v>
      </c>
      <c r="S852">
        <v>27.6</v>
      </c>
      <c r="T852">
        <v>14.9</v>
      </c>
      <c r="U852">
        <v>21.4</v>
      </c>
      <c r="V852">
        <v>0</v>
      </c>
      <c r="W852">
        <v>0</v>
      </c>
      <c r="X852">
        <v>0</v>
      </c>
      <c r="Y852">
        <v>0</v>
      </c>
      <c r="Z852">
        <v>11.5</v>
      </c>
      <c r="AA852">
        <v>22.3</v>
      </c>
      <c r="AB852">
        <v>257</v>
      </c>
      <c r="AC852">
        <v>74</v>
      </c>
      <c r="AD852">
        <v>13</v>
      </c>
      <c r="AE852">
        <v>6.7</v>
      </c>
      <c r="AF852">
        <v>28.661999999999999</v>
      </c>
      <c r="AG852">
        <v>81.254999999999995</v>
      </c>
      <c r="AH852">
        <v>71.108000000000004</v>
      </c>
      <c r="AI852">
        <v>15.473000000000001</v>
      </c>
      <c r="AJ852">
        <v>59.564999999999998</v>
      </c>
      <c r="AK852">
        <v>18.701000000000001</v>
      </c>
      <c r="AL852">
        <v>-7.6420000000000003</v>
      </c>
      <c r="AM852">
        <v>71.108000000000004</v>
      </c>
      <c r="AN852">
        <v>81.254999999999995</v>
      </c>
      <c r="AO852">
        <v>28.661999999999999</v>
      </c>
      <c r="AP852">
        <v>7.6420000000000003</v>
      </c>
      <c r="AQ852">
        <v>40.435000000000002</v>
      </c>
      <c r="AR852">
        <v>84.527000000000001</v>
      </c>
      <c r="AS852">
        <v>81.299000000000007</v>
      </c>
    </row>
    <row r="853" spans="1:45" x14ac:dyDescent="0.25">
      <c r="A853">
        <v>51</v>
      </c>
      <c r="B853">
        <v>-23</v>
      </c>
      <c r="C853">
        <v>0</v>
      </c>
      <c r="D853">
        <v>2021</v>
      </c>
      <c r="E853">
        <v>6</v>
      </c>
      <c r="F853" t="str">
        <f>IFERROR(VLOOKUP(G853, Map!$A$1:$B$33, 2, FALSE),"WAS")</f>
        <v>CLE</v>
      </c>
      <c r="G853" t="s">
        <v>162</v>
      </c>
      <c r="H853" t="str">
        <f>IFERROR(VLOOKUP(I853, Map!$A$1:$B$33, 2, FALSE),"WAS")</f>
        <v>ARI</v>
      </c>
      <c r="I853" t="s">
        <v>156</v>
      </c>
      <c r="J853" t="s">
        <v>171</v>
      </c>
      <c r="K853" t="s">
        <v>190</v>
      </c>
      <c r="L853">
        <v>0</v>
      </c>
      <c r="M853">
        <v>0</v>
      </c>
      <c r="N853">
        <v>45.764705882352899</v>
      </c>
      <c r="O853">
        <v>-1.76470588235294</v>
      </c>
      <c r="P853">
        <v>-2.5</v>
      </c>
      <c r="Q853">
        <v>48</v>
      </c>
      <c r="R853">
        <v>12.5</v>
      </c>
      <c r="S853">
        <v>14.1</v>
      </c>
      <c r="T853">
        <v>10.7</v>
      </c>
      <c r="U853">
        <v>7.6</v>
      </c>
      <c r="V853">
        <v>4.5999999999999996</v>
      </c>
      <c r="W853">
        <v>0</v>
      </c>
      <c r="X853">
        <v>14</v>
      </c>
      <c r="Y853">
        <v>4.5999999999999996</v>
      </c>
      <c r="Z853">
        <v>35.700000000000003</v>
      </c>
      <c r="AA853">
        <v>56.5</v>
      </c>
      <c r="AB853">
        <v>285</v>
      </c>
      <c r="AC853">
        <v>65</v>
      </c>
      <c r="AD853">
        <v>45.8</v>
      </c>
      <c r="AE853">
        <v>26.8</v>
      </c>
      <c r="AF853">
        <v>51.884999999999998</v>
      </c>
      <c r="AG853">
        <v>65.772000000000006</v>
      </c>
      <c r="AH853">
        <v>47.731999999999999</v>
      </c>
      <c r="AI853">
        <v>22.202999999999999</v>
      </c>
      <c r="AJ853">
        <v>6.89</v>
      </c>
      <c r="AK853">
        <v>7.4050000000000002</v>
      </c>
      <c r="AL853">
        <v>0.71099999999999997</v>
      </c>
      <c r="AM853">
        <v>47.731999999999999</v>
      </c>
      <c r="AN853">
        <v>65.772000000000006</v>
      </c>
      <c r="AO853">
        <v>51.884999999999998</v>
      </c>
      <c r="AP853">
        <v>-0.71099999999999997</v>
      </c>
      <c r="AQ853">
        <v>93.11</v>
      </c>
      <c r="AR853">
        <v>77.796999999999997</v>
      </c>
      <c r="AS853">
        <v>92.594999999999999</v>
      </c>
    </row>
    <row r="854" spans="1:45" x14ac:dyDescent="0.25">
      <c r="A854">
        <v>43</v>
      </c>
      <c r="B854">
        <v>3</v>
      </c>
      <c r="C854">
        <v>1</v>
      </c>
      <c r="D854">
        <v>2021</v>
      </c>
      <c r="E854">
        <v>6</v>
      </c>
      <c r="F854" t="str">
        <f>IFERROR(VLOOKUP(G854, Map!$A$1:$B$33, 2, FALSE),"WAS")</f>
        <v>PIT</v>
      </c>
      <c r="G854" t="s">
        <v>145</v>
      </c>
      <c r="H854" t="str">
        <f>IFERROR(VLOOKUP(I854, Map!$A$1:$B$33, 2, FALSE),"WAS")</f>
        <v>SEA</v>
      </c>
      <c r="I854" t="s">
        <v>144</v>
      </c>
      <c r="J854" t="s">
        <v>170</v>
      </c>
      <c r="K854" t="s">
        <v>182</v>
      </c>
      <c r="L854">
        <v>1</v>
      </c>
      <c r="M854">
        <v>0</v>
      </c>
      <c r="N854">
        <v>40.588235294117602</v>
      </c>
      <c r="O854">
        <v>-4.8235294117647101</v>
      </c>
      <c r="P854">
        <v>-2.5</v>
      </c>
      <c r="Q854">
        <v>42.5</v>
      </c>
      <c r="R854">
        <v>11.7</v>
      </c>
      <c r="S854">
        <v>16.3</v>
      </c>
      <c r="T854">
        <v>7.7</v>
      </c>
      <c r="U854">
        <v>8.1999999999999993</v>
      </c>
      <c r="V854">
        <v>0</v>
      </c>
      <c r="W854">
        <v>0</v>
      </c>
      <c r="X854">
        <v>0</v>
      </c>
      <c r="Y854">
        <v>0</v>
      </c>
      <c r="Z854">
        <v>20.8</v>
      </c>
      <c r="AA854">
        <v>43.2</v>
      </c>
      <c r="AB854">
        <v>282</v>
      </c>
      <c r="AC854">
        <v>61</v>
      </c>
      <c r="AD854">
        <v>30.5</v>
      </c>
      <c r="AE854">
        <v>14.4</v>
      </c>
      <c r="AF854">
        <v>59.335000000000001</v>
      </c>
      <c r="AG854">
        <v>43.198999999999998</v>
      </c>
      <c r="AH854">
        <v>40.341000000000001</v>
      </c>
      <c r="AI854">
        <v>69.135999999999996</v>
      </c>
      <c r="AJ854">
        <v>38.920999999999999</v>
      </c>
      <c r="AK854">
        <v>57.433999999999997</v>
      </c>
      <c r="AL854">
        <v>3.28</v>
      </c>
      <c r="AM854">
        <v>40.341000000000001</v>
      </c>
      <c r="AN854">
        <v>43.198999999999998</v>
      </c>
      <c r="AO854">
        <v>59.335000000000001</v>
      </c>
      <c r="AP854">
        <v>-3.28</v>
      </c>
      <c r="AQ854">
        <v>61.079000000000001</v>
      </c>
      <c r="AR854">
        <v>30.864000000000001</v>
      </c>
      <c r="AS854">
        <v>42.566000000000003</v>
      </c>
    </row>
    <row r="855" spans="1:45" x14ac:dyDescent="0.25">
      <c r="A855">
        <v>49</v>
      </c>
      <c r="B855">
        <v>-27</v>
      </c>
      <c r="C855">
        <v>0</v>
      </c>
      <c r="D855">
        <v>2021</v>
      </c>
      <c r="E855">
        <v>6</v>
      </c>
      <c r="F855" t="str">
        <f>IFERROR(VLOOKUP(G855, Map!$A$1:$B$33, 2, FALSE),"WAS")</f>
        <v>NYG</v>
      </c>
      <c r="G855" t="s">
        <v>149</v>
      </c>
      <c r="H855" t="str">
        <f>IFERROR(VLOOKUP(I855, Map!$A$1:$B$33, 2, FALSE),"WAS")</f>
        <v>LA</v>
      </c>
      <c r="I855" t="s">
        <v>155</v>
      </c>
      <c r="J855" t="s">
        <v>219</v>
      </c>
      <c r="K855" t="s">
        <v>178</v>
      </c>
      <c r="L855">
        <v>0</v>
      </c>
      <c r="M855">
        <v>0</v>
      </c>
      <c r="N855">
        <v>45.941176470588204</v>
      </c>
      <c r="O855">
        <v>8.5588235294117592</v>
      </c>
      <c r="P855">
        <v>7.5</v>
      </c>
      <c r="Q855">
        <v>47.5</v>
      </c>
      <c r="R855">
        <v>14.3</v>
      </c>
      <c r="S855">
        <v>18.7</v>
      </c>
      <c r="T855">
        <v>10.7</v>
      </c>
      <c r="U855">
        <v>11.6</v>
      </c>
      <c r="V855">
        <v>13</v>
      </c>
      <c r="W855">
        <v>0</v>
      </c>
      <c r="X855">
        <v>4</v>
      </c>
      <c r="Y855">
        <v>13</v>
      </c>
      <c r="Z855">
        <v>20.9</v>
      </c>
      <c r="AA855">
        <v>44.3</v>
      </c>
      <c r="AB855">
        <v>296</v>
      </c>
      <c r="AC855">
        <v>70</v>
      </c>
      <c r="AD855">
        <v>34.5</v>
      </c>
      <c r="AE855">
        <v>16.600000000000001</v>
      </c>
      <c r="AF855">
        <v>33.973999999999997</v>
      </c>
      <c r="AG855">
        <v>51.7</v>
      </c>
      <c r="AH855">
        <v>65.753</v>
      </c>
      <c r="AI855">
        <v>24.364000000000001</v>
      </c>
      <c r="AJ855">
        <v>3.7719999999999998</v>
      </c>
      <c r="AK855">
        <v>4.875</v>
      </c>
      <c r="AL855">
        <v>-5.5880000000000001</v>
      </c>
      <c r="AM855">
        <v>65.753</v>
      </c>
      <c r="AN855">
        <v>51.7</v>
      </c>
      <c r="AO855">
        <v>33.973999999999997</v>
      </c>
      <c r="AP855">
        <v>5.5880000000000001</v>
      </c>
      <c r="AQ855">
        <v>96.227999999999994</v>
      </c>
      <c r="AR855">
        <v>75.635999999999996</v>
      </c>
      <c r="AS855">
        <v>95.125</v>
      </c>
    </row>
    <row r="856" spans="1:45" x14ac:dyDescent="0.25">
      <c r="A856">
        <v>40</v>
      </c>
      <c r="B856">
        <v>28</v>
      </c>
      <c r="C856">
        <v>1</v>
      </c>
      <c r="D856">
        <v>2021</v>
      </c>
      <c r="E856">
        <v>6</v>
      </c>
      <c r="F856" t="str">
        <f>IFERROR(VLOOKUP(G856, Map!$A$1:$B$33, 2, FALSE),"WAS")</f>
        <v>BAL</v>
      </c>
      <c r="G856" t="s">
        <v>146</v>
      </c>
      <c r="H856" t="str">
        <f>IFERROR(VLOOKUP(I856, Map!$A$1:$B$33, 2, FALSE),"WAS")</f>
        <v>LAC</v>
      </c>
      <c r="I856" t="s">
        <v>160</v>
      </c>
      <c r="J856" t="s">
        <v>181</v>
      </c>
      <c r="K856" t="s">
        <v>210</v>
      </c>
      <c r="L856">
        <v>1</v>
      </c>
      <c r="M856">
        <v>0</v>
      </c>
      <c r="N856">
        <v>47.411764705882298</v>
      </c>
      <c r="O856">
        <v>-4.2647058823529402</v>
      </c>
      <c r="P856">
        <v>-2.5</v>
      </c>
      <c r="Q856">
        <v>41.5</v>
      </c>
      <c r="R856">
        <v>14</v>
      </c>
      <c r="S856">
        <v>17.399999999999999</v>
      </c>
      <c r="T856">
        <v>11</v>
      </c>
      <c r="U856">
        <v>10.9</v>
      </c>
      <c r="V856">
        <v>0</v>
      </c>
      <c r="W856">
        <v>0</v>
      </c>
      <c r="X856">
        <v>0</v>
      </c>
      <c r="Y856">
        <v>0</v>
      </c>
      <c r="Z856">
        <v>25.6</v>
      </c>
      <c r="AA856">
        <v>46.4</v>
      </c>
      <c r="AB856">
        <v>294</v>
      </c>
      <c r="AC856">
        <v>67</v>
      </c>
      <c r="AD856">
        <v>32.5</v>
      </c>
      <c r="AE856">
        <v>18</v>
      </c>
      <c r="AF856">
        <v>58.719000000000001</v>
      </c>
      <c r="AG856">
        <v>59.825000000000003</v>
      </c>
      <c r="AH856">
        <v>40.951999999999998</v>
      </c>
      <c r="AI856">
        <v>94.936999999999998</v>
      </c>
      <c r="AJ856">
        <v>72.402000000000001</v>
      </c>
      <c r="AK856">
        <v>96.468000000000004</v>
      </c>
      <c r="AL856">
        <v>3.0649999999999999</v>
      </c>
      <c r="AM856">
        <v>40.951999999999998</v>
      </c>
      <c r="AN856">
        <v>59.825000000000003</v>
      </c>
      <c r="AO856">
        <v>58.719000000000001</v>
      </c>
      <c r="AP856">
        <v>-3.0649999999999999</v>
      </c>
      <c r="AQ856">
        <v>27.597999999999999</v>
      </c>
      <c r="AR856">
        <v>5.0629999999999997</v>
      </c>
      <c r="AS856">
        <v>3.532</v>
      </c>
    </row>
    <row r="857" spans="1:45" x14ac:dyDescent="0.25">
      <c r="A857">
        <v>62</v>
      </c>
      <c r="B857">
        <v>-6</v>
      </c>
      <c r="C857">
        <v>0</v>
      </c>
      <c r="D857">
        <v>2021</v>
      </c>
      <c r="E857">
        <v>6</v>
      </c>
      <c r="F857" t="str">
        <f>IFERROR(VLOOKUP(G857, Map!$A$1:$B$33, 2, FALSE),"WAS")</f>
        <v>CAR</v>
      </c>
      <c r="G857" t="s">
        <v>142</v>
      </c>
      <c r="H857" t="str">
        <f>IFERROR(VLOOKUP(I857, Map!$A$1:$B$33, 2, FALSE),"WAS")</f>
        <v>MIN</v>
      </c>
      <c r="I857" t="s">
        <v>153</v>
      </c>
      <c r="J857" t="s">
        <v>185</v>
      </c>
      <c r="K857" t="s">
        <v>214</v>
      </c>
      <c r="L857">
        <v>0</v>
      </c>
      <c r="M857">
        <v>0</v>
      </c>
      <c r="N857">
        <v>43.794117647058798</v>
      </c>
      <c r="O857">
        <v>2.3235294117647101</v>
      </c>
      <c r="P857">
        <v>2</v>
      </c>
      <c r="Q857">
        <v>45</v>
      </c>
      <c r="R857">
        <v>14.4</v>
      </c>
      <c r="S857">
        <v>19.5</v>
      </c>
      <c r="T857">
        <v>8</v>
      </c>
      <c r="U857">
        <v>11.3</v>
      </c>
      <c r="V857">
        <v>0</v>
      </c>
      <c r="W857">
        <v>0</v>
      </c>
      <c r="X857">
        <v>0</v>
      </c>
      <c r="Y857">
        <v>0</v>
      </c>
      <c r="Z857">
        <v>17.3</v>
      </c>
      <c r="AA857">
        <v>32.4</v>
      </c>
      <c r="AB857">
        <v>332</v>
      </c>
      <c r="AC857">
        <v>50</v>
      </c>
      <c r="AD857">
        <v>24.1</v>
      </c>
      <c r="AE857">
        <v>12.1</v>
      </c>
      <c r="AF857">
        <v>54.35</v>
      </c>
      <c r="AG857">
        <v>35.692</v>
      </c>
      <c r="AH857">
        <v>45.286000000000001</v>
      </c>
      <c r="AI857">
        <v>32.585999999999999</v>
      </c>
      <c r="AJ857">
        <v>18.161000000000001</v>
      </c>
      <c r="AK857">
        <v>31.425000000000001</v>
      </c>
      <c r="AL857">
        <v>1.554</v>
      </c>
      <c r="AM857">
        <v>45.286000000000001</v>
      </c>
      <c r="AN857">
        <v>35.692</v>
      </c>
      <c r="AO857">
        <v>54.35</v>
      </c>
      <c r="AP857">
        <v>-1.554</v>
      </c>
      <c r="AQ857">
        <v>81.838999999999999</v>
      </c>
      <c r="AR857">
        <v>67.414000000000001</v>
      </c>
      <c r="AS857">
        <v>68.575000000000003</v>
      </c>
    </row>
    <row r="858" spans="1:45" x14ac:dyDescent="0.25">
      <c r="A858">
        <v>34</v>
      </c>
      <c r="B858">
        <v>28</v>
      </c>
      <c r="C858">
        <v>1</v>
      </c>
      <c r="D858">
        <v>2021</v>
      </c>
      <c r="E858">
        <v>6</v>
      </c>
      <c r="F858" t="str">
        <f>IFERROR(VLOOKUP(G858, Map!$A$1:$B$33, 2, FALSE),"WAS")</f>
        <v>IND</v>
      </c>
      <c r="G858" t="s">
        <v>138</v>
      </c>
      <c r="H858" t="str">
        <f>IFERROR(VLOOKUP(I858, Map!$A$1:$B$33, 2, FALSE),"WAS")</f>
        <v>HOU</v>
      </c>
      <c r="I858" t="s">
        <v>137</v>
      </c>
      <c r="J858" t="s">
        <v>177</v>
      </c>
      <c r="K858" t="s">
        <v>209</v>
      </c>
      <c r="L858">
        <v>1</v>
      </c>
      <c r="M858">
        <v>0</v>
      </c>
      <c r="N858">
        <v>41.705882352941202</v>
      </c>
      <c r="O858">
        <v>-11.294117647058799</v>
      </c>
      <c r="P858">
        <v>-8.5</v>
      </c>
      <c r="Q858">
        <v>36.5</v>
      </c>
      <c r="R858">
        <v>11.2</v>
      </c>
      <c r="S858">
        <v>17.600000000000001</v>
      </c>
      <c r="T858">
        <v>6.2</v>
      </c>
      <c r="U858">
        <v>8</v>
      </c>
      <c r="V858">
        <v>0</v>
      </c>
      <c r="W858">
        <v>0</v>
      </c>
      <c r="X858">
        <v>0</v>
      </c>
      <c r="Y858">
        <v>0</v>
      </c>
      <c r="Z858">
        <v>17.8</v>
      </c>
      <c r="AA858">
        <v>34.9</v>
      </c>
      <c r="AB858">
        <v>275</v>
      </c>
      <c r="AC858">
        <v>60</v>
      </c>
      <c r="AD858">
        <v>23.2</v>
      </c>
      <c r="AE858">
        <v>11.7</v>
      </c>
      <c r="AF858">
        <v>71.337000000000003</v>
      </c>
      <c r="AG858">
        <v>42.768000000000001</v>
      </c>
      <c r="AH858">
        <v>28.434000000000001</v>
      </c>
      <c r="AI858">
        <v>85.201999999999998</v>
      </c>
      <c r="AJ858">
        <v>89.988</v>
      </c>
      <c r="AK858">
        <v>93.772000000000006</v>
      </c>
      <c r="AL858">
        <v>7.7329999999999997</v>
      </c>
      <c r="AM858">
        <v>28.434000000000001</v>
      </c>
      <c r="AN858">
        <v>42.768000000000001</v>
      </c>
      <c r="AO858">
        <v>71.337000000000003</v>
      </c>
      <c r="AP858">
        <v>-7.7329999999999997</v>
      </c>
      <c r="AQ858">
        <v>10.012</v>
      </c>
      <c r="AR858">
        <v>14.798</v>
      </c>
      <c r="AS858">
        <v>6.2279999999999998</v>
      </c>
    </row>
    <row r="859" spans="1:45" x14ac:dyDescent="0.25">
      <c r="A859">
        <v>45</v>
      </c>
      <c r="B859">
        <v>-23</v>
      </c>
      <c r="C859">
        <v>0</v>
      </c>
      <c r="D859">
        <v>2021</v>
      </c>
      <c r="E859">
        <v>6</v>
      </c>
      <c r="F859" t="str">
        <f>IFERROR(VLOOKUP(G859, Map!$A$1:$B$33, 2, FALSE),"WAS")</f>
        <v>DET</v>
      </c>
      <c r="G859" t="s">
        <v>164</v>
      </c>
      <c r="H859" t="str">
        <f>IFERROR(VLOOKUP(I859, Map!$A$1:$B$33, 2, FALSE),"WAS")</f>
        <v>CIN</v>
      </c>
      <c r="I859" t="s">
        <v>161</v>
      </c>
      <c r="J859" t="s">
        <v>173</v>
      </c>
      <c r="K859" t="s">
        <v>176</v>
      </c>
      <c r="L859">
        <v>0</v>
      </c>
      <c r="M859">
        <v>0</v>
      </c>
      <c r="N859">
        <v>43.411764705882298</v>
      </c>
      <c r="O859">
        <v>4.8823529411764701</v>
      </c>
      <c r="P859">
        <v>3.5</v>
      </c>
      <c r="Q859">
        <v>39.5</v>
      </c>
      <c r="R859">
        <v>12</v>
      </c>
      <c r="S859">
        <v>16</v>
      </c>
      <c r="T859">
        <v>8.1</v>
      </c>
      <c r="U859">
        <v>7.6</v>
      </c>
      <c r="V859">
        <v>0.1</v>
      </c>
      <c r="W859">
        <v>0</v>
      </c>
      <c r="X859">
        <v>1</v>
      </c>
      <c r="Y859">
        <v>0.1</v>
      </c>
      <c r="Z859">
        <v>27</v>
      </c>
      <c r="AA859">
        <v>46.1</v>
      </c>
      <c r="AB859">
        <v>281</v>
      </c>
      <c r="AC859">
        <v>56</v>
      </c>
      <c r="AD859">
        <v>32.799999999999997</v>
      </c>
      <c r="AE859">
        <v>19.5</v>
      </c>
      <c r="AF859">
        <v>43.475000000000001</v>
      </c>
      <c r="AG859">
        <v>32.534999999999997</v>
      </c>
      <c r="AH859">
        <v>56.176000000000002</v>
      </c>
      <c r="AI859">
        <v>30.422999999999998</v>
      </c>
      <c r="AJ859">
        <v>5.976</v>
      </c>
      <c r="AK859">
        <v>7.2560000000000002</v>
      </c>
      <c r="AL859">
        <v>-2.1819999999999999</v>
      </c>
      <c r="AM859">
        <v>56.176000000000002</v>
      </c>
      <c r="AN859">
        <v>32.534999999999997</v>
      </c>
      <c r="AO859">
        <v>43.475000000000001</v>
      </c>
      <c r="AP859">
        <v>2.1819999999999999</v>
      </c>
      <c r="AQ859">
        <v>94.024000000000001</v>
      </c>
      <c r="AR859">
        <v>69.576999999999998</v>
      </c>
      <c r="AS859">
        <v>92.744</v>
      </c>
    </row>
    <row r="860" spans="1:45" x14ac:dyDescent="0.25">
      <c r="A860">
        <v>65</v>
      </c>
      <c r="B860">
        <v>3</v>
      </c>
      <c r="C860">
        <v>1</v>
      </c>
      <c r="D860">
        <v>2021</v>
      </c>
      <c r="E860">
        <v>6</v>
      </c>
      <c r="F860" t="str">
        <f>IFERROR(VLOOKUP(G860, Map!$A$1:$B$33, 2, FALSE),"WAS")</f>
        <v>TEN</v>
      </c>
      <c r="G860" t="s">
        <v>140</v>
      </c>
      <c r="H860" t="str">
        <f>IFERROR(VLOOKUP(I860, Map!$A$1:$B$33, 2, FALSE),"WAS")</f>
        <v>BUF</v>
      </c>
      <c r="I860" t="s">
        <v>165</v>
      </c>
      <c r="J860" t="s">
        <v>174</v>
      </c>
      <c r="K860" t="s">
        <v>180</v>
      </c>
      <c r="L860">
        <v>1</v>
      </c>
      <c r="M860">
        <v>0</v>
      </c>
      <c r="N860">
        <v>51.264705882352899</v>
      </c>
      <c r="O860">
        <v>5.1176470588235299</v>
      </c>
      <c r="P860">
        <v>-2.5</v>
      </c>
      <c r="Q860">
        <v>53</v>
      </c>
      <c r="R860">
        <v>16</v>
      </c>
      <c r="S860">
        <v>22.3</v>
      </c>
      <c r="T860">
        <v>9.3000000000000007</v>
      </c>
      <c r="U860">
        <v>15.5</v>
      </c>
      <c r="V860">
        <v>0</v>
      </c>
      <c r="W860">
        <v>0</v>
      </c>
      <c r="X860">
        <v>0</v>
      </c>
      <c r="Y860">
        <v>0</v>
      </c>
      <c r="Z860">
        <v>10.3</v>
      </c>
      <c r="AA860">
        <v>14.8</v>
      </c>
      <c r="AB860">
        <v>140</v>
      </c>
      <c r="AC860">
        <v>72</v>
      </c>
      <c r="AD860">
        <v>9.6999999999999993</v>
      </c>
      <c r="AE860">
        <v>4.9000000000000004</v>
      </c>
      <c r="AF860">
        <v>28.135999999999999</v>
      </c>
      <c r="AG860">
        <v>86.655000000000001</v>
      </c>
      <c r="AH860">
        <v>71.638000000000005</v>
      </c>
      <c r="AI860">
        <v>33.384999999999998</v>
      </c>
      <c r="AJ860">
        <v>81.649000000000001</v>
      </c>
      <c r="AK860">
        <v>57.351999999999997</v>
      </c>
      <c r="AL860">
        <v>-7.8540000000000001</v>
      </c>
      <c r="AM860">
        <v>71.638000000000005</v>
      </c>
      <c r="AN860">
        <v>86.655000000000001</v>
      </c>
      <c r="AO860">
        <v>28.135999999999999</v>
      </c>
      <c r="AP860">
        <v>7.8540000000000001</v>
      </c>
      <c r="AQ860">
        <v>18.350999999999999</v>
      </c>
      <c r="AR860">
        <v>66.614999999999995</v>
      </c>
      <c r="AS860">
        <v>42.648000000000003</v>
      </c>
    </row>
    <row r="861" spans="1:45" x14ac:dyDescent="0.25">
      <c r="A861">
        <v>58</v>
      </c>
      <c r="B861">
        <v>-10</v>
      </c>
      <c r="C861">
        <v>0</v>
      </c>
      <c r="D861">
        <v>2021</v>
      </c>
      <c r="E861">
        <v>6</v>
      </c>
      <c r="F861" t="str">
        <f>IFERROR(VLOOKUP(G861, Map!$A$1:$B$33, 2, FALSE),"WAS")</f>
        <v>DEN</v>
      </c>
      <c r="G861" t="s">
        <v>159</v>
      </c>
      <c r="H861" t="str">
        <f>IFERROR(VLOOKUP(I861, Map!$A$1:$B$33, 2, FALSE),"WAS")</f>
        <v>LV</v>
      </c>
      <c r="I861" t="s">
        <v>157</v>
      </c>
      <c r="J861" t="s">
        <v>183</v>
      </c>
      <c r="K861" t="s">
        <v>179</v>
      </c>
      <c r="L861">
        <v>0</v>
      </c>
      <c r="M861">
        <v>0</v>
      </c>
      <c r="N861">
        <v>45.65625</v>
      </c>
      <c r="O861">
        <v>-3.53125</v>
      </c>
      <c r="P861">
        <v>-3.5</v>
      </c>
      <c r="Q861">
        <v>44.5</v>
      </c>
      <c r="R861">
        <v>9.8000000000000007</v>
      </c>
      <c r="S861">
        <v>21.9</v>
      </c>
      <c r="T861">
        <v>0.1</v>
      </c>
      <c r="U861">
        <v>6.4</v>
      </c>
      <c r="V861">
        <v>0</v>
      </c>
      <c r="W861">
        <v>0</v>
      </c>
      <c r="X861">
        <v>0</v>
      </c>
      <c r="Y861">
        <v>0</v>
      </c>
      <c r="Z861">
        <v>13.2</v>
      </c>
      <c r="AA861">
        <v>25.9</v>
      </c>
      <c r="AB861">
        <v>332</v>
      </c>
      <c r="AC861">
        <v>49</v>
      </c>
      <c r="AD861">
        <v>13.4</v>
      </c>
      <c r="AE861">
        <v>7</v>
      </c>
      <c r="AF861">
        <v>62.741</v>
      </c>
      <c r="AG861">
        <v>44.024000000000001</v>
      </c>
      <c r="AH861">
        <v>36.962000000000003</v>
      </c>
      <c r="AI861">
        <v>8.5589999999999993</v>
      </c>
      <c r="AJ861">
        <v>34.244999999999997</v>
      </c>
      <c r="AK861">
        <v>15.295</v>
      </c>
      <c r="AL861">
        <v>4.4889999999999999</v>
      </c>
      <c r="AM861">
        <v>36.962000000000003</v>
      </c>
      <c r="AN861">
        <v>44.024000000000001</v>
      </c>
      <c r="AO861">
        <v>62.741</v>
      </c>
      <c r="AP861">
        <v>-4.4889999999999999</v>
      </c>
      <c r="AQ861">
        <v>65.754999999999995</v>
      </c>
      <c r="AR861">
        <v>91.441000000000003</v>
      </c>
      <c r="AS861">
        <v>84.704999999999998</v>
      </c>
    </row>
    <row r="862" spans="1:45" x14ac:dyDescent="0.25">
      <c r="A862">
        <v>38</v>
      </c>
      <c r="B862">
        <v>-10</v>
      </c>
      <c r="C862">
        <v>0</v>
      </c>
      <c r="D862">
        <v>2021</v>
      </c>
      <c r="E862">
        <v>6</v>
      </c>
      <c r="F862" t="str">
        <f>IFERROR(VLOOKUP(G862, Map!$A$1:$B$33, 2, FALSE),"WAS")</f>
        <v>CHI</v>
      </c>
      <c r="G862" t="s">
        <v>163</v>
      </c>
      <c r="H862" t="str">
        <f>IFERROR(VLOOKUP(I862, Map!$A$1:$B$33, 2, FALSE),"WAS")</f>
        <v>GB</v>
      </c>
      <c r="I862" t="s">
        <v>154</v>
      </c>
      <c r="J862" t="s">
        <v>216</v>
      </c>
      <c r="K862" t="s">
        <v>200</v>
      </c>
      <c r="L862">
        <v>0</v>
      </c>
      <c r="M862">
        <v>0</v>
      </c>
      <c r="N862">
        <v>41.411764705882298</v>
      </c>
      <c r="O862">
        <v>5.2352941176470598</v>
      </c>
      <c r="P862">
        <v>4.5</v>
      </c>
      <c r="Q862">
        <v>43.5</v>
      </c>
      <c r="R862">
        <v>11.4</v>
      </c>
      <c r="S862">
        <v>17.399999999999999</v>
      </c>
      <c r="T862">
        <v>6.8</v>
      </c>
      <c r="U862">
        <v>7.5</v>
      </c>
      <c r="V862">
        <v>0</v>
      </c>
      <c r="W862">
        <v>0</v>
      </c>
      <c r="X862">
        <v>0</v>
      </c>
      <c r="Y862">
        <v>0</v>
      </c>
      <c r="Z862">
        <v>22</v>
      </c>
      <c r="AA862">
        <v>33.799999999999997</v>
      </c>
      <c r="AB862">
        <v>276</v>
      </c>
      <c r="AC862">
        <v>59</v>
      </c>
      <c r="AD862">
        <v>25.9</v>
      </c>
      <c r="AE862">
        <v>17</v>
      </c>
      <c r="AF862">
        <v>40.701000000000001</v>
      </c>
      <c r="AG862">
        <v>53.015000000000001</v>
      </c>
      <c r="AH862">
        <v>58.972999999999999</v>
      </c>
      <c r="AI862">
        <v>15.95</v>
      </c>
      <c r="AJ862">
        <v>53.715000000000003</v>
      </c>
      <c r="AK862">
        <v>23.934000000000001</v>
      </c>
      <c r="AL862">
        <v>-3.153</v>
      </c>
      <c r="AM862">
        <v>58.972999999999999</v>
      </c>
      <c r="AN862">
        <v>53.015000000000001</v>
      </c>
      <c r="AO862">
        <v>40.701000000000001</v>
      </c>
      <c r="AP862">
        <v>3.153</v>
      </c>
      <c r="AQ862">
        <v>46.284999999999997</v>
      </c>
      <c r="AR862">
        <v>84.05</v>
      </c>
      <c r="AS862">
        <v>76.066000000000003</v>
      </c>
    </row>
    <row r="863" spans="1:45" x14ac:dyDescent="0.25">
      <c r="A863">
        <v>43</v>
      </c>
      <c r="B863">
        <v>3</v>
      </c>
      <c r="C863">
        <v>1</v>
      </c>
      <c r="D863">
        <v>2021</v>
      </c>
      <c r="E863">
        <v>6</v>
      </c>
      <c r="F863" t="str">
        <f>IFERROR(VLOOKUP(G863, Map!$A$1:$B$33, 2, FALSE),"WAS")</f>
        <v>JAX</v>
      </c>
      <c r="G863" t="s">
        <v>139</v>
      </c>
      <c r="H863" t="str">
        <f>IFERROR(VLOOKUP(I863, Map!$A$1:$B$33, 2, FALSE),"WAS")</f>
        <v>MIA</v>
      </c>
      <c r="I863" t="s">
        <v>152</v>
      </c>
      <c r="J863" t="s">
        <v>220</v>
      </c>
      <c r="K863" t="s">
        <v>175</v>
      </c>
      <c r="L863">
        <v>1</v>
      </c>
      <c r="M863">
        <v>0</v>
      </c>
      <c r="N863">
        <v>44.205882352941202</v>
      </c>
      <c r="O863">
        <v>1.4411764705882399</v>
      </c>
      <c r="P863">
        <v>1.5</v>
      </c>
      <c r="Q863">
        <v>45.5</v>
      </c>
      <c r="R863">
        <v>12.4</v>
      </c>
      <c r="S863">
        <v>15.9</v>
      </c>
      <c r="T863">
        <v>8.1999999999999993</v>
      </c>
      <c r="U863">
        <v>11</v>
      </c>
      <c r="V863">
        <v>1.2</v>
      </c>
      <c r="W863">
        <v>0</v>
      </c>
      <c r="X863">
        <v>2</v>
      </c>
      <c r="Y863">
        <v>1.2</v>
      </c>
      <c r="Z863">
        <v>16.899999999999999</v>
      </c>
      <c r="AA863">
        <v>28.1</v>
      </c>
      <c r="AB863">
        <v>194</v>
      </c>
      <c r="AC863">
        <v>91</v>
      </c>
      <c r="AD863">
        <v>19.7</v>
      </c>
      <c r="AE863">
        <v>12</v>
      </c>
      <c r="AF863">
        <v>38.713000000000001</v>
      </c>
      <c r="AG863">
        <v>20.289000000000001</v>
      </c>
      <c r="AH863">
        <v>60.975999999999999</v>
      </c>
      <c r="AI863">
        <v>50.2</v>
      </c>
      <c r="AJ863">
        <v>47.756999999999998</v>
      </c>
      <c r="AK863">
        <v>54.531999999999996</v>
      </c>
      <c r="AL863">
        <v>-3.859</v>
      </c>
      <c r="AM863">
        <v>60.975999999999999</v>
      </c>
      <c r="AN863">
        <v>20.289000000000001</v>
      </c>
      <c r="AO863">
        <v>38.713000000000001</v>
      </c>
      <c r="AP863">
        <v>3.859</v>
      </c>
      <c r="AQ863">
        <v>52.243000000000002</v>
      </c>
      <c r="AR863">
        <v>49.8</v>
      </c>
      <c r="AS863">
        <v>45.468000000000004</v>
      </c>
    </row>
    <row r="864" spans="1:45" x14ac:dyDescent="0.25">
      <c r="A864">
        <v>55</v>
      </c>
      <c r="B864">
        <v>11</v>
      </c>
      <c r="C864">
        <v>1</v>
      </c>
      <c r="D864">
        <v>2021</v>
      </c>
      <c r="E864">
        <v>7</v>
      </c>
      <c r="F864" t="str">
        <f>IFERROR(VLOOKUP(G864, Map!$A$1:$B$33, 2, FALSE),"WAS")</f>
        <v>LV</v>
      </c>
      <c r="G864" t="s">
        <v>157</v>
      </c>
      <c r="H864" t="str">
        <f>IFERROR(VLOOKUP(I864, Map!$A$1:$B$33, 2, FALSE),"WAS")</f>
        <v>PHI</v>
      </c>
      <c r="I864" t="s">
        <v>147</v>
      </c>
      <c r="J864" t="s">
        <v>179</v>
      </c>
      <c r="K864" t="s">
        <v>206</v>
      </c>
      <c r="L864">
        <v>1</v>
      </c>
      <c r="M864">
        <v>0</v>
      </c>
      <c r="N864">
        <v>48.46875</v>
      </c>
      <c r="O864">
        <v>-2.15625</v>
      </c>
      <c r="P864">
        <v>0</v>
      </c>
      <c r="Q864">
        <v>48</v>
      </c>
      <c r="R864">
        <v>20.3</v>
      </c>
      <c r="S864">
        <v>26.8</v>
      </c>
      <c r="T864">
        <v>13.8</v>
      </c>
      <c r="U864">
        <v>16.899999999999999</v>
      </c>
      <c r="V864">
        <v>0</v>
      </c>
      <c r="W864">
        <v>0</v>
      </c>
      <c r="X864">
        <v>0</v>
      </c>
      <c r="Y864">
        <v>0</v>
      </c>
      <c r="Z864">
        <v>30.2</v>
      </c>
      <c r="AA864">
        <v>47.2</v>
      </c>
      <c r="AB864">
        <v>195</v>
      </c>
      <c r="AC864">
        <v>34</v>
      </c>
      <c r="AD864">
        <v>20.6</v>
      </c>
      <c r="AE864">
        <v>12.7</v>
      </c>
      <c r="AF864">
        <v>60.109000000000002</v>
      </c>
      <c r="AG864">
        <v>41.021999999999998</v>
      </c>
      <c r="AH864">
        <v>39.573</v>
      </c>
      <c r="AI864">
        <v>57.036000000000001</v>
      </c>
      <c r="AJ864">
        <v>89.105000000000004</v>
      </c>
      <c r="AK864">
        <v>88.331000000000003</v>
      </c>
      <c r="AL864">
        <v>3.536</v>
      </c>
      <c r="AM864">
        <v>39.573</v>
      </c>
      <c r="AN864">
        <v>41.021999999999998</v>
      </c>
      <c r="AO864">
        <v>60.109000000000002</v>
      </c>
      <c r="AP864">
        <v>-3.536</v>
      </c>
      <c r="AQ864">
        <v>10.895</v>
      </c>
      <c r="AR864">
        <v>42.963999999999999</v>
      </c>
      <c r="AS864">
        <v>11.669</v>
      </c>
    </row>
    <row r="865" spans="1:45" x14ac:dyDescent="0.25">
      <c r="A865">
        <v>31</v>
      </c>
      <c r="B865">
        <v>3</v>
      </c>
      <c r="C865">
        <v>1</v>
      </c>
      <c r="D865">
        <v>2021</v>
      </c>
      <c r="E865">
        <v>7</v>
      </c>
      <c r="F865" t="str">
        <f>IFERROR(VLOOKUP(G865, Map!$A$1:$B$33, 2, FALSE),"WAS")</f>
        <v>CLE</v>
      </c>
      <c r="G865" t="s">
        <v>162</v>
      </c>
      <c r="H865" t="str">
        <f>IFERROR(VLOOKUP(I865, Map!$A$1:$B$33, 2, FALSE),"WAS")</f>
        <v>DEN</v>
      </c>
      <c r="I865" t="s">
        <v>159</v>
      </c>
      <c r="J865" t="s">
        <v>171</v>
      </c>
      <c r="K865" t="s">
        <v>183</v>
      </c>
      <c r="L865">
        <v>1</v>
      </c>
      <c r="M865">
        <v>0</v>
      </c>
      <c r="N865">
        <v>37.5</v>
      </c>
      <c r="O865">
        <v>-1.9117647058823499</v>
      </c>
      <c r="P865">
        <v>-1.5</v>
      </c>
      <c r="Q865">
        <v>33.5</v>
      </c>
      <c r="R865">
        <v>11.4</v>
      </c>
      <c r="S865">
        <v>14</v>
      </c>
      <c r="T865">
        <v>9.5</v>
      </c>
      <c r="U865">
        <v>7.9</v>
      </c>
      <c r="V865">
        <v>3.3</v>
      </c>
      <c r="W865">
        <v>0</v>
      </c>
      <c r="X865">
        <v>14</v>
      </c>
      <c r="Y865">
        <v>3.3</v>
      </c>
      <c r="Z865">
        <v>32.4</v>
      </c>
      <c r="AA865">
        <v>55.8</v>
      </c>
      <c r="AB865">
        <v>297</v>
      </c>
      <c r="AC865">
        <v>75</v>
      </c>
      <c r="AD865">
        <v>32.5</v>
      </c>
      <c r="AE865">
        <v>18.7</v>
      </c>
      <c r="AF865">
        <v>55.268999999999998</v>
      </c>
      <c r="AG865">
        <v>47.671999999999997</v>
      </c>
      <c r="AH865">
        <v>44.374000000000002</v>
      </c>
      <c r="AI865">
        <v>43.625</v>
      </c>
      <c r="AJ865">
        <v>73.478999999999999</v>
      </c>
      <c r="AK865">
        <v>65.322999999999993</v>
      </c>
      <c r="AL865">
        <v>1.861</v>
      </c>
      <c r="AM865">
        <v>44.374000000000002</v>
      </c>
      <c r="AN865">
        <v>47.671999999999997</v>
      </c>
      <c r="AO865">
        <v>55.268999999999998</v>
      </c>
      <c r="AP865">
        <v>-1.861</v>
      </c>
      <c r="AQ865">
        <v>26.521000000000001</v>
      </c>
      <c r="AR865">
        <v>56.375</v>
      </c>
      <c r="AS865">
        <v>34.677</v>
      </c>
    </row>
    <row r="866" spans="1:45" x14ac:dyDescent="0.25">
      <c r="A866">
        <v>47</v>
      </c>
      <c r="B866">
        <v>9</v>
      </c>
      <c r="C866">
        <v>1</v>
      </c>
      <c r="D866">
        <v>2021</v>
      </c>
      <c r="E866">
        <v>7</v>
      </c>
      <c r="F866" t="str">
        <f>IFERROR(VLOOKUP(G866, Map!$A$1:$B$33, 2, FALSE),"WAS")</f>
        <v>LA</v>
      </c>
      <c r="G866" t="s">
        <v>155</v>
      </c>
      <c r="H866" t="str">
        <f>IFERROR(VLOOKUP(I866, Map!$A$1:$B$33, 2, FALSE),"WAS")</f>
        <v>DET</v>
      </c>
      <c r="I866" t="s">
        <v>164</v>
      </c>
      <c r="J866" t="s">
        <v>178</v>
      </c>
      <c r="K866" t="s">
        <v>173</v>
      </c>
      <c r="L866">
        <v>1</v>
      </c>
      <c r="M866">
        <v>0</v>
      </c>
      <c r="N866">
        <v>47.470588235294102</v>
      </c>
      <c r="O866">
        <v>-14.647058823529401</v>
      </c>
      <c r="P866">
        <v>-9</v>
      </c>
      <c r="Q866">
        <v>48.5</v>
      </c>
      <c r="R866">
        <v>17</v>
      </c>
      <c r="S866">
        <v>21.3</v>
      </c>
      <c r="T866">
        <v>13.6</v>
      </c>
      <c r="U866">
        <v>16.7</v>
      </c>
      <c r="V866">
        <v>0</v>
      </c>
      <c r="W866">
        <v>0</v>
      </c>
      <c r="X866">
        <v>0</v>
      </c>
      <c r="Y866">
        <v>0</v>
      </c>
      <c r="Z866">
        <v>20.6</v>
      </c>
      <c r="AA866">
        <v>34.200000000000003</v>
      </c>
      <c r="AB866">
        <v>191</v>
      </c>
      <c r="AC866">
        <v>78</v>
      </c>
      <c r="AD866">
        <v>15.1</v>
      </c>
      <c r="AE866">
        <v>7.8</v>
      </c>
      <c r="AF866">
        <v>86.433000000000007</v>
      </c>
      <c r="AG866">
        <v>49.981999999999999</v>
      </c>
      <c r="AH866">
        <v>13.458</v>
      </c>
      <c r="AI866">
        <v>66.003</v>
      </c>
      <c r="AJ866">
        <v>87.367000000000004</v>
      </c>
      <c r="AK866">
        <v>68.608999999999995</v>
      </c>
      <c r="AL866">
        <v>14.976000000000001</v>
      </c>
      <c r="AM866">
        <v>13.458</v>
      </c>
      <c r="AN866">
        <v>49.981999999999999</v>
      </c>
      <c r="AO866">
        <v>86.433000000000007</v>
      </c>
      <c r="AP866">
        <v>-14.976000000000001</v>
      </c>
      <c r="AQ866">
        <v>12.632999999999999</v>
      </c>
      <c r="AR866">
        <v>33.997</v>
      </c>
      <c r="AS866">
        <v>31.390999999999998</v>
      </c>
    </row>
    <row r="867" spans="1:45" x14ac:dyDescent="0.25">
      <c r="A867">
        <v>28</v>
      </c>
      <c r="B867">
        <v>22</v>
      </c>
      <c r="C867">
        <v>1</v>
      </c>
      <c r="D867">
        <v>2021</v>
      </c>
      <c r="E867">
        <v>7</v>
      </c>
      <c r="F867" t="str">
        <f>IFERROR(VLOOKUP(G867, Map!$A$1:$B$33, 2, FALSE),"WAS")</f>
        <v>NYG</v>
      </c>
      <c r="G867" t="s">
        <v>149</v>
      </c>
      <c r="H867" t="str">
        <f>IFERROR(VLOOKUP(I867, Map!$A$1:$B$33, 2, FALSE),"WAS")</f>
        <v>CAR</v>
      </c>
      <c r="I867" t="s">
        <v>142</v>
      </c>
      <c r="J867" t="s">
        <v>219</v>
      </c>
      <c r="K867" t="s">
        <v>185</v>
      </c>
      <c r="L867">
        <v>1</v>
      </c>
      <c r="M867">
        <v>0</v>
      </c>
      <c r="N867">
        <v>39.411764705882298</v>
      </c>
      <c r="O867">
        <v>1.70588235294118</v>
      </c>
      <c r="P867">
        <v>2.5</v>
      </c>
      <c r="Q867">
        <v>25.5</v>
      </c>
      <c r="R867">
        <v>11.4</v>
      </c>
      <c r="S867">
        <v>15.9</v>
      </c>
      <c r="T867">
        <v>6.7</v>
      </c>
      <c r="U867">
        <v>9.4</v>
      </c>
      <c r="V867">
        <v>0.1</v>
      </c>
      <c r="W867">
        <v>0</v>
      </c>
      <c r="X867">
        <v>1</v>
      </c>
      <c r="Y867">
        <v>0.1</v>
      </c>
      <c r="Z867">
        <v>10.8</v>
      </c>
      <c r="AA867">
        <v>21.6</v>
      </c>
      <c r="AB867">
        <v>264</v>
      </c>
      <c r="AC867">
        <v>74</v>
      </c>
      <c r="AD867">
        <v>16.5</v>
      </c>
      <c r="AE867">
        <v>7.7</v>
      </c>
      <c r="AF867">
        <v>43.039000000000001</v>
      </c>
      <c r="AG867">
        <v>15.945</v>
      </c>
      <c r="AH867">
        <v>56.615000000000002</v>
      </c>
      <c r="AI867">
        <v>96.438000000000002</v>
      </c>
      <c r="AJ867">
        <v>27.614000000000001</v>
      </c>
      <c r="AK867">
        <v>80.688000000000002</v>
      </c>
      <c r="AL867">
        <v>-2.3220000000000001</v>
      </c>
      <c r="AM867">
        <v>56.615000000000002</v>
      </c>
      <c r="AN867">
        <v>15.945</v>
      </c>
      <c r="AO867">
        <v>43.039000000000001</v>
      </c>
      <c r="AP867">
        <v>2.3220000000000001</v>
      </c>
      <c r="AQ867">
        <v>72.385999999999996</v>
      </c>
      <c r="AR867">
        <v>3.5619999999999998</v>
      </c>
      <c r="AS867">
        <v>19.312000000000001</v>
      </c>
    </row>
    <row r="868" spans="1:45" x14ac:dyDescent="0.25">
      <c r="A868">
        <v>23</v>
      </c>
      <c r="B868">
        <v>-3</v>
      </c>
      <c r="C868">
        <v>0</v>
      </c>
      <c r="D868">
        <v>2021</v>
      </c>
      <c r="E868">
        <v>7</v>
      </c>
      <c r="F868" t="str">
        <f>IFERROR(VLOOKUP(G868, Map!$A$1:$B$33, 2, FALSE),"WAS")</f>
        <v>SEA</v>
      </c>
      <c r="G868" t="s">
        <v>144</v>
      </c>
      <c r="H868" t="str">
        <f>IFERROR(VLOOKUP(I868, Map!$A$1:$B$33, 2, FALSE),"WAS")</f>
        <v>NO</v>
      </c>
      <c r="I868" t="s">
        <v>168</v>
      </c>
      <c r="J868" t="s">
        <v>182</v>
      </c>
      <c r="K868" t="s">
        <v>192</v>
      </c>
      <c r="L868">
        <v>0</v>
      </c>
      <c r="M868">
        <v>0</v>
      </c>
      <c r="N868">
        <v>38.5</v>
      </c>
      <c r="O868">
        <v>5.0588235294117698</v>
      </c>
      <c r="P868">
        <v>2.5</v>
      </c>
      <c r="Q868">
        <v>24.5</v>
      </c>
      <c r="R868">
        <v>10.3</v>
      </c>
      <c r="S868">
        <v>12.4</v>
      </c>
      <c r="T868">
        <v>9.3000000000000007</v>
      </c>
      <c r="U868">
        <v>6.3</v>
      </c>
      <c r="V868">
        <v>14.1</v>
      </c>
      <c r="W868">
        <v>0</v>
      </c>
      <c r="X868">
        <v>21</v>
      </c>
      <c r="Y868">
        <v>14.1</v>
      </c>
      <c r="Z868">
        <v>32.9</v>
      </c>
      <c r="AA868">
        <v>58</v>
      </c>
      <c r="AB868">
        <v>178</v>
      </c>
      <c r="AC868">
        <v>87</v>
      </c>
      <c r="AD868">
        <v>44.6</v>
      </c>
      <c r="AE868">
        <v>24.6</v>
      </c>
      <c r="AF868">
        <v>40.713000000000001</v>
      </c>
      <c r="AG868">
        <v>59.281999999999996</v>
      </c>
      <c r="AH868">
        <v>58.96</v>
      </c>
      <c r="AI868">
        <v>70.561999999999998</v>
      </c>
      <c r="AJ868">
        <v>37.917999999999999</v>
      </c>
      <c r="AK868">
        <v>43.133000000000003</v>
      </c>
      <c r="AL868">
        <v>-3.1339999999999999</v>
      </c>
      <c r="AM868">
        <v>58.96</v>
      </c>
      <c r="AN868">
        <v>59.281999999999996</v>
      </c>
      <c r="AO868">
        <v>40.713000000000001</v>
      </c>
      <c r="AP868">
        <v>3.1339999999999999</v>
      </c>
      <c r="AQ868">
        <v>62.082000000000001</v>
      </c>
      <c r="AR868">
        <v>29.437999999999999</v>
      </c>
      <c r="AS868">
        <v>56.866999999999997</v>
      </c>
    </row>
    <row r="869" spans="1:45" x14ac:dyDescent="0.25">
      <c r="A869">
        <v>34</v>
      </c>
      <c r="B869">
        <v>14</v>
      </c>
      <c r="C869">
        <v>1</v>
      </c>
      <c r="D869">
        <v>2021</v>
      </c>
      <c r="E869">
        <v>7</v>
      </c>
      <c r="F869" t="str">
        <f>IFERROR(VLOOKUP(G869, Map!$A$1:$B$33, 2, FALSE),"WAS")</f>
        <v>GB</v>
      </c>
      <c r="G869" t="s">
        <v>154</v>
      </c>
      <c r="H869" t="str">
        <f>IFERROR(VLOOKUP(I869, Map!$A$1:$B$33, 2, FALSE),"WAS")</f>
        <v>WAS</v>
      </c>
      <c r="I869" t="s">
        <v>169</v>
      </c>
      <c r="J869" t="s">
        <v>200</v>
      </c>
      <c r="K869" t="s">
        <v>205</v>
      </c>
      <c r="L869">
        <v>1</v>
      </c>
      <c r="M869">
        <v>0</v>
      </c>
      <c r="N869">
        <v>47.5</v>
      </c>
      <c r="O869">
        <v>-8.625</v>
      </c>
      <c r="P869">
        <v>-8.5</v>
      </c>
      <c r="Q869">
        <v>38.5</v>
      </c>
      <c r="R869">
        <v>5.2</v>
      </c>
      <c r="S869">
        <v>9.6999999999999993</v>
      </c>
      <c r="T869">
        <v>0.7</v>
      </c>
      <c r="U869">
        <v>1.7</v>
      </c>
      <c r="V869">
        <v>0</v>
      </c>
      <c r="W869">
        <v>0</v>
      </c>
      <c r="X869">
        <v>0</v>
      </c>
      <c r="Y869">
        <v>0</v>
      </c>
      <c r="Z869">
        <v>17.399999999999999</v>
      </c>
      <c r="AA869">
        <v>33.5</v>
      </c>
      <c r="AB869">
        <v>13</v>
      </c>
      <c r="AC869">
        <v>74</v>
      </c>
      <c r="AD869">
        <v>17.899999999999999</v>
      </c>
      <c r="AE869">
        <v>10.1</v>
      </c>
      <c r="AF869">
        <v>72.138000000000005</v>
      </c>
      <c r="AG869">
        <v>53.704000000000001</v>
      </c>
      <c r="AH869">
        <v>27.64</v>
      </c>
      <c r="AI869">
        <v>73.882999999999996</v>
      </c>
      <c r="AJ869">
        <v>84.802999999999997</v>
      </c>
      <c r="AK869">
        <v>88.12</v>
      </c>
      <c r="AL869">
        <v>8.0180000000000007</v>
      </c>
      <c r="AM869">
        <v>27.64</v>
      </c>
      <c r="AN869">
        <v>53.704000000000001</v>
      </c>
      <c r="AO869">
        <v>72.138000000000005</v>
      </c>
      <c r="AP869">
        <v>-8.0180000000000007</v>
      </c>
      <c r="AQ869">
        <v>15.196999999999999</v>
      </c>
      <c r="AR869">
        <v>26.117000000000001</v>
      </c>
      <c r="AS869">
        <v>11.88</v>
      </c>
    </row>
    <row r="870" spans="1:45" x14ac:dyDescent="0.25">
      <c r="A870">
        <v>36</v>
      </c>
      <c r="B870">
        <v>26</v>
      </c>
      <c r="C870">
        <v>1</v>
      </c>
      <c r="D870">
        <v>2021</v>
      </c>
      <c r="E870">
        <v>7</v>
      </c>
      <c r="F870" t="str">
        <f>IFERROR(VLOOKUP(G870, Map!$A$1:$B$33, 2, FALSE),"WAS")</f>
        <v>ARI</v>
      </c>
      <c r="G870" t="s">
        <v>156</v>
      </c>
      <c r="H870" t="str">
        <f>IFERROR(VLOOKUP(I870, Map!$A$1:$B$33, 2, FALSE),"WAS")</f>
        <v>HOU</v>
      </c>
      <c r="I870" t="s">
        <v>137</v>
      </c>
      <c r="J870" t="s">
        <v>190</v>
      </c>
      <c r="K870" t="s">
        <v>209</v>
      </c>
      <c r="L870">
        <v>1</v>
      </c>
      <c r="M870">
        <v>0</v>
      </c>
      <c r="N870">
        <v>44.117647058823501</v>
      </c>
      <c r="O870">
        <v>-19.147058823529399</v>
      </c>
      <c r="P870">
        <v>-19.5</v>
      </c>
      <c r="Q870">
        <v>37.5</v>
      </c>
      <c r="R870">
        <v>16.3</v>
      </c>
      <c r="S870">
        <v>21.8</v>
      </c>
      <c r="T870">
        <v>13.5</v>
      </c>
      <c r="U870">
        <v>16.399999999999999</v>
      </c>
      <c r="V870">
        <v>0</v>
      </c>
      <c r="W870">
        <v>0</v>
      </c>
      <c r="X870">
        <v>0</v>
      </c>
      <c r="Y870">
        <v>0</v>
      </c>
      <c r="Z870">
        <v>11.7</v>
      </c>
      <c r="AA870">
        <v>26.3</v>
      </c>
      <c r="AB870">
        <v>177</v>
      </c>
      <c r="AC870">
        <v>80</v>
      </c>
      <c r="AD870">
        <v>12.3</v>
      </c>
      <c r="AE870">
        <v>4.7</v>
      </c>
      <c r="AF870">
        <v>88.549000000000007</v>
      </c>
      <c r="AG870">
        <v>46.82</v>
      </c>
      <c r="AH870">
        <v>11.36</v>
      </c>
      <c r="AI870">
        <v>97.769000000000005</v>
      </c>
      <c r="AJ870">
        <v>68.846999999999994</v>
      </c>
      <c r="AK870">
        <v>91.709000000000003</v>
      </c>
      <c r="AL870">
        <v>16.370999999999999</v>
      </c>
      <c r="AM870">
        <v>11.36</v>
      </c>
      <c r="AN870">
        <v>46.82</v>
      </c>
      <c r="AO870">
        <v>88.549000000000007</v>
      </c>
      <c r="AP870">
        <v>-16.370999999999999</v>
      </c>
      <c r="AQ870">
        <v>31.152999999999999</v>
      </c>
      <c r="AR870">
        <v>2.2309999999999999</v>
      </c>
      <c r="AS870">
        <v>8.2910000000000004</v>
      </c>
    </row>
    <row r="871" spans="1:45" x14ac:dyDescent="0.25">
      <c r="A871">
        <v>41</v>
      </c>
      <c r="B871">
        <v>35</v>
      </c>
      <c r="C871">
        <v>1</v>
      </c>
      <c r="D871">
        <v>2021</v>
      </c>
      <c r="E871">
        <v>7</v>
      </c>
      <c r="F871" t="str">
        <f>IFERROR(VLOOKUP(G871, Map!$A$1:$B$33, 2, FALSE),"WAS")</f>
        <v>TB</v>
      </c>
      <c r="G871" t="s">
        <v>141</v>
      </c>
      <c r="H871" t="str">
        <f>IFERROR(VLOOKUP(I871, Map!$A$1:$B$33, 2, FALSE),"WAS")</f>
        <v>CHI</v>
      </c>
      <c r="I871" t="s">
        <v>163</v>
      </c>
      <c r="J871" t="s">
        <v>186</v>
      </c>
      <c r="K871" t="s">
        <v>216</v>
      </c>
      <c r="L871">
        <v>1</v>
      </c>
      <c r="M871">
        <v>0</v>
      </c>
      <c r="N871">
        <v>44.117647058823501</v>
      </c>
      <c r="O871">
        <v>-12.617647058823501</v>
      </c>
      <c r="P871">
        <v>-11.5</v>
      </c>
      <c r="Q871">
        <v>44.5</v>
      </c>
      <c r="R871">
        <v>25.1</v>
      </c>
      <c r="S871">
        <v>29.2</v>
      </c>
      <c r="T871">
        <v>22.4</v>
      </c>
      <c r="U871">
        <v>28</v>
      </c>
      <c r="V871">
        <v>3.8</v>
      </c>
      <c r="W871">
        <v>0</v>
      </c>
      <c r="X871">
        <v>6</v>
      </c>
      <c r="Y871">
        <v>3.8</v>
      </c>
      <c r="Z871">
        <v>16.2</v>
      </c>
      <c r="AA871">
        <v>34.6</v>
      </c>
      <c r="AB871">
        <v>67</v>
      </c>
      <c r="AC871">
        <v>78</v>
      </c>
      <c r="AD871">
        <v>20.399999999999999</v>
      </c>
      <c r="AE871">
        <v>10.4</v>
      </c>
      <c r="AF871">
        <v>81.215000000000003</v>
      </c>
      <c r="AG871">
        <v>51.341999999999999</v>
      </c>
      <c r="AH871">
        <v>18.635999999999999</v>
      </c>
      <c r="AI871">
        <v>99.42</v>
      </c>
      <c r="AJ871">
        <v>86.38</v>
      </c>
      <c r="AK871">
        <v>99.272000000000006</v>
      </c>
      <c r="AL871">
        <v>12.07</v>
      </c>
      <c r="AM871">
        <v>18.635999999999999</v>
      </c>
      <c r="AN871">
        <v>51.341999999999999</v>
      </c>
      <c r="AO871">
        <v>81.215000000000003</v>
      </c>
      <c r="AP871">
        <v>-12.07</v>
      </c>
      <c r="AQ871">
        <v>13.62</v>
      </c>
      <c r="AR871">
        <v>0.57999999999999996</v>
      </c>
      <c r="AS871">
        <v>0.72799999999999998</v>
      </c>
    </row>
    <row r="872" spans="1:45" x14ac:dyDescent="0.25">
      <c r="A872">
        <v>58</v>
      </c>
      <c r="B872">
        <v>-2</v>
      </c>
      <c r="C872">
        <v>0</v>
      </c>
      <c r="D872">
        <v>2021</v>
      </c>
      <c r="E872">
        <v>7</v>
      </c>
      <c r="F872" t="str">
        <f>IFERROR(VLOOKUP(G872, Map!$A$1:$B$33, 2, FALSE),"WAS")</f>
        <v>MIA</v>
      </c>
      <c r="G872" t="s">
        <v>152</v>
      </c>
      <c r="H872" t="str">
        <f>IFERROR(VLOOKUP(I872, Map!$A$1:$B$33, 2, FALSE),"WAS")</f>
        <v>ATL</v>
      </c>
      <c r="I872" t="s">
        <v>167</v>
      </c>
      <c r="J872" t="s">
        <v>175</v>
      </c>
      <c r="K872" t="s">
        <v>188</v>
      </c>
      <c r="L872">
        <v>0</v>
      </c>
      <c r="M872">
        <v>0</v>
      </c>
      <c r="N872">
        <v>45.5</v>
      </c>
      <c r="O872">
        <v>1.6176470588235301</v>
      </c>
      <c r="P872">
        <v>1.5</v>
      </c>
      <c r="Q872">
        <v>47.5</v>
      </c>
      <c r="R872">
        <v>25.4</v>
      </c>
      <c r="S872">
        <v>29.1</v>
      </c>
      <c r="T872">
        <v>22.9</v>
      </c>
      <c r="U872">
        <v>29.9</v>
      </c>
      <c r="V872">
        <v>3.8</v>
      </c>
      <c r="W872">
        <v>0</v>
      </c>
      <c r="X872">
        <v>5</v>
      </c>
      <c r="Y872">
        <v>3.8</v>
      </c>
      <c r="Z872">
        <v>14.1</v>
      </c>
      <c r="AA872">
        <v>28.1</v>
      </c>
      <c r="AB872">
        <v>95</v>
      </c>
      <c r="AC872">
        <v>87</v>
      </c>
      <c r="AD872">
        <v>15.6</v>
      </c>
      <c r="AE872">
        <v>7.1</v>
      </c>
      <c r="AF872">
        <v>50.481999999999999</v>
      </c>
      <c r="AG872">
        <v>27.687000000000001</v>
      </c>
      <c r="AH872">
        <v>49.124000000000002</v>
      </c>
      <c r="AI872">
        <v>37.61</v>
      </c>
      <c r="AJ872">
        <v>56.430999999999997</v>
      </c>
      <c r="AK872">
        <v>42.021999999999998</v>
      </c>
      <c r="AL872">
        <v>0.23100000000000001</v>
      </c>
      <c r="AM872">
        <v>49.124000000000002</v>
      </c>
      <c r="AN872">
        <v>27.687000000000001</v>
      </c>
      <c r="AO872">
        <v>50.481999999999999</v>
      </c>
      <c r="AP872">
        <v>-0.23100000000000001</v>
      </c>
      <c r="AQ872">
        <v>43.569000000000003</v>
      </c>
      <c r="AR872">
        <v>62.39</v>
      </c>
      <c r="AS872">
        <v>57.978000000000002</v>
      </c>
    </row>
    <row r="873" spans="1:45" x14ac:dyDescent="0.25">
      <c r="A873">
        <v>67</v>
      </c>
      <c r="B873">
        <v>41</v>
      </c>
      <c r="C873">
        <v>1</v>
      </c>
      <c r="D873">
        <v>2021</v>
      </c>
      <c r="E873">
        <v>7</v>
      </c>
      <c r="F873" t="str">
        <f>IFERROR(VLOOKUP(G873, Map!$A$1:$B$33, 2, FALSE),"WAS")</f>
        <v>NE</v>
      </c>
      <c r="G873" t="s">
        <v>151</v>
      </c>
      <c r="H873" t="str">
        <f>IFERROR(VLOOKUP(I873, Map!$A$1:$B$33, 2, FALSE),"WAS")</f>
        <v>NYJ</v>
      </c>
      <c r="I873" t="s">
        <v>166</v>
      </c>
      <c r="J873" t="s">
        <v>187</v>
      </c>
      <c r="K873" t="s">
        <v>172</v>
      </c>
      <c r="L873">
        <v>1</v>
      </c>
      <c r="M873">
        <v>0</v>
      </c>
      <c r="N873">
        <v>41.529411764705898</v>
      </c>
      <c r="O873">
        <v>-8.5294117647058805</v>
      </c>
      <c r="P873">
        <v>-6.5</v>
      </c>
      <c r="Q873">
        <v>42.5</v>
      </c>
      <c r="R873">
        <v>9.3000000000000007</v>
      </c>
      <c r="S873">
        <v>13.7</v>
      </c>
      <c r="T873">
        <v>5</v>
      </c>
      <c r="U873">
        <v>6.2</v>
      </c>
      <c r="V873">
        <v>0</v>
      </c>
      <c r="W873">
        <v>0</v>
      </c>
      <c r="X873">
        <v>0</v>
      </c>
      <c r="Y873">
        <v>0</v>
      </c>
      <c r="Z873">
        <v>13.5</v>
      </c>
      <c r="AA873">
        <v>30.6</v>
      </c>
      <c r="AB873">
        <v>295</v>
      </c>
      <c r="AC873">
        <v>64</v>
      </c>
      <c r="AD873">
        <v>22</v>
      </c>
      <c r="AE873">
        <v>9.5</v>
      </c>
      <c r="AF873">
        <v>70.950999999999993</v>
      </c>
      <c r="AG873">
        <v>45.624000000000002</v>
      </c>
      <c r="AH873">
        <v>28.818000000000001</v>
      </c>
      <c r="AI873">
        <v>69.03</v>
      </c>
      <c r="AJ873">
        <v>97.968000000000004</v>
      </c>
      <c r="AK873">
        <v>98.275999999999996</v>
      </c>
      <c r="AL873">
        <v>7.5430000000000001</v>
      </c>
      <c r="AM873">
        <v>28.818000000000001</v>
      </c>
      <c r="AN873">
        <v>45.624000000000002</v>
      </c>
      <c r="AO873">
        <v>70.950999999999993</v>
      </c>
      <c r="AP873">
        <v>-7.5430000000000001</v>
      </c>
      <c r="AQ873">
        <v>2.032</v>
      </c>
      <c r="AR873">
        <v>30.97</v>
      </c>
      <c r="AS873">
        <v>1.724</v>
      </c>
    </row>
    <row r="874" spans="1:45" x14ac:dyDescent="0.25">
      <c r="A874">
        <v>48</v>
      </c>
      <c r="B874">
        <v>-12</v>
      </c>
      <c r="C874">
        <v>0</v>
      </c>
      <c r="D874">
        <v>2021</v>
      </c>
      <c r="E874">
        <v>7</v>
      </c>
      <c r="F874" t="str">
        <f>IFERROR(VLOOKUP(G874, Map!$A$1:$B$33, 2, FALSE),"WAS")</f>
        <v>SF</v>
      </c>
      <c r="G874" t="s">
        <v>143</v>
      </c>
      <c r="H874" t="str">
        <f>IFERROR(VLOOKUP(I874, Map!$A$1:$B$33, 2, FALSE),"WAS")</f>
        <v>IND</v>
      </c>
      <c r="I874" t="s">
        <v>138</v>
      </c>
      <c r="J874" t="s">
        <v>197</v>
      </c>
      <c r="K874" t="s">
        <v>177</v>
      </c>
      <c r="L874">
        <v>0</v>
      </c>
      <c r="M874">
        <v>0</v>
      </c>
      <c r="N874">
        <v>39.647058823529399</v>
      </c>
      <c r="O874">
        <v>-2.2941176470588198</v>
      </c>
      <c r="P874">
        <v>-3</v>
      </c>
      <c r="Q874">
        <v>41</v>
      </c>
      <c r="R874">
        <v>15.2</v>
      </c>
      <c r="S874">
        <v>17.100000000000001</v>
      </c>
      <c r="T874">
        <v>13.3</v>
      </c>
      <c r="U874">
        <v>14.1</v>
      </c>
      <c r="V874">
        <v>54.1</v>
      </c>
      <c r="W874">
        <v>0</v>
      </c>
      <c r="X874">
        <v>23</v>
      </c>
      <c r="Y874">
        <v>54.1</v>
      </c>
      <c r="Z874">
        <v>25.6</v>
      </c>
      <c r="AA874">
        <v>52.2</v>
      </c>
      <c r="AB874">
        <v>170</v>
      </c>
      <c r="AC874">
        <v>80</v>
      </c>
      <c r="AD874">
        <v>24.3</v>
      </c>
      <c r="AE874">
        <v>10.8</v>
      </c>
      <c r="AF874">
        <v>65.283000000000001</v>
      </c>
      <c r="AG874">
        <v>63.366999999999997</v>
      </c>
      <c r="AH874">
        <v>34.44</v>
      </c>
      <c r="AI874">
        <v>56.506</v>
      </c>
      <c r="AJ874">
        <v>8.7710000000000008</v>
      </c>
      <c r="AK874">
        <v>27.97</v>
      </c>
      <c r="AL874">
        <v>5.3890000000000002</v>
      </c>
      <c r="AM874">
        <v>34.44</v>
      </c>
      <c r="AN874">
        <v>63.366999999999997</v>
      </c>
      <c r="AO874">
        <v>65.283000000000001</v>
      </c>
      <c r="AP874">
        <v>-5.3890000000000002</v>
      </c>
      <c r="AQ874">
        <v>91.228999999999999</v>
      </c>
      <c r="AR874">
        <v>43.494</v>
      </c>
      <c r="AS874">
        <v>72.03</v>
      </c>
    </row>
    <row r="875" spans="1:45" x14ac:dyDescent="0.25">
      <c r="A875">
        <v>58</v>
      </c>
      <c r="B875">
        <v>-24</v>
      </c>
      <c r="C875">
        <v>0</v>
      </c>
      <c r="D875">
        <v>2021</v>
      </c>
      <c r="E875">
        <v>7</v>
      </c>
      <c r="F875" t="str">
        <f>IFERROR(VLOOKUP(G875, Map!$A$1:$B$33, 2, FALSE),"WAS")</f>
        <v>BAL</v>
      </c>
      <c r="G875" t="s">
        <v>146</v>
      </c>
      <c r="H875" t="str">
        <f>IFERROR(VLOOKUP(I875, Map!$A$1:$B$33, 2, FALSE),"WAS")</f>
        <v>CIN</v>
      </c>
      <c r="I875" t="s">
        <v>161</v>
      </c>
      <c r="J875" t="s">
        <v>181</v>
      </c>
      <c r="K875" t="s">
        <v>176</v>
      </c>
      <c r="L875">
        <v>0</v>
      </c>
      <c r="M875">
        <v>0</v>
      </c>
      <c r="N875">
        <v>44.323529411764703</v>
      </c>
      <c r="O875">
        <v>-4.1764705882352899</v>
      </c>
      <c r="P875">
        <v>-6</v>
      </c>
      <c r="Q875">
        <v>45.5</v>
      </c>
      <c r="R875">
        <v>13</v>
      </c>
      <c r="S875">
        <v>17.600000000000001</v>
      </c>
      <c r="T875">
        <v>9.8000000000000007</v>
      </c>
      <c r="U875">
        <v>11.8</v>
      </c>
      <c r="V875">
        <v>0.5</v>
      </c>
      <c r="W875">
        <v>0</v>
      </c>
      <c r="X875">
        <v>3</v>
      </c>
      <c r="Y875">
        <v>0.5</v>
      </c>
      <c r="Z875">
        <v>15.1</v>
      </c>
      <c r="AA875">
        <v>29.9</v>
      </c>
      <c r="AB875">
        <v>145</v>
      </c>
      <c r="AC875">
        <v>81</v>
      </c>
      <c r="AD875">
        <v>15.1</v>
      </c>
      <c r="AE875">
        <v>7.6</v>
      </c>
      <c r="AF875">
        <v>68.311999999999998</v>
      </c>
      <c r="AG875">
        <v>59.970999999999997</v>
      </c>
      <c r="AH875">
        <v>31.434999999999999</v>
      </c>
      <c r="AI875">
        <v>8.1430000000000007</v>
      </c>
      <c r="AJ875">
        <v>46.398000000000003</v>
      </c>
      <c r="AK875">
        <v>15.551</v>
      </c>
      <c r="AL875">
        <v>6.52</v>
      </c>
      <c r="AM875">
        <v>31.434999999999999</v>
      </c>
      <c r="AN875">
        <v>59.970999999999997</v>
      </c>
      <c r="AO875">
        <v>68.311999999999998</v>
      </c>
      <c r="AP875">
        <v>-6.52</v>
      </c>
      <c r="AQ875">
        <v>53.601999999999997</v>
      </c>
      <c r="AR875">
        <v>91.856999999999999</v>
      </c>
      <c r="AS875">
        <v>84.448999999999998</v>
      </c>
    </row>
    <row r="876" spans="1:45" x14ac:dyDescent="0.25">
      <c r="A876">
        <v>30</v>
      </c>
      <c r="B876">
        <v>24</v>
      </c>
      <c r="C876">
        <v>1</v>
      </c>
      <c r="D876">
        <v>2021</v>
      </c>
      <c r="E876">
        <v>7</v>
      </c>
      <c r="F876" t="str">
        <f>IFERROR(VLOOKUP(G876, Map!$A$1:$B$33, 2, FALSE),"WAS")</f>
        <v>TEN</v>
      </c>
      <c r="G876" t="s">
        <v>140</v>
      </c>
      <c r="H876" t="str">
        <f>IFERROR(VLOOKUP(I876, Map!$A$1:$B$33, 2, FALSE),"WAS")</f>
        <v>KC</v>
      </c>
      <c r="I876" t="s">
        <v>158</v>
      </c>
      <c r="J876" t="s">
        <v>174</v>
      </c>
      <c r="K876" t="s">
        <v>202</v>
      </c>
      <c r="L876">
        <v>1</v>
      </c>
      <c r="M876">
        <v>0</v>
      </c>
      <c r="N876">
        <v>53.705882352941202</v>
      </c>
      <c r="O876">
        <v>2.2058823529411802</v>
      </c>
      <c r="P876">
        <v>4</v>
      </c>
      <c r="Q876">
        <v>31.5</v>
      </c>
      <c r="R876">
        <v>18.600000000000001</v>
      </c>
      <c r="S876">
        <v>25.8</v>
      </c>
      <c r="T876">
        <v>14.5</v>
      </c>
      <c r="U876">
        <v>17.600000000000001</v>
      </c>
      <c r="V876">
        <v>5.4</v>
      </c>
      <c r="W876">
        <v>0</v>
      </c>
      <c r="X876">
        <v>2</v>
      </c>
      <c r="Y876">
        <v>5.4</v>
      </c>
      <c r="Z876">
        <v>20.3</v>
      </c>
      <c r="AA876">
        <v>37.799999999999997</v>
      </c>
      <c r="AB876">
        <v>182</v>
      </c>
      <c r="AC876">
        <v>69</v>
      </c>
      <c r="AD876">
        <v>24.6</v>
      </c>
      <c r="AE876">
        <v>13.6</v>
      </c>
      <c r="AF876">
        <v>40.588999999999999</v>
      </c>
      <c r="AG876">
        <v>80.012</v>
      </c>
      <c r="AH876">
        <v>59.085000000000001</v>
      </c>
      <c r="AI876">
        <v>87.424000000000007</v>
      </c>
      <c r="AJ876">
        <v>92.222999999999999</v>
      </c>
      <c r="AK876">
        <v>97.221999999999994</v>
      </c>
      <c r="AL876">
        <v>-3.1779999999999999</v>
      </c>
      <c r="AM876">
        <v>59.085000000000001</v>
      </c>
      <c r="AN876">
        <v>80.012</v>
      </c>
      <c r="AO876">
        <v>40.588999999999999</v>
      </c>
      <c r="AP876">
        <v>3.1779999999999999</v>
      </c>
      <c r="AQ876">
        <v>7.7770000000000001</v>
      </c>
      <c r="AR876">
        <v>12.576000000000001</v>
      </c>
      <c r="AS876">
        <v>2.778</v>
      </c>
    </row>
    <row r="877" spans="1:45" x14ac:dyDescent="0.25">
      <c r="A877">
        <v>45</v>
      </c>
      <c r="B877">
        <v>-3</v>
      </c>
      <c r="C877">
        <v>0</v>
      </c>
      <c r="D877">
        <v>2021</v>
      </c>
      <c r="E877">
        <v>8</v>
      </c>
      <c r="F877" t="str">
        <f>IFERROR(VLOOKUP(G877, Map!$A$1:$B$33, 2, FALSE),"WAS")</f>
        <v>ARI</v>
      </c>
      <c r="G877" t="s">
        <v>156</v>
      </c>
      <c r="H877" t="str">
        <f>IFERROR(VLOOKUP(I877, Map!$A$1:$B$33, 2, FALSE),"WAS")</f>
        <v>GB</v>
      </c>
      <c r="I877" t="s">
        <v>154</v>
      </c>
      <c r="J877" t="s">
        <v>190</v>
      </c>
      <c r="K877" t="s">
        <v>200</v>
      </c>
      <c r="L877">
        <v>0</v>
      </c>
      <c r="M877">
        <v>0</v>
      </c>
      <c r="N877">
        <v>47.1875</v>
      </c>
      <c r="O877">
        <v>-5.4375</v>
      </c>
      <c r="P877">
        <v>3</v>
      </c>
      <c r="Q877">
        <v>46.5</v>
      </c>
      <c r="R877">
        <v>22.5</v>
      </c>
      <c r="S877">
        <v>29</v>
      </c>
      <c r="T877">
        <v>16.8</v>
      </c>
      <c r="U877">
        <v>21.7</v>
      </c>
      <c r="V877">
        <v>0</v>
      </c>
      <c r="W877">
        <v>0</v>
      </c>
      <c r="X877">
        <v>0</v>
      </c>
      <c r="Y877">
        <v>0</v>
      </c>
      <c r="Z877">
        <v>8.4</v>
      </c>
      <c r="AA877">
        <v>22</v>
      </c>
      <c r="AB877">
        <v>147</v>
      </c>
      <c r="AC877">
        <v>42</v>
      </c>
      <c r="AD877">
        <v>10</v>
      </c>
      <c r="AE877">
        <v>4.0999999999999996</v>
      </c>
      <c r="AF877">
        <v>67.409000000000006</v>
      </c>
      <c r="AG877">
        <v>80.635999999999996</v>
      </c>
      <c r="AH877">
        <v>32.331000000000003</v>
      </c>
      <c r="AI877">
        <v>41.683</v>
      </c>
      <c r="AJ877">
        <v>60.722999999999999</v>
      </c>
      <c r="AK877">
        <v>41.238999999999997</v>
      </c>
      <c r="AL877">
        <v>6.149</v>
      </c>
      <c r="AM877">
        <v>32.331000000000003</v>
      </c>
      <c r="AN877">
        <v>80.635999999999996</v>
      </c>
      <c r="AO877">
        <v>67.409000000000006</v>
      </c>
      <c r="AP877">
        <v>-6.149</v>
      </c>
      <c r="AQ877">
        <v>39.277000000000001</v>
      </c>
      <c r="AR877">
        <v>58.317</v>
      </c>
      <c r="AS877">
        <v>58.761000000000003</v>
      </c>
    </row>
    <row r="878" spans="1:45" x14ac:dyDescent="0.25">
      <c r="A878">
        <v>27</v>
      </c>
      <c r="B878">
        <v>7</v>
      </c>
      <c r="C878">
        <v>1</v>
      </c>
      <c r="D878">
        <v>2021</v>
      </c>
      <c r="E878">
        <v>8</v>
      </c>
      <c r="F878" t="str">
        <f>IFERROR(VLOOKUP(G878, Map!$A$1:$B$33, 2, FALSE),"WAS")</f>
        <v>DEN</v>
      </c>
      <c r="G878" t="s">
        <v>159</v>
      </c>
      <c r="H878" t="str">
        <f>IFERROR(VLOOKUP(I878, Map!$A$1:$B$33, 2, FALSE),"WAS")</f>
        <v>WAS</v>
      </c>
      <c r="I878" t="s">
        <v>169</v>
      </c>
      <c r="J878" t="s">
        <v>183</v>
      </c>
      <c r="K878" t="s">
        <v>205</v>
      </c>
      <c r="L878">
        <v>1</v>
      </c>
      <c r="M878">
        <v>0</v>
      </c>
      <c r="N878">
        <v>44.09375</v>
      </c>
      <c r="O878">
        <v>-3.84375</v>
      </c>
      <c r="P878">
        <v>-3.5</v>
      </c>
      <c r="Q878">
        <v>36.5</v>
      </c>
      <c r="R878">
        <v>6.1</v>
      </c>
      <c r="S878">
        <v>14.3</v>
      </c>
      <c r="T878">
        <v>2.5</v>
      </c>
      <c r="U878">
        <v>2.6</v>
      </c>
      <c r="V878">
        <v>0</v>
      </c>
      <c r="W878">
        <v>0</v>
      </c>
      <c r="X878">
        <v>0</v>
      </c>
      <c r="Y878">
        <v>0</v>
      </c>
      <c r="Z878">
        <v>15.2</v>
      </c>
      <c r="AA878">
        <v>24.5</v>
      </c>
      <c r="AB878">
        <v>0</v>
      </c>
      <c r="AC878">
        <v>68</v>
      </c>
      <c r="AD878">
        <v>18.899999999999999</v>
      </c>
      <c r="AE878">
        <v>9.8000000000000007</v>
      </c>
      <c r="AF878">
        <v>68.992000000000004</v>
      </c>
      <c r="AG878">
        <v>44.274999999999999</v>
      </c>
      <c r="AH878">
        <v>30.76</v>
      </c>
      <c r="AI878">
        <v>53.478999999999999</v>
      </c>
      <c r="AJ878">
        <v>64.027000000000001</v>
      </c>
      <c r="AK878">
        <v>63.478000000000002</v>
      </c>
      <c r="AL878">
        <v>6.7480000000000002</v>
      </c>
      <c r="AM878">
        <v>30.76</v>
      </c>
      <c r="AN878">
        <v>44.274999999999999</v>
      </c>
      <c r="AO878">
        <v>68.992000000000004</v>
      </c>
      <c r="AP878">
        <v>-6.7480000000000002</v>
      </c>
      <c r="AQ878">
        <v>35.972999999999999</v>
      </c>
      <c r="AR878">
        <v>46.521000000000001</v>
      </c>
      <c r="AS878">
        <v>36.521999999999998</v>
      </c>
    </row>
    <row r="879" spans="1:45" x14ac:dyDescent="0.25">
      <c r="A879">
        <v>25</v>
      </c>
      <c r="B879">
        <v>-5</v>
      </c>
      <c r="C879">
        <v>0</v>
      </c>
      <c r="D879">
        <v>2021</v>
      </c>
      <c r="E879">
        <v>8</v>
      </c>
      <c r="F879" t="str">
        <f>IFERROR(VLOOKUP(G879, Map!$A$1:$B$33, 2, FALSE),"WAS")</f>
        <v>CLE</v>
      </c>
      <c r="G879" t="s">
        <v>162</v>
      </c>
      <c r="H879" t="str">
        <f>IFERROR(VLOOKUP(I879, Map!$A$1:$B$33, 2, FALSE),"WAS")</f>
        <v>PIT</v>
      </c>
      <c r="I879" t="s">
        <v>145</v>
      </c>
      <c r="J879" t="s">
        <v>171</v>
      </c>
      <c r="K879" t="s">
        <v>170</v>
      </c>
      <c r="L879">
        <v>0</v>
      </c>
      <c r="M879">
        <v>0</v>
      </c>
      <c r="N879">
        <v>40.28125</v>
      </c>
      <c r="O879">
        <v>-4.46875</v>
      </c>
      <c r="P879">
        <v>-3.5</v>
      </c>
      <c r="Q879">
        <v>42.5</v>
      </c>
      <c r="R879">
        <v>12.3</v>
      </c>
      <c r="S879">
        <v>13.9</v>
      </c>
      <c r="T879">
        <v>11.1</v>
      </c>
      <c r="U879">
        <v>9.1</v>
      </c>
      <c r="V879">
        <v>3.9</v>
      </c>
      <c r="W879">
        <v>0</v>
      </c>
      <c r="X879">
        <v>10</v>
      </c>
      <c r="Y879">
        <v>3.9</v>
      </c>
      <c r="Z879">
        <v>30.8</v>
      </c>
      <c r="AA879">
        <v>49</v>
      </c>
      <c r="AB879">
        <v>295</v>
      </c>
      <c r="AC879">
        <v>82</v>
      </c>
      <c r="AD879">
        <v>33.200000000000003</v>
      </c>
      <c r="AE879">
        <v>20.6</v>
      </c>
      <c r="AF879">
        <v>56.121000000000002</v>
      </c>
      <c r="AG879">
        <v>45.851999999999997</v>
      </c>
      <c r="AH879">
        <v>43.53</v>
      </c>
      <c r="AI879">
        <v>45.314</v>
      </c>
      <c r="AJ879">
        <v>25.635000000000002</v>
      </c>
      <c r="AK879">
        <v>36.792999999999999</v>
      </c>
      <c r="AL879">
        <v>2.1419999999999999</v>
      </c>
      <c r="AM879">
        <v>43.53</v>
      </c>
      <c r="AN879">
        <v>45.851999999999997</v>
      </c>
      <c r="AO879">
        <v>56.121000000000002</v>
      </c>
      <c r="AP879">
        <v>-2.1419999999999999</v>
      </c>
      <c r="AQ879">
        <v>74.364999999999995</v>
      </c>
      <c r="AR879">
        <v>54.686</v>
      </c>
      <c r="AS879">
        <v>63.207000000000001</v>
      </c>
    </row>
    <row r="880" spans="1:45" x14ac:dyDescent="0.25">
      <c r="A880">
        <v>37</v>
      </c>
      <c r="B880">
        <v>3</v>
      </c>
      <c r="C880">
        <v>1</v>
      </c>
      <c r="D880">
        <v>2021</v>
      </c>
      <c r="E880">
        <v>8</v>
      </c>
      <c r="F880" t="str">
        <f>IFERROR(VLOOKUP(G880, Map!$A$1:$B$33, 2, FALSE),"WAS")</f>
        <v>KC</v>
      </c>
      <c r="G880" t="s">
        <v>158</v>
      </c>
      <c r="H880" t="str">
        <f>IFERROR(VLOOKUP(I880, Map!$A$1:$B$33, 2, FALSE),"WAS")</f>
        <v>NYG</v>
      </c>
      <c r="I880" t="s">
        <v>149</v>
      </c>
      <c r="J880" t="s">
        <v>202</v>
      </c>
      <c r="K880" t="s">
        <v>219</v>
      </c>
      <c r="L880">
        <v>1</v>
      </c>
      <c r="M880">
        <v>0</v>
      </c>
      <c r="N880">
        <v>48.625</v>
      </c>
      <c r="O880">
        <v>-9.375</v>
      </c>
      <c r="P880">
        <v>-3</v>
      </c>
      <c r="Q880">
        <v>38.5</v>
      </c>
      <c r="R880">
        <v>5</v>
      </c>
      <c r="S880">
        <v>8.6999999999999993</v>
      </c>
      <c r="T880">
        <v>1.3</v>
      </c>
      <c r="U880">
        <v>2.2000000000000002</v>
      </c>
      <c r="V880">
        <v>0</v>
      </c>
      <c r="W880">
        <v>0</v>
      </c>
      <c r="X880">
        <v>0</v>
      </c>
      <c r="Y880">
        <v>0</v>
      </c>
      <c r="Z880">
        <v>8.3000000000000007</v>
      </c>
      <c r="AA880">
        <v>15.1</v>
      </c>
      <c r="AB880">
        <v>2</v>
      </c>
      <c r="AC880">
        <v>74</v>
      </c>
      <c r="AD880">
        <v>12.3</v>
      </c>
      <c r="AE880">
        <v>5.2</v>
      </c>
      <c r="AF880">
        <v>74.605999999999995</v>
      </c>
      <c r="AG880">
        <v>50.405999999999999</v>
      </c>
      <c r="AH880">
        <v>25.190999999999999</v>
      </c>
      <c r="AI880">
        <v>58.363</v>
      </c>
      <c r="AJ880">
        <v>40.183</v>
      </c>
      <c r="AK880">
        <v>57.447000000000003</v>
      </c>
      <c r="AL880">
        <v>8.9949999999999992</v>
      </c>
      <c r="AM880">
        <v>25.190999999999999</v>
      </c>
      <c r="AN880">
        <v>50.405999999999999</v>
      </c>
      <c r="AO880">
        <v>74.605999999999995</v>
      </c>
      <c r="AP880">
        <v>-8.9949999999999992</v>
      </c>
      <c r="AQ880">
        <v>59.817</v>
      </c>
      <c r="AR880">
        <v>41.637</v>
      </c>
      <c r="AS880">
        <v>42.552999999999997</v>
      </c>
    </row>
    <row r="881" spans="1:45" x14ac:dyDescent="0.25">
      <c r="A881">
        <v>55</v>
      </c>
      <c r="B881">
        <v>-11</v>
      </c>
      <c r="C881">
        <v>0</v>
      </c>
      <c r="D881">
        <v>2021</v>
      </c>
      <c r="E881">
        <v>8</v>
      </c>
      <c r="F881" t="str">
        <f>IFERROR(VLOOKUP(G881, Map!$A$1:$B$33, 2, FALSE),"WAS")</f>
        <v>CHI</v>
      </c>
      <c r="G881" t="s">
        <v>163</v>
      </c>
      <c r="H881" t="str">
        <f>IFERROR(VLOOKUP(I881, Map!$A$1:$B$33, 2, FALSE),"WAS")</f>
        <v>SF</v>
      </c>
      <c r="I881" t="s">
        <v>143</v>
      </c>
      <c r="J881" t="s">
        <v>216</v>
      </c>
      <c r="K881" t="s">
        <v>197</v>
      </c>
      <c r="L881">
        <v>0</v>
      </c>
      <c r="M881">
        <v>0</v>
      </c>
      <c r="N881">
        <v>37.40625</v>
      </c>
      <c r="O881">
        <v>3.96875</v>
      </c>
      <c r="P881">
        <v>3.5</v>
      </c>
      <c r="Q881">
        <v>39.5</v>
      </c>
      <c r="R881">
        <v>9.4</v>
      </c>
      <c r="S881">
        <v>11.8</v>
      </c>
      <c r="T881">
        <v>7.3</v>
      </c>
      <c r="U881">
        <v>6</v>
      </c>
      <c r="V881">
        <v>0</v>
      </c>
      <c r="W881">
        <v>0</v>
      </c>
      <c r="X881">
        <v>0</v>
      </c>
      <c r="Y881">
        <v>0</v>
      </c>
      <c r="Z881">
        <v>27.8</v>
      </c>
      <c r="AA881">
        <v>41.8</v>
      </c>
      <c r="AB881">
        <v>295</v>
      </c>
      <c r="AC881">
        <v>82</v>
      </c>
      <c r="AD881">
        <v>26.2</v>
      </c>
      <c r="AE881">
        <v>17.399999999999999</v>
      </c>
      <c r="AF881">
        <v>40.540999999999997</v>
      </c>
      <c r="AG881">
        <v>49.689</v>
      </c>
      <c r="AH881">
        <v>59.133000000000003</v>
      </c>
      <c r="AI881">
        <v>4.0880000000000001</v>
      </c>
      <c r="AJ881">
        <v>69.596000000000004</v>
      </c>
      <c r="AK881">
        <v>27.89</v>
      </c>
      <c r="AL881">
        <v>-3.1789999999999998</v>
      </c>
      <c r="AM881">
        <v>59.133000000000003</v>
      </c>
      <c r="AN881">
        <v>49.689</v>
      </c>
      <c r="AO881">
        <v>40.540999999999997</v>
      </c>
      <c r="AP881">
        <v>3.1789999999999998</v>
      </c>
      <c r="AQ881">
        <v>30.404</v>
      </c>
      <c r="AR881">
        <v>95.912000000000006</v>
      </c>
      <c r="AS881">
        <v>72.11</v>
      </c>
    </row>
    <row r="882" spans="1:45" x14ac:dyDescent="0.25">
      <c r="A882">
        <v>36</v>
      </c>
      <c r="B882">
        <v>-4</v>
      </c>
      <c r="C882">
        <v>0</v>
      </c>
      <c r="D882">
        <v>2021</v>
      </c>
      <c r="E882">
        <v>8</v>
      </c>
      <c r="F882" t="str">
        <f>IFERROR(VLOOKUP(G882, Map!$A$1:$B$33, 2, FALSE),"WAS")</f>
        <v>MIN</v>
      </c>
      <c r="G882" t="s">
        <v>153</v>
      </c>
      <c r="H882" t="str">
        <f>IFERROR(VLOOKUP(I882, Map!$A$1:$B$33, 2, FALSE),"WAS")</f>
        <v>DAL</v>
      </c>
      <c r="I882" t="s">
        <v>150</v>
      </c>
      <c r="J882" t="s">
        <v>214</v>
      </c>
      <c r="K882" t="s">
        <v>184</v>
      </c>
      <c r="L882">
        <v>0</v>
      </c>
      <c r="M882">
        <v>0</v>
      </c>
      <c r="N882">
        <v>45.617647058823501</v>
      </c>
      <c r="O882">
        <v>-3.7058823529411802</v>
      </c>
      <c r="P882">
        <v>-2.5</v>
      </c>
      <c r="Q882">
        <v>37.5</v>
      </c>
      <c r="R882">
        <v>3.9</v>
      </c>
      <c r="S882">
        <v>5.5</v>
      </c>
      <c r="T882">
        <v>1.6</v>
      </c>
      <c r="U882">
        <v>-0.7</v>
      </c>
      <c r="V882">
        <v>0.2</v>
      </c>
      <c r="W882">
        <v>0</v>
      </c>
      <c r="X882">
        <v>2</v>
      </c>
      <c r="Y882">
        <v>0.2</v>
      </c>
      <c r="Z882">
        <v>20.5</v>
      </c>
      <c r="AA882">
        <v>39.6</v>
      </c>
      <c r="AB882">
        <v>290</v>
      </c>
      <c r="AC882">
        <v>60</v>
      </c>
      <c r="AD882">
        <v>28</v>
      </c>
      <c r="AE882">
        <v>14.3</v>
      </c>
      <c r="AF882">
        <v>60.279000000000003</v>
      </c>
      <c r="AG882">
        <v>59.878</v>
      </c>
      <c r="AH882">
        <v>39.405000000000001</v>
      </c>
      <c r="AI882">
        <v>48.075000000000003</v>
      </c>
      <c r="AJ882">
        <v>27.56</v>
      </c>
      <c r="AK882">
        <v>43.347000000000001</v>
      </c>
      <c r="AL882">
        <v>1.63</v>
      </c>
      <c r="AM882">
        <v>39.405000000000001</v>
      </c>
      <c r="AN882">
        <v>59.878</v>
      </c>
      <c r="AO882">
        <v>60.279000000000003</v>
      </c>
      <c r="AP882">
        <v>-1.63</v>
      </c>
      <c r="AQ882">
        <v>72.44</v>
      </c>
      <c r="AR882">
        <v>51.924999999999997</v>
      </c>
      <c r="AS882">
        <v>56.652999999999999</v>
      </c>
    </row>
    <row r="883" spans="1:45" x14ac:dyDescent="0.25">
      <c r="A883">
        <v>63</v>
      </c>
      <c r="B883">
        <v>9</v>
      </c>
      <c r="C883">
        <v>1</v>
      </c>
      <c r="D883">
        <v>2021</v>
      </c>
      <c r="E883">
        <v>8</v>
      </c>
      <c r="F883" t="str">
        <f>IFERROR(VLOOKUP(G883, Map!$A$1:$B$33, 2, FALSE),"WAS")</f>
        <v>NO</v>
      </c>
      <c r="G883" t="s">
        <v>168</v>
      </c>
      <c r="H883" t="str">
        <f>IFERROR(VLOOKUP(I883, Map!$A$1:$B$33, 2, FALSE),"WAS")</f>
        <v>TB</v>
      </c>
      <c r="I883" t="s">
        <v>141</v>
      </c>
      <c r="J883" t="s">
        <v>192</v>
      </c>
      <c r="K883" t="s">
        <v>186</v>
      </c>
      <c r="L883">
        <v>1</v>
      </c>
      <c r="M883">
        <v>0</v>
      </c>
      <c r="N883">
        <v>46.176470588235297</v>
      </c>
      <c r="O883">
        <v>3.5</v>
      </c>
      <c r="P883">
        <v>-1.5</v>
      </c>
      <c r="Q883">
        <v>47.5</v>
      </c>
      <c r="R883">
        <v>16.7</v>
      </c>
      <c r="S883">
        <v>21.2</v>
      </c>
      <c r="T883">
        <v>12.2</v>
      </c>
      <c r="U883">
        <v>16.5</v>
      </c>
      <c r="V883">
        <v>0</v>
      </c>
      <c r="W883">
        <v>0</v>
      </c>
      <c r="X883">
        <v>0</v>
      </c>
      <c r="Y883">
        <v>0</v>
      </c>
      <c r="Z883">
        <v>11</v>
      </c>
      <c r="AA883">
        <v>28.1</v>
      </c>
      <c r="AB883">
        <v>283</v>
      </c>
      <c r="AC883">
        <v>73</v>
      </c>
      <c r="AD883">
        <v>12.1</v>
      </c>
      <c r="AE883">
        <v>5.6</v>
      </c>
      <c r="AF883">
        <v>35.649000000000001</v>
      </c>
      <c r="AG883">
        <v>88.474999999999994</v>
      </c>
      <c r="AH883">
        <v>64.063999999999993</v>
      </c>
      <c r="AI883">
        <v>58.243000000000002</v>
      </c>
      <c r="AJ883">
        <v>67.864999999999995</v>
      </c>
      <c r="AK883">
        <v>70.146000000000001</v>
      </c>
      <c r="AL883">
        <v>-4.9210000000000003</v>
      </c>
      <c r="AM883">
        <v>64.063999999999993</v>
      </c>
      <c r="AN883">
        <v>88.474999999999994</v>
      </c>
      <c r="AO883">
        <v>35.649000000000001</v>
      </c>
      <c r="AP883">
        <v>4.9210000000000003</v>
      </c>
      <c r="AQ883">
        <v>32.134999999999998</v>
      </c>
      <c r="AR883">
        <v>41.756999999999998</v>
      </c>
      <c r="AS883">
        <v>29.853999999999999</v>
      </c>
    </row>
    <row r="884" spans="1:45" x14ac:dyDescent="0.25">
      <c r="A884">
        <v>32</v>
      </c>
      <c r="B884">
        <v>-6</v>
      </c>
      <c r="C884">
        <v>0</v>
      </c>
      <c r="D884">
        <v>2021</v>
      </c>
      <c r="E884">
        <v>8</v>
      </c>
      <c r="F884" t="str">
        <f>IFERROR(VLOOKUP(G884, Map!$A$1:$B$33, 2, FALSE),"WAS")</f>
        <v>ATL</v>
      </c>
      <c r="G884" t="s">
        <v>167</v>
      </c>
      <c r="H884" t="str">
        <f>IFERROR(VLOOKUP(I884, Map!$A$1:$B$33, 2, FALSE),"WAS")</f>
        <v>CAR</v>
      </c>
      <c r="I884" t="s">
        <v>142</v>
      </c>
      <c r="J884" t="s">
        <v>188</v>
      </c>
      <c r="K884" t="s">
        <v>185</v>
      </c>
      <c r="L884">
        <v>0</v>
      </c>
      <c r="M884">
        <v>0</v>
      </c>
      <c r="N884">
        <v>43.71875</v>
      </c>
      <c r="O884">
        <v>-2.28125</v>
      </c>
      <c r="P884">
        <v>-1.5</v>
      </c>
      <c r="Q884">
        <v>46.5</v>
      </c>
      <c r="R884">
        <v>12.6</v>
      </c>
      <c r="S884">
        <v>17.3</v>
      </c>
      <c r="T884">
        <v>10</v>
      </c>
      <c r="U884">
        <v>10</v>
      </c>
      <c r="V884">
        <v>0</v>
      </c>
      <c r="W884">
        <v>0</v>
      </c>
      <c r="X884">
        <v>0</v>
      </c>
      <c r="Y884">
        <v>0</v>
      </c>
      <c r="Z884">
        <v>22.9</v>
      </c>
      <c r="AA884">
        <v>40.299999999999997</v>
      </c>
      <c r="AB884">
        <v>304</v>
      </c>
      <c r="AC884">
        <v>83</v>
      </c>
      <c r="AD884">
        <v>30.7</v>
      </c>
      <c r="AE884">
        <v>16.7</v>
      </c>
      <c r="AF884">
        <v>48.472000000000001</v>
      </c>
      <c r="AG884">
        <v>15.663</v>
      </c>
      <c r="AH884">
        <v>51.139000000000003</v>
      </c>
      <c r="AI884">
        <v>53.576999999999998</v>
      </c>
      <c r="AJ884">
        <v>31.172000000000001</v>
      </c>
      <c r="AK884">
        <v>31.091999999999999</v>
      </c>
      <c r="AL884">
        <v>-0.45200000000000001</v>
      </c>
      <c r="AM884">
        <v>51.139000000000003</v>
      </c>
      <c r="AN884">
        <v>15.663</v>
      </c>
      <c r="AO884">
        <v>48.472000000000001</v>
      </c>
      <c r="AP884">
        <v>0.45200000000000001</v>
      </c>
      <c r="AQ884">
        <v>68.828000000000003</v>
      </c>
      <c r="AR884">
        <v>46.423000000000002</v>
      </c>
      <c r="AS884">
        <v>68.908000000000001</v>
      </c>
    </row>
    <row r="885" spans="1:45" x14ac:dyDescent="0.25">
      <c r="A885">
        <v>51</v>
      </c>
      <c r="B885">
        <v>-3</v>
      </c>
      <c r="C885">
        <v>0</v>
      </c>
      <c r="D885">
        <v>2021</v>
      </c>
      <c r="E885">
        <v>8</v>
      </c>
      <c r="F885" t="str">
        <f>IFERROR(VLOOKUP(G885, Map!$A$1:$B$33, 2, FALSE),"WAS")</f>
        <v>LAC</v>
      </c>
      <c r="G885" t="s">
        <v>160</v>
      </c>
      <c r="H885" t="str">
        <f>IFERROR(VLOOKUP(I885, Map!$A$1:$B$33, 2, FALSE),"WAS")</f>
        <v>NE</v>
      </c>
      <c r="I885" t="s">
        <v>151</v>
      </c>
      <c r="J885" t="s">
        <v>210</v>
      </c>
      <c r="K885" t="s">
        <v>187</v>
      </c>
      <c r="L885">
        <v>0</v>
      </c>
      <c r="M885">
        <v>0</v>
      </c>
      <c r="N885">
        <v>47.15625</v>
      </c>
      <c r="O885">
        <v>-3.125</v>
      </c>
      <c r="P885">
        <v>3</v>
      </c>
      <c r="Q885">
        <v>48.5</v>
      </c>
      <c r="R885">
        <v>15.3</v>
      </c>
      <c r="S885">
        <v>20.6</v>
      </c>
      <c r="T885">
        <v>12.1</v>
      </c>
      <c r="U885">
        <v>15.4</v>
      </c>
      <c r="V885">
        <v>0</v>
      </c>
      <c r="W885">
        <v>0</v>
      </c>
      <c r="X885">
        <v>0</v>
      </c>
      <c r="Y885">
        <v>0</v>
      </c>
      <c r="Z885">
        <v>16.399999999999999</v>
      </c>
      <c r="AA885">
        <v>28.1</v>
      </c>
      <c r="AB885">
        <v>223</v>
      </c>
      <c r="AC885">
        <v>90</v>
      </c>
      <c r="AD885">
        <v>13.3</v>
      </c>
      <c r="AE885">
        <v>6.8</v>
      </c>
      <c r="AF885">
        <v>61.853000000000002</v>
      </c>
      <c r="AG885">
        <v>70.805000000000007</v>
      </c>
      <c r="AH885">
        <v>37.843000000000004</v>
      </c>
      <c r="AI885">
        <v>58.094999999999999</v>
      </c>
      <c r="AJ885">
        <v>32.722000000000001</v>
      </c>
      <c r="AK885">
        <v>33.149000000000001</v>
      </c>
      <c r="AL885">
        <v>4.1319999999999997</v>
      </c>
      <c r="AM885">
        <v>37.843000000000004</v>
      </c>
      <c r="AN885">
        <v>70.805000000000007</v>
      </c>
      <c r="AO885">
        <v>61.853000000000002</v>
      </c>
      <c r="AP885">
        <v>-4.1319999999999997</v>
      </c>
      <c r="AQ885">
        <v>67.278000000000006</v>
      </c>
      <c r="AR885">
        <v>41.905000000000001</v>
      </c>
      <c r="AS885">
        <v>66.850999999999999</v>
      </c>
    </row>
    <row r="886" spans="1:45" x14ac:dyDescent="0.25">
      <c r="A886">
        <v>37</v>
      </c>
      <c r="B886">
        <v>15</v>
      </c>
      <c r="C886">
        <v>1</v>
      </c>
      <c r="D886">
        <v>2021</v>
      </c>
      <c r="E886">
        <v>8</v>
      </c>
      <c r="F886" t="str">
        <f>IFERROR(VLOOKUP(G886, Map!$A$1:$B$33, 2, FALSE),"WAS")</f>
        <v>BUF</v>
      </c>
      <c r="G886" t="s">
        <v>165</v>
      </c>
      <c r="H886" t="str">
        <f>IFERROR(VLOOKUP(I886, Map!$A$1:$B$33, 2, FALSE),"WAS")</f>
        <v>MIA</v>
      </c>
      <c r="I886" t="s">
        <v>152</v>
      </c>
      <c r="J886" t="s">
        <v>180</v>
      </c>
      <c r="K886" t="s">
        <v>175</v>
      </c>
      <c r="L886">
        <v>1</v>
      </c>
      <c r="M886">
        <v>0</v>
      </c>
      <c r="N886">
        <v>44.882352941176499</v>
      </c>
      <c r="O886">
        <v>-13.235294117647101</v>
      </c>
      <c r="P886">
        <v>-5.5</v>
      </c>
      <c r="Q886">
        <v>35.5</v>
      </c>
      <c r="R886">
        <v>14</v>
      </c>
      <c r="S886">
        <v>20.6</v>
      </c>
      <c r="T886">
        <v>9.6</v>
      </c>
      <c r="U886">
        <v>12.1</v>
      </c>
      <c r="V886">
        <v>0.1</v>
      </c>
      <c r="W886">
        <v>0</v>
      </c>
      <c r="X886">
        <v>1</v>
      </c>
      <c r="Y886">
        <v>0.1</v>
      </c>
      <c r="Z886">
        <v>17.7</v>
      </c>
      <c r="AA886">
        <v>34.200000000000003</v>
      </c>
      <c r="AB886">
        <v>270</v>
      </c>
      <c r="AC886">
        <v>78</v>
      </c>
      <c r="AD886">
        <v>22.8</v>
      </c>
      <c r="AE886">
        <v>12.1</v>
      </c>
      <c r="AF886">
        <v>87.864000000000004</v>
      </c>
      <c r="AG886">
        <v>55.326000000000001</v>
      </c>
      <c r="AH886">
        <v>12.04</v>
      </c>
      <c r="AI886">
        <v>70.777000000000001</v>
      </c>
      <c r="AJ886">
        <v>56.465000000000003</v>
      </c>
      <c r="AK886">
        <v>76.010999999999996</v>
      </c>
      <c r="AL886">
        <v>15.826000000000001</v>
      </c>
      <c r="AM886">
        <v>12.04</v>
      </c>
      <c r="AN886">
        <v>55.326000000000001</v>
      </c>
      <c r="AO886">
        <v>87.864000000000004</v>
      </c>
      <c r="AP886">
        <v>-15.826000000000001</v>
      </c>
      <c r="AQ886">
        <v>43.534999999999997</v>
      </c>
      <c r="AR886">
        <v>29.222999999999999</v>
      </c>
      <c r="AS886">
        <v>23.989000000000001</v>
      </c>
    </row>
    <row r="887" spans="1:45" x14ac:dyDescent="0.25">
      <c r="A887">
        <v>60</v>
      </c>
      <c r="B887">
        <v>-16</v>
      </c>
      <c r="C887">
        <v>0</v>
      </c>
      <c r="D887">
        <v>2021</v>
      </c>
      <c r="E887">
        <v>8</v>
      </c>
      <c r="F887" t="str">
        <f>IFERROR(VLOOKUP(G887, Map!$A$1:$B$33, 2, FALSE),"WAS")</f>
        <v>HOU</v>
      </c>
      <c r="G887" t="s">
        <v>137</v>
      </c>
      <c r="H887" t="str">
        <f>IFERROR(VLOOKUP(I887, Map!$A$1:$B$33, 2, FALSE),"WAS")</f>
        <v>LA</v>
      </c>
      <c r="I887" t="s">
        <v>155</v>
      </c>
      <c r="J887" t="s">
        <v>209</v>
      </c>
      <c r="K887" t="s">
        <v>178</v>
      </c>
      <c r="L887">
        <v>0</v>
      </c>
      <c r="M887">
        <v>0</v>
      </c>
      <c r="N887">
        <v>43.96875</v>
      </c>
      <c r="O887">
        <v>14.84375</v>
      </c>
      <c r="P887">
        <v>13.5</v>
      </c>
      <c r="Q887">
        <v>46.5</v>
      </c>
      <c r="R887">
        <v>17.3</v>
      </c>
      <c r="S887">
        <v>24.5</v>
      </c>
      <c r="T887">
        <v>9.6</v>
      </c>
      <c r="U887">
        <v>16.399999999999999</v>
      </c>
      <c r="V887">
        <v>0</v>
      </c>
      <c r="W887">
        <v>0</v>
      </c>
      <c r="X887">
        <v>0</v>
      </c>
      <c r="Y887">
        <v>0</v>
      </c>
      <c r="Z887">
        <v>11.2</v>
      </c>
      <c r="AA887">
        <v>19.8</v>
      </c>
      <c r="AB887">
        <v>135</v>
      </c>
      <c r="AC887">
        <v>62</v>
      </c>
      <c r="AD887">
        <v>12</v>
      </c>
      <c r="AE887">
        <v>6.9</v>
      </c>
      <c r="AF887">
        <v>15.8</v>
      </c>
      <c r="AG887">
        <v>41.947000000000003</v>
      </c>
      <c r="AH887">
        <v>84.072999999999993</v>
      </c>
      <c r="AI887">
        <v>12.827999999999999</v>
      </c>
      <c r="AJ887">
        <v>8.7590000000000003</v>
      </c>
      <c r="AK887">
        <v>4.7530000000000001</v>
      </c>
      <c r="AL887">
        <v>-13.521000000000001</v>
      </c>
      <c r="AM887">
        <v>84.072999999999993</v>
      </c>
      <c r="AN887">
        <v>41.947000000000003</v>
      </c>
      <c r="AO887">
        <v>15.8</v>
      </c>
      <c r="AP887">
        <v>13.521000000000001</v>
      </c>
      <c r="AQ887">
        <v>91.241</v>
      </c>
      <c r="AR887">
        <v>87.171999999999997</v>
      </c>
      <c r="AS887">
        <v>95.247</v>
      </c>
    </row>
    <row r="888" spans="1:45" x14ac:dyDescent="0.25">
      <c r="A888">
        <v>65</v>
      </c>
      <c r="B888">
        <v>-3</v>
      </c>
      <c r="C888">
        <v>0</v>
      </c>
      <c r="D888">
        <v>2021</v>
      </c>
      <c r="E888">
        <v>8</v>
      </c>
      <c r="F888" t="str">
        <f>IFERROR(VLOOKUP(G888, Map!$A$1:$B$33, 2, FALSE),"WAS")</f>
        <v>IND</v>
      </c>
      <c r="G888" t="s">
        <v>138</v>
      </c>
      <c r="H888" t="str">
        <f>IFERROR(VLOOKUP(I888, Map!$A$1:$B$33, 2, FALSE),"WAS")</f>
        <v>TEN</v>
      </c>
      <c r="I888" t="s">
        <v>140</v>
      </c>
      <c r="J888" t="s">
        <v>177</v>
      </c>
      <c r="K888" t="s">
        <v>174</v>
      </c>
      <c r="L888">
        <v>0</v>
      </c>
      <c r="M888">
        <v>0</v>
      </c>
      <c r="N888">
        <v>48.852941176470601</v>
      </c>
      <c r="O888">
        <v>-2.7058823529411802</v>
      </c>
      <c r="P888">
        <v>-2.5</v>
      </c>
      <c r="Q888">
        <v>49.5</v>
      </c>
      <c r="R888">
        <v>11.7</v>
      </c>
      <c r="S888">
        <v>16.3</v>
      </c>
      <c r="T888">
        <v>8.1999999999999993</v>
      </c>
      <c r="U888">
        <v>9.3000000000000007</v>
      </c>
      <c r="V888">
        <v>0.2</v>
      </c>
      <c r="W888">
        <v>0</v>
      </c>
      <c r="X888">
        <v>2</v>
      </c>
      <c r="Y888">
        <v>0.2</v>
      </c>
      <c r="Z888">
        <v>21.7</v>
      </c>
      <c r="AA888">
        <v>42.8</v>
      </c>
      <c r="AB888">
        <v>290</v>
      </c>
      <c r="AC888">
        <v>78</v>
      </c>
      <c r="AD888">
        <v>25.5</v>
      </c>
      <c r="AE888">
        <v>13.2</v>
      </c>
      <c r="AF888">
        <v>53.616</v>
      </c>
      <c r="AG888">
        <v>63.759</v>
      </c>
      <c r="AH888">
        <v>46.014000000000003</v>
      </c>
      <c r="AI888">
        <v>45.173000000000002</v>
      </c>
      <c r="AJ888">
        <v>40.674999999999997</v>
      </c>
      <c r="AK888">
        <v>41.162999999999997</v>
      </c>
      <c r="AL888">
        <v>1.29</v>
      </c>
      <c r="AM888">
        <v>46.014000000000003</v>
      </c>
      <c r="AN888">
        <v>63.759</v>
      </c>
      <c r="AO888">
        <v>53.616</v>
      </c>
      <c r="AP888">
        <v>-1.29</v>
      </c>
      <c r="AQ888">
        <v>59.325000000000003</v>
      </c>
      <c r="AR888">
        <v>54.826999999999998</v>
      </c>
      <c r="AS888">
        <v>58.837000000000003</v>
      </c>
    </row>
    <row r="889" spans="1:45" x14ac:dyDescent="0.25">
      <c r="A889">
        <v>38</v>
      </c>
      <c r="B889">
        <v>24</v>
      </c>
      <c r="C889">
        <v>1</v>
      </c>
      <c r="D889">
        <v>2021</v>
      </c>
      <c r="E889">
        <v>8</v>
      </c>
      <c r="F889" t="str">
        <f>IFERROR(VLOOKUP(G889, Map!$A$1:$B$33, 2, FALSE),"WAS")</f>
        <v>SEA</v>
      </c>
      <c r="G889" t="s">
        <v>144</v>
      </c>
      <c r="H889" t="str">
        <f>IFERROR(VLOOKUP(I889, Map!$A$1:$B$33, 2, FALSE),"WAS")</f>
        <v>JAX</v>
      </c>
      <c r="I889" t="s">
        <v>139</v>
      </c>
      <c r="J889" t="s">
        <v>182</v>
      </c>
      <c r="K889" t="s">
        <v>220</v>
      </c>
      <c r="L889">
        <v>1</v>
      </c>
      <c r="M889">
        <v>0</v>
      </c>
      <c r="N889">
        <v>40.6875</v>
      </c>
      <c r="O889">
        <v>-4.90625</v>
      </c>
      <c r="P889">
        <v>-3.5</v>
      </c>
      <c r="Q889">
        <v>29.5</v>
      </c>
      <c r="R889">
        <v>7.1</v>
      </c>
      <c r="S889">
        <v>12.8</v>
      </c>
      <c r="T889">
        <v>2.4</v>
      </c>
      <c r="U889">
        <v>3.9</v>
      </c>
      <c r="V889">
        <v>0</v>
      </c>
      <c r="W889">
        <v>0</v>
      </c>
      <c r="X889">
        <v>0</v>
      </c>
      <c r="Y889">
        <v>0</v>
      </c>
      <c r="Z889">
        <v>19.100000000000001</v>
      </c>
      <c r="AA889">
        <v>38.5</v>
      </c>
      <c r="AB889">
        <v>13</v>
      </c>
      <c r="AC889">
        <v>67</v>
      </c>
      <c r="AD889">
        <v>18</v>
      </c>
      <c r="AE889">
        <v>9.3000000000000007</v>
      </c>
      <c r="AF889">
        <v>70.534999999999997</v>
      </c>
      <c r="AG889">
        <v>31.99</v>
      </c>
      <c r="AH889">
        <v>29.23</v>
      </c>
      <c r="AI889">
        <v>90.646000000000001</v>
      </c>
      <c r="AJ889">
        <v>83.602999999999994</v>
      </c>
      <c r="AK889">
        <v>96.46</v>
      </c>
      <c r="AL889">
        <v>7.3440000000000003</v>
      </c>
      <c r="AM889">
        <v>29.23</v>
      </c>
      <c r="AN889">
        <v>31.99</v>
      </c>
      <c r="AO889">
        <v>70.534999999999997</v>
      </c>
      <c r="AP889">
        <v>-7.3440000000000003</v>
      </c>
      <c r="AQ889">
        <v>16.396999999999998</v>
      </c>
      <c r="AR889">
        <v>9.3539999999999992</v>
      </c>
      <c r="AS889">
        <v>3.54</v>
      </c>
    </row>
    <row r="890" spans="1:45" x14ac:dyDescent="0.25">
      <c r="A890">
        <v>65</v>
      </c>
      <c r="B890">
        <v>3</v>
      </c>
      <c r="C890">
        <v>1</v>
      </c>
      <c r="D890">
        <v>2021</v>
      </c>
      <c r="E890">
        <v>8</v>
      </c>
      <c r="F890" t="str">
        <f>IFERROR(VLOOKUP(G890, Map!$A$1:$B$33, 2, FALSE),"WAS")</f>
        <v>NYJ</v>
      </c>
      <c r="G890" t="s">
        <v>166</v>
      </c>
      <c r="H890" t="str">
        <f>IFERROR(VLOOKUP(I890, Map!$A$1:$B$33, 2, FALSE),"WAS")</f>
        <v>CIN</v>
      </c>
      <c r="I890" t="s">
        <v>161</v>
      </c>
      <c r="J890" t="s">
        <v>172</v>
      </c>
      <c r="K890" t="s">
        <v>176</v>
      </c>
      <c r="L890">
        <v>1</v>
      </c>
      <c r="M890">
        <v>0</v>
      </c>
      <c r="N890">
        <v>42.147058823529399</v>
      </c>
      <c r="O890">
        <v>9.8235294117646994</v>
      </c>
      <c r="P890">
        <v>-1.5</v>
      </c>
      <c r="Q890">
        <v>42.5</v>
      </c>
      <c r="R890">
        <v>14.5</v>
      </c>
      <c r="S890">
        <v>18.100000000000001</v>
      </c>
      <c r="T890">
        <v>12.4</v>
      </c>
      <c r="U890">
        <v>13.4</v>
      </c>
      <c r="V890">
        <v>3.8</v>
      </c>
      <c r="W890">
        <v>0</v>
      </c>
      <c r="X890">
        <v>12</v>
      </c>
      <c r="Y890">
        <v>3.8</v>
      </c>
      <c r="Z890">
        <v>20.2</v>
      </c>
      <c r="AA890">
        <v>40</v>
      </c>
      <c r="AB890">
        <v>274</v>
      </c>
      <c r="AC890">
        <v>86</v>
      </c>
      <c r="AD890">
        <v>24.2</v>
      </c>
      <c r="AE890">
        <v>12</v>
      </c>
      <c r="AF890">
        <v>23.321000000000002</v>
      </c>
      <c r="AG890">
        <v>26.373999999999999</v>
      </c>
      <c r="AH890">
        <v>76.492000000000004</v>
      </c>
      <c r="AI890">
        <v>54.396999999999998</v>
      </c>
      <c r="AJ890">
        <v>60.185000000000002</v>
      </c>
      <c r="AK890">
        <v>55.692999999999998</v>
      </c>
      <c r="AL890">
        <v>-9.8049999999999997</v>
      </c>
      <c r="AM890">
        <v>76.492000000000004</v>
      </c>
      <c r="AN890">
        <v>26.373999999999999</v>
      </c>
      <c r="AO890">
        <v>23.321000000000002</v>
      </c>
      <c r="AP890">
        <v>9.8049999999999997</v>
      </c>
      <c r="AQ890">
        <v>39.814999999999998</v>
      </c>
      <c r="AR890">
        <v>45.603000000000002</v>
      </c>
      <c r="AS890">
        <v>44.307000000000002</v>
      </c>
    </row>
    <row r="891" spans="1:45" x14ac:dyDescent="0.25">
      <c r="A891">
        <v>50</v>
      </c>
      <c r="B891">
        <v>-38</v>
      </c>
      <c r="C891">
        <v>0</v>
      </c>
      <c r="D891">
        <v>2021</v>
      </c>
      <c r="E891">
        <v>8</v>
      </c>
      <c r="F891" t="str">
        <f>IFERROR(VLOOKUP(G891, Map!$A$1:$B$33, 2, FALSE),"WAS")</f>
        <v>DET</v>
      </c>
      <c r="G891" t="s">
        <v>164</v>
      </c>
      <c r="H891" t="str">
        <f>IFERROR(VLOOKUP(I891, Map!$A$1:$B$33, 2, FALSE),"WAS")</f>
        <v>PHI</v>
      </c>
      <c r="I891" t="s">
        <v>147</v>
      </c>
      <c r="J891" t="s">
        <v>173</v>
      </c>
      <c r="K891" t="s">
        <v>206</v>
      </c>
      <c r="L891">
        <v>0</v>
      </c>
      <c r="M891">
        <v>0</v>
      </c>
      <c r="N891">
        <v>45</v>
      </c>
      <c r="O891">
        <v>2.9375</v>
      </c>
      <c r="P891">
        <v>3</v>
      </c>
      <c r="Q891">
        <v>47.5</v>
      </c>
      <c r="R891">
        <v>10.8</v>
      </c>
      <c r="S891">
        <v>15.3</v>
      </c>
      <c r="T891">
        <v>8</v>
      </c>
      <c r="U891">
        <v>7.9</v>
      </c>
      <c r="V891">
        <v>0.3</v>
      </c>
      <c r="W891">
        <v>0</v>
      </c>
      <c r="X891">
        <v>2</v>
      </c>
      <c r="Y891">
        <v>0.3</v>
      </c>
      <c r="Z891">
        <v>29.6</v>
      </c>
      <c r="AA891">
        <v>45.7</v>
      </c>
      <c r="AB891">
        <v>288</v>
      </c>
      <c r="AC891">
        <v>82</v>
      </c>
      <c r="AD891">
        <v>26.1</v>
      </c>
      <c r="AE891">
        <v>15.9</v>
      </c>
      <c r="AF891">
        <v>42.904000000000003</v>
      </c>
      <c r="AG891">
        <v>26.638000000000002</v>
      </c>
      <c r="AH891">
        <v>56.752000000000002</v>
      </c>
      <c r="AI891">
        <v>11.696999999999999</v>
      </c>
      <c r="AJ891">
        <v>7.3109999999999999</v>
      </c>
      <c r="AK891">
        <v>1.93</v>
      </c>
      <c r="AL891">
        <v>-2.3580000000000001</v>
      </c>
      <c r="AM891">
        <v>56.752000000000002</v>
      </c>
      <c r="AN891">
        <v>26.638000000000002</v>
      </c>
      <c r="AO891">
        <v>42.904000000000003</v>
      </c>
      <c r="AP891">
        <v>2.3580000000000001</v>
      </c>
      <c r="AQ891">
        <v>92.688999999999993</v>
      </c>
      <c r="AR891">
        <v>88.302999999999997</v>
      </c>
      <c r="AS891">
        <v>98.07</v>
      </c>
    </row>
    <row r="892" spans="1:45" x14ac:dyDescent="0.25">
      <c r="A892">
        <v>75</v>
      </c>
      <c r="B892">
        <v>15</v>
      </c>
      <c r="C892">
        <v>1</v>
      </c>
      <c r="D892">
        <v>2021</v>
      </c>
      <c r="E892">
        <v>9</v>
      </c>
      <c r="F892" t="str">
        <f>IFERROR(VLOOKUP(G892, Map!$A$1:$B$33, 2, FALSE),"WAS")</f>
        <v>IND</v>
      </c>
      <c r="G892" t="s">
        <v>138</v>
      </c>
      <c r="H892" t="str">
        <f>IFERROR(VLOOKUP(I892, Map!$A$1:$B$33, 2, FALSE),"WAS")</f>
        <v>NYJ</v>
      </c>
      <c r="I892" t="s">
        <v>166</v>
      </c>
      <c r="J892" t="s">
        <v>177</v>
      </c>
      <c r="K892" t="s">
        <v>172</v>
      </c>
      <c r="L892">
        <v>1</v>
      </c>
      <c r="M892">
        <v>0</v>
      </c>
      <c r="N892">
        <v>44.625</v>
      </c>
      <c r="O892">
        <v>-9.71875</v>
      </c>
      <c r="P892">
        <v>-10</v>
      </c>
      <c r="Q892">
        <v>45</v>
      </c>
      <c r="R892">
        <v>3.1</v>
      </c>
      <c r="S892">
        <v>9.6</v>
      </c>
      <c r="T892">
        <v>-1.8</v>
      </c>
      <c r="U892">
        <v>-0.6</v>
      </c>
      <c r="V892">
        <v>0</v>
      </c>
      <c r="W892">
        <v>0</v>
      </c>
      <c r="X892">
        <v>0</v>
      </c>
      <c r="Y892">
        <v>0</v>
      </c>
      <c r="Z892">
        <v>11.4</v>
      </c>
      <c r="AA892">
        <v>25.9</v>
      </c>
      <c r="AB892">
        <v>87</v>
      </c>
      <c r="AC892">
        <v>69</v>
      </c>
      <c r="AD892">
        <v>14.8</v>
      </c>
      <c r="AE892">
        <v>7.9</v>
      </c>
      <c r="AF892">
        <v>78.742999999999995</v>
      </c>
      <c r="AG892">
        <v>43.189</v>
      </c>
      <c r="AH892">
        <v>21.088000000000001</v>
      </c>
      <c r="AI892">
        <v>39.636000000000003</v>
      </c>
      <c r="AJ892">
        <v>99.227000000000004</v>
      </c>
      <c r="AK892">
        <v>92.915000000000006</v>
      </c>
      <c r="AL892">
        <v>10.772</v>
      </c>
      <c r="AM892">
        <v>21.088000000000001</v>
      </c>
      <c r="AN892">
        <v>43.189</v>
      </c>
      <c r="AO892">
        <v>78.742999999999995</v>
      </c>
      <c r="AP892">
        <v>-10.772</v>
      </c>
      <c r="AQ892">
        <v>0.77300000000000002</v>
      </c>
      <c r="AR892">
        <v>60.363999999999997</v>
      </c>
      <c r="AS892">
        <v>7.085</v>
      </c>
    </row>
    <row r="893" spans="1:45" x14ac:dyDescent="0.25">
      <c r="A893">
        <v>51</v>
      </c>
      <c r="B893">
        <v>-3</v>
      </c>
      <c r="C893">
        <v>0</v>
      </c>
      <c r="D893">
        <v>2021</v>
      </c>
      <c r="E893">
        <v>9</v>
      </c>
      <c r="F893" t="str">
        <f>IFERROR(VLOOKUP(G893, Map!$A$1:$B$33, 2, FALSE),"WAS")</f>
        <v>PHI</v>
      </c>
      <c r="G893" t="s">
        <v>147</v>
      </c>
      <c r="H893" t="str">
        <f>IFERROR(VLOOKUP(I893, Map!$A$1:$B$33, 2, FALSE),"WAS")</f>
        <v>LAC</v>
      </c>
      <c r="I893" t="s">
        <v>160</v>
      </c>
      <c r="J893" t="s">
        <v>206</v>
      </c>
      <c r="K893" t="s">
        <v>210</v>
      </c>
      <c r="L893">
        <v>0</v>
      </c>
      <c r="M893">
        <v>0</v>
      </c>
      <c r="N893">
        <v>46.466666666666697</v>
      </c>
      <c r="O893">
        <v>0.8</v>
      </c>
      <c r="P893">
        <v>0</v>
      </c>
      <c r="Q893">
        <v>49.5</v>
      </c>
      <c r="R893">
        <v>6.3</v>
      </c>
      <c r="S893">
        <v>12.9</v>
      </c>
      <c r="T893">
        <v>2.2999999999999998</v>
      </c>
      <c r="U893">
        <v>3.1</v>
      </c>
      <c r="V893">
        <v>0</v>
      </c>
      <c r="W893">
        <v>0</v>
      </c>
      <c r="X893">
        <v>0</v>
      </c>
      <c r="Y893">
        <v>0</v>
      </c>
      <c r="Z893">
        <v>11.6</v>
      </c>
      <c r="AA893">
        <v>24.5</v>
      </c>
      <c r="AB893">
        <v>18</v>
      </c>
      <c r="AC893">
        <v>69</v>
      </c>
      <c r="AD893">
        <v>15.3</v>
      </c>
      <c r="AE893">
        <v>8.1999999999999993</v>
      </c>
      <c r="AF893">
        <v>50.411000000000001</v>
      </c>
      <c r="AG893">
        <v>56.94</v>
      </c>
      <c r="AH893">
        <v>49.194000000000003</v>
      </c>
      <c r="AI893">
        <v>18.745999999999999</v>
      </c>
      <c r="AJ893">
        <v>83.103999999999999</v>
      </c>
      <c r="AK893">
        <v>44.615000000000002</v>
      </c>
      <c r="AL893">
        <v>0.20499999999999999</v>
      </c>
      <c r="AM893">
        <v>49.194000000000003</v>
      </c>
      <c r="AN893">
        <v>56.94</v>
      </c>
      <c r="AO893">
        <v>50.411000000000001</v>
      </c>
      <c r="AP893">
        <v>-0.20499999999999999</v>
      </c>
      <c r="AQ893">
        <v>16.896000000000001</v>
      </c>
      <c r="AR893">
        <v>81.254000000000005</v>
      </c>
      <c r="AS893">
        <v>55.384999999999998</v>
      </c>
    </row>
    <row r="894" spans="1:45" x14ac:dyDescent="0.25">
      <c r="A894">
        <v>26</v>
      </c>
      <c r="B894">
        <v>8</v>
      </c>
      <c r="C894">
        <v>1</v>
      </c>
      <c r="D894">
        <v>2021</v>
      </c>
      <c r="E894">
        <v>9</v>
      </c>
      <c r="F894" t="str">
        <f>IFERROR(VLOOKUP(G894, Map!$A$1:$B$33, 2, FALSE),"WAS")</f>
        <v>MIA</v>
      </c>
      <c r="G894" t="s">
        <v>152</v>
      </c>
      <c r="H894" t="str">
        <f>IFERROR(VLOOKUP(I894, Map!$A$1:$B$33, 2, FALSE),"WAS")</f>
        <v>HOU</v>
      </c>
      <c r="I894" t="s">
        <v>137</v>
      </c>
      <c r="J894" t="s">
        <v>175</v>
      </c>
      <c r="K894" t="s">
        <v>209</v>
      </c>
      <c r="L894">
        <v>1</v>
      </c>
      <c r="M894">
        <v>0</v>
      </c>
      <c r="N894">
        <v>41.5</v>
      </c>
      <c r="O894">
        <v>-4.09375</v>
      </c>
      <c r="P894">
        <v>-3.5</v>
      </c>
      <c r="Q894">
        <v>34.5</v>
      </c>
      <c r="R894">
        <v>17.7</v>
      </c>
      <c r="S894">
        <v>23.1</v>
      </c>
      <c r="T894">
        <v>12.5</v>
      </c>
      <c r="U894">
        <v>17</v>
      </c>
      <c r="V894">
        <v>0</v>
      </c>
      <c r="W894">
        <v>0</v>
      </c>
      <c r="X894">
        <v>0</v>
      </c>
      <c r="Y894">
        <v>0</v>
      </c>
      <c r="Z894">
        <v>20.2</v>
      </c>
      <c r="AA894">
        <v>40.299999999999997</v>
      </c>
      <c r="AB894">
        <v>302</v>
      </c>
      <c r="AC894">
        <v>78</v>
      </c>
      <c r="AD894">
        <v>27.4</v>
      </c>
      <c r="AE894">
        <v>14</v>
      </c>
      <c r="AF894">
        <v>73.578000000000003</v>
      </c>
      <c r="AG894">
        <v>27.834</v>
      </c>
      <c r="AH894">
        <v>26.212</v>
      </c>
      <c r="AI894">
        <v>94.144999999999996</v>
      </c>
      <c r="AJ894">
        <v>33.582999999999998</v>
      </c>
      <c r="AK894">
        <v>75.373000000000005</v>
      </c>
      <c r="AL894">
        <v>8.5269999999999992</v>
      </c>
      <c r="AM894">
        <v>26.212</v>
      </c>
      <c r="AN894">
        <v>27.834</v>
      </c>
      <c r="AO894">
        <v>73.578000000000003</v>
      </c>
      <c r="AP894">
        <v>-8.5269999999999992</v>
      </c>
      <c r="AQ894">
        <v>66.417000000000002</v>
      </c>
      <c r="AR894">
        <v>5.8550000000000004</v>
      </c>
      <c r="AS894">
        <v>24.626999999999999</v>
      </c>
    </row>
    <row r="895" spans="1:45" x14ac:dyDescent="0.25">
      <c r="A895">
        <v>48</v>
      </c>
      <c r="B895">
        <v>-14</v>
      </c>
      <c r="C895">
        <v>0</v>
      </c>
      <c r="D895">
        <v>2021</v>
      </c>
      <c r="E895">
        <v>9</v>
      </c>
      <c r="F895" t="str">
        <f>IFERROR(VLOOKUP(G895, Map!$A$1:$B$33, 2, FALSE),"WAS")</f>
        <v>SF</v>
      </c>
      <c r="G895" t="s">
        <v>143</v>
      </c>
      <c r="H895" t="str">
        <f>IFERROR(VLOOKUP(I895, Map!$A$1:$B$33, 2, FALSE),"WAS")</f>
        <v>ARI</v>
      </c>
      <c r="I895" t="s">
        <v>156</v>
      </c>
      <c r="J895" t="s">
        <v>197</v>
      </c>
      <c r="K895" t="s">
        <v>190</v>
      </c>
      <c r="L895">
        <v>0</v>
      </c>
      <c r="M895">
        <v>0</v>
      </c>
      <c r="N895">
        <v>42.46875</v>
      </c>
      <c r="O895">
        <v>-3.78125</v>
      </c>
      <c r="P895">
        <v>-2.5</v>
      </c>
      <c r="Q895">
        <v>44.5</v>
      </c>
      <c r="R895">
        <v>12.1</v>
      </c>
      <c r="S895">
        <v>16.2</v>
      </c>
      <c r="T895">
        <v>6.7</v>
      </c>
      <c r="U895">
        <v>10.1</v>
      </c>
      <c r="V895">
        <v>0</v>
      </c>
      <c r="W895">
        <v>0</v>
      </c>
      <c r="X895">
        <v>0</v>
      </c>
      <c r="Y895">
        <v>0</v>
      </c>
      <c r="Z895">
        <v>20.6</v>
      </c>
      <c r="AA895">
        <v>33.1</v>
      </c>
      <c r="AB895">
        <v>306</v>
      </c>
      <c r="AC895">
        <v>77</v>
      </c>
      <c r="AD895">
        <v>17.899999999999999</v>
      </c>
      <c r="AE895">
        <v>10.7</v>
      </c>
      <c r="AF895">
        <v>52.49</v>
      </c>
      <c r="AG895">
        <v>64.141999999999996</v>
      </c>
      <c r="AH895">
        <v>47.131999999999998</v>
      </c>
      <c r="AI895">
        <v>7.8940000000000001</v>
      </c>
      <c r="AJ895">
        <v>26.614000000000001</v>
      </c>
      <c r="AK895">
        <v>9.3260000000000005</v>
      </c>
      <c r="AL895">
        <v>0.90400000000000003</v>
      </c>
      <c r="AM895">
        <v>47.131999999999998</v>
      </c>
      <c r="AN895">
        <v>64.141999999999996</v>
      </c>
      <c r="AO895">
        <v>52.49</v>
      </c>
      <c r="AP895">
        <v>-0.90400000000000003</v>
      </c>
      <c r="AQ895">
        <v>73.385999999999996</v>
      </c>
      <c r="AR895">
        <v>92.105999999999995</v>
      </c>
      <c r="AS895">
        <v>90.674000000000007</v>
      </c>
    </row>
    <row r="896" spans="1:45" x14ac:dyDescent="0.25">
      <c r="A896">
        <v>46</v>
      </c>
      <c r="B896">
        <v>-14</v>
      </c>
      <c r="C896">
        <v>0</v>
      </c>
      <c r="D896">
        <v>2021</v>
      </c>
      <c r="E896">
        <v>9</v>
      </c>
      <c r="F896" t="str">
        <f>IFERROR(VLOOKUP(G896, Map!$A$1:$B$33, 2, FALSE),"WAS")</f>
        <v>DAL</v>
      </c>
      <c r="G896" t="s">
        <v>150</v>
      </c>
      <c r="H896" t="str">
        <f>IFERROR(VLOOKUP(I896, Map!$A$1:$B$33, 2, FALSE),"WAS")</f>
        <v>DEN</v>
      </c>
      <c r="I896" t="s">
        <v>159</v>
      </c>
      <c r="J896" t="s">
        <v>184</v>
      </c>
      <c r="K896" t="s">
        <v>183</v>
      </c>
      <c r="L896">
        <v>0</v>
      </c>
      <c r="M896">
        <v>0</v>
      </c>
      <c r="N896">
        <v>46.125</v>
      </c>
      <c r="O896">
        <v>-8.15625</v>
      </c>
      <c r="P896">
        <v>8.5</v>
      </c>
      <c r="Q896">
        <v>38.5</v>
      </c>
      <c r="R896">
        <v>14.1</v>
      </c>
      <c r="S896">
        <v>22</v>
      </c>
      <c r="T896">
        <v>8.8000000000000007</v>
      </c>
      <c r="U896">
        <v>12</v>
      </c>
      <c r="V896">
        <v>0</v>
      </c>
      <c r="W896">
        <v>0</v>
      </c>
      <c r="X896">
        <v>0</v>
      </c>
      <c r="Y896">
        <v>0</v>
      </c>
      <c r="Z896">
        <v>16.100000000000001</v>
      </c>
      <c r="AA896">
        <v>29.2</v>
      </c>
      <c r="AB896">
        <v>174</v>
      </c>
      <c r="AC896">
        <v>68</v>
      </c>
      <c r="AD896">
        <v>20.7</v>
      </c>
      <c r="AE896">
        <v>12.1</v>
      </c>
      <c r="AF896">
        <v>69.736999999999995</v>
      </c>
      <c r="AG896">
        <v>64.661000000000001</v>
      </c>
      <c r="AH896">
        <v>30.021999999999998</v>
      </c>
      <c r="AI896">
        <v>19.748000000000001</v>
      </c>
      <c r="AJ896">
        <v>9.11</v>
      </c>
      <c r="AK896">
        <v>7.5540000000000003</v>
      </c>
      <c r="AL896">
        <v>7.0019999999999998</v>
      </c>
      <c r="AM896">
        <v>30.021999999999998</v>
      </c>
      <c r="AN896">
        <v>64.661000000000001</v>
      </c>
      <c r="AO896">
        <v>69.736999999999995</v>
      </c>
      <c r="AP896">
        <v>-7.0019999999999998</v>
      </c>
      <c r="AQ896">
        <v>90.89</v>
      </c>
      <c r="AR896">
        <v>80.251999999999995</v>
      </c>
      <c r="AS896">
        <v>92.445999999999998</v>
      </c>
    </row>
    <row r="897" spans="1:45" x14ac:dyDescent="0.25">
      <c r="A897">
        <v>56</v>
      </c>
      <c r="B897">
        <v>2</v>
      </c>
      <c r="C897">
        <v>1</v>
      </c>
      <c r="D897">
        <v>2021</v>
      </c>
      <c r="E897">
        <v>9</v>
      </c>
      <c r="F897" t="str">
        <f>IFERROR(VLOOKUP(G897, Map!$A$1:$B$33, 2, FALSE),"WAS")</f>
        <v>PIT</v>
      </c>
      <c r="G897" t="s">
        <v>145</v>
      </c>
      <c r="H897" t="str">
        <f>IFERROR(VLOOKUP(I897, Map!$A$1:$B$33, 2, FALSE),"WAS")</f>
        <v>CHI</v>
      </c>
      <c r="I897" t="s">
        <v>163</v>
      </c>
      <c r="J897" t="s">
        <v>170</v>
      </c>
      <c r="K897" t="s">
        <v>216</v>
      </c>
      <c r="L897">
        <v>1</v>
      </c>
      <c r="M897">
        <v>0</v>
      </c>
      <c r="N897">
        <v>38.625</v>
      </c>
      <c r="O897">
        <v>-6.21875</v>
      </c>
      <c r="P897">
        <v>-2</v>
      </c>
      <c r="Q897">
        <v>40</v>
      </c>
      <c r="R897">
        <v>11.6</v>
      </c>
      <c r="S897">
        <v>18.3</v>
      </c>
      <c r="T897">
        <v>6.8</v>
      </c>
      <c r="U897">
        <v>9.1999999999999993</v>
      </c>
      <c r="V897">
        <v>0</v>
      </c>
      <c r="W897">
        <v>0</v>
      </c>
      <c r="X897">
        <v>0</v>
      </c>
      <c r="Y897">
        <v>0</v>
      </c>
      <c r="Z897">
        <v>13.2</v>
      </c>
      <c r="AA897">
        <v>23.4</v>
      </c>
      <c r="AB897">
        <v>215</v>
      </c>
      <c r="AC897">
        <v>68</v>
      </c>
      <c r="AD897">
        <v>18.399999999999999</v>
      </c>
      <c r="AE897">
        <v>9.1</v>
      </c>
      <c r="AF897">
        <v>68.037000000000006</v>
      </c>
      <c r="AG897">
        <v>32.142000000000003</v>
      </c>
      <c r="AH897">
        <v>31.707999999999998</v>
      </c>
      <c r="AI897">
        <v>43.253999999999998</v>
      </c>
      <c r="AJ897">
        <v>69.706999999999994</v>
      </c>
      <c r="AK897">
        <v>66.272000000000006</v>
      </c>
      <c r="AL897">
        <v>6.3559999999999999</v>
      </c>
      <c r="AM897">
        <v>31.707999999999998</v>
      </c>
      <c r="AN897">
        <v>32.142000000000003</v>
      </c>
      <c r="AO897">
        <v>68.037000000000006</v>
      </c>
      <c r="AP897">
        <v>-6.3559999999999999</v>
      </c>
      <c r="AQ897">
        <v>30.292999999999999</v>
      </c>
      <c r="AR897">
        <v>56.746000000000002</v>
      </c>
      <c r="AS897">
        <v>33.728000000000002</v>
      </c>
    </row>
    <row r="898" spans="1:45" x14ac:dyDescent="0.25">
      <c r="A898">
        <v>39</v>
      </c>
      <c r="B898">
        <v>7</v>
      </c>
      <c r="C898">
        <v>1</v>
      </c>
      <c r="D898">
        <v>2021</v>
      </c>
      <c r="E898">
        <v>9</v>
      </c>
      <c r="F898" t="str">
        <f>IFERROR(VLOOKUP(G898, Map!$A$1:$B$33, 2, FALSE),"WAS")</f>
        <v>NYG</v>
      </c>
      <c r="G898" t="s">
        <v>149</v>
      </c>
      <c r="H898" t="str">
        <f>IFERROR(VLOOKUP(I898, Map!$A$1:$B$33, 2, FALSE),"WAS")</f>
        <v>LV</v>
      </c>
      <c r="I898" t="s">
        <v>157</v>
      </c>
      <c r="J898" t="s">
        <v>219</v>
      </c>
      <c r="K898" t="s">
        <v>179</v>
      </c>
      <c r="L898">
        <v>1</v>
      </c>
      <c r="M898">
        <v>0</v>
      </c>
      <c r="N898">
        <v>46.3</v>
      </c>
      <c r="O898">
        <v>2.2999999999999998</v>
      </c>
      <c r="P898">
        <v>2.5</v>
      </c>
      <c r="Q898">
        <v>40.5</v>
      </c>
      <c r="R898">
        <v>6.1</v>
      </c>
      <c r="S898">
        <v>12.2</v>
      </c>
      <c r="T898">
        <v>0.7</v>
      </c>
      <c r="U898">
        <v>3.2</v>
      </c>
      <c r="V898">
        <v>0</v>
      </c>
      <c r="W898">
        <v>0</v>
      </c>
      <c r="X898">
        <v>0</v>
      </c>
      <c r="Y898">
        <v>0</v>
      </c>
      <c r="Z898">
        <v>8.8000000000000007</v>
      </c>
      <c r="AA898">
        <v>19.100000000000001</v>
      </c>
      <c r="AB898">
        <v>347</v>
      </c>
      <c r="AC898">
        <v>70</v>
      </c>
      <c r="AD898">
        <v>11.8</v>
      </c>
      <c r="AE898">
        <v>5.6</v>
      </c>
      <c r="AF898">
        <v>45.381999999999998</v>
      </c>
      <c r="AG898">
        <v>19.521000000000001</v>
      </c>
      <c r="AH898">
        <v>54.253</v>
      </c>
      <c r="AI898">
        <v>71.590999999999994</v>
      </c>
      <c r="AJ898">
        <v>37.695999999999998</v>
      </c>
      <c r="AK898">
        <v>65.95</v>
      </c>
      <c r="AL898">
        <v>-1.4990000000000001</v>
      </c>
      <c r="AM898">
        <v>54.253</v>
      </c>
      <c r="AN898">
        <v>19.521000000000001</v>
      </c>
      <c r="AO898">
        <v>45.381999999999998</v>
      </c>
      <c r="AP898">
        <v>1.4990000000000001</v>
      </c>
      <c r="AQ898">
        <v>62.304000000000002</v>
      </c>
      <c r="AR898">
        <v>28.408999999999999</v>
      </c>
      <c r="AS898">
        <v>34.049999999999997</v>
      </c>
    </row>
    <row r="899" spans="1:45" x14ac:dyDescent="0.25">
      <c r="A899">
        <v>44</v>
      </c>
      <c r="B899">
        <v>-12</v>
      </c>
      <c r="C899">
        <v>0</v>
      </c>
      <c r="D899">
        <v>2021</v>
      </c>
      <c r="E899">
        <v>9</v>
      </c>
      <c r="F899" t="str">
        <f>IFERROR(VLOOKUP(G899, Map!$A$1:$B$33, 2, FALSE),"WAS")</f>
        <v>LA</v>
      </c>
      <c r="G899" t="s">
        <v>155</v>
      </c>
      <c r="H899" t="str">
        <f>IFERROR(VLOOKUP(I899, Map!$A$1:$B$33, 2, FALSE),"WAS")</f>
        <v>TEN</v>
      </c>
      <c r="I899" t="s">
        <v>140</v>
      </c>
      <c r="J899" t="s">
        <v>178</v>
      </c>
      <c r="K899" t="s">
        <v>174</v>
      </c>
      <c r="L899">
        <v>0</v>
      </c>
      <c r="M899">
        <v>0</v>
      </c>
      <c r="N899">
        <v>49.25</v>
      </c>
      <c r="O899">
        <v>-5.5625</v>
      </c>
      <c r="P899">
        <v>-7</v>
      </c>
      <c r="Q899">
        <v>44</v>
      </c>
      <c r="R899">
        <v>15.6</v>
      </c>
      <c r="S899">
        <v>22.3</v>
      </c>
      <c r="T899">
        <v>12.1</v>
      </c>
      <c r="U899">
        <v>15.2</v>
      </c>
      <c r="V899">
        <v>0</v>
      </c>
      <c r="W899">
        <v>0</v>
      </c>
      <c r="X899">
        <v>0</v>
      </c>
      <c r="Y899">
        <v>0</v>
      </c>
      <c r="Z899">
        <v>15.5</v>
      </c>
      <c r="AA899">
        <v>30.2</v>
      </c>
      <c r="AB899">
        <v>119</v>
      </c>
      <c r="AC899">
        <v>83</v>
      </c>
      <c r="AD899">
        <v>16</v>
      </c>
      <c r="AE899">
        <v>7.8</v>
      </c>
      <c r="AF899">
        <v>71.131</v>
      </c>
      <c r="AG899">
        <v>66.986000000000004</v>
      </c>
      <c r="AH899">
        <v>28.638999999999999</v>
      </c>
      <c r="AI899">
        <v>65.64</v>
      </c>
      <c r="AJ899">
        <v>3.86</v>
      </c>
      <c r="AK899">
        <v>12.853999999999999</v>
      </c>
      <c r="AL899">
        <v>7.5439999999999996</v>
      </c>
      <c r="AM899">
        <v>28.638999999999999</v>
      </c>
      <c r="AN899">
        <v>66.986000000000004</v>
      </c>
      <c r="AO899">
        <v>71.131</v>
      </c>
      <c r="AP899">
        <v>-7.5439999999999996</v>
      </c>
      <c r="AQ899">
        <v>96.14</v>
      </c>
      <c r="AR899">
        <v>34.36</v>
      </c>
      <c r="AS899">
        <v>87.146000000000001</v>
      </c>
    </row>
    <row r="900" spans="1:45" x14ac:dyDescent="0.25">
      <c r="A900">
        <v>57</v>
      </c>
      <c r="B900">
        <v>-25</v>
      </c>
      <c r="C900">
        <v>0</v>
      </c>
      <c r="D900">
        <v>2021</v>
      </c>
      <c r="E900">
        <v>9</v>
      </c>
      <c r="F900" t="str">
        <f>IFERROR(VLOOKUP(G900, Map!$A$1:$B$33, 2, FALSE),"WAS")</f>
        <v>CIN</v>
      </c>
      <c r="G900" t="s">
        <v>161</v>
      </c>
      <c r="H900" t="str">
        <f>IFERROR(VLOOKUP(I900, Map!$A$1:$B$33, 2, FALSE),"WAS")</f>
        <v>CLE</v>
      </c>
      <c r="I900" t="s">
        <v>162</v>
      </c>
      <c r="J900" t="s">
        <v>176</v>
      </c>
      <c r="K900" t="s">
        <v>171</v>
      </c>
      <c r="L900">
        <v>0</v>
      </c>
      <c r="M900">
        <v>0</v>
      </c>
      <c r="N900">
        <v>45.03125</v>
      </c>
      <c r="O900">
        <v>-0.65625</v>
      </c>
      <c r="P900">
        <v>-1.5</v>
      </c>
      <c r="Q900">
        <v>45.5</v>
      </c>
      <c r="R900">
        <v>8.1999999999999993</v>
      </c>
      <c r="S900">
        <v>15.6</v>
      </c>
      <c r="T900">
        <v>2.2999999999999998</v>
      </c>
      <c r="U900">
        <v>5.6</v>
      </c>
      <c r="V900">
        <v>0</v>
      </c>
      <c r="W900">
        <v>0</v>
      </c>
      <c r="X900">
        <v>0</v>
      </c>
      <c r="Y900">
        <v>0</v>
      </c>
      <c r="Z900">
        <v>10.3</v>
      </c>
      <c r="AA900">
        <v>16.600000000000001</v>
      </c>
      <c r="AB900">
        <v>231</v>
      </c>
      <c r="AC900">
        <v>66</v>
      </c>
      <c r="AD900">
        <v>10.3</v>
      </c>
      <c r="AE900">
        <v>5.3</v>
      </c>
      <c r="AF900">
        <v>53.054000000000002</v>
      </c>
      <c r="AG900">
        <v>57.043999999999997</v>
      </c>
      <c r="AH900">
        <v>46.572000000000003</v>
      </c>
      <c r="AI900">
        <v>2.6440000000000001</v>
      </c>
      <c r="AJ900">
        <v>10.11</v>
      </c>
      <c r="AK900">
        <v>4.0220000000000002</v>
      </c>
      <c r="AL900">
        <v>1.095</v>
      </c>
      <c r="AM900">
        <v>46.572000000000003</v>
      </c>
      <c r="AN900">
        <v>57.043999999999997</v>
      </c>
      <c r="AO900">
        <v>53.054000000000002</v>
      </c>
      <c r="AP900">
        <v>-1.095</v>
      </c>
      <c r="AQ900">
        <v>89.89</v>
      </c>
      <c r="AR900">
        <v>97.355999999999995</v>
      </c>
      <c r="AS900">
        <v>95.977999999999994</v>
      </c>
    </row>
    <row r="901" spans="1:45" x14ac:dyDescent="0.25">
      <c r="A901">
        <v>15</v>
      </c>
      <c r="B901">
        <v>3</v>
      </c>
      <c r="C901">
        <v>1</v>
      </c>
      <c r="D901">
        <v>2021</v>
      </c>
      <c r="E901">
        <v>9</v>
      </c>
      <c r="F901" t="str">
        <f>IFERROR(VLOOKUP(G901, Map!$A$1:$B$33, 2, FALSE),"WAS")</f>
        <v>JAX</v>
      </c>
      <c r="G901" t="s">
        <v>139</v>
      </c>
      <c r="H901" t="str">
        <f>IFERROR(VLOOKUP(I901, Map!$A$1:$B$33, 2, FALSE),"WAS")</f>
        <v>BUF</v>
      </c>
      <c r="I901" t="s">
        <v>165</v>
      </c>
      <c r="J901" t="s">
        <v>220</v>
      </c>
      <c r="K901" t="s">
        <v>180</v>
      </c>
      <c r="L901">
        <v>1</v>
      </c>
      <c r="M901">
        <v>0</v>
      </c>
      <c r="N901">
        <v>43.4375</v>
      </c>
      <c r="O901">
        <v>12.71875</v>
      </c>
      <c r="P901">
        <v>-3</v>
      </c>
      <c r="Q901">
        <v>16.5</v>
      </c>
      <c r="R901">
        <v>12.3</v>
      </c>
      <c r="S901">
        <v>18.5</v>
      </c>
      <c r="T901">
        <v>8.9</v>
      </c>
      <c r="U901">
        <v>9</v>
      </c>
      <c r="V901">
        <v>3.1</v>
      </c>
      <c r="W901">
        <v>0</v>
      </c>
      <c r="X901">
        <v>14</v>
      </c>
      <c r="Y901">
        <v>3.1</v>
      </c>
      <c r="Z901">
        <v>26.9</v>
      </c>
      <c r="AA901">
        <v>47.5</v>
      </c>
      <c r="AB901">
        <v>329</v>
      </c>
      <c r="AC901">
        <v>84</v>
      </c>
      <c r="AD901">
        <v>38.1</v>
      </c>
      <c r="AE901">
        <v>22</v>
      </c>
      <c r="AF901">
        <v>13.318</v>
      </c>
      <c r="AG901">
        <v>50.128999999999998</v>
      </c>
      <c r="AH901">
        <v>86.575000000000003</v>
      </c>
      <c r="AI901">
        <v>86.8</v>
      </c>
      <c r="AJ901">
        <v>25.791</v>
      </c>
      <c r="AK901">
        <v>57.95</v>
      </c>
      <c r="AL901">
        <v>-14.923999999999999</v>
      </c>
      <c r="AM901">
        <v>86.575000000000003</v>
      </c>
      <c r="AN901">
        <v>50.128999999999998</v>
      </c>
      <c r="AO901">
        <v>13.318</v>
      </c>
      <c r="AP901">
        <v>14.923999999999999</v>
      </c>
      <c r="AQ901">
        <v>74.209000000000003</v>
      </c>
      <c r="AR901">
        <v>13.2</v>
      </c>
      <c r="AS901">
        <v>42.05</v>
      </c>
    </row>
    <row r="902" spans="1:45" x14ac:dyDescent="0.25">
      <c r="A902">
        <v>65</v>
      </c>
      <c r="B902">
        <v>3</v>
      </c>
      <c r="C902">
        <v>1</v>
      </c>
      <c r="D902">
        <v>2021</v>
      </c>
      <c r="E902">
        <v>9</v>
      </c>
      <c r="F902" t="str">
        <f>IFERROR(VLOOKUP(G902, Map!$A$1:$B$33, 2, FALSE),"WAS")</f>
        <v>BAL</v>
      </c>
      <c r="G902" t="s">
        <v>146</v>
      </c>
      <c r="H902" t="str">
        <f>IFERROR(VLOOKUP(I902, Map!$A$1:$B$33, 2, FALSE),"WAS")</f>
        <v>MIN</v>
      </c>
      <c r="I902" t="s">
        <v>153</v>
      </c>
      <c r="J902" t="s">
        <v>181</v>
      </c>
      <c r="K902" t="s">
        <v>214</v>
      </c>
      <c r="L902">
        <v>1</v>
      </c>
      <c r="M902">
        <v>0</v>
      </c>
      <c r="N902">
        <v>48.65625</v>
      </c>
      <c r="O902">
        <v>-6.21875</v>
      </c>
      <c r="P902">
        <v>-2.5</v>
      </c>
      <c r="Q902">
        <v>49.5</v>
      </c>
      <c r="R902">
        <v>7.4</v>
      </c>
      <c r="S902">
        <v>13.1</v>
      </c>
      <c r="T902">
        <v>3.2</v>
      </c>
      <c r="U902">
        <v>4.2</v>
      </c>
      <c r="V902">
        <v>0</v>
      </c>
      <c r="W902">
        <v>0</v>
      </c>
      <c r="X902">
        <v>0</v>
      </c>
      <c r="Y902">
        <v>0</v>
      </c>
      <c r="Z902">
        <v>14.1</v>
      </c>
      <c r="AA902">
        <v>28.1</v>
      </c>
      <c r="AB902">
        <v>10</v>
      </c>
      <c r="AC902">
        <v>69</v>
      </c>
      <c r="AD902">
        <v>18</v>
      </c>
      <c r="AE902">
        <v>9.5</v>
      </c>
      <c r="AF902">
        <v>63.473999999999997</v>
      </c>
      <c r="AG902">
        <v>55.780999999999999</v>
      </c>
      <c r="AH902">
        <v>36.234999999999999</v>
      </c>
      <c r="AI902">
        <v>29.890999999999998</v>
      </c>
      <c r="AJ902">
        <v>73.05</v>
      </c>
      <c r="AK902">
        <v>51.63</v>
      </c>
      <c r="AL902">
        <v>4.6870000000000003</v>
      </c>
      <c r="AM902">
        <v>36.234999999999999</v>
      </c>
      <c r="AN902">
        <v>55.780999999999999</v>
      </c>
      <c r="AO902">
        <v>63.473999999999997</v>
      </c>
      <c r="AP902">
        <v>-4.6870000000000003</v>
      </c>
      <c r="AQ902">
        <v>26.95</v>
      </c>
      <c r="AR902">
        <v>70.108999999999995</v>
      </c>
      <c r="AS902">
        <v>48.37</v>
      </c>
    </row>
    <row r="903" spans="1:45" x14ac:dyDescent="0.25">
      <c r="A903">
        <v>30</v>
      </c>
      <c r="B903">
        <v>-18</v>
      </c>
      <c r="C903">
        <v>0</v>
      </c>
      <c r="D903">
        <v>2021</v>
      </c>
      <c r="E903">
        <v>9</v>
      </c>
      <c r="F903" t="str">
        <f>IFERROR(VLOOKUP(G903, Map!$A$1:$B$33, 2, FALSE),"WAS")</f>
        <v>CAR</v>
      </c>
      <c r="G903" t="s">
        <v>142</v>
      </c>
      <c r="H903" t="str">
        <f>IFERROR(VLOOKUP(I903, Map!$A$1:$B$33, 2, FALSE),"WAS")</f>
        <v>NE</v>
      </c>
      <c r="I903" t="s">
        <v>151</v>
      </c>
      <c r="J903" t="s">
        <v>185</v>
      </c>
      <c r="K903" t="s">
        <v>187</v>
      </c>
      <c r="L903">
        <v>0</v>
      </c>
      <c r="M903">
        <v>0</v>
      </c>
      <c r="N903">
        <v>39</v>
      </c>
      <c r="O903">
        <v>3.34375</v>
      </c>
      <c r="P903">
        <v>3</v>
      </c>
      <c r="Q903">
        <v>39.5</v>
      </c>
      <c r="R903">
        <v>10.8</v>
      </c>
      <c r="S903">
        <v>16.7</v>
      </c>
      <c r="T903">
        <v>7.9</v>
      </c>
      <c r="U903">
        <v>6.2</v>
      </c>
      <c r="V903">
        <v>0</v>
      </c>
      <c r="W903">
        <v>0</v>
      </c>
      <c r="X903">
        <v>0</v>
      </c>
      <c r="Y903">
        <v>0</v>
      </c>
      <c r="Z903">
        <v>22.9</v>
      </c>
      <c r="AA903">
        <v>40</v>
      </c>
      <c r="AB903">
        <v>19</v>
      </c>
      <c r="AC903">
        <v>52</v>
      </c>
      <c r="AD903">
        <v>34.299999999999997</v>
      </c>
      <c r="AE903">
        <v>18.399999999999999</v>
      </c>
      <c r="AF903">
        <v>43.847000000000001</v>
      </c>
      <c r="AG903">
        <v>52.029000000000003</v>
      </c>
      <c r="AH903">
        <v>55.801000000000002</v>
      </c>
      <c r="AI903">
        <v>72.227999999999994</v>
      </c>
      <c r="AJ903">
        <v>0.65800000000000003</v>
      </c>
      <c r="AK903">
        <v>11.471</v>
      </c>
      <c r="AL903">
        <v>-2.024</v>
      </c>
      <c r="AM903">
        <v>55.801000000000002</v>
      </c>
      <c r="AN903">
        <v>52.029000000000003</v>
      </c>
      <c r="AO903">
        <v>43.847000000000001</v>
      </c>
      <c r="AP903">
        <v>2.024</v>
      </c>
      <c r="AQ903">
        <v>99.341999999999999</v>
      </c>
      <c r="AR903">
        <v>27.771999999999998</v>
      </c>
      <c r="AS903">
        <v>88.528999999999996</v>
      </c>
    </row>
    <row r="904" spans="1:45" x14ac:dyDescent="0.25">
      <c r="A904">
        <v>20</v>
      </c>
      <c r="B904">
        <v>6</v>
      </c>
      <c r="C904">
        <v>1</v>
      </c>
      <c r="D904">
        <v>2021</v>
      </c>
      <c r="E904">
        <v>9</v>
      </c>
      <c r="F904" t="str">
        <f>IFERROR(VLOOKUP(G904, Map!$A$1:$B$33, 2, FALSE),"WAS")</f>
        <v>KC</v>
      </c>
      <c r="G904" t="s">
        <v>158</v>
      </c>
      <c r="H904" t="str">
        <f>IFERROR(VLOOKUP(I904, Map!$A$1:$B$33, 2, FALSE),"WAS")</f>
        <v>GB</v>
      </c>
      <c r="I904" t="s">
        <v>154</v>
      </c>
      <c r="J904" t="s">
        <v>202</v>
      </c>
      <c r="K904" t="s">
        <v>200</v>
      </c>
      <c r="L904">
        <v>1</v>
      </c>
      <c r="M904">
        <v>0</v>
      </c>
      <c r="N904">
        <v>43.59375</v>
      </c>
      <c r="O904">
        <v>-6.875</v>
      </c>
      <c r="P904">
        <v>-7</v>
      </c>
      <c r="Q904">
        <v>24.5</v>
      </c>
      <c r="R904">
        <v>12.4</v>
      </c>
      <c r="S904">
        <v>18.899999999999999</v>
      </c>
      <c r="T904">
        <v>8.1999999999999993</v>
      </c>
      <c r="U904">
        <v>9.5</v>
      </c>
      <c r="V904">
        <v>0</v>
      </c>
      <c r="W904">
        <v>0</v>
      </c>
      <c r="X904">
        <v>0</v>
      </c>
      <c r="Y904">
        <v>0</v>
      </c>
      <c r="Z904">
        <v>22.3</v>
      </c>
      <c r="AA904">
        <v>40.299999999999997</v>
      </c>
      <c r="AB904">
        <v>182</v>
      </c>
      <c r="AC904">
        <v>72</v>
      </c>
      <c r="AD904">
        <v>27.3</v>
      </c>
      <c r="AE904">
        <v>15.2</v>
      </c>
      <c r="AF904">
        <v>58.247999999999998</v>
      </c>
      <c r="AG904">
        <v>73.986000000000004</v>
      </c>
      <c r="AH904">
        <v>41.42</v>
      </c>
      <c r="AI904">
        <v>71.721999999999994</v>
      </c>
      <c r="AJ904">
        <v>28.873999999999999</v>
      </c>
      <c r="AK904">
        <v>79.694000000000003</v>
      </c>
      <c r="AL904">
        <v>2.86</v>
      </c>
      <c r="AM904">
        <v>41.42</v>
      </c>
      <c r="AN904">
        <v>73.986000000000004</v>
      </c>
      <c r="AO904">
        <v>58.247999999999998</v>
      </c>
      <c r="AP904">
        <v>-2.86</v>
      </c>
      <c r="AQ904">
        <v>71.126000000000005</v>
      </c>
      <c r="AR904">
        <v>28.277999999999999</v>
      </c>
      <c r="AS904">
        <v>20.306000000000001</v>
      </c>
    </row>
    <row r="905" spans="1:45" x14ac:dyDescent="0.25">
      <c r="A905">
        <v>52</v>
      </c>
      <c r="B905">
        <v>-2</v>
      </c>
      <c r="C905">
        <v>0</v>
      </c>
      <c r="D905">
        <v>2021</v>
      </c>
      <c r="E905">
        <v>9</v>
      </c>
      <c r="F905" t="str">
        <f>IFERROR(VLOOKUP(G905, Map!$A$1:$B$33, 2, FALSE),"WAS")</f>
        <v>NO</v>
      </c>
      <c r="G905" t="s">
        <v>168</v>
      </c>
      <c r="H905" t="str">
        <f>IFERROR(VLOOKUP(I905, Map!$A$1:$B$33, 2, FALSE),"WAS")</f>
        <v>ATL</v>
      </c>
      <c r="I905" t="s">
        <v>167</v>
      </c>
      <c r="J905" t="s">
        <v>192</v>
      </c>
      <c r="K905" t="s">
        <v>188</v>
      </c>
      <c r="L905">
        <v>0</v>
      </c>
      <c r="M905">
        <v>0</v>
      </c>
      <c r="N905">
        <v>40.4375</v>
      </c>
      <c r="O905">
        <v>-5.46875</v>
      </c>
      <c r="P905">
        <v>4.5</v>
      </c>
      <c r="Q905">
        <v>42.5</v>
      </c>
      <c r="R905">
        <v>14.5</v>
      </c>
      <c r="S905">
        <v>17.100000000000001</v>
      </c>
      <c r="T905">
        <v>11.2</v>
      </c>
      <c r="U905">
        <v>12.9</v>
      </c>
      <c r="V905">
        <v>0</v>
      </c>
      <c r="W905">
        <v>0</v>
      </c>
      <c r="X905">
        <v>0</v>
      </c>
      <c r="Y905">
        <v>0</v>
      </c>
      <c r="Z905">
        <v>13.9</v>
      </c>
      <c r="AA905">
        <v>27.4</v>
      </c>
      <c r="AB905">
        <v>17</v>
      </c>
      <c r="AC905">
        <v>70</v>
      </c>
      <c r="AD905">
        <v>19.100000000000001</v>
      </c>
      <c r="AE905">
        <v>9.5</v>
      </c>
      <c r="AF905">
        <v>69.213999999999999</v>
      </c>
      <c r="AG905">
        <v>41.098999999999997</v>
      </c>
      <c r="AH905">
        <v>30.541</v>
      </c>
      <c r="AI905">
        <v>33.759</v>
      </c>
      <c r="AJ905">
        <v>34.219000000000001</v>
      </c>
      <c r="AK905">
        <v>35.237000000000002</v>
      </c>
      <c r="AL905">
        <v>6.8019999999999996</v>
      </c>
      <c r="AM905">
        <v>30.541</v>
      </c>
      <c r="AN905">
        <v>41.098999999999997</v>
      </c>
      <c r="AO905">
        <v>69.213999999999999</v>
      </c>
      <c r="AP905">
        <v>-6.8019999999999996</v>
      </c>
      <c r="AQ905">
        <v>65.781000000000006</v>
      </c>
      <c r="AR905">
        <v>66.241</v>
      </c>
      <c r="AS905">
        <v>64.763000000000005</v>
      </c>
    </row>
    <row r="906" spans="1:45" x14ac:dyDescent="0.25">
      <c r="A906">
        <v>40</v>
      </c>
      <c r="B906">
        <v>6</v>
      </c>
      <c r="C906">
        <v>1</v>
      </c>
      <c r="D906">
        <v>2021</v>
      </c>
      <c r="E906">
        <v>10</v>
      </c>
      <c r="F906" t="str">
        <f>IFERROR(VLOOKUP(G906, Map!$A$1:$B$33, 2, FALSE),"WAS")</f>
        <v>IND</v>
      </c>
      <c r="G906" t="s">
        <v>138</v>
      </c>
      <c r="H906" t="str">
        <f>IFERROR(VLOOKUP(I906, Map!$A$1:$B$33, 2, FALSE),"WAS")</f>
        <v>JAX</v>
      </c>
      <c r="I906" t="s">
        <v>139</v>
      </c>
      <c r="J906" t="s">
        <v>177</v>
      </c>
      <c r="K906" t="s">
        <v>220</v>
      </c>
      <c r="L906">
        <v>1</v>
      </c>
      <c r="M906">
        <v>0</v>
      </c>
      <c r="N906">
        <v>44.735294117647101</v>
      </c>
      <c r="O906">
        <v>-9.5588235294117592</v>
      </c>
      <c r="P906">
        <v>-5.5</v>
      </c>
      <c r="Q906">
        <v>41.5</v>
      </c>
      <c r="R906">
        <v>2.1</v>
      </c>
      <c r="S906">
        <v>4.5</v>
      </c>
      <c r="T906">
        <v>0.8</v>
      </c>
      <c r="U906">
        <v>-2.9</v>
      </c>
      <c r="V906">
        <v>5.3</v>
      </c>
      <c r="W906">
        <v>3.15</v>
      </c>
      <c r="X906">
        <v>9</v>
      </c>
      <c r="Y906">
        <v>0.8</v>
      </c>
      <c r="Z906">
        <v>30</v>
      </c>
      <c r="AA906">
        <v>58.3</v>
      </c>
      <c r="AB906">
        <v>235</v>
      </c>
      <c r="AC906">
        <v>75</v>
      </c>
      <c r="AD906">
        <v>32.799999999999997</v>
      </c>
      <c r="AE906">
        <v>17.399999999999999</v>
      </c>
      <c r="AF906">
        <v>78.069999999999993</v>
      </c>
      <c r="AG906">
        <v>44.692999999999998</v>
      </c>
      <c r="AH906">
        <v>21.756</v>
      </c>
      <c r="AI906">
        <v>66.284999999999997</v>
      </c>
      <c r="AJ906">
        <v>35.6</v>
      </c>
      <c r="AK906">
        <v>69.295000000000002</v>
      </c>
      <c r="AL906">
        <v>10.419</v>
      </c>
      <c r="AM906">
        <v>21.756</v>
      </c>
      <c r="AN906">
        <v>44.692999999999998</v>
      </c>
      <c r="AO906">
        <v>78.069999999999993</v>
      </c>
      <c r="AP906">
        <v>-10.419</v>
      </c>
      <c r="AQ906">
        <v>64.400000000000006</v>
      </c>
      <c r="AR906">
        <v>33.715000000000003</v>
      </c>
      <c r="AS906">
        <v>30.704999999999998</v>
      </c>
    </row>
    <row r="907" spans="1:45" x14ac:dyDescent="0.25">
      <c r="A907">
        <v>55</v>
      </c>
      <c r="B907">
        <v>-27</v>
      </c>
      <c r="C907">
        <v>0</v>
      </c>
      <c r="D907">
        <v>2021</v>
      </c>
      <c r="E907">
        <v>10</v>
      </c>
      <c r="F907" t="str">
        <f>IFERROR(VLOOKUP(G907, Map!$A$1:$B$33, 2, FALSE),"WAS")</f>
        <v>LV</v>
      </c>
      <c r="G907" t="s">
        <v>157</v>
      </c>
      <c r="H907" t="str">
        <f>IFERROR(VLOOKUP(I907, Map!$A$1:$B$33, 2, FALSE),"WAS")</f>
        <v>KC</v>
      </c>
      <c r="I907" t="s">
        <v>158</v>
      </c>
      <c r="J907" t="s">
        <v>179</v>
      </c>
      <c r="K907" t="s">
        <v>202</v>
      </c>
      <c r="L907">
        <v>0</v>
      </c>
      <c r="M907">
        <v>0</v>
      </c>
      <c r="N907">
        <v>53.84375</v>
      </c>
      <c r="O907">
        <v>3.71875</v>
      </c>
      <c r="P907">
        <v>2.5</v>
      </c>
      <c r="Q907">
        <v>51.5</v>
      </c>
      <c r="R907">
        <v>19.399999999999999</v>
      </c>
      <c r="S907">
        <v>24.3</v>
      </c>
      <c r="T907">
        <v>12.5</v>
      </c>
      <c r="U907">
        <v>16.5</v>
      </c>
      <c r="V907">
        <v>0</v>
      </c>
      <c r="W907">
        <v>0</v>
      </c>
      <c r="X907">
        <v>0</v>
      </c>
      <c r="Y907">
        <v>0</v>
      </c>
      <c r="Z907">
        <v>6.2</v>
      </c>
      <c r="AA907">
        <v>13.7</v>
      </c>
      <c r="AB907">
        <v>298</v>
      </c>
      <c r="AC907">
        <v>25</v>
      </c>
      <c r="AD907">
        <v>7</v>
      </c>
      <c r="AE907">
        <v>3.5</v>
      </c>
      <c r="AF907">
        <v>47.203000000000003</v>
      </c>
      <c r="AG907">
        <v>65.113</v>
      </c>
      <c r="AH907">
        <v>52.417999999999999</v>
      </c>
      <c r="AI907">
        <v>8.375</v>
      </c>
      <c r="AJ907">
        <v>42.384</v>
      </c>
      <c r="AK907">
        <v>11.089</v>
      </c>
      <c r="AL907">
        <v>-0.877</v>
      </c>
      <c r="AM907">
        <v>52.417999999999999</v>
      </c>
      <c r="AN907">
        <v>65.113</v>
      </c>
      <c r="AO907">
        <v>47.203000000000003</v>
      </c>
      <c r="AP907">
        <v>0.877</v>
      </c>
      <c r="AQ907">
        <v>57.616</v>
      </c>
      <c r="AR907">
        <v>91.625</v>
      </c>
      <c r="AS907">
        <v>88.911000000000001</v>
      </c>
    </row>
    <row r="908" spans="1:45" x14ac:dyDescent="0.25">
      <c r="A908">
        <v>44</v>
      </c>
      <c r="B908">
        <v>-24</v>
      </c>
      <c r="C908">
        <v>0</v>
      </c>
      <c r="D908">
        <v>2021</v>
      </c>
      <c r="E908">
        <v>10</v>
      </c>
      <c r="F908" t="str">
        <f>IFERROR(VLOOKUP(G908, Map!$A$1:$B$33, 2, FALSE),"WAS")</f>
        <v>ARI</v>
      </c>
      <c r="G908" t="s">
        <v>156</v>
      </c>
      <c r="H908" t="str">
        <f>IFERROR(VLOOKUP(I908, Map!$A$1:$B$33, 2, FALSE),"WAS")</f>
        <v>CAR</v>
      </c>
      <c r="I908" t="s">
        <v>142</v>
      </c>
      <c r="J908" t="s">
        <v>190</v>
      </c>
      <c r="K908" t="s">
        <v>185</v>
      </c>
      <c r="L908">
        <v>0</v>
      </c>
      <c r="M908">
        <v>0</v>
      </c>
      <c r="N908">
        <v>39.647058823529399</v>
      </c>
      <c r="O908">
        <v>-4.7941176470588198</v>
      </c>
      <c r="P908">
        <v>-7</v>
      </c>
      <c r="Q908">
        <v>41.5</v>
      </c>
      <c r="R908">
        <v>24.2</v>
      </c>
      <c r="S908">
        <v>32.299999999999997</v>
      </c>
      <c r="T908">
        <v>18.399999999999999</v>
      </c>
      <c r="U908">
        <v>21.5</v>
      </c>
      <c r="V908">
        <v>0</v>
      </c>
      <c r="W908">
        <v>0</v>
      </c>
      <c r="X908">
        <v>0</v>
      </c>
      <c r="Y908">
        <v>0</v>
      </c>
      <c r="Z908">
        <v>8.1</v>
      </c>
      <c r="AA908">
        <v>22.7</v>
      </c>
      <c r="AB908">
        <v>293</v>
      </c>
      <c r="AC908">
        <v>22</v>
      </c>
      <c r="AD908">
        <v>9.9</v>
      </c>
      <c r="AE908">
        <v>4.0999999999999996</v>
      </c>
      <c r="AF908">
        <v>76.34</v>
      </c>
      <c r="AG908">
        <v>41.676000000000002</v>
      </c>
      <c r="AH908">
        <v>23.471</v>
      </c>
      <c r="AI908">
        <v>37.268000000000001</v>
      </c>
      <c r="AJ908">
        <v>0.22800000000000001</v>
      </c>
      <c r="AK908">
        <v>1.9990000000000001</v>
      </c>
      <c r="AL908">
        <v>9.6530000000000005</v>
      </c>
      <c r="AM908">
        <v>23.471</v>
      </c>
      <c r="AN908">
        <v>41.676000000000002</v>
      </c>
      <c r="AO908">
        <v>76.34</v>
      </c>
      <c r="AP908">
        <v>-9.6530000000000005</v>
      </c>
      <c r="AQ908">
        <v>99.772000000000006</v>
      </c>
      <c r="AR908">
        <v>62.731999999999999</v>
      </c>
      <c r="AS908">
        <v>98.001000000000005</v>
      </c>
    </row>
    <row r="909" spans="1:45" x14ac:dyDescent="0.25">
      <c r="A909">
        <v>62</v>
      </c>
      <c r="B909">
        <v>-28</v>
      </c>
      <c r="C909">
        <v>0</v>
      </c>
      <c r="D909">
        <v>2021</v>
      </c>
      <c r="E909">
        <v>10</v>
      </c>
      <c r="F909" t="str">
        <f>IFERROR(VLOOKUP(G909, Map!$A$1:$B$33, 2, FALSE),"WAS")</f>
        <v>NYJ</v>
      </c>
      <c r="G909" t="s">
        <v>166</v>
      </c>
      <c r="H909" t="str">
        <f>IFERROR(VLOOKUP(I909, Map!$A$1:$B$33, 2, FALSE),"WAS")</f>
        <v>BUF</v>
      </c>
      <c r="I909" t="s">
        <v>165</v>
      </c>
      <c r="J909" t="s">
        <v>172</v>
      </c>
      <c r="K909" t="s">
        <v>180</v>
      </c>
      <c r="L909">
        <v>0</v>
      </c>
      <c r="M909">
        <v>0</v>
      </c>
      <c r="N909">
        <v>46.058823529411796</v>
      </c>
      <c r="O909">
        <v>13.705882352941201</v>
      </c>
      <c r="P909">
        <v>12.5</v>
      </c>
      <c r="Q909">
        <v>47.5</v>
      </c>
      <c r="R909">
        <v>5.3</v>
      </c>
      <c r="S909">
        <v>8.4</v>
      </c>
      <c r="T909">
        <v>2.2000000000000002</v>
      </c>
      <c r="U909">
        <v>1.1000000000000001</v>
      </c>
      <c r="V909">
        <v>0</v>
      </c>
      <c r="W909">
        <v>0</v>
      </c>
      <c r="X909">
        <v>0</v>
      </c>
      <c r="Y909">
        <v>0</v>
      </c>
      <c r="Z909">
        <v>23.5</v>
      </c>
      <c r="AA909">
        <v>47.2</v>
      </c>
      <c r="AB909">
        <v>245</v>
      </c>
      <c r="AC909">
        <v>65</v>
      </c>
      <c r="AD909">
        <v>28.5</v>
      </c>
      <c r="AE909">
        <v>13.9</v>
      </c>
      <c r="AF909">
        <v>17.015999999999998</v>
      </c>
      <c r="AG909">
        <v>51.332000000000001</v>
      </c>
      <c r="AH909">
        <v>82.847999999999999</v>
      </c>
      <c r="AI909">
        <v>5.1589999999999998</v>
      </c>
      <c r="AJ909">
        <v>15.119</v>
      </c>
      <c r="AK909">
        <v>4.2789999999999999</v>
      </c>
      <c r="AL909">
        <v>-12.742000000000001</v>
      </c>
      <c r="AM909">
        <v>82.847999999999999</v>
      </c>
      <c r="AN909">
        <v>51.332000000000001</v>
      </c>
      <c r="AO909">
        <v>17.015999999999998</v>
      </c>
      <c r="AP909">
        <v>12.742000000000001</v>
      </c>
      <c r="AQ909">
        <v>84.881</v>
      </c>
      <c r="AR909">
        <v>94.840999999999994</v>
      </c>
      <c r="AS909">
        <v>95.721000000000004</v>
      </c>
    </row>
    <row r="910" spans="1:45" x14ac:dyDescent="0.25">
      <c r="A910">
        <v>44</v>
      </c>
      <c r="B910">
        <v>2</v>
      </c>
      <c r="C910">
        <v>1</v>
      </c>
      <c r="D910">
        <v>2021</v>
      </c>
      <c r="E910">
        <v>10</v>
      </c>
      <c r="F910" t="str">
        <f>IFERROR(VLOOKUP(G910, Map!$A$1:$B$33, 2, FALSE),"WAS")</f>
        <v>TEN</v>
      </c>
      <c r="G910" t="s">
        <v>140</v>
      </c>
      <c r="H910" t="str">
        <f>IFERROR(VLOOKUP(I910, Map!$A$1:$B$33, 2, FALSE),"WAS")</f>
        <v>NO</v>
      </c>
      <c r="I910" t="s">
        <v>168</v>
      </c>
      <c r="J910" t="s">
        <v>174</v>
      </c>
      <c r="K910" t="s">
        <v>192</v>
      </c>
      <c r="L910">
        <v>1</v>
      </c>
      <c r="M910">
        <v>0</v>
      </c>
      <c r="N910">
        <v>40.294117647058798</v>
      </c>
      <c r="O910">
        <v>-2.7941176470588198</v>
      </c>
      <c r="P910">
        <v>-2.5</v>
      </c>
      <c r="Q910">
        <v>42.5</v>
      </c>
      <c r="R910">
        <v>5.8</v>
      </c>
      <c r="S910">
        <v>13.7</v>
      </c>
      <c r="T910">
        <v>1.1000000000000001</v>
      </c>
      <c r="U910">
        <v>2.1</v>
      </c>
      <c r="V910">
        <v>0</v>
      </c>
      <c r="W910">
        <v>0</v>
      </c>
      <c r="X910">
        <v>0</v>
      </c>
      <c r="Y910">
        <v>0</v>
      </c>
      <c r="Z910">
        <v>20.3</v>
      </c>
      <c r="AA910">
        <v>37.4</v>
      </c>
      <c r="AB910">
        <v>241</v>
      </c>
      <c r="AC910">
        <v>70</v>
      </c>
      <c r="AD910">
        <v>20.399999999999999</v>
      </c>
      <c r="AE910">
        <v>11.2</v>
      </c>
      <c r="AF910">
        <v>60.183999999999997</v>
      </c>
      <c r="AG910">
        <v>60.414999999999999</v>
      </c>
      <c r="AH910">
        <v>39.497999999999998</v>
      </c>
      <c r="AI910">
        <v>38.517000000000003</v>
      </c>
      <c r="AJ910">
        <v>54.121000000000002</v>
      </c>
      <c r="AK910">
        <v>66.936999999999998</v>
      </c>
      <c r="AL910">
        <v>3.5139999999999998</v>
      </c>
      <c r="AM910">
        <v>39.497999999999998</v>
      </c>
      <c r="AN910">
        <v>60.414999999999999</v>
      </c>
      <c r="AO910">
        <v>60.183999999999997</v>
      </c>
      <c r="AP910">
        <v>-3.5139999999999998</v>
      </c>
      <c r="AQ910">
        <v>45.878999999999998</v>
      </c>
      <c r="AR910">
        <v>61.482999999999997</v>
      </c>
      <c r="AS910">
        <v>33.063000000000002</v>
      </c>
    </row>
    <row r="911" spans="1:45" x14ac:dyDescent="0.25">
      <c r="A911">
        <v>52</v>
      </c>
      <c r="B911">
        <v>38</v>
      </c>
      <c r="C911">
        <v>1</v>
      </c>
      <c r="D911">
        <v>2021</v>
      </c>
      <c r="E911">
        <v>10</v>
      </c>
      <c r="F911" t="str">
        <f>IFERROR(VLOOKUP(G911, Map!$A$1:$B$33, 2, FALSE),"WAS")</f>
        <v>NE</v>
      </c>
      <c r="G911" t="s">
        <v>151</v>
      </c>
      <c r="H911" t="str">
        <f>IFERROR(VLOOKUP(I911, Map!$A$1:$B$33, 2, FALSE),"WAS")</f>
        <v>CLE</v>
      </c>
      <c r="I911" t="s">
        <v>162</v>
      </c>
      <c r="J911" t="s">
        <v>187</v>
      </c>
      <c r="K911" t="s">
        <v>171</v>
      </c>
      <c r="L911">
        <v>1</v>
      </c>
      <c r="M911">
        <v>0</v>
      </c>
      <c r="N911">
        <v>42.441176470588204</v>
      </c>
      <c r="O911">
        <v>-4</v>
      </c>
      <c r="P911">
        <v>-2.5</v>
      </c>
      <c r="Q911">
        <v>44.5</v>
      </c>
      <c r="R911">
        <v>5.8</v>
      </c>
      <c r="S911">
        <v>9.5</v>
      </c>
      <c r="T911">
        <v>2.4</v>
      </c>
      <c r="U911">
        <v>1.4</v>
      </c>
      <c r="V911">
        <v>0.9</v>
      </c>
      <c r="W911">
        <v>0</v>
      </c>
      <c r="X911">
        <v>1</v>
      </c>
      <c r="Y911">
        <v>0.9</v>
      </c>
      <c r="Z911">
        <v>26.6</v>
      </c>
      <c r="AA911">
        <v>59</v>
      </c>
      <c r="AB911">
        <v>260</v>
      </c>
      <c r="AC911">
        <v>66</v>
      </c>
      <c r="AD911">
        <v>35.5</v>
      </c>
      <c r="AE911">
        <v>15.4</v>
      </c>
      <c r="AF911">
        <v>56.533000000000001</v>
      </c>
      <c r="AG911">
        <v>63.933999999999997</v>
      </c>
      <c r="AH911">
        <v>43.12</v>
      </c>
      <c r="AI911">
        <v>84.004000000000005</v>
      </c>
      <c r="AJ911">
        <v>96.195999999999998</v>
      </c>
      <c r="AK911">
        <v>97.856999999999999</v>
      </c>
      <c r="AL911">
        <v>2.2629999999999999</v>
      </c>
      <c r="AM911">
        <v>43.12</v>
      </c>
      <c r="AN911">
        <v>63.933999999999997</v>
      </c>
      <c r="AO911">
        <v>56.533000000000001</v>
      </c>
      <c r="AP911">
        <v>-2.2629999999999999</v>
      </c>
      <c r="AQ911">
        <v>3.8039999999999998</v>
      </c>
      <c r="AR911">
        <v>15.996</v>
      </c>
      <c r="AS911">
        <v>2.1429999999999998</v>
      </c>
    </row>
    <row r="912" spans="1:45" x14ac:dyDescent="0.25">
      <c r="A912">
        <v>41</v>
      </c>
      <c r="B912">
        <v>21</v>
      </c>
      <c r="C912">
        <v>1</v>
      </c>
      <c r="D912">
        <v>2021</v>
      </c>
      <c r="E912">
        <v>10</v>
      </c>
      <c r="F912" t="str">
        <f>IFERROR(VLOOKUP(G912, Map!$A$1:$B$33, 2, FALSE),"WAS")</f>
        <v>SF</v>
      </c>
      <c r="G912" t="s">
        <v>143</v>
      </c>
      <c r="H912" t="str">
        <f>IFERROR(VLOOKUP(I912, Map!$A$1:$B$33, 2, FALSE),"WAS")</f>
        <v>LA</v>
      </c>
      <c r="I912" t="s">
        <v>155</v>
      </c>
      <c r="J912" t="s">
        <v>197</v>
      </c>
      <c r="K912" t="s">
        <v>178</v>
      </c>
      <c r="L912">
        <v>1</v>
      </c>
      <c r="M912">
        <v>0</v>
      </c>
      <c r="N912">
        <v>46.823529411764703</v>
      </c>
      <c r="O912">
        <v>1.97058823529412</v>
      </c>
      <c r="P912">
        <v>3.5</v>
      </c>
      <c r="Q912">
        <v>44.5</v>
      </c>
      <c r="R912">
        <v>13.3</v>
      </c>
      <c r="S912">
        <v>18.3</v>
      </c>
      <c r="T912">
        <v>10</v>
      </c>
      <c r="U912">
        <v>12.7</v>
      </c>
      <c r="V912">
        <v>0</v>
      </c>
      <c r="W912">
        <v>0</v>
      </c>
      <c r="X912">
        <v>0</v>
      </c>
      <c r="Y912">
        <v>0</v>
      </c>
      <c r="Z912">
        <v>15.5</v>
      </c>
      <c r="AA912">
        <v>25.2</v>
      </c>
      <c r="AB912">
        <v>274</v>
      </c>
      <c r="AC912">
        <v>90</v>
      </c>
      <c r="AD912">
        <v>12.7</v>
      </c>
      <c r="AE912">
        <v>6.9</v>
      </c>
      <c r="AF912">
        <v>39.752000000000002</v>
      </c>
      <c r="AG912">
        <v>85.763999999999996</v>
      </c>
      <c r="AH912">
        <v>59.929000000000002</v>
      </c>
      <c r="AI912">
        <v>88.206999999999994</v>
      </c>
      <c r="AJ912">
        <v>82.805999999999997</v>
      </c>
      <c r="AK912">
        <v>94.856999999999999</v>
      </c>
      <c r="AL912">
        <v>-3.4260000000000002</v>
      </c>
      <c r="AM912">
        <v>59.929000000000002</v>
      </c>
      <c r="AN912">
        <v>85.763999999999996</v>
      </c>
      <c r="AO912">
        <v>39.752000000000002</v>
      </c>
      <c r="AP912">
        <v>3.4260000000000002</v>
      </c>
      <c r="AQ912">
        <v>17.193999999999999</v>
      </c>
      <c r="AR912">
        <v>11.792999999999999</v>
      </c>
      <c r="AS912">
        <v>5.1429999999999998</v>
      </c>
    </row>
    <row r="913" spans="1:45" x14ac:dyDescent="0.25">
      <c r="A913">
        <v>32</v>
      </c>
      <c r="B913">
        <v>12</v>
      </c>
      <c r="C913">
        <v>1</v>
      </c>
      <c r="D913">
        <v>2021</v>
      </c>
      <c r="E913">
        <v>10</v>
      </c>
      <c r="F913" t="str">
        <f>IFERROR(VLOOKUP(G913, Map!$A$1:$B$33, 2, FALSE),"WAS")</f>
        <v>MIA</v>
      </c>
      <c r="G913" t="s">
        <v>152</v>
      </c>
      <c r="H913" t="str">
        <f>IFERROR(VLOOKUP(I913, Map!$A$1:$B$33, 2, FALSE),"WAS")</f>
        <v>BAL</v>
      </c>
      <c r="I913" t="s">
        <v>146</v>
      </c>
      <c r="J913" t="s">
        <v>175</v>
      </c>
      <c r="K913" t="s">
        <v>181</v>
      </c>
      <c r="L913">
        <v>1</v>
      </c>
      <c r="M913">
        <v>0</v>
      </c>
      <c r="N913">
        <v>43.264705882352899</v>
      </c>
      <c r="O913">
        <v>6.6176470588235299</v>
      </c>
      <c r="P913">
        <v>6.5</v>
      </c>
      <c r="Q913">
        <v>38.5</v>
      </c>
      <c r="R913">
        <v>23.1</v>
      </c>
      <c r="S913">
        <v>26.5</v>
      </c>
      <c r="T913">
        <v>20.3</v>
      </c>
      <c r="U913">
        <v>26.9</v>
      </c>
      <c r="V913">
        <v>10.7</v>
      </c>
      <c r="W913">
        <v>0</v>
      </c>
      <c r="X913">
        <v>17</v>
      </c>
      <c r="Y913">
        <v>10.7</v>
      </c>
      <c r="Z913">
        <v>10.5</v>
      </c>
      <c r="AA913">
        <v>36.4</v>
      </c>
      <c r="AB913">
        <v>136</v>
      </c>
      <c r="AC913">
        <v>92</v>
      </c>
      <c r="AD913">
        <v>14.8</v>
      </c>
      <c r="AE913">
        <v>5.7</v>
      </c>
      <c r="AF913">
        <v>36.229999999999997</v>
      </c>
      <c r="AG913">
        <v>44.965000000000003</v>
      </c>
      <c r="AH913">
        <v>63.478999999999999</v>
      </c>
      <c r="AI913">
        <v>91.707999999999998</v>
      </c>
      <c r="AJ913">
        <v>27.901</v>
      </c>
      <c r="AK913">
        <v>73.912000000000006</v>
      </c>
      <c r="AL913">
        <v>-4.6689999999999996</v>
      </c>
      <c r="AM913">
        <v>63.478999999999999</v>
      </c>
      <c r="AN913">
        <v>44.965000000000003</v>
      </c>
      <c r="AO913">
        <v>36.229999999999997</v>
      </c>
      <c r="AP913">
        <v>4.6689999999999996</v>
      </c>
      <c r="AQ913">
        <v>72.099000000000004</v>
      </c>
      <c r="AR913">
        <v>8.2919999999999998</v>
      </c>
      <c r="AS913">
        <v>26.088000000000001</v>
      </c>
    </row>
    <row r="914" spans="1:45" x14ac:dyDescent="0.25">
      <c r="A914">
        <v>32</v>
      </c>
      <c r="B914">
        <v>0</v>
      </c>
      <c r="C914">
        <v>0</v>
      </c>
      <c r="D914">
        <v>2021</v>
      </c>
      <c r="E914">
        <v>10</v>
      </c>
      <c r="F914" t="str">
        <f>IFERROR(VLOOKUP(G914, Map!$A$1:$B$33, 2, FALSE),"WAS")</f>
        <v>PIT</v>
      </c>
      <c r="G914" t="s">
        <v>145</v>
      </c>
      <c r="H914" t="str">
        <f>IFERROR(VLOOKUP(I914, Map!$A$1:$B$33, 2, FALSE),"WAS")</f>
        <v>DET</v>
      </c>
      <c r="I914" t="s">
        <v>164</v>
      </c>
      <c r="J914" t="s">
        <v>170</v>
      </c>
      <c r="K914" t="s">
        <v>173</v>
      </c>
      <c r="L914">
        <v>0</v>
      </c>
      <c r="M914">
        <v>0</v>
      </c>
      <c r="N914">
        <v>38.058823529411796</v>
      </c>
      <c r="O914">
        <v>-5.2352941176470598</v>
      </c>
      <c r="P914">
        <v>-2.5</v>
      </c>
      <c r="Q914">
        <v>37.5</v>
      </c>
      <c r="R914">
        <v>2.7</v>
      </c>
      <c r="S914">
        <v>4.4000000000000004</v>
      </c>
      <c r="T914">
        <v>1.1000000000000001</v>
      </c>
      <c r="U914">
        <v>-1.8</v>
      </c>
      <c r="V914">
        <v>3.2</v>
      </c>
      <c r="W914">
        <v>1.19</v>
      </c>
      <c r="X914">
        <v>7</v>
      </c>
      <c r="Y914">
        <v>1.5</v>
      </c>
      <c r="Z914">
        <v>20.100000000000001</v>
      </c>
      <c r="AA914">
        <v>43.6</v>
      </c>
      <c r="AB914">
        <v>222</v>
      </c>
      <c r="AC914">
        <v>78</v>
      </c>
      <c r="AD914">
        <v>31.6</v>
      </c>
      <c r="AE914">
        <v>15.2</v>
      </c>
      <c r="AF914">
        <v>70.102000000000004</v>
      </c>
      <c r="AG914">
        <v>19.797999999999998</v>
      </c>
      <c r="AH914">
        <v>29.66</v>
      </c>
      <c r="AI914">
        <v>75.037999999999997</v>
      </c>
      <c r="AJ914">
        <v>24.952000000000002</v>
      </c>
      <c r="AK914">
        <v>51.155999999999999</v>
      </c>
      <c r="AL914">
        <v>7.1120000000000001</v>
      </c>
      <c r="AM914">
        <v>29.66</v>
      </c>
      <c r="AN914">
        <v>19.797999999999998</v>
      </c>
      <c r="AO914">
        <v>70.102000000000004</v>
      </c>
      <c r="AP914">
        <v>-7.1120000000000001</v>
      </c>
      <c r="AQ914">
        <v>75.048000000000002</v>
      </c>
      <c r="AR914">
        <v>24.962</v>
      </c>
      <c r="AS914">
        <v>48.844000000000001</v>
      </c>
    </row>
    <row r="915" spans="1:45" x14ac:dyDescent="0.25">
      <c r="A915">
        <v>17</v>
      </c>
      <c r="B915">
        <v>17</v>
      </c>
      <c r="C915">
        <v>1</v>
      </c>
      <c r="D915">
        <v>2021</v>
      </c>
      <c r="E915">
        <v>10</v>
      </c>
      <c r="F915" t="str">
        <f>IFERROR(VLOOKUP(G915, Map!$A$1:$B$33, 2, FALSE),"WAS")</f>
        <v>GB</v>
      </c>
      <c r="G915" t="s">
        <v>154</v>
      </c>
      <c r="H915" t="str">
        <f>IFERROR(VLOOKUP(I915, Map!$A$1:$B$33, 2, FALSE),"WAS")</f>
        <v>SEA</v>
      </c>
      <c r="I915" t="s">
        <v>144</v>
      </c>
      <c r="J915" t="s">
        <v>200</v>
      </c>
      <c r="K915" t="s">
        <v>182</v>
      </c>
      <c r="L915">
        <v>1</v>
      </c>
      <c r="M915">
        <v>0</v>
      </c>
      <c r="N915">
        <v>44.323529411764703</v>
      </c>
      <c r="O915">
        <v>-3.0882352941176499</v>
      </c>
      <c r="P915">
        <v>-3</v>
      </c>
      <c r="Q915">
        <v>19.5</v>
      </c>
      <c r="R915">
        <v>1</v>
      </c>
      <c r="S915">
        <v>3.4</v>
      </c>
      <c r="T915">
        <v>-0.7</v>
      </c>
      <c r="U915">
        <v>-3.6</v>
      </c>
      <c r="V915">
        <v>6.2</v>
      </c>
      <c r="W915">
        <v>4.2699999999999996</v>
      </c>
      <c r="X915">
        <v>14</v>
      </c>
      <c r="Y915">
        <v>0.1</v>
      </c>
      <c r="Z915">
        <v>22.7</v>
      </c>
      <c r="AA915">
        <v>44.6</v>
      </c>
      <c r="AB915">
        <v>331</v>
      </c>
      <c r="AC915">
        <v>75</v>
      </c>
      <c r="AD915">
        <v>28.2</v>
      </c>
      <c r="AE915">
        <v>13.8</v>
      </c>
      <c r="AF915">
        <v>54.896000000000001</v>
      </c>
      <c r="AG915">
        <v>74.852000000000004</v>
      </c>
      <c r="AH915">
        <v>44.744</v>
      </c>
      <c r="AI915">
        <v>92.17</v>
      </c>
      <c r="AJ915">
        <v>49.131</v>
      </c>
      <c r="AK915">
        <v>80.162999999999997</v>
      </c>
      <c r="AL915">
        <v>1.71</v>
      </c>
      <c r="AM915">
        <v>44.744</v>
      </c>
      <c r="AN915">
        <v>74.852000000000004</v>
      </c>
      <c r="AO915">
        <v>54.896000000000001</v>
      </c>
      <c r="AP915">
        <v>-1.71</v>
      </c>
      <c r="AQ915">
        <v>50.869</v>
      </c>
      <c r="AR915">
        <v>7.83</v>
      </c>
      <c r="AS915">
        <v>19.837</v>
      </c>
    </row>
    <row r="916" spans="1:45" x14ac:dyDescent="0.25">
      <c r="A916">
        <v>47</v>
      </c>
      <c r="B916">
        <v>-7</v>
      </c>
      <c r="C916">
        <v>0</v>
      </c>
      <c r="D916">
        <v>2021</v>
      </c>
      <c r="E916">
        <v>10</v>
      </c>
      <c r="F916" t="str">
        <f>IFERROR(VLOOKUP(G916, Map!$A$1:$B$33, 2, FALSE),"WAS")</f>
        <v>LAC</v>
      </c>
      <c r="G916" t="s">
        <v>160</v>
      </c>
      <c r="H916" t="str">
        <f>IFERROR(VLOOKUP(I916, Map!$A$1:$B$33, 2, FALSE),"WAS")</f>
        <v>MIN</v>
      </c>
      <c r="I916" t="s">
        <v>153</v>
      </c>
      <c r="J916" t="s">
        <v>210</v>
      </c>
      <c r="K916" t="s">
        <v>214</v>
      </c>
      <c r="L916">
        <v>0</v>
      </c>
      <c r="M916">
        <v>0</v>
      </c>
      <c r="N916">
        <v>50.176470588235297</v>
      </c>
      <c r="O916">
        <v>-2.6176470588235299</v>
      </c>
      <c r="P916">
        <v>-2.5</v>
      </c>
      <c r="Q916">
        <v>51.5</v>
      </c>
      <c r="R916">
        <v>22</v>
      </c>
      <c r="S916">
        <v>31.7</v>
      </c>
      <c r="T916">
        <v>13.8</v>
      </c>
      <c r="U916">
        <v>19</v>
      </c>
      <c r="V916">
        <v>0</v>
      </c>
      <c r="W916">
        <v>0</v>
      </c>
      <c r="X916">
        <v>0</v>
      </c>
      <c r="Y916">
        <v>0</v>
      </c>
      <c r="Z916">
        <v>17.3</v>
      </c>
      <c r="AA916">
        <v>28.8</v>
      </c>
      <c r="AB916">
        <v>288</v>
      </c>
      <c r="AC916">
        <v>28</v>
      </c>
      <c r="AD916">
        <v>13.5</v>
      </c>
      <c r="AE916">
        <v>7.9</v>
      </c>
      <c r="AF916">
        <v>59.005000000000003</v>
      </c>
      <c r="AG916">
        <v>59.151000000000003</v>
      </c>
      <c r="AH916">
        <v>40.667999999999999</v>
      </c>
      <c r="AI916">
        <v>38.447000000000003</v>
      </c>
      <c r="AJ916">
        <v>50.905999999999999</v>
      </c>
      <c r="AK916">
        <v>30.622</v>
      </c>
      <c r="AL916">
        <v>3.1070000000000002</v>
      </c>
      <c r="AM916">
        <v>40.667999999999999</v>
      </c>
      <c r="AN916">
        <v>59.151000000000003</v>
      </c>
      <c r="AO916">
        <v>59.005000000000003</v>
      </c>
      <c r="AP916">
        <v>-3.1070000000000002</v>
      </c>
      <c r="AQ916">
        <v>49.094000000000001</v>
      </c>
      <c r="AR916">
        <v>61.552999999999997</v>
      </c>
      <c r="AS916">
        <v>69.378</v>
      </c>
    </row>
    <row r="917" spans="1:45" x14ac:dyDescent="0.25">
      <c r="A917">
        <v>46</v>
      </c>
      <c r="B917">
        <v>40</v>
      </c>
      <c r="C917">
        <v>1</v>
      </c>
      <c r="D917">
        <v>2021</v>
      </c>
      <c r="E917">
        <v>10</v>
      </c>
      <c r="F917" t="str">
        <f>IFERROR(VLOOKUP(G917, Map!$A$1:$B$33, 2, FALSE),"WAS")</f>
        <v>DAL</v>
      </c>
      <c r="G917" t="s">
        <v>150</v>
      </c>
      <c r="H917" t="str">
        <f>IFERROR(VLOOKUP(I917, Map!$A$1:$B$33, 2, FALSE),"WAS")</f>
        <v>ATL</v>
      </c>
      <c r="I917" t="s">
        <v>167</v>
      </c>
      <c r="J917" t="s">
        <v>184</v>
      </c>
      <c r="K917" t="s">
        <v>188</v>
      </c>
      <c r="L917">
        <v>1</v>
      </c>
      <c r="M917">
        <v>0</v>
      </c>
      <c r="N917">
        <v>51.647058823529399</v>
      </c>
      <c r="O917">
        <v>-9.1176470588235308</v>
      </c>
      <c r="P917">
        <v>-7.5</v>
      </c>
      <c r="Q917">
        <v>53.5</v>
      </c>
      <c r="R917">
        <v>13.8</v>
      </c>
      <c r="S917">
        <v>19.3</v>
      </c>
      <c r="T917">
        <v>9.1999999999999993</v>
      </c>
      <c r="U917">
        <v>10.6</v>
      </c>
      <c r="V917">
        <v>0</v>
      </c>
      <c r="W917">
        <v>0</v>
      </c>
      <c r="X917">
        <v>0</v>
      </c>
      <c r="Y917">
        <v>0</v>
      </c>
      <c r="Z917">
        <v>22</v>
      </c>
      <c r="AA917">
        <v>34.6</v>
      </c>
      <c r="AB917">
        <v>192</v>
      </c>
      <c r="AC917">
        <v>53</v>
      </c>
      <c r="AD917">
        <v>23.7</v>
      </c>
      <c r="AE917">
        <v>13.2</v>
      </c>
      <c r="AF917">
        <v>74.792000000000002</v>
      </c>
      <c r="AG917">
        <v>49.896000000000001</v>
      </c>
      <c r="AH917">
        <v>25.007000000000001</v>
      </c>
      <c r="AI917">
        <v>95.906000000000006</v>
      </c>
      <c r="AJ917">
        <v>89.236000000000004</v>
      </c>
      <c r="AK917">
        <v>98.825000000000003</v>
      </c>
      <c r="AL917">
        <v>8.9930000000000003</v>
      </c>
      <c r="AM917">
        <v>25.007000000000001</v>
      </c>
      <c r="AN917">
        <v>49.896000000000001</v>
      </c>
      <c r="AO917">
        <v>74.792000000000002</v>
      </c>
      <c r="AP917">
        <v>-8.9930000000000003</v>
      </c>
      <c r="AQ917">
        <v>10.763999999999999</v>
      </c>
      <c r="AR917">
        <v>4.0940000000000003</v>
      </c>
      <c r="AS917">
        <v>1.175</v>
      </c>
    </row>
    <row r="918" spans="1:45" x14ac:dyDescent="0.25">
      <c r="A918">
        <v>43</v>
      </c>
      <c r="B918">
        <v>-17</v>
      </c>
      <c r="C918">
        <v>0</v>
      </c>
      <c r="D918">
        <v>2021</v>
      </c>
      <c r="E918">
        <v>10</v>
      </c>
      <c r="F918" t="str">
        <f>IFERROR(VLOOKUP(G918, Map!$A$1:$B$33, 2, FALSE),"WAS")</f>
        <v>DEN</v>
      </c>
      <c r="G918" t="s">
        <v>159</v>
      </c>
      <c r="H918" t="str">
        <f>IFERROR(VLOOKUP(I918, Map!$A$1:$B$33, 2, FALSE),"WAS")</f>
        <v>PHI</v>
      </c>
      <c r="I918" t="s">
        <v>147</v>
      </c>
      <c r="J918" t="s">
        <v>183</v>
      </c>
      <c r="K918" t="s">
        <v>206</v>
      </c>
      <c r="L918">
        <v>0</v>
      </c>
      <c r="M918">
        <v>0</v>
      </c>
      <c r="N918">
        <v>42.28125</v>
      </c>
      <c r="O918">
        <v>0.75</v>
      </c>
      <c r="P918">
        <v>0</v>
      </c>
      <c r="Q918">
        <v>44.5</v>
      </c>
      <c r="R918">
        <v>8.5</v>
      </c>
      <c r="S918">
        <v>20.399999999999999</v>
      </c>
      <c r="T918">
        <v>-1.1000000000000001</v>
      </c>
      <c r="U918">
        <v>5</v>
      </c>
      <c r="V918">
        <v>0</v>
      </c>
      <c r="W918">
        <v>0</v>
      </c>
      <c r="X918">
        <v>0</v>
      </c>
      <c r="Y918">
        <v>0</v>
      </c>
      <c r="Z918">
        <v>12.7</v>
      </c>
      <c r="AA918">
        <v>26.6</v>
      </c>
      <c r="AB918">
        <v>132</v>
      </c>
      <c r="AC918">
        <v>56</v>
      </c>
      <c r="AD918">
        <v>13.9</v>
      </c>
      <c r="AE918">
        <v>7.1</v>
      </c>
      <c r="AF918">
        <v>63.348999999999997</v>
      </c>
      <c r="AG918">
        <v>52.148000000000003</v>
      </c>
      <c r="AH918">
        <v>36.359000000000002</v>
      </c>
      <c r="AI918">
        <v>32.74</v>
      </c>
      <c r="AJ918">
        <v>22.655000000000001</v>
      </c>
      <c r="AK918">
        <v>16.050999999999998</v>
      </c>
      <c r="AL918">
        <v>4.6230000000000002</v>
      </c>
      <c r="AM918">
        <v>36.359000000000002</v>
      </c>
      <c r="AN918">
        <v>52.148000000000003</v>
      </c>
      <c r="AO918">
        <v>63.348999999999997</v>
      </c>
      <c r="AP918">
        <v>-4.6230000000000002</v>
      </c>
      <c r="AQ918">
        <v>77.344999999999999</v>
      </c>
      <c r="AR918">
        <v>67.260000000000005</v>
      </c>
      <c r="AS918">
        <v>83.948999999999998</v>
      </c>
    </row>
    <row r="919" spans="1:45" x14ac:dyDescent="0.25">
      <c r="A919">
        <v>48</v>
      </c>
      <c r="B919">
        <v>10</v>
      </c>
      <c r="C919">
        <v>1</v>
      </c>
      <c r="D919">
        <v>2021</v>
      </c>
      <c r="E919">
        <v>10</v>
      </c>
      <c r="F919" t="str">
        <f>IFERROR(VLOOKUP(G919, Map!$A$1:$B$33, 2, FALSE),"WAS")</f>
        <v>WAS</v>
      </c>
      <c r="G919" t="s">
        <v>169</v>
      </c>
      <c r="H919" t="str">
        <f>IFERROR(VLOOKUP(I919, Map!$A$1:$B$33, 2, FALSE),"WAS")</f>
        <v>TB</v>
      </c>
      <c r="I919" t="s">
        <v>141</v>
      </c>
      <c r="J919" t="s">
        <v>205</v>
      </c>
      <c r="K919" t="s">
        <v>186</v>
      </c>
      <c r="L919">
        <v>1</v>
      </c>
      <c r="M919">
        <v>0</v>
      </c>
      <c r="N919">
        <v>50.46875</v>
      </c>
      <c r="O919">
        <v>8.71875</v>
      </c>
      <c r="P919">
        <v>-6.5</v>
      </c>
      <c r="Q919">
        <v>48.5</v>
      </c>
      <c r="R919">
        <v>5.6</v>
      </c>
      <c r="S919">
        <v>9</v>
      </c>
      <c r="T919">
        <v>1.5</v>
      </c>
      <c r="U919">
        <v>1.4</v>
      </c>
      <c r="V919">
        <v>0</v>
      </c>
      <c r="W919">
        <v>0</v>
      </c>
      <c r="X919">
        <v>0</v>
      </c>
      <c r="Y919">
        <v>0</v>
      </c>
      <c r="Z919">
        <v>16.5</v>
      </c>
      <c r="AA919">
        <v>33.5</v>
      </c>
      <c r="AB919">
        <v>241</v>
      </c>
      <c r="AC919">
        <v>58</v>
      </c>
      <c r="AD919">
        <v>22.9</v>
      </c>
      <c r="AE919">
        <v>11.7</v>
      </c>
      <c r="AF919">
        <v>21.945</v>
      </c>
      <c r="AG919">
        <v>68.861999999999995</v>
      </c>
      <c r="AH919">
        <v>77.879000000000005</v>
      </c>
      <c r="AI919">
        <v>64.790000000000006</v>
      </c>
      <c r="AJ919">
        <v>61.938000000000002</v>
      </c>
      <c r="AK919">
        <v>70.295000000000002</v>
      </c>
      <c r="AL919">
        <v>-10.333</v>
      </c>
      <c r="AM919">
        <v>77.879000000000005</v>
      </c>
      <c r="AN919">
        <v>68.861999999999995</v>
      </c>
      <c r="AO919">
        <v>21.945</v>
      </c>
      <c r="AP919">
        <v>10.333</v>
      </c>
      <c r="AQ919">
        <v>38.061999999999998</v>
      </c>
      <c r="AR919">
        <v>35.21</v>
      </c>
      <c r="AS919">
        <v>29.704999999999998</v>
      </c>
    </row>
    <row r="920" spans="1:45" x14ac:dyDescent="0.25">
      <c r="A920">
        <v>65</v>
      </c>
      <c r="B920">
        <v>3</v>
      </c>
      <c r="C920">
        <v>1</v>
      </c>
      <c r="D920">
        <v>2021</v>
      </c>
      <c r="E920">
        <v>11</v>
      </c>
      <c r="F920" t="str">
        <f>IFERROR(VLOOKUP(G920, Map!$A$1:$B$33, 2, FALSE),"WAS")</f>
        <v>MIN</v>
      </c>
      <c r="G920" t="s">
        <v>153</v>
      </c>
      <c r="H920" t="str">
        <f>IFERROR(VLOOKUP(I920, Map!$A$1:$B$33, 2, FALSE),"WAS")</f>
        <v>GB</v>
      </c>
      <c r="I920" t="s">
        <v>154</v>
      </c>
      <c r="J920" t="s">
        <v>214</v>
      </c>
      <c r="K920" t="s">
        <v>200</v>
      </c>
      <c r="L920">
        <v>1</v>
      </c>
      <c r="M920">
        <v>0</v>
      </c>
      <c r="N920">
        <v>44.676470588235297</v>
      </c>
      <c r="O920">
        <v>0.88235294117647101</v>
      </c>
      <c r="P920">
        <v>1</v>
      </c>
      <c r="Q920">
        <v>47</v>
      </c>
      <c r="R920">
        <v>-0.5</v>
      </c>
      <c r="S920">
        <v>3.4</v>
      </c>
      <c r="T920">
        <v>-4.4000000000000004</v>
      </c>
      <c r="U920">
        <v>-5.7</v>
      </c>
      <c r="V920">
        <v>0</v>
      </c>
      <c r="W920">
        <v>0</v>
      </c>
      <c r="X920">
        <v>0</v>
      </c>
      <c r="Y920">
        <v>0</v>
      </c>
      <c r="Z920">
        <v>32.6</v>
      </c>
      <c r="AA920">
        <v>61.2</v>
      </c>
      <c r="AB920">
        <v>297</v>
      </c>
      <c r="AC920">
        <v>68</v>
      </c>
      <c r="AD920">
        <v>28.3</v>
      </c>
      <c r="AE920">
        <v>15.5</v>
      </c>
      <c r="AF920">
        <v>45.360999999999997</v>
      </c>
      <c r="AG920">
        <v>74.78</v>
      </c>
      <c r="AH920">
        <v>54.274000000000001</v>
      </c>
      <c r="AI920">
        <v>6.0129999999999999</v>
      </c>
      <c r="AJ920">
        <v>93.296999999999997</v>
      </c>
      <c r="AK920">
        <v>61.027000000000001</v>
      </c>
      <c r="AL920">
        <v>-1.494</v>
      </c>
      <c r="AM920">
        <v>54.274000000000001</v>
      </c>
      <c r="AN920">
        <v>74.78</v>
      </c>
      <c r="AO920">
        <v>45.360999999999997</v>
      </c>
      <c r="AP920">
        <v>1.494</v>
      </c>
      <c r="AQ920">
        <v>6.7030000000000003</v>
      </c>
      <c r="AR920">
        <v>93.986999999999995</v>
      </c>
      <c r="AS920">
        <v>38.972999999999999</v>
      </c>
    </row>
    <row r="921" spans="1:45" x14ac:dyDescent="0.25">
      <c r="A921">
        <v>36</v>
      </c>
      <c r="B921">
        <v>-10</v>
      </c>
      <c r="C921">
        <v>0</v>
      </c>
      <c r="D921">
        <v>2021</v>
      </c>
      <c r="E921">
        <v>11</v>
      </c>
      <c r="F921" t="str">
        <f>IFERROR(VLOOKUP(G921, Map!$A$1:$B$33, 2, FALSE),"WAS")</f>
        <v>SEA</v>
      </c>
      <c r="G921" t="s">
        <v>144</v>
      </c>
      <c r="H921" t="str">
        <f>IFERROR(VLOOKUP(I921, Map!$A$1:$B$33, 2, FALSE),"WAS")</f>
        <v>ARI</v>
      </c>
      <c r="I921" t="s">
        <v>156</v>
      </c>
      <c r="J921" t="s">
        <v>182</v>
      </c>
      <c r="K921" t="s">
        <v>190</v>
      </c>
      <c r="L921">
        <v>0</v>
      </c>
      <c r="M921">
        <v>0</v>
      </c>
      <c r="N921">
        <v>42.058823529411796</v>
      </c>
      <c r="O921">
        <v>-3.6176470588235299</v>
      </c>
      <c r="P921">
        <v>-2.5</v>
      </c>
      <c r="Q921">
        <v>34.5</v>
      </c>
      <c r="R921">
        <v>4.7</v>
      </c>
      <c r="S921">
        <v>8.4</v>
      </c>
      <c r="T921">
        <v>1.9</v>
      </c>
      <c r="U921">
        <v>2.2999999999999998</v>
      </c>
      <c r="V921">
        <v>0</v>
      </c>
      <c r="W921">
        <v>0</v>
      </c>
      <c r="X921">
        <v>0</v>
      </c>
      <c r="Y921">
        <v>0</v>
      </c>
      <c r="Z921">
        <v>7.6</v>
      </c>
      <c r="AA921">
        <v>13.3</v>
      </c>
      <c r="AB921">
        <v>71</v>
      </c>
      <c r="AC921">
        <v>85</v>
      </c>
      <c r="AD921">
        <v>8.8000000000000007</v>
      </c>
      <c r="AE921">
        <v>4.5999999999999996</v>
      </c>
      <c r="AF921">
        <v>56.152000000000001</v>
      </c>
      <c r="AG921">
        <v>58.334000000000003</v>
      </c>
      <c r="AH921">
        <v>43.499000000000002</v>
      </c>
      <c r="AI921">
        <v>20.414999999999999</v>
      </c>
      <c r="AJ921">
        <v>38.176000000000002</v>
      </c>
      <c r="AK921">
        <v>26.257000000000001</v>
      </c>
      <c r="AL921">
        <v>2.1259999999999999</v>
      </c>
      <c r="AM921">
        <v>43.499000000000002</v>
      </c>
      <c r="AN921">
        <v>58.334000000000003</v>
      </c>
      <c r="AO921">
        <v>56.152000000000001</v>
      </c>
      <c r="AP921">
        <v>-2.1259999999999999</v>
      </c>
      <c r="AQ921">
        <v>61.823999999999998</v>
      </c>
      <c r="AR921">
        <v>79.584999999999994</v>
      </c>
      <c r="AS921">
        <v>73.742999999999995</v>
      </c>
    </row>
    <row r="922" spans="1:45" x14ac:dyDescent="0.25">
      <c r="A922">
        <v>48</v>
      </c>
      <c r="B922">
        <v>-6</v>
      </c>
      <c r="C922">
        <v>0</v>
      </c>
      <c r="D922">
        <v>2021</v>
      </c>
      <c r="E922">
        <v>11</v>
      </c>
      <c r="F922" t="str">
        <f>IFERROR(VLOOKUP(G922, Map!$A$1:$B$33, 2, FALSE),"WAS")</f>
        <v>CAR</v>
      </c>
      <c r="G922" t="s">
        <v>142</v>
      </c>
      <c r="H922" t="str">
        <f>IFERROR(VLOOKUP(I922, Map!$A$1:$B$33, 2, FALSE),"WAS")</f>
        <v>WAS</v>
      </c>
      <c r="I922" t="s">
        <v>169</v>
      </c>
      <c r="J922" t="s">
        <v>185</v>
      </c>
      <c r="K922" t="s">
        <v>205</v>
      </c>
      <c r="L922">
        <v>0</v>
      </c>
      <c r="M922">
        <v>0</v>
      </c>
      <c r="N922">
        <v>43.40625</v>
      </c>
      <c r="O922">
        <v>-2.59375</v>
      </c>
      <c r="P922">
        <v>-3</v>
      </c>
      <c r="Q922">
        <v>42.5</v>
      </c>
      <c r="R922">
        <v>6.7</v>
      </c>
      <c r="S922">
        <v>16.7</v>
      </c>
      <c r="T922">
        <v>-0.1</v>
      </c>
      <c r="U922">
        <v>3.7</v>
      </c>
      <c r="V922">
        <v>0</v>
      </c>
      <c r="W922">
        <v>0</v>
      </c>
      <c r="X922">
        <v>0</v>
      </c>
      <c r="Y922">
        <v>0</v>
      </c>
      <c r="Z922">
        <v>12.6</v>
      </c>
      <c r="AA922">
        <v>25.2</v>
      </c>
      <c r="AB922">
        <v>70</v>
      </c>
      <c r="AC922">
        <v>63</v>
      </c>
      <c r="AD922">
        <v>13.2</v>
      </c>
      <c r="AE922">
        <v>6.5</v>
      </c>
      <c r="AF922">
        <v>62.686999999999998</v>
      </c>
      <c r="AG922">
        <v>25.253</v>
      </c>
      <c r="AH922">
        <v>37.015999999999998</v>
      </c>
      <c r="AI922">
        <v>26.187000000000001</v>
      </c>
      <c r="AJ922">
        <v>65.430999999999997</v>
      </c>
      <c r="AK922">
        <v>34.765000000000001</v>
      </c>
      <c r="AL922">
        <v>4.3719999999999999</v>
      </c>
      <c r="AM922">
        <v>37.015999999999998</v>
      </c>
      <c r="AN922">
        <v>25.253</v>
      </c>
      <c r="AO922">
        <v>62.686999999999998</v>
      </c>
      <c r="AP922">
        <v>-4.3719999999999999</v>
      </c>
      <c r="AQ922">
        <v>34.569000000000003</v>
      </c>
      <c r="AR922">
        <v>73.813000000000002</v>
      </c>
      <c r="AS922">
        <v>65.234999999999999</v>
      </c>
    </row>
    <row r="923" spans="1:45" x14ac:dyDescent="0.25">
      <c r="A923">
        <v>25</v>
      </c>
      <c r="B923">
        <v>-25</v>
      </c>
      <c r="C923">
        <v>0</v>
      </c>
      <c r="D923">
        <v>2021</v>
      </c>
      <c r="E923">
        <v>11</v>
      </c>
      <c r="F923" t="str">
        <f>IFERROR(VLOOKUP(G923, Map!$A$1:$B$33, 2, FALSE),"WAS")</f>
        <v>ATL</v>
      </c>
      <c r="G923" t="s">
        <v>167</v>
      </c>
      <c r="H923" t="str">
        <f>IFERROR(VLOOKUP(I923, Map!$A$1:$B$33, 2, FALSE),"WAS")</f>
        <v>NE</v>
      </c>
      <c r="I923" t="s">
        <v>151</v>
      </c>
      <c r="J923" t="s">
        <v>188</v>
      </c>
      <c r="K923" t="s">
        <v>187</v>
      </c>
      <c r="L923">
        <v>0</v>
      </c>
      <c r="M923">
        <v>0</v>
      </c>
      <c r="N923">
        <v>43.088235294117602</v>
      </c>
      <c r="O923">
        <v>7.4411764705882399</v>
      </c>
      <c r="P923">
        <v>5.5</v>
      </c>
      <c r="Q923">
        <v>26.5</v>
      </c>
      <c r="R923">
        <v>8.3000000000000007</v>
      </c>
      <c r="S923">
        <v>14.7</v>
      </c>
      <c r="T923">
        <v>2.6</v>
      </c>
      <c r="U923">
        <v>3.9</v>
      </c>
      <c r="V923">
        <v>0</v>
      </c>
      <c r="W923">
        <v>0</v>
      </c>
      <c r="X923">
        <v>0</v>
      </c>
      <c r="Y923">
        <v>0</v>
      </c>
      <c r="Z923">
        <v>23</v>
      </c>
      <c r="AA923">
        <v>40</v>
      </c>
      <c r="AB923">
        <v>334</v>
      </c>
      <c r="AC923">
        <v>56</v>
      </c>
      <c r="AD923">
        <v>30.3</v>
      </c>
      <c r="AE923">
        <v>16.2</v>
      </c>
      <c r="AF923">
        <v>30.573</v>
      </c>
      <c r="AG923">
        <v>48.048999999999999</v>
      </c>
      <c r="AH923">
        <v>69.180999999999997</v>
      </c>
      <c r="AI923">
        <v>48.533000000000001</v>
      </c>
      <c r="AJ923">
        <v>3.8620000000000001</v>
      </c>
      <c r="AK923">
        <v>6.95</v>
      </c>
      <c r="AL923">
        <v>-6.7350000000000003</v>
      </c>
      <c r="AM923">
        <v>69.180999999999997</v>
      </c>
      <c r="AN923">
        <v>48.048999999999999</v>
      </c>
      <c r="AO923">
        <v>30.573</v>
      </c>
      <c r="AP923">
        <v>6.7350000000000003</v>
      </c>
      <c r="AQ923">
        <v>96.138000000000005</v>
      </c>
      <c r="AR923">
        <v>51.466999999999999</v>
      </c>
      <c r="AS923">
        <v>93.05</v>
      </c>
    </row>
    <row r="924" spans="1:45" x14ac:dyDescent="0.25">
      <c r="A924">
        <v>41</v>
      </c>
      <c r="B924">
        <v>-7</v>
      </c>
      <c r="C924">
        <v>0</v>
      </c>
      <c r="D924">
        <v>2021</v>
      </c>
      <c r="E924">
        <v>11</v>
      </c>
      <c r="F924" t="str">
        <f>IFERROR(VLOOKUP(G924, Map!$A$1:$B$33, 2, FALSE),"WAS")</f>
        <v>NYJ</v>
      </c>
      <c r="G924" t="s">
        <v>166</v>
      </c>
      <c r="H924" t="str">
        <f>IFERROR(VLOOKUP(I924, Map!$A$1:$B$33, 2, FALSE),"WAS")</f>
        <v>MIA</v>
      </c>
      <c r="I924" t="s">
        <v>152</v>
      </c>
      <c r="J924" t="s">
        <v>172</v>
      </c>
      <c r="K924" t="s">
        <v>175</v>
      </c>
      <c r="L924">
        <v>0</v>
      </c>
      <c r="M924">
        <v>0</v>
      </c>
      <c r="N924">
        <v>41.470588235294102</v>
      </c>
      <c r="O924">
        <v>3.3823529411764701</v>
      </c>
      <c r="P924">
        <v>2.5</v>
      </c>
      <c r="Q924">
        <v>36.5</v>
      </c>
      <c r="R924">
        <v>7.3</v>
      </c>
      <c r="S924">
        <v>12.2</v>
      </c>
      <c r="T924">
        <v>4.3</v>
      </c>
      <c r="U924">
        <v>4.2</v>
      </c>
      <c r="V924">
        <v>0</v>
      </c>
      <c r="W924">
        <v>0</v>
      </c>
      <c r="X924">
        <v>0</v>
      </c>
      <c r="Y924">
        <v>0</v>
      </c>
      <c r="Z924">
        <v>12.6</v>
      </c>
      <c r="AA924">
        <v>27</v>
      </c>
      <c r="AB924">
        <v>206</v>
      </c>
      <c r="AC924">
        <v>73</v>
      </c>
      <c r="AD924">
        <v>19.3</v>
      </c>
      <c r="AE924">
        <v>9.4</v>
      </c>
      <c r="AF924">
        <v>39.404000000000003</v>
      </c>
      <c r="AG924">
        <v>15.805999999999999</v>
      </c>
      <c r="AH924">
        <v>60.28</v>
      </c>
      <c r="AI924">
        <v>26.276</v>
      </c>
      <c r="AJ924">
        <v>50.832000000000001</v>
      </c>
      <c r="AK924">
        <v>28.773</v>
      </c>
      <c r="AL924">
        <v>-3.5339999999999998</v>
      </c>
      <c r="AM924">
        <v>60.28</v>
      </c>
      <c r="AN924">
        <v>15.805999999999999</v>
      </c>
      <c r="AO924">
        <v>39.404000000000003</v>
      </c>
      <c r="AP924">
        <v>3.5339999999999998</v>
      </c>
      <c r="AQ924">
        <v>49.167999999999999</v>
      </c>
      <c r="AR924">
        <v>73.724000000000004</v>
      </c>
      <c r="AS924">
        <v>71.227000000000004</v>
      </c>
    </row>
    <row r="925" spans="1:45" x14ac:dyDescent="0.25">
      <c r="A925">
        <v>23</v>
      </c>
      <c r="B925">
        <v>3</v>
      </c>
      <c r="C925">
        <v>1</v>
      </c>
      <c r="D925">
        <v>2021</v>
      </c>
      <c r="E925">
        <v>11</v>
      </c>
      <c r="F925" t="str">
        <f>IFERROR(VLOOKUP(G925, Map!$A$1:$B$33, 2, FALSE),"WAS")</f>
        <v>CLE</v>
      </c>
      <c r="G925" t="s">
        <v>162</v>
      </c>
      <c r="H925" t="str">
        <f>IFERROR(VLOOKUP(I925, Map!$A$1:$B$33, 2, FALSE),"WAS")</f>
        <v>DET</v>
      </c>
      <c r="I925" t="s">
        <v>164</v>
      </c>
      <c r="J925" t="s">
        <v>171</v>
      </c>
      <c r="K925" t="s">
        <v>173</v>
      </c>
      <c r="L925">
        <v>1</v>
      </c>
      <c r="M925">
        <v>0</v>
      </c>
      <c r="N925">
        <v>39.323529411764703</v>
      </c>
      <c r="O925">
        <v>-12.4411764705882</v>
      </c>
      <c r="P925">
        <v>-10</v>
      </c>
      <c r="Q925">
        <v>33</v>
      </c>
      <c r="R925">
        <v>5.2</v>
      </c>
      <c r="S925">
        <v>7.2</v>
      </c>
      <c r="T925">
        <v>1.9</v>
      </c>
      <c r="U925">
        <v>1.1000000000000001</v>
      </c>
      <c r="V925">
        <v>4</v>
      </c>
      <c r="W925">
        <v>0</v>
      </c>
      <c r="X925">
        <v>8</v>
      </c>
      <c r="Y925">
        <v>4</v>
      </c>
      <c r="Z925">
        <v>22.5</v>
      </c>
      <c r="AA925">
        <v>34.9</v>
      </c>
      <c r="AB925">
        <v>191</v>
      </c>
      <c r="AC925">
        <v>78</v>
      </c>
      <c r="AD925">
        <v>23.6</v>
      </c>
      <c r="AE925">
        <v>15.1</v>
      </c>
      <c r="AF925">
        <v>81.683000000000007</v>
      </c>
      <c r="AG925">
        <v>36.143999999999998</v>
      </c>
      <c r="AH925">
        <v>18.170999999999999</v>
      </c>
      <c r="AI925">
        <v>87.19</v>
      </c>
      <c r="AJ925">
        <v>44.274000000000001</v>
      </c>
      <c r="AK925">
        <v>65.724999999999994</v>
      </c>
      <c r="AL925">
        <v>12.096</v>
      </c>
      <c r="AM925">
        <v>18.170999999999999</v>
      </c>
      <c r="AN925">
        <v>36.143999999999998</v>
      </c>
      <c r="AO925">
        <v>81.683000000000007</v>
      </c>
      <c r="AP925">
        <v>-12.096</v>
      </c>
      <c r="AQ925">
        <v>55.725999999999999</v>
      </c>
      <c r="AR925">
        <v>12.81</v>
      </c>
      <c r="AS925">
        <v>34.274999999999999</v>
      </c>
    </row>
    <row r="926" spans="1:45" x14ac:dyDescent="0.25">
      <c r="A926">
        <v>29</v>
      </c>
      <c r="B926">
        <v>-3</v>
      </c>
      <c r="C926">
        <v>0</v>
      </c>
      <c r="D926">
        <v>2021</v>
      </c>
      <c r="E926">
        <v>11</v>
      </c>
      <c r="F926" t="str">
        <f>IFERROR(VLOOKUP(G926, Map!$A$1:$B$33, 2, FALSE),"WAS")</f>
        <v>CHI</v>
      </c>
      <c r="G926" t="s">
        <v>163</v>
      </c>
      <c r="H926" t="str">
        <f>IFERROR(VLOOKUP(I926, Map!$A$1:$B$33, 2, FALSE),"WAS")</f>
        <v>BAL</v>
      </c>
      <c r="I926" t="s">
        <v>146</v>
      </c>
      <c r="J926" t="s">
        <v>216</v>
      </c>
      <c r="K926" t="s">
        <v>181</v>
      </c>
      <c r="L926">
        <v>0</v>
      </c>
      <c r="M926">
        <v>0</v>
      </c>
      <c r="N926">
        <v>37.53125</v>
      </c>
      <c r="O926">
        <v>0.84375</v>
      </c>
      <c r="P926">
        <v>1</v>
      </c>
      <c r="Q926">
        <v>23.5</v>
      </c>
      <c r="R926">
        <v>5.2</v>
      </c>
      <c r="S926">
        <v>11.4</v>
      </c>
      <c r="T926">
        <v>1.3</v>
      </c>
      <c r="U926">
        <v>1.2</v>
      </c>
      <c r="V926">
        <v>0.3</v>
      </c>
      <c r="W926">
        <v>0</v>
      </c>
      <c r="X926">
        <v>2</v>
      </c>
      <c r="Y926">
        <v>0.3</v>
      </c>
      <c r="Z926">
        <v>32.4</v>
      </c>
      <c r="AA926">
        <v>47.5</v>
      </c>
      <c r="AB926">
        <v>237</v>
      </c>
      <c r="AC926">
        <v>79</v>
      </c>
      <c r="AD926">
        <v>21.1</v>
      </c>
      <c r="AE926">
        <v>14.4</v>
      </c>
      <c r="AF926">
        <v>48.186999999999998</v>
      </c>
      <c r="AG926">
        <v>28.007000000000001</v>
      </c>
      <c r="AH926">
        <v>51.426000000000002</v>
      </c>
      <c r="AI926">
        <v>59.567999999999998</v>
      </c>
      <c r="AJ926">
        <v>39.182000000000002</v>
      </c>
      <c r="AK926">
        <v>43.533000000000001</v>
      </c>
      <c r="AL926">
        <v>-0.54200000000000004</v>
      </c>
      <c r="AM926">
        <v>51.426000000000002</v>
      </c>
      <c r="AN926">
        <v>28.007000000000001</v>
      </c>
      <c r="AO926">
        <v>48.186999999999998</v>
      </c>
      <c r="AP926">
        <v>0.54200000000000004</v>
      </c>
      <c r="AQ926">
        <v>60.817999999999998</v>
      </c>
      <c r="AR926">
        <v>40.432000000000002</v>
      </c>
      <c r="AS926">
        <v>56.466999999999999</v>
      </c>
    </row>
    <row r="927" spans="1:45" x14ac:dyDescent="0.25">
      <c r="A927">
        <v>40</v>
      </c>
      <c r="B927">
        <v>-20</v>
      </c>
      <c r="C927">
        <v>0</v>
      </c>
      <c r="D927">
        <v>2021</v>
      </c>
      <c r="E927">
        <v>11</v>
      </c>
      <c r="F927" t="str">
        <f>IFERROR(VLOOKUP(G927, Map!$A$1:$B$33, 2, FALSE),"WAS")</f>
        <v>JAX</v>
      </c>
      <c r="G927" t="s">
        <v>139</v>
      </c>
      <c r="H927" t="str">
        <f>IFERROR(VLOOKUP(I927, Map!$A$1:$B$33, 2, FALSE),"WAS")</f>
        <v>SF</v>
      </c>
      <c r="I927" t="s">
        <v>143</v>
      </c>
      <c r="J927" t="s">
        <v>220</v>
      </c>
      <c r="K927" t="s">
        <v>197</v>
      </c>
      <c r="L927">
        <v>0</v>
      </c>
      <c r="M927">
        <v>0</v>
      </c>
      <c r="N927">
        <v>42.823529411764703</v>
      </c>
      <c r="O927">
        <v>6.9411764705882399</v>
      </c>
      <c r="P927">
        <v>6.5</v>
      </c>
      <c r="Q927">
        <v>44.5</v>
      </c>
      <c r="R927">
        <v>18</v>
      </c>
      <c r="S927">
        <v>22.1</v>
      </c>
      <c r="T927">
        <v>15.3</v>
      </c>
      <c r="U927">
        <v>17.8</v>
      </c>
      <c r="V927">
        <v>0.2</v>
      </c>
      <c r="W927">
        <v>0</v>
      </c>
      <c r="X927">
        <v>1</v>
      </c>
      <c r="Y927">
        <v>0.2</v>
      </c>
      <c r="Z927">
        <v>19.7</v>
      </c>
      <c r="AA927">
        <v>33.1</v>
      </c>
      <c r="AB927">
        <v>19</v>
      </c>
      <c r="AC927">
        <v>88</v>
      </c>
      <c r="AD927">
        <v>27.4</v>
      </c>
      <c r="AE927">
        <v>15.6</v>
      </c>
      <c r="AF927">
        <v>35.463000000000001</v>
      </c>
      <c r="AG927">
        <v>34.667000000000002</v>
      </c>
      <c r="AH927">
        <v>64.253</v>
      </c>
      <c r="AI927">
        <v>11.476000000000001</v>
      </c>
      <c r="AJ927">
        <v>8.66</v>
      </c>
      <c r="AK927">
        <v>3.9260000000000002</v>
      </c>
      <c r="AL927">
        <v>-4.9269999999999996</v>
      </c>
      <c r="AM927">
        <v>64.253</v>
      </c>
      <c r="AN927">
        <v>34.667000000000002</v>
      </c>
      <c r="AO927">
        <v>35.463000000000001</v>
      </c>
      <c r="AP927">
        <v>4.9269999999999996</v>
      </c>
      <c r="AQ927">
        <v>91.34</v>
      </c>
      <c r="AR927">
        <v>88.524000000000001</v>
      </c>
      <c r="AS927">
        <v>96.073999999999998</v>
      </c>
    </row>
    <row r="928" spans="1:45" x14ac:dyDescent="0.25">
      <c r="A928">
        <v>35</v>
      </c>
      <c r="B928">
        <v>-9</v>
      </c>
      <c r="C928">
        <v>0</v>
      </c>
      <c r="D928">
        <v>2021</v>
      </c>
      <c r="E928">
        <v>11</v>
      </c>
      <c r="F928" t="str">
        <f>IFERROR(VLOOKUP(G928, Map!$A$1:$B$33, 2, FALSE),"WAS")</f>
        <v>TEN</v>
      </c>
      <c r="G928" t="s">
        <v>140</v>
      </c>
      <c r="H928" t="str">
        <f>IFERROR(VLOOKUP(I928, Map!$A$1:$B$33, 2, FALSE),"WAS")</f>
        <v>HOU</v>
      </c>
      <c r="I928" t="s">
        <v>137</v>
      </c>
      <c r="J928" t="s">
        <v>174</v>
      </c>
      <c r="K928" t="s">
        <v>209</v>
      </c>
      <c r="L928">
        <v>0</v>
      </c>
      <c r="M928">
        <v>0</v>
      </c>
      <c r="N928">
        <v>42</v>
      </c>
      <c r="O928">
        <v>-8.3529411764705905</v>
      </c>
      <c r="P928">
        <v>9</v>
      </c>
      <c r="Q928">
        <v>36.5</v>
      </c>
      <c r="R928">
        <v>9.5</v>
      </c>
      <c r="S928">
        <v>12.8</v>
      </c>
      <c r="T928">
        <v>6.3</v>
      </c>
      <c r="U928">
        <v>6.8</v>
      </c>
      <c r="V928">
        <v>22.9</v>
      </c>
      <c r="W928">
        <v>0</v>
      </c>
      <c r="X928">
        <v>8</v>
      </c>
      <c r="Y928">
        <v>22.9</v>
      </c>
      <c r="Z928">
        <v>17.3</v>
      </c>
      <c r="AA928">
        <v>31.3</v>
      </c>
      <c r="AB928">
        <v>182</v>
      </c>
      <c r="AC928">
        <v>74</v>
      </c>
      <c r="AD928">
        <v>19.8</v>
      </c>
      <c r="AE928">
        <v>10.3</v>
      </c>
      <c r="AF928">
        <v>82.951999999999998</v>
      </c>
      <c r="AG928">
        <v>36.311</v>
      </c>
      <c r="AH928">
        <v>16.913</v>
      </c>
      <c r="AI928">
        <v>66.421999999999997</v>
      </c>
      <c r="AJ928">
        <v>7.8419999999999996</v>
      </c>
      <c r="AK928">
        <v>18.155000000000001</v>
      </c>
      <c r="AL928">
        <v>12.747999999999999</v>
      </c>
      <c r="AM928">
        <v>16.913</v>
      </c>
      <c r="AN928">
        <v>36.311</v>
      </c>
      <c r="AO928">
        <v>82.951999999999998</v>
      </c>
      <c r="AP928">
        <v>-12.747999999999999</v>
      </c>
      <c r="AQ928">
        <v>92.158000000000001</v>
      </c>
      <c r="AR928">
        <v>33.578000000000003</v>
      </c>
      <c r="AS928">
        <v>81.844999999999999</v>
      </c>
    </row>
    <row r="929" spans="1:45" x14ac:dyDescent="0.25">
      <c r="A929">
        <v>45</v>
      </c>
      <c r="B929">
        <v>-19</v>
      </c>
      <c r="C929">
        <v>0</v>
      </c>
      <c r="D929">
        <v>2021</v>
      </c>
      <c r="E929">
        <v>11</v>
      </c>
      <c r="F929" t="str">
        <f>IFERROR(VLOOKUP(G929, Map!$A$1:$B$33, 2, FALSE),"WAS")</f>
        <v>LV</v>
      </c>
      <c r="G929" t="s">
        <v>157</v>
      </c>
      <c r="H929" t="str">
        <f>IFERROR(VLOOKUP(I929, Map!$A$1:$B$33, 2, FALSE),"WAS")</f>
        <v>CIN</v>
      </c>
      <c r="I929" t="s">
        <v>161</v>
      </c>
      <c r="J929" t="s">
        <v>179</v>
      </c>
      <c r="K929" t="s">
        <v>176</v>
      </c>
      <c r="L929">
        <v>0</v>
      </c>
      <c r="M929">
        <v>0</v>
      </c>
      <c r="N929">
        <v>49.8125</v>
      </c>
      <c r="O929">
        <v>2.09375</v>
      </c>
      <c r="P929">
        <v>1.5</v>
      </c>
      <c r="Q929">
        <v>38.5</v>
      </c>
      <c r="R929">
        <v>15.1</v>
      </c>
      <c r="S929">
        <v>21.3</v>
      </c>
      <c r="T929">
        <v>9</v>
      </c>
      <c r="U929">
        <v>10.6</v>
      </c>
      <c r="V929">
        <v>0</v>
      </c>
      <c r="W929">
        <v>0</v>
      </c>
      <c r="X929">
        <v>0</v>
      </c>
      <c r="Y929">
        <v>0</v>
      </c>
      <c r="Z929">
        <v>18.899999999999999</v>
      </c>
      <c r="AA929">
        <v>32.799999999999997</v>
      </c>
      <c r="AB929">
        <v>15</v>
      </c>
      <c r="AC929">
        <v>26</v>
      </c>
      <c r="AD929">
        <v>19.399999999999999</v>
      </c>
      <c r="AE929">
        <v>11.7</v>
      </c>
      <c r="AF929">
        <v>49.889000000000003</v>
      </c>
      <c r="AG929">
        <v>46.609000000000002</v>
      </c>
      <c r="AH929">
        <v>49.710999999999999</v>
      </c>
      <c r="AI929">
        <v>45.695</v>
      </c>
      <c r="AJ929">
        <v>26.963000000000001</v>
      </c>
      <c r="AK929">
        <v>20.7</v>
      </c>
      <c r="AL929">
        <v>0.03</v>
      </c>
      <c r="AM929">
        <v>49.710999999999999</v>
      </c>
      <c r="AN929">
        <v>46.609000000000002</v>
      </c>
      <c r="AO929">
        <v>49.889000000000003</v>
      </c>
      <c r="AP929">
        <v>-0.03</v>
      </c>
      <c r="AQ929">
        <v>73.037000000000006</v>
      </c>
      <c r="AR929">
        <v>54.305</v>
      </c>
      <c r="AS929">
        <v>79.3</v>
      </c>
    </row>
    <row r="930" spans="1:45" x14ac:dyDescent="0.25">
      <c r="A930">
        <v>28</v>
      </c>
      <c r="B930">
        <v>10</v>
      </c>
      <c r="C930">
        <v>1</v>
      </c>
      <c r="D930">
        <v>2021</v>
      </c>
      <c r="E930">
        <v>11</v>
      </c>
      <c r="F930" t="str">
        <f>IFERROR(VLOOKUP(G930, Map!$A$1:$B$33, 2, FALSE),"WAS")</f>
        <v>KC</v>
      </c>
      <c r="G930" t="s">
        <v>158</v>
      </c>
      <c r="H930" t="str">
        <f>IFERROR(VLOOKUP(I930, Map!$A$1:$B$33, 2, FALSE),"WAS")</f>
        <v>DAL</v>
      </c>
      <c r="I930" t="s">
        <v>150</v>
      </c>
      <c r="J930" t="s">
        <v>202</v>
      </c>
      <c r="K930" t="s">
        <v>184</v>
      </c>
      <c r="L930">
        <v>1</v>
      </c>
      <c r="M930">
        <v>0</v>
      </c>
      <c r="N930">
        <v>51.735294117647101</v>
      </c>
      <c r="O930">
        <v>-2.8529411764705901</v>
      </c>
      <c r="P930">
        <v>-2.5</v>
      </c>
      <c r="Q930">
        <v>41.5</v>
      </c>
      <c r="R930">
        <v>7.9</v>
      </c>
      <c r="S930">
        <v>12.4</v>
      </c>
      <c r="T930">
        <v>4.3</v>
      </c>
      <c r="U930">
        <v>4.5</v>
      </c>
      <c r="V930">
        <v>0</v>
      </c>
      <c r="W930">
        <v>0</v>
      </c>
      <c r="X930">
        <v>0</v>
      </c>
      <c r="Y930">
        <v>0</v>
      </c>
      <c r="Z930">
        <v>21.1</v>
      </c>
      <c r="AA930">
        <v>38.9</v>
      </c>
      <c r="AB930">
        <v>350</v>
      </c>
      <c r="AC930">
        <v>68</v>
      </c>
      <c r="AD930">
        <v>20.5</v>
      </c>
      <c r="AE930">
        <v>11.1</v>
      </c>
      <c r="AF930">
        <v>49.151000000000003</v>
      </c>
      <c r="AG930">
        <v>85.578000000000003</v>
      </c>
      <c r="AH930">
        <v>50.454999999999998</v>
      </c>
      <c r="AI930">
        <v>91.617000000000004</v>
      </c>
      <c r="AJ930">
        <v>46.639000000000003</v>
      </c>
      <c r="AK930">
        <v>79.843000000000004</v>
      </c>
      <c r="AL930">
        <v>-0.218</v>
      </c>
      <c r="AM930">
        <v>50.454999999999998</v>
      </c>
      <c r="AN930">
        <v>85.578000000000003</v>
      </c>
      <c r="AO930">
        <v>49.151000000000003</v>
      </c>
      <c r="AP930">
        <v>0.218</v>
      </c>
      <c r="AQ930">
        <v>53.360999999999997</v>
      </c>
      <c r="AR930">
        <v>8.3829999999999991</v>
      </c>
      <c r="AS930">
        <v>20.157</v>
      </c>
    </row>
    <row r="931" spans="1:45" x14ac:dyDescent="0.25">
      <c r="A931">
        <v>78</v>
      </c>
      <c r="B931">
        <v>4</v>
      </c>
      <c r="C931">
        <v>1</v>
      </c>
      <c r="D931">
        <v>2021</v>
      </c>
      <c r="E931">
        <v>11</v>
      </c>
      <c r="F931" t="str">
        <f>IFERROR(VLOOKUP(G931, Map!$A$1:$B$33, 2, FALSE),"WAS")</f>
        <v>LAC</v>
      </c>
      <c r="G931" t="s">
        <v>160</v>
      </c>
      <c r="H931" t="str">
        <f>IFERROR(VLOOKUP(I931, Map!$A$1:$B$33, 2, FALSE),"WAS")</f>
        <v>PIT</v>
      </c>
      <c r="I931" t="s">
        <v>145</v>
      </c>
      <c r="J931" t="s">
        <v>210</v>
      </c>
      <c r="K931" t="s">
        <v>170</v>
      </c>
      <c r="L931">
        <v>1</v>
      </c>
      <c r="M931">
        <v>0</v>
      </c>
      <c r="N931">
        <v>46.705882352941202</v>
      </c>
      <c r="O931">
        <v>-5.8235294117647101</v>
      </c>
      <c r="P931">
        <v>-3.5</v>
      </c>
      <c r="Q931">
        <v>47.5</v>
      </c>
      <c r="R931">
        <v>20.2</v>
      </c>
      <c r="S931">
        <v>29.5</v>
      </c>
      <c r="T931">
        <v>10.5</v>
      </c>
      <c r="U931">
        <v>16.3</v>
      </c>
      <c r="V931">
        <v>0</v>
      </c>
      <c r="W931">
        <v>0</v>
      </c>
      <c r="X931">
        <v>0</v>
      </c>
      <c r="Y931">
        <v>0</v>
      </c>
      <c r="Z931">
        <v>12.3</v>
      </c>
      <c r="AA931">
        <v>17.600000000000001</v>
      </c>
      <c r="AB931">
        <v>10</v>
      </c>
      <c r="AC931">
        <v>16</v>
      </c>
      <c r="AD931">
        <v>10.5</v>
      </c>
      <c r="AE931">
        <v>5.7</v>
      </c>
      <c r="AF931">
        <v>64.385000000000005</v>
      </c>
      <c r="AG931">
        <v>50.796999999999997</v>
      </c>
      <c r="AH931">
        <v>35.332000000000001</v>
      </c>
      <c r="AI931">
        <v>38.280999999999999</v>
      </c>
      <c r="AJ931">
        <v>88.238</v>
      </c>
      <c r="AK931">
        <v>70.522999999999996</v>
      </c>
      <c r="AL931">
        <v>4.9740000000000002</v>
      </c>
      <c r="AM931">
        <v>35.332000000000001</v>
      </c>
      <c r="AN931">
        <v>50.796999999999997</v>
      </c>
      <c r="AO931">
        <v>64.385000000000005</v>
      </c>
      <c r="AP931">
        <v>-4.9740000000000002</v>
      </c>
      <c r="AQ931">
        <v>11.762</v>
      </c>
      <c r="AR931">
        <v>61.719000000000001</v>
      </c>
      <c r="AS931">
        <v>29.477</v>
      </c>
    </row>
    <row r="932" spans="1:45" x14ac:dyDescent="0.25">
      <c r="A932">
        <v>56</v>
      </c>
      <c r="B932">
        <v>-26</v>
      </c>
      <c r="C932">
        <v>0</v>
      </c>
      <c r="D932">
        <v>2021</v>
      </c>
      <c r="E932">
        <v>11</v>
      </c>
      <c r="F932" t="str">
        <f>IFERROR(VLOOKUP(G932, Map!$A$1:$B$33, 2, FALSE),"WAS")</f>
        <v>BUF</v>
      </c>
      <c r="G932" t="s">
        <v>165</v>
      </c>
      <c r="H932" t="str">
        <f>IFERROR(VLOOKUP(I932, Map!$A$1:$B$33, 2, FALSE),"WAS")</f>
        <v>IND</v>
      </c>
      <c r="I932" t="s">
        <v>138</v>
      </c>
      <c r="J932" t="s">
        <v>180</v>
      </c>
      <c r="K932" t="s">
        <v>177</v>
      </c>
      <c r="L932">
        <v>0</v>
      </c>
      <c r="M932">
        <v>0</v>
      </c>
      <c r="N932">
        <v>47.058823529411796</v>
      </c>
      <c r="O932">
        <v>-5.6764705882352899</v>
      </c>
      <c r="P932">
        <v>-6.5</v>
      </c>
      <c r="Q932">
        <v>49</v>
      </c>
      <c r="R932">
        <v>7</v>
      </c>
      <c r="S932">
        <v>17.100000000000001</v>
      </c>
      <c r="T932">
        <v>-0.3</v>
      </c>
      <c r="U932">
        <v>4.0999999999999996</v>
      </c>
      <c r="V932">
        <v>0</v>
      </c>
      <c r="W932">
        <v>0</v>
      </c>
      <c r="X932">
        <v>0</v>
      </c>
      <c r="Y932">
        <v>0</v>
      </c>
      <c r="Z932">
        <v>11.6</v>
      </c>
      <c r="AA932">
        <v>22.3</v>
      </c>
      <c r="AB932">
        <v>37</v>
      </c>
      <c r="AC932">
        <v>62</v>
      </c>
      <c r="AD932">
        <v>12.9</v>
      </c>
      <c r="AE932">
        <v>6</v>
      </c>
      <c r="AF932">
        <v>76.331000000000003</v>
      </c>
      <c r="AG932">
        <v>73.325999999999993</v>
      </c>
      <c r="AH932">
        <v>23.481000000000002</v>
      </c>
      <c r="AI932">
        <v>10.039999999999999</v>
      </c>
      <c r="AJ932">
        <v>43.758000000000003</v>
      </c>
      <c r="AK932">
        <v>3.5760000000000001</v>
      </c>
      <c r="AL932">
        <v>9.6129999999999995</v>
      </c>
      <c r="AM932">
        <v>23.481000000000002</v>
      </c>
      <c r="AN932">
        <v>73.325999999999993</v>
      </c>
      <c r="AO932">
        <v>76.331000000000003</v>
      </c>
      <c r="AP932">
        <v>-9.6129999999999995</v>
      </c>
      <c r="AQ932">
        <v>56.241999999999997</v>
      </c>
      <c r="AR932">
        <v>89.96</v>
      </c>
      <c r="AS932">
        <v>96.424000000000007</v>
      </c>
    </row>
    <row r="933" spans="1:45" x14ac:dyDescent="0.25">
      <c r="A933">
        <v>40</v>
      </c>
      <c r="B933">
        <v>20</v>
      </c>
      <c r="C933">
        <v>1</v>
      </c>
      <c r="D933">
        <v>2021</v>
      </c>
      <c r="E933">
        <v>11</v>
      </c>
      <c r="F933" t="str">
        <f>IFERROR(VLOOKUP(G933, Map!$A$1:$B$33, 2, FALSE),"WAS")</f>
        <v>TB</v>
      </c>
      <c r="G933" t="s">
        <v>141</v>
      </c>
      <c r="H933" t="str">
        <f>IFERROR(VLOOKUP(I933, Map!$A$1:$B$33, 2, FALSE),"WAS")</f>
        <v>NYG</v>
      </c>
      <c r="I933" t="s">
        <v>149</v>
      </c>
      <c r="J933" t="s">
        <v>186</v>
      </c>
      <c r="K933" t="s">
        <v>219</v>
      </c>
      <c r="L933">
        <v>1</v>
      </c>
      <c r="M933">
        <v>0</v>
      </c>
      <c r="N933">
        <v>46.5</v>
      </c>
      <c r="O933">
        <v>-10.588235294117601</v>
      </c>
      <c r="P933">
        <v>-10.5</v>
      </c>
      <c r="Q933">
        <v>41.5</v>
      </c>
      <c r="R933">
        <v>16.100000000000001</v>
      </c>
      <c r="S933">
        <v>19.8</v>
      </c>
      <c r="T933">
        <v>12.1</v>
      </c>
      <c r="U933">
        <v>13.5</v>
      </c>
      <c r="V933">
        <v>0.1</v>
      </c>
      <c r="W933">
        <v>0</v>
      </c>
      <c r="X933">
        <v>1</v>
      </c>
      <c r="Y933">
        <v>0.1</v>
      </c>
      <c r="Z933">
        <v>22.2</v>
      </c>
      <c r="AA933">
        <v>37.4</v>
      </c>
      <c r="AB933">
        <v>360</v>
      </c>
      <c r="AC933">
        <v>67</v>
      </c>
      <c r="AD933">
        <v>32.799999999999997</v>
      </c>
      <c r="AE933">
        <v>18.899999999999999</v>
      </c>
      <c r="AF933">
        <v>78.459999999999994</v>
      </c>
      <c r="AG933">
        <v>52.322000000000003</v>
      </c>
      <c r="AH933">
        <v>21.367999999999999</v>
      </c>
      <c r="AI933">
        <v>88.433999999999997</v>
      </c>
      <c r="AJ933">
        <v>68.2</v>
      </c>
      <c r="AK933">
        <v>85.793999999999997</v>
      </c>
      <c r="AL933">
        <v>10.557</v>
      </c>
      <c r="AM933">
        <v>21.367999999999999</v>
      </c>
      <c r="AN933">
        <v>52.322000000000003</v>
      </c>
      <c r="AO933">
        <v>78.459999999999994</v>
      </c>
      <c r="AP933">
        <v>-10.557</v>
      </c>
      <c r="AQ933">
        <v>31.8</v>
      </c>
      <c r="AR933">
        <v>11.566000000000001</v>
      </c>
      <c r="AS933">
        <v>14.206</v>
      </c>
    </row>
    <row r="934" spans="1:45" x14ac:dyDescent="0.25">
      <c r="A934">
        <v>69</v>
      </c>
      <c r="B934">
        <v>11</v>
      </c>
      <c r="C934">
        <v>1</v>
      </c>
      <c r="D934">
        <v>2021</v>
      </c>
      <c r="E934">
        <v>11</v>
      </c>
      <c r="F934" t="str">
        <f>IFERROR(VLOOKUP(G934, Map!$A$1:$B$33, 2, FALSE),"WAS")</f>
        <v>PHI</v>
      </c>
      <c r="G934" t="s">
        <v>147</v>
      </c>
      <c r="H934" t="str">
        <f>IFERROR(VLOOKUP(I934, Map!$A$1:$B$33, 2, FALSE),"WAS")</f>
        <v>NO</v>
      </c>
      <c r="I934" t="s">
        <v>168</v>
      </c>
      <c r="J934" t="s">
        <v>206</v>
      </c>
      <c r="K934" t="s">
        <v>192</v>
      </c>
      <c r="L934">
        <v>1</v>
      </c>
      <c r="M934">
        <v>0</v>
      </c>
      <c r="N934">
        <v>40.911764705882298</v>
      </c>
      <c r="O934">
        <v>-3.3529411764705901</v>
      </c>
      <c r="P934">
        <v>-1.5</v>
      </c>
      <c r="Q934">
        <v>42</v>
      </c>
      <c r="R934">
        <v>6.9</v>
      </c>
      <c r="S934">
        <v>13.3</v>
      </c>
      <c r="T934">
        <v>2.2000000000000002</v>
      </c>
      <c r="U934">
        <v>4.2</v>
      </c>
      <c r="V934">
        <v>0</v>
      </c>
      <c r="W934">
        <v>0</v>
      </c>
      <c r="X934">
        <v>0</v>
      </c>
      <c r="Y934">
        <v>0</v>
      </c>
      <c r="Z934">
        <v>12.9</v>
      </c>
      <c r="AA934">
        <v>25.2</v>
      </c>
      <c r="AB934">
        <v>206</v>
      </c>
      <c r="AC934">
        <v>78</v>
      </c>
      <c r="AD934">
        <v>14.2</v>
      </c>
      <c r="AE934">
        <v>7.4</v>
      </c>
      <c r="AF934">
        <v>48.201000000000001</v>
      </c>
      <c r="AG934">
        <v>55.368000000000002</v>
      </c>
      <c r="AH934">
        <v>51.411999999999999</v>
      </c>
      <c r="AI934">
        <v>97.475999999999999</v>
      </c>
      <c r="AJ934">
        <v>48.954000000000001</v>
      </c>
      <c r="AK934">
        <v>88.483000000000004</v>
      </c>
      <c r="AL934">
        <v>-0.53700000000000003</v>
      </c>
      <c r="AM934">
        <v>51.411999999999999</v>
      </c>
      <c r="AN934">
        <v>55.368000000000002</v>
      </c>
      <c r="AO934">
        <v>48.201000000000001</v>
      </c>
      <c r="AP934">
        <v>0.53700000000000003</v>
      </c>
      <c r="AQ934">
        <v>51.045999999999999</v>
      </c>
      <c r="AR934">
        <v>2.524</v>
      </c>
      <c r="AS934">
        <v>11.516999999999999</v>
      </c>
    </row>
    <row r="935" spans="1:45" x14ac:dyDescent="0.25">
      <c r="A935">
        <v>49</v>
      </c>
      <c r="B935">
        <v>23</v>
      </c>
      <c r="C935">
        <v>1</v>
      </c>
      <c r="D935">
        <v>2021</v>
      </c>
      <c r="E935">
        <v>12</v>
      </c>
      <c r="F935" t="str">
        <f>IFERROR(VLOOKUP(G935, Map!$A$1:$B$33, 2, FALSE),"WAS")</f>
        <v>NE</v>
      </c>
      <c r="G935" t="s">
        <v>151</v>
      </c>
      <c r="H935" t="str">
        <f>IFERROR(VLOOKUP(I935, Map!$A$1:$B$33, 2, FALSE),"WAS")</f>
        <v>TEN</v>
      </c>
      <c r="I935" t="s">
        <v>140</v>
      </c>
      <c r="J935" t="s">
        <v>187</v>
      </c>
      <c r="K935" t="s">
        <v>174</v>
      </c>
      <c r="L935">
        <v>1</v>
      </c>
      <c r="M935">
        <v>0</v>
      </c>
      <c r="N935">
        <v>40.9375</v>
      </c>
      <c r="O935">
        <v>-7.65625</v>
      </c>
      <c r="P935">
        <v>-7</v>
      </c>
      <c r="Q935">
        <v>43</v>
      </c>
      <c r="R935">
        <v>-0.6</v>
      </c>
      <c r="S935">
        <v>3.2</v>
      </c>
      <c r="T935">
        <v>-3.8</v>
      </c>
      <c r="U935">
        <v>-5.0999999999999996</v>
      </c>
      <c r="V935">
        <v>0</v>
      </c>
      <c r="W935">
        <v>0</v>
      </c>
      <c r="X935">
        <v>0</v>
      </c>
      <c r="Y935">
        <v>0</v>
      </c>
      <c r="Z935">
        <v>16.2</v>
      </c>
      <c r="AA935">
        <v>33.799999999999997</v>
      </c>
      <c r="AB935">
        <v>257</v>
      </c>
      <c r="AC935">
        <v>63</v>
      </c>
      <c r="AD935">
        <v>23.4</v>
      </c>
      <c r="AE935">
        <v>10.4</v>
      </c>
      <c r="AF935">
        <v>67.298000000000002</v>
      </c>
      <c r="AG935">
        <v>66.222999999999999</v>
      </c>
      <c r="AH935">
        <v>32.441000000000003</v>
      </c>
      <c r="AI935">
        <v>52.095999999999997</v>
      </c>
      <c r="AJ935">
        <v>83.281000000000006</v>
      </c>
      <c r="AK935">
        <v>84.042000000000002</v>
      </c>
      <c r="AL935">
        <v>6.0119999999999996</v>
      </c>
      <c r="AM935">
        <v>32.441000000000003</v>
      </c>
      <c r="AN935">
        <v>66.222999999999999</v>
      </c>
      <c r="AO935">
        <v>67.298000000000002</v>
      </c>
      <c r="AP935">
        <v>-6.0119999999999996</v>
      </c>
      <c r="AQ935">
        <v>16.719000000000001</v>
      </c>
      <c r="AR935">
        <v>47.904000000000003</v>
      </c>
      <c r="AS935">
        <v>15.958</v>
      </c>
    </row>
    <row r="936" spans="1:45" x14ac:dyDescent="0.25">
      <c r="A936">
        <v>26</v>
      </c>
      <c r="B936">
        <v>6</v>
      </c>
      <c r="C936">
        <v>1</v>
      </c>
      <c r="D936">
        <v>2021</v>
      </c>
      <c r="E936">
        <v>12</v>
      </c>
      <c r="F936" t="str">
        <f>IFERROR(VLOOKUP(G936, Map!$A$1:$B$33, 2, FALSE),"WAS")</f>
        <v>BAL</v>
      </c>
      <c r="G936" t="s">
        <v>146</v>
      </c>
      <c r="H936" t="str">
        <f>IFERROR(VLOOKUP(I936, Map!$A$1:$B$33, 2, FALSE),"WAS")</f>
        <v>CLE</v>
      </c>
      <c r="I936" t="s">
        <v>162</v>
      </c>
      <c r="J936" t="s">
        <v>181</v>
      </c>
      <c r="K936" t="s">
        <v>171</v>
      </c>
      <c r="L936">
        <v>1</v>
      </c>
      <c r="M936">
        <v>0</v>
      </c>
      <c r="N936">
        <v>43.0625</v>
      </c>
      <c r="O936">
        <v>-3.03125</v>
      </c>
      <c r="P936">
        <v>-3</v>
      </c>
      <c r="Q936">
        <v>27.5</v>
      </c>
      <c r="R936">
        <v>4.5</v>
      </c>
      <c r="S936">
        <v>7.2</v>
      </c>
      <c r="T936">
        <v>0.7</v>
      </c>
      <c r="U936">
        <v>-0.2</v>
      </c>
      <c r="V936">
        <v>0.1</v>
      </c>
      <c r="W936">
        <v>0</v>
      </c>
      <c r="X936">
        <v>1</v>
      </c>
      <c r="Y936">
        <v>0.1</v>
      </c>
      <c r="Z936">
        <v>26.3</v>
      </c>
      <c r="AA936">
        <v>46.8</v>
      </c>
      <c r="AB936">
        <v>311</v>
      </c>
      <c r="AC936">
        <v>61</v>
      </c>
      <c r="AD936">
        <v>27.6</v>
      </c>
      <c r="AE936">
        <v>14.8</v>
      </c>
      <c r="AF936">
        <v>61.59</v>
      </c>
      <c r="AG936">
        <v>55.024999999999999</v>
      </c>
      <c r="AH936">
        <v>38.103999999999999</v>
      </c>
      <c r="AI936">
        <v>74.558000000000007</v>
      </c>
      <c r="AJ936">
        <v>31.878</v>
      </c>
      <c r="AK936">
        <v>62.438000000000002</v>
      </c>
      <c r="AL936">
        <v>3.976</v>
      </c>
      <c r="AM936">
        <v>38.103999999999999</v>
      </c>
      <c r="AN936">
        <v>55.024999999999999</v>
      </c>
      <c r="AO936">
        <v>61.59</v>
      </c>
      <c r="AP936">
        <v>-3.976</v>
      </c>
      <c r="AQ936">
        <v>68.122</v>
      </c>
      <c r="AR936">
        <v>25.442</v>
      </c>
      <c r="AS936">
        <v>37.561999999999998</v>
      </c>
    </row>
    <row r="937" spans="1:45" x14ac:dyDescent="0.25">
      <c r="A937">
        <v>30</v>
      </c>
      <c r="B937">
        <v>-2</v>
      </c>
      <c r="C937">
        <v>0</v>
      </c>
      <c r="D937">
        <v>2021</v>
      </c>
      <c r="E937">
        <v>12</v>
      </c>
      <c r="F937" t="str">
        <f>IFERROR(VLOOKUP(G937, Map!$A$1:$B$33, 2, FALSE),"WAS")</f>
        <v>DET</v>
      </c>
      <c r="G937" t="s">
        <v>164</v>
      </c>
      <c r="H937" t="str">
        <f>IFERROR(VLOOKUP(I937, Map!$A$1:$B$33, 2, FALSE),"WAS")</f>
        <v>CHI</v>
      </c>
      <c r="I937" t="s">
        <v>163</v>
      </c>
      <c r="J937" t="s">
        <v>173</v>
      </c>
      <c r="K937" t="s">
        <v>216</v>
      </c>
      <c r="L937">
        <v>0</v>
      </c>
      <c r="M937">
        <v>0</v>
      </c>
      <c r="N937">
        <v>38.558823529411796</v>
      </c>
      <c r="O937">
        <v>2.4117647058823501</v>
      </c>
      <c r="P937">
        <v>1.5</v>
      </c>
      <c r="Q937">
        <v>30.5</v>
      </c>
      <c r="R937">
        <v>6.7</v>
      </c>
      <c r="S937">
        <v>8.8000000000000007</v>
      </c>
      <c r="T937">
        <v>5.5</v>
      </c>
      <c r="U937">
        <v>2.8</v>
      </c>
      <c r="V937">
        <v>13.3</v>
      </c>
      <c r="W937">
        <v>0</v>
      </c>
      <c r="X937">
        <v>20</v>
      </c>
      <c r="Y937">
        <v>13.3</v>
      </c>
      <c r="Z937">
        <v>26.8</v>
      </c>
      <c r="AA937">
        <v>41.4</v>
      </c>
      <c r="AB937">
        <v>224</v>
      </c>
      <c r="AC937">
        <v>83</v>
      </c>
      <c r="AD937">
        <v>28.1</v>
      </c>
      <c r="AE937">
        <v>17</v>
      </c>
      <c r="AF937">
        <v>43.503999999999998</v>
      </c>
      <c r="AG937">
        <v>14.654999999999999</v>
      </c>
      <c r="AH937">
        <v>56.146000000000001</v>
      </c>
      <c r="AI937">
        <v>51.027000000000001</v>
      </c>
      <c r="AJ937">
        <v>35.923999999999999</v>
      </c>
      <c r="AK937">
        <v>42.201000000000001</v>
      </c>
      <c r="AL937">
        <v>-2.117</v>
      </c>
      <c r="AM937">
        <v>56.146000000000001</v>
      </c>
      <c r="AN937">
        <v>14.654999999999999</v>
      </c>
      <c r="AO937">
        <v>43.503999999999998</v>
      </c>
      <c r="AP937">
        <v>2.117</v>
      </c>
      <c r="AQ937">
        <v>64.075999999999993</v>
      </c>
      <c r="AR937">
        <v>48.972999999999999</v>
      </c>
      <c r="AS937">
        <v>57.798999999999999</v>
      </c>
    </row>
    <row r="938" spans="1:45" x14ac:dyDescent="0.25">
      <c r="A938">
        <v>35</v>
      </c>
      <c r="B938">
        <v>-7</v>
      </c>
      <c r="C938">
        <v>0</v>
      </c>
      <c r="D938">
        <v>2021</v>
      </c>
      <c r="E938">
        <v>12</v>
      </c>
      <c r="F938" t="str">
        <f>IFERROR(VLOOKUP(G938, Map!$A$1:$B$33, 2, FALSE),"WAS")</f>
        <v>HOU</v>
      </c>
      <c r="G938" t="s">
        <v>137</v>
      </c>
      <c r="H938" t="str">
        <f>IFERROR(VLOOKUP(I938, Map!$A$1:$B$33, 2, FALSE),"WAS")</f>
        <v>NYJ</v>
      </c>
      <c r="I938" t="s">
        <v>166</v>
      </c>
      <c r="J938" t="s">
        <v>209</v>
      </c>
      <c r="K938" t="s">
        <v>172</v>
      </c>
      <c r="L938">
        <v>0</v>
      </c>
      <c r="M938">
        <v>0</v>
      </c>
      <c r="N938">
        <v>41.375</v>
      </c>
      <c r="O938">
        <v>-2</v>
      </c>
      <c r="P938">
        <v>-2.5</v>
      </c>
      <c r="Q938">
        <v>38.5</v>
      </c>
      <c r="R938">
        <v>13.2</v>
      </c>
      <c r="S938">
        <v>16.5</v>
      </c>
      <c r="T938">
        <v>11.8</v>
      </c>
      <c r="U938">
        <v>12.1</v>
      </c>
      <c r="V938">
        <v>6.8</v>
      </c>
      <c r="W938">
        <v>0</v>
      </c>
      <c r="X938">
        <v>13</v>
      </c>
      <c r="Y938">
        <v>6.8</v>
      </c>
      <c r="Z938">
        <v>17.8</v>
      </c>
      <c r="AA938">
        <v>30.6</v>
      </c>
      <c r="AB938">
        <v>359</v>
      </c>
      <c r="AC938">
        <v>89</v>
      </c>
      <c r="AD938">
        <v>19.5</v>
      </c>
      <c r="AE938">
        <v>10.8</v>
      </c>
      <c r="AF938">
        <v>55.904000000000003</v>
      </c>
      <c r="AG938">
        <v>2.9809999999999999</v>
      </c>
      <c r="AH938">
        <v>43.744999999999997</v>
      </c>
      <c r="AI938">
        <v>57.688000000000002</v>
      </c>
      <c r="AJ938">
        <v>18.875</v>
      </c>
      <c r="AK938">
        <v>33.134</v>
      </c>
      <c r="AL938">
        <v>2.036</v>
      </c>
      <c r="AM938">
        <v>43.744999999999997</v>
      </c>
      <c r="AN938">
        <v>2.9809999999999999</v>
      </c>
      <c r="AO938">
        <v>55.904000000000003</v>
      </c>
      <c r="AP938">
        <v>-2.036</v>
      </c>
      <c r="AQ938">
        <v>81.125</v>
      </c>
      <c r="AR938">
        <v>42.311999999999998</v>
      </c>
      <c r="AS938">
        <v>66.866</v>
      </c>
    </row>
    <row r="939" spans="1:45" x14ac:dyDescent="0.25">
      <c r="A939">
        <v>69</v>
      </c>
      <c r="B939">
        <v>-3</v>
      </c>
      <c r="C939">
        <v>0</v>
      </c>
      <c r="D939">
        <v>2021</v>
      </c>
      <c r="E939">
        <v>12</v>
      </c>
      <c r="F939" t="str">
        <f>IFERROR(VLOOKUP(G939, Map!$A$1:$B$33, 2, FALSE),"WAS")</f>
        <v>DAL</v>
      </c>
      <c r="G939" t="s">
        <v>150</v>
      </c>
      <c r="H939" t="str">
        <f>IFERROR(VLOOKUP(I939, Map!$A$1:$B$33, 2, FALSE),"WAS")</f>
        <v>LV</v>
      </c>
      <c r="I939" t="s">
        <v>157</v>
      </c>
      <c r="J939" t="s">
        <v>184</v>
      </c>
      <c r="K939" t="s">
        <v>179</v>
      </c>
      <c r="L939">
        <v>0</v>
      </c>
      <c r="M939">
        <v>0</v>
      </c>
      <c r="N939">
        <v>51.7</v>
      </c>
      <c r="O939">
        <v>-6.8</v>
      </c>
      <c r="P939">
        <v>-1.5</v>
      </c>
      <c r="Q939">
        <v>50.5</v>
      </c>
      <c r="R939">
        <v>14.3</v>
      </c>
      <c r="S939">
        <v>21.6</v>
      </c>
      <c r="T939">
        <v>8.1</v>
      </c>
      <c r="U939">
        <v>10.6</v>
      </c>
      <c r="V939">
        <v>0.1</v>
      </c>
      <c r="W939">
        <v>0</v>
      </c>
      <c r="X939">
        <v>1</v>
      </c>
      <c r="Y939">
        <v>0.1</v>
      </c>
      <c r="Z939">
        <v>31.4</v>
      </c>
      <c r="AA939">
        <v>53.6</v>
      </c>
      <c r="AB939">
        <v>338</v>
      </c>
      <c r="AC939">
        <v>61</v>
      </c>
      <c r="AD939">
        <v>39.700000000000003</v>
      </c>
      <c r="AE939">
        <v>22.7</v>
      </c>
      <c r="AF939">
        <v>75.08</v>
      </c>
      <c r="AG939">
        <v>54.65</v>
      </c>
      <c r="AH939">
        <v>24.721</v>
      </c>
      <c r="AI939">
        <v>23.445</v>
      </c>
      <c r="AJ939">
        <v>65.278999999999996</v>
      </c>
      <c r="AK939">
        <v>39.116</v>
      </c>
      <c r="AL939">
        <v>9.0519999999999996</v>
      </c>
      <c r="AM939">
        <v>24.721</v>
      </c>
      <c r="AN939">
        <v>54.65</v>
      </c>
      <c r="AO939">
        <v>75.08</v>
      </c>
      <c r="AP939">
        <v>-9.0519999999999996</v>
      </c>
      <c r="AQ939">
        <v>34.720999999999997</v>
      </c>
      <c r="AR939">
        <v>76.555000000000007</v>
      </c>
      <c r="AS939">
        <v>60.884</v>
      </c>
    </row>
    <row r="940" spans="1:45" x14ac:dyDescent="0.25">
      <c r="A940">
        <v>69</v>
      </c>
      <c r="B940">
        <v>-7</v>
      </c>
      <c r="C940">
        <v>0</v>
      </c>
      <c r="D940">
        <v>2021</v>
      </c>
      <c r="E940">
        <v>12</v>
      </c>
      <c r="F940" t="str">
        <f>IFERROR(VLOOKUP(G940, Map!$A$1:$B$33, 2, FALSE),"WAS")</f>
        <v>IND</v>
      </c>
      <c r="G940" t="s">
        <v>138</v>
      </c>
      <c r="H940" t="str">
        <f>IFERROR(VLOOKUP(I940, Map!$A$1:$B$33, 2, FALSE),"WAS")</f>
        <v>TB</v>
      </c>
      <c r="I940" t="s">
        <v>141</v>
      </c>
      <c r="J940" t="s">
        <v>177</v>
      </c>
      <c r="K940" t="s">
        <v>186</v>
      </c>
      <c r="L940">
        <v>0</v>
      </c>
      <c r="M940">
        <v>0</v>
      </c>
      <c r="N940">
        <v>50.59375</v>
      </c>
      <c r="O940">
        <v>3</v>
      </c>
      <c r="P940">
        <v>2.5</v>
      </c>
      <c r="Q940">
        <v>51.5</v>
      </c>
      <c r="R940">
        <v>2.6</v>
      </c>
      <c r="S940">
        <v>5.9</v>
      </c>
      <c r="T940">
        <v>-2.1</v>
      </c>
      <c r="U940">
        <v>-2.1</v>
      </c>
      <c r="V940">
        <v>0.3</v>
      </c>
      <c r="W940">
        <v>0</v>
      </c>
      <c r="X940">
        <v>1</v>
      </c>
      <c r="Y940">
        <v>0.3</v>
      </c>
      <c r="Z940">
        <v>24.2</v>
      </c>
      <c r="AA940">
        <v>45.4</v>
      </c>
      <c r="AB940">
        <v>289</v>
      </c>
      <c r="AC940">
        <v>71</v>
      </c>
      <c r="AD940">
        <v>30.5</v>
      </c>
      <c r="AE940">
        <v>15.8</v>
      </c>
      <c r="AF940">
        <v>39.537999999999997</v>
      </c>
      <c r="AG940">
        <v>87.653000000000006</v>
      </c>
      <c r="AH940">
        <v>60.143999999999998</v>
      </c>
      <c r="AI940">
        <v>24.277000000000001</v>
      </c>
      <c r="AJ940">
        <v>65.159000000000006</v>
      </c>
      <c r="AK940">
        <v>39.008000000000003</v>
      </c>
      <c r="AL940">
        <v>-3.476</v>
      </c>
      <c r="AM940">
        <v>60.143999999999998</v>
      </c>
      <c r="AN940">
        <v>87.653000000000006</v>
      </c>
      <c r="AO940">
        <v>39.537999999999997</v>
      </c>
      <c r="AP940">
        <v>3.476</v>
      </c>
      <c r="AQ940">
        <v>34.841000000000001</v>
      </c>
      <c r="AR940">
        <v>75.722999999999999</v>
      </c>
      <c r="AS940">
        <v>60.991999999999997</v>
      </c>
    </row>
    <row r="941" spans="1:45" x14ac:dyDescent="0.25">
      <c r="A941">
        <v>35</v>
      </c>
      <c r="B941">
        <v>-7</v>
      </c>
      <c r="C941">
        <v>0</v>
      </c>
      <c r="D941">
        <v>2021</v>
      </c>
      <c r="E941">
        <v>12</v>
      </c>
      <c r="F941" t="str">
        <f>IFERROR(VLOOKUP(G941, Map!$A$1:$B$33, 2, FALSE),"WAS")</f>
        <v>JAX</v>
      </c>
      <c r="G941" t="s">
        <v>139</v>
      </c>
      <c r="H941" t="str">
        <f>IFERROR(VLOOKUP(I941, Map!$A$1:$B$33, 2, FALSE),"WAS")</f>
        <v>ATL</v>
      </c>
      <c r="I941" t="s">
        <v>167</v>
      </c>
      <c r="J941" t="s">
        <v>220</v>
      </c>
      <c r="K941" t="s">
        <v>188</v>
      </c>
      <c r="L941">
        <v>0</v>
      </c>
      <c r="M941">
        <v>0</v>
      </c>
      <c r="N941">
        <v>42.6875</v>
      </c>
      <c r="O941">
        <v>1.625</v>
      </c>
      <c r="P941">
        <v>1</v>
      </c>
      <c r="Q941">
        <v>36.5</v>
      </c>
      <c r="R941">
        <v>11.3</v>
      </c>
      <c r="S941">
        <v>16.399999999999999</v>
      </c>
      <c r="T941">
        <v>7.5</v>
      </c>
      <c r="U941">
        <v>9.5</v>
      </c>
      <c r="V941">
        <v>0</v>
      </c>
      <c r="W941">
        <v>0</v>
      </c>
      <c r="X941">
        <v>0</v>
      </c>
      <c r="Y941">
        <v>0</v>
      </c>
      <c r="Z941">
        <v>11.2</v>
      </c>
      <c r="AA941">
        <v>19.100000000000001</v>
      </c>
      <c r="AB941">
        <v>274</v>
      </c>
      <c r="AC941">
        <v>74</v>
      </c>
      <c r="AD941">
        <v>12.2</v>
      </c>
      <c r="AE941">
        <v>6.6</v>
      </c>
      <c r="AF941">
        <v>47.597999999999999</v>
      </c>
      <c r="AG941">
        <v>5.2679999999999998</v>
      </c>
      <c r="AH941">
        <v>52.02</v>
      </c>
      <c r="AI941">
        <v>36.609000000000002</v>
      </c>
      <c r="AJ941">
        <v>30.655000000000001</v>
      </c>
      <c r="AK941">
        <v>24.86</v>
      </c>
      <c r="AL941">
        <v>-0.73799999999999999</v>
      </c>
      <c r="AM941">
        <v>52.02</v>
      </c>
      <c r="AN941">
        <v>5.2679999999999998</v>
      </c>
      <c r="AO941">
        <v>47.597999999999999</v>
      </c>
      <c r="AP941">
        <v>0.73799999999999999</v>
      </c>
      <c r="AQ941">
        <v>69.344999999999999</v>
      </c>
      <c r="AR941">
        <v>63.390999999999998</v>
      </c>
      <c r="AS941">
        <v>75.14</v>
      </c>
    </row>
    <row r="942" spans="1:45" x14ac:dyDescent="0.25">
      <c r="A942">
        <v>37</v>
      </c>
      <c r="B942">
        <v>-25</v>
      </c>
      <c r="C942">
        <v>0</v>
      </c>
      <c r="D942">
        <v>2021</v>
      </c>
      <c r="E942">
        <v>12</v>
      </c>
      <c r="F942" t="str">
        <f>IFERROR(VLOOKUP(G942, Map!$A$1:$B$33, 2, FALSE),"WAS")</f>
        <v>NO</v>
      </c>
      <c r="G942" t="s">
        <v>168</v>
      </c>
      <c r="H942" t="str">
        <f>IFERROR(VLOOKUP(I942, Map!$A$1:$B$33, 2, FALSE),"WAS")</f>
        <v>BUF</v>
      </c>
      <c r="I942" t="s">
        <v>165</v>
      </c>
      <c r="J942" t="s">
        <v>192</v>
      </c>
      <c r="K942" t="s">
        <v>180</v>
      </c>
      <c r="L942">
        <v>0</v>
      </c>
      <c r="M942">
        <v>0</v>
      </c>
      <c r="N942">
        <v>42.03125</v>
      </c>
      <c r="O942">
        <v>7.4375</v>
      </c>
      <c r="P942">
        <v>4.5</v>
      </c>
      <c r="Q942">
        <v>40.5</v>
      </c>
      <c r="R942">
        <v>15</v>
      </c>
      <c r="S942">
        <v>19</v>
      </c>
      <c r="T942">
        <v>11.4</v>
      </c>
      <c r="U942">
        <v>12.9</v>
      </c>
      <c r="V942">
        <v>3.7</v>
      </c>
      <c r="W942">
        <v>0</v>
      </c>
      <c r="X942">
        <v>8</v>
      </c>
      <c r="Y942">
        <v>3.7</v>
      </c>
      <c r="Z942">
        <v>30.1</v>
      </c>
      <c r="AA942">
        <v>50.8</v>
      </c>
      <c r="AB942">
        <v>360</v>
      </c>
      <c r="AC942">
        <v>77</v>
      </c>
      <c r="AD942">
        <v>33.200000000000003</v>
      </c>
      <c r="AE942">
        <v>17.600000000000001</v>
      </c>
      <c r="AF942">
        <v>38.210999999999999</v>
      </c>
      <c r="AG942">
        <v>85.850999999999999</v>
      </c>
      <c r="AH942">
        <v>61.482999999999997</v>
      </c>
      <c r="AI942">
        <v>32.392000000000003</v>
      </c>
      <c r="AJ942">
        <v>4.3499999999999996</v>
      </c>
      <c r="AK942">
        <v>4.8970000000000002</v>
      </c>
      <c r="AL942">
        <v>-3.9380000000000002</v>
      </c>
      <c r="AM942">
        <v>61.482999999999997</v>
      </c>
      <c r="AN942">
        <v>85.850999999999999</v>
      </c>
      <c r="AO942">
        <v>38.210999999999999</v>
      </c>
      <c r="AP942">
        <v>3.9380000000000002</v>
      </c>
      <c r="AQ942">
        <v>95.65</v>
      </c>
      <c r="AR942">
        <v>67.608000000000004</v>
      </c>
      <c r="AS942">
        <v>95.102999999999994</v>
      </c>
    </row>
    <row r="943" spans="1:45" x14ac:dyDescent="0.25">
      <c r="A943">
        <v>51</v>
      </c>
      <c r="B943">
        <v>31</v>
      </c>
      <c r="C943">
        <v>1</v>
      </c>
      <c r="D943">
        <v>2021</v>
      </c>
      <c r="E943">
        <v>12</v>
      </c>
      <c r="F943" t="str">
        <f>IFERROR(VLOOKUP(G943, Map!$A$1:$B$33, 2, FALSE),"WAS")</f>
        <v>CIN</v>
      </c>
      <c r="G943" t="s">
        <v>161</v>
      </c>
      <c r="H943" t="str">
        <f>IFERROR(VLOOKUP(I943, Map!$A$1:$B$33, 2, FALSE),"WAS")</f>
        <v>PIT</v>
      </c>
      <c r="I943" t="s">
        <v>145</v>
      </c>
      <c r="J943" t="s">
        <v>176</v>
      </c>
      <c r="K943" t="s">
        <v>170</v>
      </c>
      <c r="L943">
        <v>1</v>
      </c>
      <c r="M943">
        <v>0</v>
      </c>
      <c r="N943">
        <v>41.28125</v>
      </c>
      <c r="O943">
        <v>-5.4375</v>
      </c>
      <c r="P943">
        <v>-3.5</v>
      </c>
      <c r="Q943">
        <v>43.5</v>
      </c>
      <c r="R943">
        <v>4.8</v>
      </c>
      <c r="S943">
        <v>7.3</v>
      </c>
      <c r="T943">
        <v>1.7</v>
      </c>
      <c r="U943">
        <v>0.3</v>
      </c>
      <c r="V943">
        <v>0</v>
      </c>
      <c r="W943">
        <v>0</v>
      </c>
      <c r="X943">
        <v>0</v>
      </c>
      <c r="Y943">
        <v>0</v>
      </c>
      <c r="Z943">
        <v>22.2</v>
      </c>
      <c r="AA943">
        <v>43.9</v>
      </c>
      <c r="AB943">
        <v>275</v>
      </c>
      <c r="AC943">
        <v>68</v>
      </c>
      <c r="AD943">
        <v>31.4</v>
      </c>
      <c r="AE943">
        <v>15.3</v>
      </c>
      <c r="AF943">
        <v>54.38</v>
      </c>
      <c r="AG943">
        <v>50.460999999999999</v>
      </c>
      <c r="AH943">
        <v>45.256999999999998</v>
      </c>
      <c r="AI943">
        <v>97.460999999999999</v>
      </c>
      <c r="AJ943">
        <v>89.481999999999999</v>
      </c>
      <c r="AK943">
        <v>98.671999999999997</v>
      </c>
      <c r="AL943">
        <v>1.5249999999999999</v>
      </c>
      <c r="AM943">
        <v>45.256999999999998</v>
      </c>
      <c r="AN943">
        <v>50.460999999999999</v>
      </c>
      <c r="AO943">
        <v>54.38</v>
      </c>
      <c r="AP943">
        <v>-1.5249999999999999</v>
      </c>
      <c r="AQ943">
        <v>10.518000000000001</v>
      </c>
      <c r="AR943">
        <v>2.5390000000000001</v>
      </c>
      <c r="AS943">
        <v>1.3280000000000001</v>
      </c>
    </row>
    <row r="944" spans="1:45" x14ac:dyDescent="0.25">
      <c r="A944">
        <v>20</v>
      </c>
      <c r="B944">
        <v>6</v>
      </c>
      <c r="C944">
        <v>1</v>
      </c>
      <c r="D944">
        <v>2021</v>
      </c>
      <c r="E944">
        <v>12</v>
      </c>
      <c r="F944" t="str">
        <f>IFERROR(VLOOKUP(G944, Map!$A$1:$B$33, 2, FALSE),"WAS")</f>
        <v>NYG</v>
      </c>
      <c r="G944" t="s">
        <v>149</v>
      </c>
      <c r="H944" t="str">
        <f>IFERROR(VLOOKUP(I944, Map!$A$1:$B$33, 2, FALSE),"WAS")</f>
        <v>PHI</v>
      </c>
      <c r="I944" t="s">
        <v>147</v>
      </c>
      <c r="J944" t="s">
        <v>219</v>
      </c>
      <c r="K944" t="s">
        <v>206</v>
      </c>
      <c r="L944">
        <v>1</v>
      </c>
      <c r="M944">
        <v>0</v>
      </c>
      <c r="N944">
        <v>40.9375</v>
      </c>
      <c r="O944">
        <v>3.0625</v>
      </c>
      <c r="P944">
        <v>3.5</v>
      </c>
      <c r="Q944">
        <v>21.5</v>
      </c>
      <c r="R944">
        <v>1.4</v>
      </c>
      <c r="S944">
        <v>4.4000000000000004</v>
      </c>
      <c r="T944">
        <v>-0.3</v>
      </c>
      <c r="U944">
        <v>-1.9</v>
      </c>
      <c r="V944">
        <v>1.4</v>
      </c>
      <c r="W944">
        <v>0.98</v>
      </c>
      <c r="X944">
        <v>10</v>
      </c>
      <c r="Y944">
        <v>0</v>
      </c>
      <c r="Z944">
        <v>11.3</v>
      </c>
      <c r="AA944">
        <v>26.6</v>
      </c>
      <c r="AB944">
        <v>241</v>
      </c>
      <c r="AC944">
        <v>71</v>
      </c>
      <c r="AD944">
        <v>13.7</v>
      </c>
      <c r="AE944">
        <v>5.8</v>
      </c>
      <c r="AF944">
        <v>43.658999999999999</v>
      </c>
      <c r="AG944">
        <v>28.576000000000001</v>
      </c>
      <c r="AH944">
        <v>55.99</v>
      </c>
      <c r="AI944">
        <v>82.962999999999994</v>
      </c>
      <c r="AJ944">
        <v>47.883000000000003</v>
      </c>
      <c r="AK944">
        <v>65.596999999999994</v>
      </c>
      <c r="AL944">
        <v>-2.0649999999999999</v>
      </c>
      <c r="AM944">
        <v>55.99</v>
      </c>
      <c r="AN944">
        <v>28.576000000000001</v>
      </c>
      <c r="AO944">
        <v>43.658999999999999</v>
      </c>
      <c r="AP944">
        <v>2.0649999999999999</v>
      </c>
      <c r="AQ944">
        <v>52.116999999999997</v>
      </c>
      <c r="AR944">
        <v>17.036999999999999</v>
      </c>
      <c r="AS944">
        <v>34.402999999999999</v>
      </c>
    </row>
    <row r="945" spans="1:45" x14ac:dyDescent="0.25">
      <c r="A945">
        <v>32</v>
      </c>
      <c r="B945">
        <v>2</v>
      </c>
      <c r="C945">
        <v>1</v>
      </c>
      <c r="D945">
        <v>2021</v>
      </c>
      <c r="E945">
        <v>12</v>
      </c>
      <c r="F945" t="str">
        <f>IFERROR(VLOOKUP(G945, Map!$A$1:$B$33, 2, FALSE),"WAS")</f>
        <v>WAS</v>
      </c>
      <c r="G945" t="s">
        <v>169</v>
      </c>
      <c r="H945" t="str">
        <f>IFERROR(VLOOKUP(I945, Map!$A$1:$B$33, 2, FALSE),"WAS")</f>
        <v>SEA</v>
      </c>
      <c r="I945" t="s">
        <v>144</v>
      </c>
      <c r="J945" t="s">
        <v>205</v>
      </c>
      <c r="K945" t="s">
        <v>182</v>
      </c>
      <c r="L945">
        <v>1</v>
      </c>
      <c r="M945">
        <v>0</v>
      </c>
      <c r="N945">
        <v>45.866666666666703</v>
      </c>
      <c r="O945">
        <v>1.13333333333333</v>
      </c>
      <c r="P945">
        <v>-1</v>
      </c>
      <c r="Q945">
        <v>36.5</v>
      </c>
      <c r="R945">
        <v>3.3</v>
      </c>
      <c r="S945">
        <v>10.4</v>
      </c>
      <c r="T945">
        <v>-1.2</v>
      </c>
      <c r="U945">
        <v>-0.5</v>
      </c>
      <c r="V945">
        <v>0.1</v>
      </c>
      <c r="W945">
        <v>7.0000000000000007E-2</v>
      </c>
      <c r="X945">
        <v>1</v>
      </c>
      <c r="Y945">
        <v>0</v>
      </c>
      <c r="Z945">
        <v>15.3</v>
      </c>
      <c r="AA945">
        <v>31.7</v>
      </c>
      <c r="AB945">
        <v>221</v>
      </c>
      <c r="AC945">
        <v>66</v>
      </c>
      <c r="AD945">
        <v>16.5</v>
      </c>
      <c r="AE945">
        <v>9</v>
      </c>
      <c r="AF945">
        <v>49.16</v>
      </c>
      <c r="AG945">
        <v>47.698</v>
      </c>
      <c r="AH945">
        <v>50.445</v>
      </c>
      <c r="AI945">
        <v>75.352000000000004</v>
      </c>
      <c r="AJ945">
        <v>62.49</v>
      </c>
      <c r="AK945">
        <v>67.534999999999997</v>
      </c>
      <c r="AL945">
        <v>-0.214</v>
      </c>
      <c r="AM945">
        <v>50.445</v>
      </c>
      <c r="AN945">
        <v>47.698</v>
      </c>
      <c r="AO945">
        <v>49.16</v>
      </c>
      <c r="AP945">
        <v>0.214</v>
      </c>
      <c r="AQ945">
        <v>37.51</v>
      </c>
      <c r="AR945">
        <v>24.648</v>
      </c>
      <c r="AS945">
        <v>32.465000000000003</v>
      </c>
    </row>
    <row r="946" spans="1:45" x14ac:dyDescent="0.25">
      <c r="A946">
        <v>60</v>
      </c>
      <c r="B946">
        <v>8</v>
      </c>
      <c r="C946">
        <v>1</v>
      </c>
      <c r="D946">
        <v>2021</v>
      </c>
      <c r="E946">
        <v>12</v>
      </c>
      <c r="F946" t="str">
        <f>IFERROR(VLOOKUP(G946, Map!$A$1:$B$33, 2, FALSE),"WAS")</f>
        <v>SF</v>
      </c>
      <c r="G946" t="s">
        <v>143</v>
      </c>
      <c r="H946" t="str">
        <f>IFERROR(VLOOKUP(I946, Map!$A$1:$B$33, 2, FALSE),"WAS")</f>
        <v>MIN</v>
      </c>
      <c r="I946" t="s">
        <v>153</v>
      </c>
      <c r="J946" t="s">
        <v>197</v>
      </c>
      <c r="K946" t="s">
        <v>214</v>
      </c>
      <c r="L946">
        <v>1</v>
      </c>
      <c r="M946">
        <v>0</v>
      </c>
      <c r="N946">
        <v>47.46875</v>
      </c>
      <c r="O946">
        <v>-3.78125</v>
      </c>
      <c r="P946">
        <v>-3.5</v>
      </c>
      <c r="Q946">
        <v>48.5</v>
      </c>
      <c r="R946">
        <v>14.3</v>
      </c>
      <c r="S946">
        <v>18.2</v>
      </c>
      <c r="T946">
        <v>10.7</v>
      </c>
      <c r="U946">
        <v>12.9</v>
      </c>
      <c r="V946">
        <v>0</v>
      </c>
      <c r="W946">
        <v>0</v>
      </c>
      <c r="X946">
        <v>0</v>
      </c>
      <c r="Y946">
        <v>0</v>
      </c>
      <c r="Z946">
        <v>7.9</v>
      </c>
      <c r="AA946">
        <v>19.399999999999999</v>
      </c>
      <c r="AB946">
        <v>202</v>
      </c>
      <c r="AC946">
        <v>63</v>
      </c>
      <c r="AD946">
        <v>8.6999999999999993</v>
      </c>
      <c r="AE946">
        <v>4.5</v>
      </c>
      <c r="AF946">
        <v>59.463000000000001</v>
      </c>
      <c r="AG946">
        <v>63.915999999999997</v>
      </c>
      <c r="AH946">
        <v>40.213999999999999</v>
      </c>
      <c r="AI946">
        <v>76.966999999999999</v>
      </c>
      <c r="AJ946">
        <v>73.287000000000006</v>
      </c>
      <c r="AK946">
        <v>73.012</v>
      </c>
      <c r="AL946">
        <v>3.242</v>
      </c>
      <c r="AM946">
        <v>40.213999999999999</v>
      </c>
      <c r="AN946">
        <v>63.915999999999997</v>
      </c>
      <c r="AO946">
        <v>59.463000000000001</v>
      </c>
      <c r="AP946">
        <v>-3.242</v>
      </c>
      <c r="AQ946">
        <v>26.713000000000001</v>
      </c>
      <c r="AR946">
        <v>23.033000000000001</v>
      </c>
      <c r="AS946">
        <v>26.988</v>
      </c>
    </row>
    <row r="947" spans="1:45" x14ac:dyDescent="0.25">
      <c r="A947">
        <v>43</v>
      </c>
      <c r="B947">
        <v>23</v>
      </c>
      <c r="C947">
        <v>1</v>
      </c>
      <c r="D947">
        <v>2021</v>
      </c>
      <c r="E947">
        <v>12</v>
      </c>
      <c r="F947" t="str">
        <f>IFERROR(VLOOKUP(G947, Map!$A$1:$B$33, 2, FALSE),"WAS")</f>
        <v>MIA</v>
      </c>
      <c r="G947" t="s">
        <v>152</v>
      </c>
      <c r="H947" t="str">
        <f>IFERROR(VLOOKUP(I947, Map!$A$1:$B$33, 2, FALSE),"WAS")</f>
        <v>CAR</v>
      </c>
      <c r="I947" t="s">
        <v>142</v>
      </c>
      <c r="J947" t="s">
        <v>175</v>
      </c>
      <c r="K947" t="s">
        <v>185</v>
      </c>
      <c r="L947">
        <v>1</v>
      </c>
      <c r="M947">
        <v>0</v>
      </c>
      <c r="N947">
        <v>38.6875</v>
      </c>
      <c r="O947">
        <v>-0.21875</v>
      </c>
      <c r="P947">
        <v>1</v>
      </c>
      <c r="Q947">
        <v>40.5</v>
      </c>
      <c r="R947">
        <v>17.899999999999999</v>
      </c>
      <c r="S947">
        <v>24.5</v>
      </c>
      <c r="T947">
        <v>12.8</v>
      </c>
      <c r="U947">
        <v>18.600000000000001</v>
      </c>
      <c r="V947">
        <v>0</v>
      </c>
      <c r="W947">
        <v>0</v>
      </c>
      <c r="X947">
        <v>0</v>
      </c>
      <c r="Y947">
        <v>0</v>
      </c>
      <c r="Z947">
        <v>10.5</v>
      </c>
      <c r="AA947">
        <v>24.1</v>
      </c>
      <c r="AB947">
        <v>349</v>
      </c>
      <c r="AC947">
        <v>82</v>
      </c>
      <c r="AD947">
        <v>14.1</v>
      </c>
      <c r="AE947">
        <v>6.1</v>
      </c>
      <c r="AF947">
        <v>50.585999999999999</v>
      </c>
      <c r="AG947">
        <v>34.326000000000001</v>
      </c>
      <c r="AH947">
        <v>49.02</v>
      </c>
      <c r="AI947">
        <v>97.632999999999996</v>
      </c>
      <c r="AJ947">
        <v>56.595999999999997</v>
      </c>
      <c r="AK947">
        <v>92.296000000000006</v>
      </c>
      <c r="AL947">
        <v>0.26100000000000001</v>
      </c>
      <c r="AM947">
        <v>49.02</v>
      </c>
      <c r="AN947">
        <v>34.326000000000001</v>
      </c>
      <c r="AO947">
        <v>50.585999999999999</v>
      </c>
      <c r="AP947">
        <v>-0.26100000000000001</v>
      </c>
      <c r="AQ947">
        <v>43.404000000000003</v>
      </c>
      <c r="AR947">
        <v>2.367</v>
      </c>
      <c r="AS947">
        <v>7.7039999999999997</v>
      </c>
    </row>
    <row r="948" spans="1:45" x14ac:dyDescent="0.25">
      <c r="A948">
        <v>64</v>
      </c>
      <c r="B948">
        <v>8</v>
      </c>
      <c r="C948">
        <v>1</v>
      </c>
      <c r="D948">
        <v>2021</v>
      </c>
      <c r="E948">
        <v>12</v>
      </c>
      <c r="F948" t="str">
        <f>IFERROR(VLOOKUP(G948, Map!$A$1:$B$33, 2, FALSE),"WAS")</f>
        <v>GB</v>
      </c>
      <c r="G948" t="s">
        <v>154</v>
      </c>
      <c r="H948" t="str">
        <f>IFERROR(VLOOKUP(I948, Map!$A$1:$B$33, 2, FALSE),"WAS")</f>
        <v>LA</v>
      </c>
      <c r="I948" t="s">
        <v>155</v>
      </c>
      <c r="J948" t="s">
        <v>200</v>
      </c>
      <c r="K948" t="s">
        <v>178</v>
      </c>
      <c r="L948">
        <v>1</v>
      </c>
      <c r="M948">
        <v>0</v>
      </c>
      <c r="N948">
        <v>44.90625</v>
      </c>
      <c r="O948">
        <v>0.40625</v>
      </c>
      <c r="P948">
        <v>-1</v>
      </c>
      <c r="Q948">
        <v>46</v>
      </c>
      <c r="R948">
        <v>-0.6</v>
      </c>
      <c r="S948">
        <v>2.9</v>
      </c>
      <c r="T948">
        <v>-2.2999999999999998</v>
      </c>
      <c r="U948">
        <v>-6</v>
      </c>
      <c r="V948">
        <v>0</v>
      </c>
      <c r="W948">
        <v>0</v>
      </c>
      <c r="X948">
        <v>0</v>
      </c>
      <c r="Y948">
        <v>0</v>
      </c>
      <c r="Z948">
        <v>24</v>
      </c>
      <c r="AA948">
        <v>47.5</v>
      </c>
      <c r="AB948">
        <v>298</v>
      </c>
      <c r="AC948">
        <v>63</v>
      </c>
      <c r="AD948">
        <v>32.5</v>
      </c>
      <c r="AE948">
        <v>16.600000000000001</v>
      </c>
      <c r="AF948">
        <v>51.368000000000002</v>
      </c>
      <c r="AG948">
        <v>87.716999999999999</v>
      </c>
      <c r="AH948">
        <v>48.244</v>
      </c>
      <c r="AI948">
        <v>84.034000000000006</v>
      </c>
      <c r="AJ948">
        <v>65.253</v>
      </c>
      <c r="AK948">
        <v>78.853999999999999</v>
      </c>
      <c r="AL948">
        <v>0.52100000000000002</v>
      </c>
      <c r="AM948">
        <v>48.244</v>
      </c>
      <c r="AN948">
        <v>87.716999999999999</v>
      </c>
      <c r="AO948">
        <v>51.368000000000002</v>
      </c>
      <c r="AP948">
        <v>-0.52100000000000002</v>
      </c>
      <c r="AQ948">
        <v>34.747</v>
      </c>
      <c r="AR948">
        <v>15.965999999999999</v>
      </c>
      <c r="AS948">
        <v>21.146000000000001</v>
      </c>
    </row>
    <row r="949" spans="1:45" x14ac:dyDescent="0.25">
      <c r="A949">
        <v>41</v>
      </c>
      <c r="B949">
        <v>15</v>
      </c>
      <c r="C949">
        <v>1</v>
      </c>
      <c r="D949">
        <v>2021</v>
      </c>
      <c r="E949">
        <v>12</v>
      </c>
      <c r="F949" t="str">
        <f>IFERROR(VLOOKUP(G949, Map!$A$1:$B$33, 2, FALSE),"WAS")</f>
        <v>DEN</v>
      </c>
      <c r="G949" t="s">
        <v>159</v>
      </c>
      <c r="H949" t="str">
        <f>IFERROR(VLOOKUP(I949, Map!$A$1:$B$33, 2, FALSE),"WAS")</f>
        <v>LAC</v>
      </c>
      <c r="I949" t="s">
        <v>160</v>
      </c>
      <c r="J949" t="s">
        <v>183</v>
      </c>
      <c r="K949" t="s">
        <v>210</v>
      </c>
      <c r="L949">
        <v>1</v>
      </c>
      <c r="M949">
        <v>0</v>
      </c>
      <c r="N949">
        <v>44.058823529411796</v>
      </c>
      <c r="O949">
        <v>1.73529411764706</v>
      </c>
      <c r="P949">
        <v>2.5</v>
      </c>
      <c r="Q949">
        <v>41.5</v>
      </c>
      <c r="R949">
        <v>5.9</v>
      </c>
      <c r="S949">
        <v>19.100000000000001</v>
      </c>
      <c r="T949">
        <v>-3</v>
      </c>
      <c r="U949">
        <v>2</v>
      </c>
      <c r="V949">
        <v>0</v>
      </c>
      <c r="W949">
        <v>0</v>
      </c>
      <c r="X949">
        <v>0</v>
      </c>
      <c r="Y949">
        <v>0</v>
      </c>
      <c r="Z949">
        <v>14</v>
      </c>
      <c r="AA949">
        <v>24.1</v>
      </c>
      <c r="AB949">
        <v>166</v>
      </c>
      <c r="AC949">
        <v>48</v>
      </c>
      <c r="AD949">
        <v>13.2</v>
      </c>
      <c r="AE949">
        <v>7.3</v>
      </c>
      <c r="AF949">
        <v>54.38</v>
      </c>
      <c r="AG949">
        <v>57.39</v>
      </c>
      <c r="AH949">
        <v>45.256</v>
      </c>
      <c r="AI949">
        <v>73</v>
      </c>
      <c r="AJ949">
        <v>70.882000000000005</v>
      </c>
      <c r="AK949">
        <v>85.090999999999994</v>
      </c>
      <c r="AL949">
        <v>1.5249999999999999</v>
      </c>
      <c r="AM949">
        <v>45.256</v>
      </c>
      <c r="AN949">
        <v>57.39</v>
      </c>
      <c r="AO949">
        <v>54.38</v>
      </c>
      <c r="AP949">
        <v>-1.5249999999999999</v>
      </c>
      <c r="AQ949">
        <v>29.117999999999999</v>
      </c>
      <c r="AR949">
        <v>27</v>
      </c>
      <c r="AS949">
        <v>14.909000000000001</v>
      </c>
    </row>
    <row r="950" spans="1:45" x14ac:dyDescent="0.25">
      <c r="A950">
        <v>31</v>
      </c>
      <c r="B950">
        <v>-31</v>
      </c>
      <c r="C950">
        <v>0</v>
      </c>
      <c r="D950">
        <v>2021</v>
      </c>
      <c r="E950">
        <v>13</v>
      </c>
      <c r="F950" t="str">
        <f>IFERROR(VLOOKUP(G950, Map!$A$1:$B$33, 2, FALSE),"WAS")</f>
        <v>HOU</v>
      </c>
      <c r="G950" t="s">
        <v>137</v>
      </c>
      <c r="H950" t="str">
        <f>IFERROR(VLOOKUP(I950, Map!$A$1:$B$33, 2, FALSE),"WAS")</f>
        <v>IND</v>
      </c>
      <c r="I950" t="s">
        <v>138</v>
      </c>
      <c r="J950" t="s">
        <v>209</v>
      </c>
      <c r="K950" t="s">
        <v>177</v>
      </c>
      <c r="L950">
        <v>0</v>
      </c>
      <c r="M950">
        <v>0</v>
      </c>
      <c r="N950">
        <v>41.941176470588204</v>
      </c>
      <c r="O950">
        <v>9.6176470588235308</v>
      </c>
      <c r="P950">
        <v>7.5</v>
      </c>
      <c r="Q950">
        <v>30.5</v>
      </c>
      <c r="R950">
        <v>20.399999999999999</v>
      </c>
      <c r="S950">
        <v>25.6</v>
      </c>
      <c r="T950">
        <v>17</v>
      </c>
      <c r="U950">
        <v>21.7</v>
      </c>
      <c r="V950">
        <v>0.2</v>
      </c>
      <c r="W950">
        <v>0</v>
      </c>
      <c r="X950">
        <v>2</v>
      </c>
      <c r="Y950">
        <v>0.2</v>
      </c>
      <c r="Z950">
        <v>20.5</v>
      </c>
      <c r="AA950">
        <v>34.6</v>
      </c>
      <c r="AB950">
        <v>174</v>
      </c>
      <c r="AC950">
        <v>89</v>
      </c>
      <c r="AD950">
        <v>19.3</v>
      </c>
      <c r="AE950">
        <v>11.7</v>
      </c>
      <c r="AF950">
        <v>24.074999999999999</v>
      </c>
      <c r="AG950">
        <v>24.713000000000001</v>
      </c>
      <c r="AH950">
        <v>75.731999999999999</v>
      </c>
      <c r="AI950">
        <v>26.731999999999999</v>
      </c>
      <c r="AJ950">
        <v>0.78600000000000003</v>
      </c>
      <c r="AK950">
        <v>3.8370000000000002</v>
      </c>
      <c r="AL950">
        <v>-9.3030000000000008</v>
      </c>
      <c r="AM950">
        <v>75.731999999999999</v>
      </c>
      <c r="AN950">
        <v>24.713000000000001</v>
      </c>
      <c r="AO950">
        <v>24.074999999999999</v>
      </c>
      <c r="AP950">
        <v>9.3030000000000008</v>
      </c>
      <c r="AQ950">
        <v>99.213999999999999</v>
      </c>
      <c r="AR950">
        <v>73.268000000000001</v>
      </c>
      <c r="AS950">
        <v>96.162999999999997</v>
      </c>
    </row>
    <row r="951" spans="1:45" x14ac:dyDescent="0.25">
      <c r="A951">
        <v>44</v>
      </c>
      <c r="B951">
        <v>-10</v>
      </c>
      <c r="C951">
        <v>0</v>
      </c>
      <c r="D951">
        <v>2021</v>
      </c>
      <c r="E951">
        <v>13</v>
      </c>
      <c r="F951" t="str">
        <f>IFERROR(VLOOKUP(G951, Map!$A$1:$B$33, 2, FALSE),"WAS")</f>
        <v>NO</v>
      </c>
      <c r="G951" t="s">
        <v>168</v>
      </c>
      <c r="H951" t="str">
        <f>IFERROR(VLOOKUP(I951, Map!$A$1:$B$33, 2, FALSE),"WAS")</f>
        <v>DAL</v>
      </c>
      <c r="I951" t="s">
        <v>150</v>
      </c>
      <c r="J951" t="s">
        <v>192</v>
      </c>
      <c r="K951" t="s">
        <v>184</v>
      </c>
      <c r="L951">
        <v>0</v>
      </c>
      <c r="M951">
        <v>0</v>
      </c>
      <c r="N951">
        <v>42.411764705882298</v>
      </c>
      <c r="O951">
        <v>5.4705882352941204</v>
      </c>
      <c r="P951">
        <v>4.5</v>
      </c>
      <c r="Q951">
        <v>35.5</v>
      </c>
      <c r="R951">
        <v>15.9</v>
      </c>
      <c r="S951">
        <v>20.100000000000001</v>
      </c>
      <c r="T951">
        <v>13.4</v>
      </c>
      <c r="U951">
        <v>16.8</v>
      </c>
      <c r="V951">
        <v>0</v>
      </c>
      <c r="W951">
        <v>0</v>
      </c>
      <c r="X951">
        <v>0</v>
      </c>
      <c r="Y951">
        <v>0</v>
      </c>
      <c r="Z951">
        <v>9.1999999999999993</v>
      </c>
      <c r="AA951">
        <v>15.5</v>
      </c>
      <c r="AB951">
        <v>221</v>
      </c>
      <c r="AC951">
        <v>94</v>
      </c>
      <c r="AD951">
        <v>12.5</v>
      </c>
      <c r="AE951">
        <v>5.2</v>
      </c>
      <c r="AF951">
        <v>45.063000000000002</v>
      </c>
      <c r="AG951">
        <v>76.037999999999997</v>
      </c>
      <c r="AH951">
        <v>54.575000000000003</v>
      </c>
      <c r="AI951">
        <v>59.057000000000002</v>
      </c>
      <c r="AJ951">
        <v>13.586</v>
      </c>
      <c r="AK951">
        <v>23.012</v>
      </c>
      <c r="AL951">
        <v>-1.5860000000000001</v>
      </c>
      <c r="AM951">
        <v>54.575000000000003</v>
      </c>
      <c r="AN951">
        <v>76.037999999999997</v>
      </c>
      <c r="AO951">
        <v>45.063000000000002</v>
      </c>
      <c r="AP951">
        <v>1.5860000000000001</v>
      </c>
      <c r="AQ951">
        <v>86.414000000000001</v>
      </c>
      <c r="AR951">
        <v>40.942999999999998</v>
      </c>
      <c r="AS951">
        <v>76.988</v>
      </c>
    </row>
    <row r="952" spans="1:45" x14ac:dyDescent="0.25">
      <c r="A952">
        <v>47</v>
      </c>
      <c r="B952">
        <v>-13</v>
      </c>
      <c r="C952">
        <v>0</v>
      </c>
      <c r="D952">
        <v>2021</v>
      </c>
      <c r="E952">
        <v>13</v>
      </c>
      <c r="F952" t="str">
        <f>IFERROR(VLOOKUP(G952, Map!$A$1:$B$33, 2, FALSE),"WAS")</f>
        <v>ATL</v>
      </c>
      <c r="G952" t="s">
        <v>167</v>
      </c>
      <c r="H952" t="str">
        <f>IFERROR(VLOOKUP(I952, Map!$A$1:$B$33, 2, FALSE),"WAS")</f>
        <v>TB</v>
      </c>
      <c r="I952" t="s">
        <v>141</v>
      </c>
      <c r="J952" t="s">
        <v>188</v>
      </c>
      <c r="K952" t="s">
        <v>186</v>
      </c>
      <c r="L952">
        <v>0</v>
      </c>
      <c r="M952">
        <v>0</v>
      </c>
      <c r="N952">
        <v>47.647058823529399</v>
      </c>
      <c r="O952">
        <v>9.4705882352941195</v>
      </c>
      <c r="P952">
        <v>10</v>
      </c>
      <c r="Q952">
        <v>49.5</v>
      </c>
      <c r="R952">
        <v>15.9</v>
      </c>
      <c r="S952">
        <v>19.399999999999999</v>
      </c>
      <c r="T952">
        <v>13.7</v>
      </c>
      <c r="U952">
        <v>15.9</v>
      </c>
      <c r="V952">
        <v>5</v>
      </c>
      <c r="W952">
        <v>0</v>
      </c>
      <c r="X952">
        <v>8</v>
      </c>
      <c r="Y952">
        <v>5</v>
      </c>
      <c r="Z952">
        <v>14</v>
      </c>
      <c r="AA952">
        <v>26.3</v>
      </c>
      <c r="AB952">
        <v>151</v>
      </c>
      <c r="AC952">
        <v>83</v>
      </c>
      <c r="AD952">
        <v>12.8</v>
      </c>
      <c r="AE952">
        <v>6.4</v>
      </c>
      <c r="AF952">
        <v>20.564</v>
      </c>
      <c r="AG952">
        <v>58.234000000000002</v>
      </c>
      <c r="AH952">
        <v>79.271000000000001</v>
      </c>
      <c r="AI952">
        <v>22.042000000000002</v>
      </c>
      <c r="AJ952">
        <v>39.384999999999998</v>
      </c>
      <c r="AK952">
        <v>23.58</v>
      </c>
      <c r="AL952">
        <v>-10.869</v>
      </c>
      <c r="AM952">
        <v>79.271000000000001</v>
      </c>
      <c r="AN952">
        <v>58.234000000000002</v>
      </c>
      <c r="AO952">
        <v>20.564</v>
      </c>
      <c r="AP952">
        <v>10.869</v>
      </c>
      <c r="AQ952">
        <v>60.615000000000002</v>
      </c>
      <c r="AR952">
        <v>77.957999999999998</v>
      </c>
      <c r="AS952">
        <v>76.42</v>
      </c>
    </row>
    <row r="953" spans="1:45" x14ac:dyDescent="0.25">
      <c r="A953">
        <v>32</v>
      </c>
      <c r="B953">
        <v>-2</v>
      </c>
      <c r="C953">
        <v>0</v>
      </c>
      <c r="D953">
        <v>2021</v>
      </c>
      <c r="E953">
        <v>13</v>
      </c>
      <c r="F953" t="str">
        <f>IFERROR(VLOOKUP(G953, Map!$A$1:$B$33, 2, FALSE),"WAS")</f>
        <v>LV</v>
      </c>
      <c r="G953" t="s">
        <v>157</v>
      </c>
      <c r="H953" t="str">
        <f>IFERROR(VLOOKUP(I953, Map!$A$1:$B$33, 2, FALSE),"WAS")</f>
        <v>WAS</v>
      </c>
      <c r="I953" t="s">
        <v>169</v>
      </c>
      <c r="J953" t="s">
        <v>179</v>
      </c>
      <c r="K953" t="s">
        <v>205</v>
      </c>
      <c r="L953">
        <v>0</v>
      </c>
      <c r="M953">
        <v>0</v>
      </c>
      <c r="N953">
        <v>46.65625</v>
      </c>
      <c r="O953">
        <v>-1.5625</v>
      </c>
      <c r="P953">
        <v>-0.5</v>
      </c>
      <c r="Q953">
        <v>31.5</v>
      </c>
      <c r="R953">
        <v>13.5</v>
      </c>
      <c r="S953">
        <v>21.3</v>
      </c>
      <c r="T953">
        <v>6.7</v>
      </c>
      <c r="U953">
        <v>10.1</v>
      </c>
      <c r="V953">
        <v>0</v>
      </c>
      <c r="W953">
        <v>0</v>
      </c>
      <c r="X953">
        <v>0</v>
      </c>
      <c r="Y953">
        <v>0</v>
      </c>
      <c r="Z953">
        <v>12.1</v>
      </c>
      <c r="AA953">
        <v>23.4</v>
      </c>
      <c r="AB953">
        <v>154</v>
      </c>
      <c r="AC953">
        <v>33</v>
      </c>
      <c r="AD953">
        <v>10.9</v>
      </c>
      <c r="AE953">
        <v>6.1</v>
      </c>
      <c r="AF953">
        <v>61.765999999999998</v>
      </c>
      <c r="AG953">
        <v>35.526000000000003</v>
      </c>
      <c r="AH953">
        <v>37.929000000000002</v>
      </c>
      <c r="AI953">
        <v>42.317999999999998</v>
      </c>
      <c r="AJ953">
        <v>57.731000000000002</v>
      </c>
      <c r="AK953">
        <v>46.334000000000003</v>
      </c>
      <c r="AL953">
        <v>4.0270000000000001</v>
      </c>
      <c r="AM953">
        <v>37.929000000000002</v>
      </c>
      <c r="AN953">
        <v>35.526000000000003</v>
      </c>
      <c r="AO953">
        <v>61.765999999999998</v>
      </c>
      <c r="AP953">
        <v>-4.0270000000000001</v>
      </c>
      <c r="AQ953">
        <v>42.268999999999998</v>
      </c>
      <c r="AR953">
        <v>57.682000000000002</v>
      </c>
      <c r="AS953">
        <v>53.665999999999997</v>
      </c>
    </row>
    <row r="954" spans="1:45" x14ac:dyDescent="0.25">
      <c r="A954">
        <v>29</v>
      </c>
      <c r="B954">
        <v>11</v>
      </c>
      <c r="C954">
        <v>1</v>
      </c>
      <c r="D954">
        <v>2021</v>
      </c>
      <c r="E954">
        <v>13</v>
      </c>
      <c r="F954" t="str">
        <f>IFERROR(VLOOKUP(G954, Map!$A$1:$B$33, 2, FALSE),"WAS")</f>
        <v>MIA</v>
      </c>
      <c r="G954" t="s">
        <v>152</v>
      </c>
      <c r="H954" t="str">
        <f>IFERROR(VLOOKUP(I954, Map!$A$1:$B$33, 2, FALSE),"WAS")</f>
        <v>NYG</v>
      </c>
      <c r="I954" t="s">
        <v>149</v>
      </c>
      <c r="J954" t="s">
        <v>175</v>
      </c>
      <c r="K954" t="s">
        <v>219</v>
      </c>
      <c r="L954">
        <v>1</v>
      </c>
      <c r="M954">
        <v>0</v>
      </c>
      <c r="N954">
        <v>37.352941176470601</v>
      </c>
      <c r="O954">
        <v>-6.2058823529411802</v>
      </c>
      <c r="P954">
        <v>-6.5</v>
      </c>
      <c r="Q954">
        <v>30.5</v>
      </c>
      <c r="R954">
        <v>21.8</v>
      </c>
      <c r="S954">
        <v>27.5</v>
      </c>
      <c r="T954">
        <v>17.600000000000001</v>
      </c>
      <c r="U954">
        <v>23.4</v>
      </c>
      <c r="V954">
        <v>0</v>
      </c>
      <c r="W954">
        <v>0</v>
      </c>
      <c r="X954">
        <v>0</v>
      </c>
      <c r="Y954">
        <v>0</v>
      </c>
      <c r="Z954">
        <v>13.2</v>
      </c>
      <c r="AA954">
        <v>27.7</v>
      </c>
      <c r="AB954">
        <v>67</v>
      </c>
      <c r="AC954">
        <v>78</v>
      </c>
      <c r="AD954">
        <v>15.7</v>
      </c>
      <c r="AE954">
        <v>8.3000000000000007</v>
      </c>
      <c r="AF954">
        <v>67.957999999999998</v>
      </c>
      <c r="AG954">
        <v>32.151000000000003</v>
      </c>
      <c r="AH954">
        <v>31.786999999999999</v>
      </c>
      <c r="AI954">
        <v>81.543000000000006</v>
      </c>
      <c r="AJ954">
        <v>50.601999999999997</v>
      </c>
      <c r="AK954">
        <v>73.216999999999999</v>
      </c>
      <c r="AL954">
        <v>6.24</v>
      </c>
      <c r="AM954">
        <v>31.786999999999999</v>
      </c>
      <c r="AN954">
        <v>32.151000000000003</v>
      </c>
      <c r="AO954">
        <v>67.957999999999998</v>
      </c>
      <c r="AP954">
        <v>-6.24</v>
      </c>
      <c r="AQ954">
        <v>49.398000000000003</v>
      </c>
      <c r="AR954">
        <v>18.457000000000001</v>
      </c>
      <c r="AS954">
        <v>26.783000000000001</v>
      </c>
    </row>
    <row r="955" spans="1:45" x14ac:dyDescent="0.25">
      <c r="A955">
        <v>63</v>
      </c>
      <c r="B955">
        <v>-19</v>
      </c>
      <c r="C955">
        <v>0</v>
      </c>
      <c r="D955">
        <v>2021</v>
      </c>
      <c r="E955">
        <v>13</v>
      </c>
      <c r="F955" t="str">
        <f>IFERROR(VLOOKUP(G955, Map!$A$1:$B$33, 2, FALSE),"WAS")</f>
        <v>CIN</v>
      </c>
      <c r="G955" t="s">
        <v>161</v>
      </c>
      <c r="H955" t="str">
        <f>IFERROR(VLOOKUP(I955, Map!$A$1:$B$33, 2, FALSE),"WAS")</f>
        <v>LAC</v>
      </c>
      <c r="I955" t="s">
        <v>160</v>
      </c>
      <c r="J955" t="s">
        <v>176</v>
      </c>
      <c r="K955" t="s">
        <v>210</v>
      </c>
      <c r="L955">
        <v>0</v>
      </c>
      <c r="M955">
        <v>0</v>
      </c>
      <c r="N955">
        <v>47.852941176470601</v>
      </c>
      <c r="O955">
        <v>-1.23529411764706</v>
      </c>
      <c r="P955">
        <v>-2.5</v>
      </c>
      <c r="Q955">
        <v>49.5</v>
      </c>
      <c r="R955">
        <v>6.2</v>
      </c>
      <c r="S955">
        <v>16.399999999999999</v>
      </c>
      <c r="T955">
        <v>0.6</v>
      </c>
      <c r="U955">
        <v>2.4</v>
      </c>
      <c r="V955">
        <v>0.3</v>
      </c>
      <c r="W955">
        <v>0</v>
      </c>
      <c r="X955">
        <v>1</v>
      </c>
      <c r="Y955">
        <v>0.3</v>
      </c>
      <c r="Z955">
        <v>22</v>
      </c>
      <c r="AA955">
        <v>41</v>
      </c>
      <c r="AB955">
        <v>108</v>
      </c>
      <c r="AC955">
        <v>63</v>
      </c>
      <c r="AD955">
        <v>23.3</v>
      </c>
      <c r="AE955">
        <v>11.8</v>
      </c>
      <c r="AF955">
        <v>54.284999999999997</v>
      </c>
      <c r="AG955">
        <v>61.468000000000004</v>
      </c>
      <c r="AH955">
        <v>45.350999999999999</v>
      </c>
      <c r="AI955">
        <v>61.125</v>
      </c>
      <c r="AJ955">
        <v>5.62</v>
      </c>
      <c r="AK955">
        <v>14.031000000000001</v>
      </c>
      <c r="AL955">
        <v>1.4890000000000001</v>
      </c>
      <c r="AM955">
        <v>45.350999999999999</v>
      </c>
      <c r="AN955">
        <v>61.468000000000004</v>
      </c>
      <c r="AO955">
        <v>54.284999999999997</v>
      </c>
      <c r="AP955">
        <v>-1.4890000000000001</v>
      </c>
      <c r="AQ955">
        <v>94.38</v>
      </c>
      <c r="AR955">
        <v>38.875</v>
      </c>
      <c r="AS955">
        <v>85.968999999999994</v>
      </c>
    </row>
    <row r="956" spans="1:45" x14ac:dyDescent="0.25">
      <c r="A956">
        <v>53</v>
      </c>
      <c r="B956">
        <v>7</v>
      </c>
      <c r="C956">
        <v>1</v>
      </c>
      <c r="D956">
        <v>2021</v>
      </c>
      <c r="E956">
        <v>13</v>
      </c>
      <c r="F956" t="str">
        <f>IFERROR(VLOOKUP(G956, Map!$A$1:$B$33, 2, FALSE),"WAS")</f>
        <v>SEA</v>
      </c>
      <c r="G956" t="s">
        <v>144</v>
      </c>
      <c r="H956" t="str">
        <f>IFERROR(VLOOKUP(I956, Map!$A$1:$B$33, 2, FALSE),"WAS")</f>
        <v>SF</v>
      </c>
      <c r="I956" t="s">
        <v>143</v>
      </c>
      <c r="J956" t="s">
        <v>182</v>
      </c>
      <c r="K956" t="s">
        <v>197</v>
      </c>
      <c r="L956">
        <v>1</v>
      </c>
      <c r="M956">
        <v>0</v>
      </c>
      <c r="N956">
        <v>43.1875</v>
      </c>
      <c r="O956">
        <v>2.25</v>
      </c>
      <c r="P956">
        <v>2.5</v>
      </c>
      <c r="Q956">
        <v>44.5</v>
      </c>
      <c r="R956">
        <v>4.5</v>
      </c>
      <c r="S956">
        <v>6</v>
      </c>
      <c r="T956">
        <v>2.5</v>
      </c>
      <c r="U956">
        <v>1.3</v>
      </c>
      <c r="V956">
        <v>2.4</v>
      </c>
      <c r="W956">
        <v>0</v>
      </c>
      <c r="X956">
        <v>6</v>
      </c>
      <c r="Y956">
        <v>2.4</v>
      </c>
      <c r="Z956">
        <v>17.3</v>
      </c>
      <c r="AA956">
        <v>30.2</v>
      </c>
      <c r="AB956">
        <v>31</v>
      </c>
      <c r="AC956">
        <v>80</v>
      </c>
      <c r="AD956">
        <v>17.100000000000001</v>
      </c>
      <c r="AE956">
        <v>8.5</v>
      </c>
      <c r="AF956">
        <v>47.780999999999999</v>
      </c>
      <c r="AG956">
        <v>75.679000000000002</v>
      </c>
      <c r="AH956">
        <v>51.835000000000001</v>
      </c>
      <c r="AI956">
        <v>70.643000000000001</v>
      </c>
      <c r="AJ956">
        <v>36.427</v>
      </c>
      <c r="AK956">
        <v>71.492999999999995</v>
      </c>
      <c r="AL956">
        <v>-0.67500000000000004</v>
      </c>
      <c r="AM956">
        <v>51.835000000000001</v>
      </c>
      <c r="AN956">
        <v>75.679000000000002</v>
      </c>
      <c r="AO956">
        <v>47.780999999999999</v>
      </c>
      <c r="AP956">
        <v>0.67500000000000004</v>
      </c>
      <c r="AQ956">
        <v>63.573</v>
      </c>
      <c r="AR956">
        <v>29.356999999999999</v>
      </c>
      <c r="AS956">
        <v>28.507000000000001</v>
      </c>
    </row>
    <row r="957" spans="1:45" x14ac:dyDescent="0.25">
      <c r="A957">
        <v>51</v>
      </c>
      <c r="B957">
        <v>-15</v>
      </c>
      <c r="C957">
        <v>0</v>
      </c>
      <c r="D957">
        <v>2021</v>
      </c>
      <c r="E957">
        <v>13</v>
      </c>
      <c r="F957" t="str">
        <f>IFERROR(VLOOKUP(G957, Map!$A$1:$B$33, 2, FALSE),"WAS")</f>
        <v>NYJ</v>
      </c>
      <c r="G957" t="s">
        <v>166</v>
      </c>
      <c r="H957" t="str">
        <f>IFERROR(VLOOKUP(I957, Map!$A$1:$B$33, 2, FALSE),"WAS")</f>
        <v>PHI</v>
      </c>
      <c r="I957" t="s">
        <v>147</v>
      </c>
      <c r="J957" t="s">
        <v>172</v>
      </c>
      <c r="K957" t="s">
        <v>206</v>
      </c>
      <c r="L957">
        <v>0</v>
      </c>
      <c r="M957">
        <v>0</v>
      </c>
      <c r="N957">
        <v>42.117647058823501</v>
      </c>
      <c r="O957">
        <v>5.0588235294117698</v>
      </c>
      <c r="P957">
        <v>1</v>
      </c>
      <c r="Q957">
        <v>43.5</v>
      </c>
      <c r="R957">
        <v>3.8</v>
      </c>
      <c r="S957">
        <v>7.8</v>
      </c>
      <c r="T957">
        <v>-0.4</v>
      </c>
      <c r="U957">
        <v>0.3</v>
      </c>
      <c r="V957">
        <v>0</v>
      </c>
      <c r="W957">
        <v>0</v>
      </c>
      <c r="X957">
        <v>0</v>
      </c>
      <c r="Y957">
        <v>0</v>
      </c>
      <c r="Z957">
        <v>14.1</v>
      </c>
      <c r="AA957">
        <v>27</v>
      </c>
      <c r="AB957">
        <v>271</v>
      </c>
      <c r="AC957">
        <v>66</v>
      </c>
      <c r="AD957">
        <v>15.5</v>
      </c>
      <c r="AE957">
        <v>7.3</v>
      </c>
      <c r="AF957">
        <v>32.418999999999997</v>
      </c>
      <c r="AG957">
        <v>17.164000000000001</v>
      </c>
      <c r="AH957">
        <v>67.320999999999998</v>
      </c>
      <c r="AI957">
        <v>7.8360000000000003</v>
      </c>
      <c r="AJ957">
        <v>63.671999999999997</v>
      </c>
      <c r="AK957">
        <v>17.192</v>
      </c>
      <c r="AL957">
        <v>-6.0049999999999999</v>
      </c>
      <c r="AM957">
        <v>67.320999999999998</v>
      </c>
      <c r="AN957">
        <v>17.164000000000001</v>
      </c>
      <c r="AO957">
        <v>32.418999999999997</v>
      </c>
      <c r="AP957">
        <v>6.0049999999999999</v>
      </c>
      <c r="AQ957">
        <v>36.328000000000003</v>
      </c>
      <c r="AR957">
        <v>92.164000000000001</v>
      </c>
      <c r="AS957">
        <v>82.808000000000007</v>
      </c>
    </row>
    <row r="958" spans="1:45" x14ac:dyDescent="0.25">
      <c r="A958">
        <v>55</v>
      </c>
      <c r="B958">
        <v>-11</v>
      </c>
      <c r="C958">
        <v>0</v>
      </c>
      <c r="D958">
        <v>2021</v>
      </c>
      <c r="E958">
        <v>13</v>
      </c>
      <c r="F958" t="str">
        <f>IFERROR(VLOOKUP(G958, Map!$A$1:$B$33, 2, FALSE),"WAS")</f>
        <v>CHI</v>
      </c>
      <c r="G958" t="s">
        <v>163</v>
      </c>
      <c r="H958" t="str">
        <f>IFERROR(VLOOKUP(I958, Map!$A$1:$B$33, 2, FALSE),"WAS")</f>
        <v>ARI</v>
      </c>
      <c r="I958" t="s">
        <v>156</v>
      </c>
      <c r="J958" t="s">
        <v>216</v>
      </c>
      <c r="K958" t="s">
        <v>190</v>
      </c>
      <c r="L958">
        <v>0</v>
      </c>
      <c r="M958">
        <v>0</v>
      </c>
      <c r="N958">
        <v>40.75</v>
      </c>
      <c r="O958">
        <v>7.09375</v>
      </c>
      <c r="P958">
        <v>7.5</v>
      </c>
      <c r="Q958">
        <v>42.5</v>
      </c>
      <c r="R958">
        <v>3.1</v>
      </c>
      <c r="S958">
        <v>8.4</v>
      </c>
      <c r="T958">
        <v>1.3</v>
      </c>
      <c r="U958">
        <v>-1.7</v>
      </c>
      <c r="V958">
        <v>4</v>
      </c>
      <c r="W958">
        <v>0</v>
      </c>
      <c r="X958">
        <v>7</v>
      </c>
      <c r="Y958">
        <v>4</v>
      </c>
      <c r="Z958">
        <v>27.5</v>
      </c>
      <c r="AA958">
        <v>40.299999999999997</v>
      </c>
      <c r="AB958">
        <v>142</v>
      </c>
      <c r="AC958">
        <v>69</v>
      </c>
      <c r="AD958">
        <v>25</v>
      </c>
      <c r="AE958">
        <v>16.600000000000001</v>
      </c>
      <c r="AF958">
        <v>25.094999999999999</v>
      </c>
      <c r="AG958">
        <v>48.872</v>
      </c>
      <c r="AH958">
        <v>74.703000000000003</v>
      </c>
      <c r="AI958">
        <v>21.811</v>
      </c>
      <c r="AJ958">
        <v>8.9730000000000008</v>
      </c>
      <c r="AK958">
        <v>10.222</v>
      </c>
      <c r="AL958">
        <v>-8.8719999999999999</v>
      </c>
      <c r="AM958">
        <v>74.703000000000003</v>
      </c>
      <c r="AN958">
        <v>48.872</v>
      </c>
      <c r="AO958">
        <v>25.094999999999999</v>
      </c>
      <c r="AP958">
        <v>8.8719999999999999</v>
      </c>
      <c r="AQ958">
        <v>91.027000000000001</v>
      </c>
      <c r="AR958">
        <v>78.188999999999993</v>
      </c>
      <c r="AS958">
        <v>89.778000000000006</v>
      </c>
    </row>
    <row r="959" spans="1:45" x14ac:dyDescent="0.25">
      <c r="A959">
        <v>44</v>
      </c>
      <c r="B959">
        <v>30</v>
      </c>
      <c r="C959">
        <v>1</v>
      </c>
      <c r="D959">
        <v>2021</v>
      </c>
      <c r="E959">
        <v>13</v>
      </c>
      <c r="F959" t="str">
        <f>IFERROR(VLOOKUP(G959, Map!$A$1:$B$33, 2, FALSE),"WAS")</f>
        <v>LA</v>
      </c>
      <c r="G959" t="s">
        <v>155</v>
      </c>
      <c r="H959" t="str">
        <f>IFERROR(VLOOKUP(I959, Map!$A$1:$B$33, 2, FALSE),"WAS")</f>
        <v>JAX</v>
      </c>
      <c r="I959" t="s">
        <v>139</v>
      </c>
      <c r="J959" t="s">
        <v>178</v>
      </c>
      <c r="K959" t="s">
        <v>220</v>
      </c>
      <c r="L959">
        <v>1</v>
      </c>
      <c r="M959">
        <v>0</v>
      </c>
      <c r="N959">
        <v>44.90625</v>
      </c>
      <c r="O959">
        <v>-13.0625</v>
      </c>
      <c r="P959">
        <v>-12.5</v>
      </c>
      <c r="Q959">
        <v>47.5</v>
      </c>
      <c r="R959">
        <v>12.7</v>
      </c>
      <c r="S959">
        <v>19.3</v>
      </c>
      <c r="T959">
        <v>10.1</v>
      </c>
      <c r="U959">
        <v>11.7</v>
      </c>
      <c r="V959">
        <v>0</v>
      </c>
      <c r="W959">
        <v>0</v>
      </c>
      <c r="X959">
        <v>0</v>
      </c>
      <c r="Y959">
        <v>0</v>
      </c>
      <c r="Z959">
        <v>14.5</v>
      </c>
      <c r="AA959">
        <v>24.1</v>
      </c>
      <c r="AB959">
        <v>36</v>
      </c>
      <c r="AC959">
        <v>87</v>
      </c>
      <c r="AD959">
        <v>15.9</v>
      </c>
      <c r="AE959">
        <v>7.7</v>
      </c>
      <c r="AF959">
        <v>85.575999999999993</v>
      </c>
      <c r="AG959">
        <v>49.655999999999999</v>
      </c>
      <c r="AH959">
        <v>14.308999999999999</v>
      </c>
      <c r="AI959">
        <v>91.128</v>
      </c>
      <c r="AJ959">
        <v>82.367999999999995</v>
      </c>
      <c r="AK959">
        <v>93.283000000000001</v>
      </c>
      <c r="AL959">
        <v>14.124000000000001</v>
      </c>
      <c r="AM959">
        <v>14.308999999999999</v>
      </c>
      <c r="AN959">
        <v>49.655999999999999</v>
      </c>
      <c r="AO959">
        <v>85.575999999999993</v>
      </c>
      <c r="AP959">
        <v>-14.124000000000001</v>
      </c>
      <c r="AQ959">
        <v>17.632000000000001</v>
      </c>
      <c r="AR959">
        <v>8.8719999999999999</v>
      </c>
      <c r="AS959">
        <v>6.7169999999999996</v>
      </c>
    </row>
    <row r="960" spans="1:45" x14ac:dyDescent="0.25">
      <c r="A960">
        <v>31</v>
      </c>
      <c r="B960">
        <v>13</v>
      </c>
      <c r="C960">
        <v>1</v>
      </c>
      <c r="D960">
        <v>2021</v>
      </c>
      <c r="E960">
        <v>13</v>
      </c>
      <c r="F960" t="str">
        <f>IFERROR(VLOOKUP(G960, Map!$A$1:$B$33, 2, FALSE),"WAS")</f>
        <v>KC</v>
      </c>
      <c r="G960" t="s">
        <v>158</v>
      </c>
      <c r="H960" t="str">
        <f>IFERROR(VLOOKUP(I960, Map!$A$1:$B$33, 2, FALSE),"WAS")</f>
        <v>DEN</v>
      </c>
      <c r="I960" t="s">
        <v>159</v>
      </c>
      <c r="J960" t="s">
        <v>202</v>
      </c>
      <c r="K960" t="s">
        <v>183</v>
      </c>
      <c r="L960">
        <v>1</v>
      </c>
      <c r="M960">
        <v>0</v>
      </c>
      <c r="N960">
        <v>43.125</v>
      </c>
      <c r="O960">
        <v>-7.90625</v>
      </c>
      <c r="P960">
        <v>-8</v>
      </c>
      <c r="Q960">
        <v>35.5</v>
      </c>
      <c r="R960">
        <v>2.9</v>
      </c>
      <c r="S960">
        <v>12.2</v>
      </c>
      <c r="T960">
        <v>-1.8</v>
      </c>
      <c r="U960">
        <v>-3.4</v>
      </c>
      <c r="V960">
        <v>0</v>
      </c>
      <c r="W960">
        <v>0</v>
      </c>
      <c r="X960">
        <v>0</v>
      </c>
      <c r="Y960">
        <v>0</v>
      </c>
      <c r="Z960">
        <v>33</v>
      </c>
      <c r="AA960">
        <v>63.4</v>
      </c>
      <c r="AB960">
        <v>328</v>
      </c>
      <c r="AC960">
        <v>45</v>
      </c>
      <c r="AD960">
        <v>42.5</v>
      </c>
      <c r="AE960">
        <v>22.2</v>
      </c>
      <c r="AF960">
        <v>68.266000000000005</v>
      </c>
      <c r="AG960">
        <v>60.417999999999999</v>
      </c>
      <c r="AH960">
        <v>31.481000000000002</v>
      </c>
      <c r="AI960">
        <v>85.572999999999993</v>
      </c>
      <c r="AJ960">
        <v>41.253</v>
      </c>
      <c r="AK960">
        <v>84.14</v>
      </c>
      <c r="AL960">
        <v>6.3540000000000001</v>
      </c>
      <c r="AM960">
        <v>31.481000000000002</v>
      </c>
      <c r="AN960">
        <v>60.417999999999999</v>
      </c>
      <c r="AO960">
        <v>68.266000000000005</v>
      </c>
      <c r="AP960">
        <v>-6.3540000000000001</v>
      </c>
      <c r="AQ960">
        <v>58.747</v>
      </c>
      <c r="AR960">
        <v>14.427</v>
      </c>
      <c r="AS960">
        <v>15.86</v>
      </c>
    </row>
    <row r="961" spans="1:45" x14ac:dyDescent="0.25">
      <c r="A961">
        <v>56</v>
      </c>
      <c r="B961">
        <v>2</v>
      </c>
      <c r="C961">
        <v>1</v>
      </c>
      <c r="D961">
        <v>2021</v>
      </c>
      <c r="E961">
        <v>13</v>
      </c>
      <c r="F961" t="str">
        <f>IFERROR(VLOOKUP(G961, Map!$A$1:$B$33, 2, FALSE),"WAS")</f>
        <v>DET</v>
      </c>
      <c r="G961" t="s">
        <v>164</v>
      </c>
      <c r="H961" t="str">
        <f>IFERROR(VLOOKUP(I961, Map!$A$1:$B$33, 2, FALSE),"WAS")</f>
        <v>MIN</v>
      </c>
      <c r="I961" t="s">
        <v>153</v>
      </c>
      <c r="J961" t="s">
        <v>173</v>
      </c>
      <c r="K961" t="s">
        <v>214</v>
      </c>
      <c r="L961">
        <v>1</v>
      </c>
      <c r="M961">
        <v>0</v>
      </c>
      <c r="N961">
        <v>44.705882352941202</v>
      </c>
      <c r="O961">
        <v>6.0294117647058796</v>
      </c>
      <c r="P961">
        <v>4.5</v>
      </c>
      <c r="Q961">
        <v>46.5</v>
      </c>
      <c r="R961">
        <v>1.7</v>
      </c>
      <c r="S961">
        <v>4.7</v>
      </c>
      <c r="T961">
        <v>0</v>
      </c>
      <c r="U961">
        <v>-3.1</v>
      </c>
      <c r="V961">
        <v>4.5999999999999996</v>
      </c>
      <c r="W961">
        <v>0.28000000000000003</v>
      </c>
      <c r="X961">
        <v>3</v>
      </c>
      <c r="Y961">
        <v>4.2</v>
      </c>
      <c r="Z961">
        <v>26.8</v>
      </c>
      <c r="AA961">
        <v>43.9</v>
      </c>
      <c r="AB961">
        <v>97</v>
      </c>
      <c r="AC961">
        <v>60</v>
      </c>
      <c r="AD961">
        <v>23.6</v>
      </c>
      <c r="AE961">
        <v>13.6</v>
      </c>
      <c r="AF961">
        <v>31.920999999999999</v>
      </c>
      <c r="AG961">
        <v>29.63</v>
      </c>
      <c r="AH961">
        <v>67.822000000000003</v>
      </c>
      <c r="AI961">
        <v>51.262</v>
      </c>
      <c r="AJ961">
        <v>51.042999999999999</v>
      </c>
      <c r="AK961">
        <v>55.085000000000001</v>
      </c>
      <c r="AL961">
        <v>-6.19</v>
      </c>
      <c r="AM961">
        <v>67.822000000000003</v>
      </c>
      <c r="AN961">
        <v>29.63</v>
      </c>
      <c r="AO961">
        <v>31.920999999999999</v>
      </c>
      <c r="AP961">
        <v>6.19</v>
      </c>
      <c r="AQ961">
        <v>48.957000000000001</v>
      </c>
      <c r="AR961">
        <v>48.738</v>
      </c>
      <c r="AS961">
        <v>44.914999999999999</v>
      </c>
    </row>
    <row r="962" spans="1:45" x14ac:dyDescent="0.25">
      <c r="A962">
        <v>24</v>
      </c>
      <c r="B962">
        <v>-4</v>
      </c>
      <c r="C962">
        <v>0</v>
      </c>
      <c r="D962">
        <v>2021</v>
      </c>
      <c r="E962">
        <v>13</v>
      </c>
      <c r="F962" t="str">
        <f>IFERROR(VLOOKUP(G962, Map!$A$1:$B$33, 2, FALSE),"WAS")</f>
        <v>BUF</v>
      </c>
      <c r="G962" t="s">
        <v>165</v>
      </c>
      <c r="H962" t="str">
        <f>IFERROR(VLOOKUP(I962, Map!$A$1:$B$33, 2, FALSE),"WAS")</f>
        <v>NE</v>
      </c>
      <c r="I962" t="s">
        <v>151</v>
      </c>
      <c r="J962" t="s">
        <v>180</v>
      </c>
      <c r="K962" t="s">
        <v>187</v>
      </c>
      <c r="L962">
        <v>0</v>
      </c>
      <c r="M962">
        <v>0</v>
      </c>
      <c r="N962">
        <v>36.970588235294102</v>
      </c>
      <c r="O962">
        <v>-2.2058823529411802</v>
      </c>
      <c r="P962">
        <v>-2.5</v>
      </c>
      <c r="Q962">
        <v>25.5</v>
      </c>
      <c r="R962">
        <v>10.4</v>
      </c>
      <c r="S962">
        <v>17.8</v>
      </c>
      <c r="T962">
        <v>3.9</v>
      </c>
      <c r="U962">
        <v>6</v>
      </c>
      <c r="V962">
        <v>0.1</v>
      </c>
      <c r="W962">
        <v>0</v>
      </c>
      <c r="X962">
        <v>1</v>
      </c>
      <c r="Y962">
        <v>0.1</v>
      </c>
      <c r="Z962">
        <v>20.3</v>
      </c>
      <c r="AA962">
        <v>37.799999999999997</v>
      </c>
      <c r="AB962">
        <v>10</v>
      </c>
      <c r="AC962">
        <v>39</v>
      </c>
      <c r="AD962">
        <v>29.8</v>
      </c>
      <c r="AE962">
        <v>14.7</v>
      </c>
      <c r="AF962">
        <v>64.277000000000001</v>
      </c>
      <c r="AG962">
        <v>82.477000000000004</v>
      </c>
      <c r="AH962">
        <v>35.439</v>
      </c>
      <c r="AI962">
        <v>59.21</v>
      </c>
      <c r="AJ962">
        <v>18.623999999999999</v>
      </c>
      <c r="AK962">
        <v>39.844999999999999</v>
      </c>
      <c r="AL962">
        <v>4.907</v>
      </c>
      <c r="AM962">
        <v>35.439</v>
      </c>
      <c r="AN962">
        <v>82.477000000000004</v>
      </c>
      <c r="AO962">
        <v>64.277000000000001</v>
      </c>
      <c r="AP962">
        <v>-4.907</v>
      </c>
      <c r="AQ962">
        <v>81.376000000000005</v>
      </c>
      <c r="AR962">
        <v>40.79</v>
      </c>
      <c r="AS962">
        <v>60.155000000000001</v>
      </c>
    </row>
    <row r="963" spans="1:45" x14ac:dyDescent="0.25">
      <c r="A963">
        <v>39</v>
      </c>
      <c r="B963">
        <v>1</v>
      </c>
      <c r="C963">
        <v>1</v>
      </c>
      <c r="D963">
        <v>2021</v>
      </c>
      <c r="E963">
        <v>13</v>
      </c>
      <c r="F963" t="str">
        <f>IFERROR(VLOOKUP(G963, Map!$A$1:$B$33, 2, FALSE),"WAS")</f>
        <v>PIT</v>
      </c>
      <c r="G963" t="s">
        <v>145</v>
      </c>
      <c r="H963" t="str">
        <f>IFERROR(VLOOKUP(I963, Map!$A$1:$B$33, 2, FALSE),"WAS")</f>
        <v>BAL</v>
      </c>
      <c r="I963" t="s">
        <v>146</v>
      </c>
      <c r="J963" t="s">
        <v>170</v>
      </c>
      <c r="K963" t="s">
        <v>181</v>
      </c>
      <c r="L963">
        <v>1</v>
      </c>
      <c r="M963">
        <v>0</v>
      </c>
      <c r="N963">
        <v>40.4375</v>
      </c>
      <c r="O963">
        <v>3.375</v>
      </c>
      <c r="P963">
        <v>1.5</v>
      </c>
      <c r="Q963">
        <v>30.5</v>
      </c>
      <c r="R963">
        <v>3.9</v>
      </c>
      <c r="S963">
        <v>10.4</v>
      </c>
      <c r="T963">
        <v>-0.4</v>
      </c>
      <c r="U963">
        <v>0.2</v>
      </c>
      <c r="V963">
        <v>0</v>
      </c>
      <c r="W963">
        <v>0</v>
      </c>
      <c r="X963">
        <v>0</v>
      </c>
      <c r="Y963">
        <v>0</v>
      </c>
      <c r="Z963">
        <v>17.7</v>
      </c>
      <c r="AA963">
        <v>34.9</v>
      </c>
      <c r="AB963">
        <v>122</v>
      </c>
      <c r="AC963">
        <v>66</v>
      </c>
      <c r="AD963">
        <v>19.100000000000001</v>
      </c>
      <c r="AE963">
        <v>9.3000000000000007</v>
      </c>
      <c r="AF963">
        <v>42.783000000000001</v>
      </c>
      <c r="AG963">
        <v>48.115000000000002</v>
      </c>
      <c r="AH963">
        <v>56.872999999999998</v>
      </c>
      <c r="AI963">
        <v>44.634</v>
      </c>
      <c r="AJ963">
        <v>68.808000000000007</v>
      </c>
      <c r="AK963">
        <v>52.475000000000001</v>
      </c>
      <c r="AL963">
        <v>-2.3559999999999999</v>
      </c>
      <c r="AM963">
        <v>56.872999999999998</v>
      </c>
      <c r="AN963">
        <v>48.115000000000002</v>
      </c>
      <c r="AO963">
        <v>42.783000000000001</v>
      </c>
      <c r="AP963">
        <v>2.3559999999999999</v>
      </c>
      <c r="AQ963">
        <v>31.192</v>
      </c>
      <c r="AR963">
        <v>55.366</v>
      </c>
      <c r="AS963">
        <v>47.524999999999999</v>
      </c>
    </row>
    <row r="964" spans="1:45" x14ac:dyDescent="0.25">
      <c r="A964">
        <v>50</v>
      </c>
      <c r="B964">
        <v>-8</v>
      </c>
      <c r="C964">
        <v>0</v>
      </c>
      <c r="D964">
        <v>2021</v>
      </c>
      <c r="E964">
        <v>14</v>
      </c>
      <c r="F964" t="str">
        <f>IFERROR(VLOOKUP(G964, Map!$A$1:$B$33, 2, FALSE),"WAS")</f>
        <v>CAR</v>
      </c>
      <c r="G964" t="s">
        <v>142</v>
      </c>
      <c r="H964" t="str">
        <f>IFERROR(VLOOKUP(I964, Map!$A$1:$B$33, 2, FALSE),"WAS")</f>
        <v>ATL</v>
      </c>
      <c r="I964" t="s">
        <v>167</v>
      </c>
      <c r="J964" t="s">
        <v>185</v>
      </c>
      <c r="K964" t="s">
        <v>188</v>
      </c>
      <c r="L964">
        <v>0</v>
      </c>
      <c r="M964">
        <v>0</v>
      </c>
      <c r="N964">
        <v>39.647058823529399</v>
      </c>
      <c r="O964">
        <v>-1.20588235294118</v>
      </c>
      <c r="P964">
        <v>-2.5</v>
      </c>
      <c r="Q964">
        <v>41.5</v>
      </c>
      <c r="R964">
        <v>9.5</v>
      </c>
      <c r="S964">
        <v>17</v>
      </c>
      <c r="T964">
        <v>4.8</v>
      </c>
      <c r="U964">
        <v>5.7</v>
      </c>
      <c r="V964">
        <v>7.2</v>
      </c>
      <c r="W964">
        <v>0</v>
      </c>
      <c r="X964">
        <v>4</v>
      </c>
      <c r="Y964">
        <v>7.2</v>
      </c>
      <c r="Z964">
        <v>20.9</v>
      </c>
      <c r="AA964">
        <v>42.1</v>
      </c>
      <c r="AB964">
        <v>349</v>
      </c>
      <c r="AC964">
        <v>58</v>
      </c>
      <c r="AD964">
        <v>30.5</v>
      </c>
      <c r="AE964">
        <v>15.4</v>
      </c>
      <c r="AF964">
        <v>67.537000000000006</v>
      </c>
      <c r="AG964">
        <v>26.164000000000001</v>
      </c>
      <c r="AH964">
        <v>32.204000000000001</v>
      </c>
      <c r="AI964">
        <v>42.8</v>
      </c>
      <c r="AJ964">
        <v>16.834</v>
      </c>
      <c r="AK964">
        <v>20.864999999999998</v>
      </c>
      <c r="AL964">
        <v>6.0730000000000004</v>
      </c>
      <c r="AM964">
        <v>32.204000000000001</v>
      </c>
      <c r="AN964">
        <v>26.164000000000001</v>
      </c>
      <c r="AO964">
        <v>67.537000000000006</v>
      </c>
      <c r="AP964">
        <v>-6.0730000000000004</v>
      </c>
      <c r="AQ964">
        <v>83.165999999999997</v>
      </c>
      <c r="AR964">
        <v>57.2</v>
      </c>
      <c r="AS964">
        <v>79.135000000000005</v>
      </c>
    </row>
    <row r="965" spans="1:45" x14ac:dyDescent="0.25">
      <c r="A965">
        <v>20</v>
      </c>
      <c r="B965">
        <v>20</v>
      </c>
      <c r="C965">
        <v>1</v>
      </c>
      <c r="D965">
        <v>2021</v>
      </c>
      <c r="E965">
        <v>14</v>
      </c>
      <c r="F965" t="str">
        <f>IFERROR(VLOOKUP(G965, Map!$A$1:$B$33, 2, FALSE),"WAS")</f>
        <v>TEN</v>
      </c>
      <c r="G965" t="s">
        <v>140</v>
      </c>
      <c r="H965" t="str">
        <f>IFERROR(VLOOKUP(I965, Map!$A$1:$B$33, 2, FALSE),"WAS")</f>
        <v>JAX</v>
      </c>
      <c r="I965" t="s">
        <v>139</v>
      </c>
      <c r="J965" t="s">
        <v>174</v>
      </c>
      <c r="K965" t="s">
        <v>220</v>
      </c>
      <c r="L965">
        <v>1</v>
      </c>
      <c r="M965">
        <v>0</v>
      </c>
      <c r="N965">
        <v>40.558823529411796</v>
      </c>
      <c r="O965">
        <v>-8.1764705882352899</v>
      </c>
      <c r="P965">
        <v>-8.5</v>
      </c>
      <c r="Q965">
        <v>21.5</v>
      </c>
      <c r="R965">
        <v>4.3</v>
      </c>
      <c r="S965">
        <v>8.8000000000000007</v>
      </c>
      <c r="T965">
        <v>0</v>
      </c>
      <c r="U965">
        <v>1.1000000000000001</v>
      </c>
      <c r="V965">
        <v>0</v>
      </c>
      <c r="W965">
        <v>0</v>
      </c>
      <c r="X965">
        <v>0</v>
      </c>
      <c r="Y965">
        <v>0</v>
      </c>
      <c r="Z965">
        <v>11.8</v>
      </c>
      <c r="AA965">
        <v>26.6</v>
      </c>
      <c r="AB965">
        <v>13</v>
      </c>
      <c r="AC965">
        <v>67</v>
      </c>
      <c r="AD965">
        <v>12.1</v>
      </c>
      <c r="AE965">
        <v>5.8</v>
      </c>
      <c r="AF965">
        <v>81.117000000000004</v>
      </c>
      <c r="AG965">
        <v>45.131999999999998</v>
      </c>
      <c r="AH965">
        <v>18.731999999999999</v>
      </c>
      <c r="AI965">
        <v>96.302000000000007</v>
      </c>
      <c r="AJ965">
        <v>68.366</v>
      </c>
      <c r="AK965">
        <v>90.843999999999994</v>
      </c>
      <c r="AL965">
        <v>11.724</v>
      </c>
      <c r="AM965">
        <v>18.731999999999999</v>
      </c>
      <c r="AN965">
        <v>45.131999999999998</v>
      </c>
      <c r="AO965">
        <v>81.117000000000004</v>
      </c>
      <c r="AP965">
        <v>-11.724</v>
      </c>
      <c r="AQ965">
        <v>31.634</v>
      </c>
      <c r="AR965">
        <v>3.698</v>
      </c>
      <c r="AS965">
        <v>9.1560000000000006</v>
      </c>
    </row>
    <row r="966" spans="1:45" x14ac:dyDescent="0.25">
      <c r="A966">
        <v>64</v>
      </c>
      <c r="B966">
        <v>8</v>
      </c>
      <c r="C966">
        <v>1</v>
      </c>
      <c r="D966">
        <v>2021</v>
      </c>
      <c r="E966">
        <v>14</v>
      </c>
      <c r="F966" t="str">
        <f>IFERROR(VLOOKUP(G966, Map!$A$1:$B$33, 2, FALSE),"WAS")</f>
        <v>MIN</v>
      </c>
      <c r="G966" t="s">
        <v>153</v>
      </c>
      <c r="H966" t="str">
        <f>IFERROR(VLOOKUP(I966, Map!$A$1:$B$33, 2, FALSE),"WAS")</f>
        <v>PIT</v>
      </c>
      <c r="I966" t="s">
        <v>145</v>
      </c>
      <c r="J966" t="s">
        <v>214</v>
      </c>
      <c r="K966" t="s">
        <v>170</v>
      </c>
      <c r="L966">
        <v>1</v>
      </c>
      <c r="M966">
        <v>0</v>
      </c>
      <c r="N966">
        <v>43.647058823529399</v>
      </c>
      <c r="O966">
        <v>-3.3235294117647101</v>
      </c>
      <c r="P966">
        <v>-3.5</v>
      </c>
      <c r="Q966">
        <v>44.5</v>
      </c>
      <c r="R966">
        <v>-2.6</v>
      </c>
      <c r="S966">
        <v>-0.2</v>
      </c>
      <c r="T966">
        <v>-7</v>
      </c>
      <c r="U966">
        <v>-6.5</v>
      </c>
      <c r="V966">
        <v>4.0999999999999996</v>
      </c>
      <c r="W966">
        <v>2.87</v>
      </c>
      <c r="X966">
        <v>7</v>
      </c>
      <c r="Y966">
        <v>0</v>
      </c>
      <c r="Z966">
        <v>14.5</v>
      </c>
      <c r="AA966">
        <v>28.4</v>
      </c>
      <c r="AB966">
        <v>338</v>
      </c>
      <c r="AC966">
        <v>87</v>
      </c>
      <c r="AD966">
        <v>15.7</v>
      </c>
      <c r="AE966">
        <v>8.4</v>
      </c>
      <c r="AF966">
        <v>62.298999999999999</v>
      </c>
      <c r="AG966">
        <v>48.484000000000002</v>
      </c>
      <c r="AH966">
        <v>37.401000000000003</v>
      </c>
      <c r="AI966">
        <v>71.566999999999993</v>
      </c>
      <c r="AJ966">
        <v>85.584999999999994</v>
      </c>
      <c r="AK966">
        <v>89.808999999999997</v>
      </c>
      <c r="AL966">
        <v>4.2030000000000003</v>
      </c>
      <c r="AM966">
        <v>37.401000000000003</v>
      </c>
      <c r="AN966">
        <v>48.484000000000002</v>
      </c>
      <c r="AO966">
        <v>62.298999999999999</v>
      </c>
      <c r="AP966">
        <v>-4.2030000000000003</v>
      </c>
      <c r="AQ966">
        <v>14.414999999999999</v>
      </c>
      <c r="AR966">
        <v>28.433</v>
      </c>
      <c r="AS966">
        <v>10.191000000000001</v>
      </c>
    </row>
    <row r="967" spans="1:45" x14ac:dyDescent="0.25">
      <c r="A967">
        <v>60</v>
      </c>
      <c r="B967">
        <v>6</v>
      </c>
      <c r="C967">
        <v>1</v>
      </c>
      <c r="D967">
        <v>2021</v>
      </c>
      <c r="E967">
        <v>14</v>
      </c>
      <c r="F967" t="str">
        <f>IFERROR(VLOOKUP(G967, Map!$A$1:$B$33, 2, FALSE),"WAS")</f>
        <v>TB</v>
      </c>
      <c r="G967" t="s">
        <v>141</v>
      </c>
      <c r="H967" t="str">
        <f>IFERROR(VLOOKUP(I967, Map!$A$1:$B$33, 2, FALSE),"WAS")</f>
        <v>BUF</v>
      </c>
      <c r="I967" t="s">
        <v>165</v>
      </c>
      <c r="J967" t="s">
        <v>186</v>
      </c>
      <c r="K967" t="s">
        <v>180</v>
      </c>
      <c r="L967">
        <v>1</v>
      </c>
      <c r="M967">
        <v>0</v>
      </c>
      <c r="N967">
        <v>49.411764705882298</v>
      </c>
      <c r="O967">
        <v>-3.7941176470588198</v>
      </c>
      <c r="P967">
        <v>-3</v>
      </c>
      <c r="Q967">
        <v>47.5</v>
      </c>
      <c r="R967">
        <v>22.4</v>
      </c>
      <c r="S967">
        <v>26.7</v>
      </c>
      <c r="T967">
        <v>19.2</v>
      </c>
      <c r="U967">
        <v>25.3</v>
      </c>
      <c r="V967">
        <v>0.5</v>
      </c>
      <c r="W967">
        <v>0</v>
      </c>
      <c r="X967">
        <v>3</v>
      </c>
      <c r="Y967">
        <v>0.5</v>
      </c>
      <c r="Z967">
        <v>13.9</v>
      </c>
      <c r="AA967">
        <v>25.9</v>
      </c>
      <c r="AB967">
        <v>241</v>
      </c>
      <c r="AC967">
        <v>89</v>
      </c>
      <c r="AD967">
        <v>15.6</v>
      </c>
      <c r="AE967">
        <v>7.7</v>
      </c>
      <c r="AF967">
        <v>57.515999999999998</v>
      </c>
      <c r="AG967">
        <v>94.046000000000006</v>
      </c>
      <c r="AH967">
        <v>42.145000000000003</v>
      </c>
      <c r="AI967">
        <v>40.573</v>
      </c>
      <c r="AJ967">
        <v>87.73</v>
      </c>
      <c r="AK967">
        <v>71.882999999999996</v>
      </c>
      <c r="AL967">
        <v>2.5680000000000001</v>
      </c>
      <c r="AM967">
        <v>42.145000000000003</v>
      </c>
      <c r="AN967">
        <v>94.046000000000006</v>
      </c>
      <c r="AO967">
        <v>57.515999999999998</v>
      </c>
      <c r="AP967">
        <v>-2.5680000000000001</v>
      </c>
      <c r="AQ967">
        <v>12.27</v>
      </c>
      <c r="AR967">
        <v>59.427</v>
      </c>
      <c r="AS967">
        <v>28.117000000000001</v>
      </c>
    </row>
    <row r="968" spans="1:45" x14ac:dyDescent="0.25">
      <c r="A968">
        <v>46</v>
      </c>
      <c r="B968">
        <v>2</v>
      </c>
      <c r="C968">
        <v>1</v>
      </c>
      <c r="D968">
        <v>2021</v>
      </c>
      <c r="E968">
        <v>14</v>
      </c>
      <c r="F968" t="str">
        <f>IFERROR(VLOOKUP(G968, Map!$A$1:$B$33, 2, FALSE),"WAS")</f>
        <v>CLE</v>
      </c>
      <c r="G968" t="s">
        <v>162</v>
      </c>
      <c r="H968" t="str">
        <f>IFERROR(VLOOKUP(I968, Map!$A$1:$B$33, 2, FALSE),"WAS")</f>
        <v>BAL</v>
      </c>
      <c r="I968" t="s">
        <v>146</v>
      </c>
      <c r="J968" t="s">
        <v>171</v>
      </c>
      <c r="K968" t="s">
        <v>181</v>
      </c>
      <c r="L968">
        <v>1</v>
      </c>
      <c r="M968">
        <v>0</v>
      </c>
      <c r="N968">
        <v>41.205882352941202</v>
      </c>
      <c r="O968">
        <v>-2.6764705882352899</v>
      </c>
      <c r="P968">
        <v>1</v>
      </c>
      <c r="Q968">
        <v>42.5</v>
      </c>
      <c r="R968">
        <v>3.7</v>
      </c>
      <c r="S968">
        <v>7.9</v>
      </c>
      <c r="T968">
        <v>0.5</v>
      </c>
      <c r="U968">
        <v>-2.7</v>
      </c>
      <c r="V968">
        <v>0.1</v>
      </c>
      <c r="W968">
        <v>0</v>
      </c>
      <c r="X968">
        <v>1</v>
      </c>
      <c r="Y968">
        <v>0.1</v>
      </c>
      <c r="Z968">
        <v>40.9</v>
      </c>
      <c r="AA968">
        <v>66.2</v>
      </c>
      <c r="AB968">
        <v>241</v>
      </c>
      <c r="AC968">
        <v>61</v>
      </c>
      <c r="AD968">
        <v>41.9</v>
      </c>
      <c r="AE968">
        <v>25.8</v>
      </c>
      <c r="AF968">
        <v>53.466000000000001</v>
      </c>
      <c r="AG968">
        <v>54.551000000000002</v>
      </c>
      <c r="AH968">
        <v>46.162999999999997</v>
      </c>
      <c r="AI968">
        <v>90.89</v>
      </c>
      <c r="AJ968">
        <v>58.734999999999999</v>
      </c>
      <c r="AK968">
        <v>79.594999999999999</v>
      </c>
      <c r="AL968">
        <v>1.214</v>
      </c>
      <c r="AM968">
        <v>46.162999999999997</v>
      </c>
      <c r="AN968">
        <v>54.551000000000002</v>
      </c>
      <c r="AO968">
        <v>53.466000000000001</v>
      </c>
      <c r="AP968">
        <v>-1.214</v>
      </c>
      <c r="AQ968">
        <v>41.265000000000001</v>
      </c>
      <c r="AR968">
        <v>9.11</v>
      </c>
      <c r="AS968">
        <v>20.405000000000001</v>
      </c>
    </row>
    <row r="969" spans="1:45" x14ac:dyDescent="0.25">
      <c r="A969">
        <v>46</v>
      </c>
      <c r="B969">
        <v>-20</v>
      </c>
      <c r="C969">
        <v>0</v>
      </c>
      <c r="D969">
        <v>2021</v>
      </c>
      <c r="E969">
        <v>14</v>
      </c>
      <c r="F969" t="str">
        <f>IFERROR(VLOOKUP(G969, Map!$A$1:$B$33, 2, FALSE),"WAS")</f>
        <v>HOU</v>
      </c>
      <c r="G969" t="s">
        <v>137</v>
      </c>
      <c r="H969" t="str">
        <f>IFERROR(VLOOKUP(I969, Map!$A$1:$B$33, 2, FALSE),"WAS")</f>
        <v>SEA</v>
      </c>
      <c r="I969" t="s">
        <v>144</v>
      </c>
      <c r="J969" t="s">
        <v>209</v>
      </c>
      <c r="K969" t="s">
        <v>182</v>
      </c>
      <c r="L969">
        <v>0</v>
      </c>
      <c r="M969">
        <v>0</v>
      </c>
      <c r="N969">
        <v>38.852941176470601</v>
      </c>
      <c r="O969">
        <v>7.9411764705882399</v>
      </c>
      <c r="P969">
        <v>6.5</v>
      </c>
      <c r="Q969">
        <v>40.5</v>
      </c>
      <c r="R969">
        <v>10</v>
      </c>
      <c r="S969">
        <v>14.6</v>
      </c>
      <c r="T969">
        <v>5.4</v>
      </c>
      <c r="U969">
        <v>6.4</v>
      </c>
      <c r="V969">
        <v>0</v>
      </c>
      <c r="W969">
        <v>0</v>
      </c>
      <c r="X969">
        <v>0</v>
      </c>
      <c r="Y969">
        <v>0</v>
      </c>
      <c r="Z969">
        <v>18.399999999999999</v>
      </c>
      <c r="AA969">
        <v>30.2</v>
      </c>
      <c r="AB969">
        <v>22</v>
      </c>
      <c r="AC969">
        <v>55</v>
      </c>
      <c r="AD969">
        <v>22.7</v>
      </c>
      <c r="AE969">
        <v>12.4</v>
      </c>
      <c r="AF969">
        <v>27.577999999999999</v>
      </c>
      <c r="AG969">
        <v>26.791</v>
      </c>
      <c r="AH969">
        <v>72.2</v>
      </c>
      <c r="AI969">
        <v>8.3629999999999995</v>
      </c>
      <c r="AJ969">
        <v>34.152999999999999</v>
      </c>
      <c r="AK969">
        <v>21.677</v>
      </c>
      <c r="AL969">
        <v>-7.8440000000000003</v>
      </c>
      <c r="AM969">
        <v>72.2</v>
      </c>
      <c r="AN969">
        <v>26.791</v>
      </c>
      <c r="AO969">
        <v>27.577999999999999</v>
      </c>
      <c r="AP969">
        <v>7.8440000000000003</v>
      </c>
      <c r="AQ969">
        <v>65.846999999999994</v>
      </c>
      <c r="AR969">
        <v>91.637</v>
      </c>
      <c r="AS969">
        <v>78.322999999999993</v>
      </c>
    </row>
    <row r="970" spans="1:45" x14ac:dyDescent="0.25">
      <c r="A970">
        <v>75</v>
      </c>
      <c r="B970">
        <v>15</v>
      </c>
      <c r="C970">
        <v>1</v>
      </c>
      <c r="D970">
        <v>2021</v>
      </c>
      <c r="E970">
        <v>14</v>
      </c>
      <c r="F970" t="str">
        <f>IFERROR(VLOOKUP(G970, Map!$A$1:$B$33, 2, FALSE),"WAS")</f>
        <v>GB</v>
      </c>
      <c r="G970" t="s">
        <v>154</v>
      </c>
      <c r="H970" t="str">
        <f>IFERROR(VLOOKUP(I970, Map!$A$1:$B$33, 2, FALSE),"WAS")</f>
        <v>CHI</v>
      </c>
      <c r="I970" t="s">
        <v>163</v>
      </c>
      <c r="J970" t="s">
        <v>200</v>
      </c>
      <c r="K970" t="s">
        <v>216</v>
      </c>
      <c r="L970">
        <v>1</v>
      </c>
      <c r="M970">
        <v>0</v>
      </c>
      <c r="N970">
        <v>42.5</v>
      </c>
      <c r="O970">
        <v>-11.088235294117601</v>
      </c>
      <c r="P970">
        <v>-10</v>
      </c>
      <c r="Q970">
        <v>43</v>
      </c>
      <c r="R970">
        <v>2.1</v>
      </c>
      <c r="S970">
        <v>3.6</v>
      </c>
      <c r="T970">
        <v>-0.7</v>
      </c>
      <c r="U970">
        <v>-2.4</v>
      </c>
      <c r="V970">
        <v>0</v>
      </c>
      <c r="W970">
        <v>0</v>
      </c>
      <c r="X970">
        <v>0</v>
      </c>
      <c r="Y970">
        <v>0</v>
      </c>
      <c r="Z970">
        <v>20.7</v>
      </c>
      <c r="AA970">
        <v>37.4</v>
      </c>
      <c r="AB970">
        <v>228</v>
      </c>
      <c r="AC970">
        <v>75</v>
      </c>
      <c r="AD970">
        <v>28.4</v>
      </c>
      <c r="AE970">
        <v>14.9</v>
      </c>
      <c r="AF970">
        <v>81.028000000000006</v>
      </c>
      <c r="AG970">
        <v>50.494999999999997</v>
      </c>
      <c r="AH970">
        <v>18.821000000000002</v>
      </c>
      <c r="AI970">
        <v>74.581000000000003</v>
      </c>
      <c r="AJ970">
        <v>93.623000000000005</v>
      </c>
      <c r="AK970">
        <v>78.915000000000006</v>
      </c>
      <c r="AL970">
        <v>11.680999999999999</v>
      </c>
      <c r="AM970">
        <v>18.821000000000002</v>
      </c>
      <c r="AN970">
        <v>50.494999999999997</v>
      </c>
      <c r="AO970">
        <v>81.028000000000006</v>
      </c>
      <c r="AP970">
        <v>-11.680999999999999</v>
      </c>
      <c r="AQ970">
        <v>6.3769999999999998</v>
      </c>
      <c r="AR970">
        <v>25.419</v>
      </c>
      <c r="AS970">
        <v>21.085000000000001</v>
      </c>
    </row>
    <row r="971" spans="1:45" x14ac:dyDescent="0.25">
      <c r="A971">
        <v>57</v>
      </c>
      <c r="B971">
        <v>39</v>
      </c>
      <c r="C971">
        <v>1</v>
      </c>
      <c r="D971">
        <v>2021</v>
      </c>
      <c r="E971">
        <v>14</v>
      </c>
      <c r="F971" t="str">
        <f>IFERROR(VLOOKUP(G971, Map!$A$1:$B$33, 2, FALSE),"WAS")</f>
        <v>KC</v>
      </c>
      <c r="G971" t="s">
        <v>158</v>
      </c>
      <c r="H971" t="str">
        <f>IFERROR(VLOOKUP(I971, Map!$A$1:$B$33, 2, FALSE),"WAS")</f>
        <v>LV</v>
      </c>
      <c r="I971" t="s">
        <v>157</v>
      </c>
      <c r="J971" t="s">
        <v>202</v>
      </c>
      <c r="K971" t="s">
        <v>179</v>
      </c>
      <c r="L971">
        <v>1</v>
      </c>
      <c r="M971">
        <v>0</v>
      </c>
      <c r="N971">
        <v>48.625</v>
      </c>
      <c r="O971">
        <v>-10.46875</v>
      </c>
      <c r="P971">
        <v>-9.5</v>
      </c>
      <c r="Q971">
        <v>48</v>
      </c>
      <c r="R971">
        <v>4.9000000000000004</v>
      </c>
      <c r="S971">
        <v>11</v>
      </c>
      <c r="T971">
        <v>1.9</v>
      </c>
      <c r="U971">
        <v>-0.4</v>
      </c>
      <c r="V971">
        <v>0</v>
      </c>
      <c r="W971">
        <v>0</v>
      </c>
      <c r="X971">
        <v>0</v>
      </c>
      <c r="Y971">
        <v>0</v>
      </c>
      <c r="Z971">
        <v>21.3</v>
      </c>
      <c r="AA971">
        <v>40</v>
      </c>
      <c r="AB971">
        <v>204</v>
      </c>
      <c r="AC971">
        <v>47</v>
      </c>
      <c r="AD971">
        <v>30</v>
      </c>
      <c r="AE971">
        <v>16.7</v>
      </c>
      <c r="AF971">
        <v>71.909000000000006</v>
      </c>
      <c r="AG971">
        <v>55.137999999999998</v>
      </c>
      <c r="AH971">
        <v>27.867999999999999</v>
      </c>
      <c r="AI971">
        <v>98.712999999999994</v>
      </c>
      <c r="AJ971">
        <v>95.691999999999993</v>
      </c>
      <c r="AK971">
        <v>99.652000000000001</v>
      </c>
      <c r="AL971">
        <v>7.7290000000000001</v>
      </c>
      <c r="AM971">
        <v>27.867999999999999</v>
      </c>
      <c r="AN971">
        <v>55.137999999999998</v>
      </c>
      <c r="AO971">
        <v>71.909000000000006</v>
      </c>
      <c r="AP971">
        <v>-7.7290000000000001</v>
      </c>
      <c r="AQ971">
        <v>4.3079999999999998</v>
      </c>
      <c r="AR971">
        <v>1.2869999999999999</v>
      </c>
      <c r="AS971">
        <v>0.34799999999999998</v>
      </c>
    </row>
    <row r="972" spans="1:45" x14ac:dyDescent="0.25">
      <c r="A972">
        <v>47</v>
      </c>
      <c r="B972">
        <v>-7</v>
      </c>
      <c r="C972">
        <v>0</v>
      </c>
      <c r="D972">
        <v>2021</v>
      </c>
      <c r="E972">
        <v>14</v>
      </c>
      <c r="F972" t="str">
        <f>IFERROR(VLOOKUP(G972, Map!$A$1:$B$33, 2, FALSE),"WAS")</f>
        <v>WAS</v>
      </c>
      <c r="G972" t="s">
        <v>169</v>
      </c>
      <c r="H972" t="str">
        <f>IFERROR(VLOOKUP(I972, Map!$A$1:$B$33, 2, FALSE),"WAS")</f>
        <v>DAL</v>
      </c>
      <c r="I972" t="s">
        <v>150</v>
      </c>
      <c r="J972" t="s">
        <v>205</v>
      </c>
      <c r="K972" t="s">
        <v>184</v>
      </c>
      <c r="L972">
        <v>0</v>
      </c>
      <c r="M972">
        <v>0</v>
      </c>
      <c r="N972">
        <v>48.09375</v>
      </c>
      <c r="O972">
        <v>5.59375</v>
      </c>
      <c r="P972">
        <v>3.5</v>
      </c>
      <c r="Q972">
        <v>47.5</v>
      </c>
      <c r="R972">
        <v>8</v>
      </c>
      <c r="S972">
        <v>18</v>
      </c>
      <c r="T972">
        <v>3.5</v>
      </c>
      <c r="U972">
        <v>3.3</v>
      </c>
      <c r="V972">
        <v>4.9000000000000004</v>
      </c>
      <c r="W972">
        <v>0</v>
      </c>
      <c r="X972">
        <v>3</v>
      </c>
      <c r="Y972">
        <v>4.9000000000000004</v>
      </c>
      <c r="Z972">
        <v>30.8</v>
      </c>
      <c r="AA972">
        <v>59</v>
      </c>
      <c r="AB972">
        <v>286</v>
      </c>
      <c r="AC972">
        <v>52</v>
      </c>
      <c r="AD972">
        <v>36.5</v>
      </c>
      <c r="AE972">
        <v>17.899999999999999</v>
      </c>
      <c r="AF972">
        <v>36.848999999999997</v>
      </c>
      <c r="AG972">
        <v>59.667000000000002</v>
      </c>
      <c r="AH972">
        <v>62.854999999999997</v>
      </c>
      <c r="AI972">
        <v>73.804000000000002</v>
      </c>
      <c r="AJ972">
        <v>0.13400000000000001</v>
      </c>
      <c r="AK972">
        <v>10.029999999999999</v>
      </c>
      <c r="AL972">
        <v>-4.3970000000000002</v>
      </c>
      <c r="AM972">
        <v>62.854999999999997</v>
      </c>
      <c r="AN972">
        <v>59.667000000000002</v>
      </c>
      <c r="AO972">
        <v>36.848999999999997</v>
      </c>
      <c r="AP972">
        <v>4.3970000000000002</v>
      </c>
      <c r="AQ972">
        <v>99.866</v>
      </c>
      <c r="AR972">
        <v>26.196000000000002</v>
      </c>
      <c r="AS972">
        <v>89.97</v>
      </c>
    </row>
    <row r="973" spans="1:45" x14ac:dyDescent="0.25">
      <c r="A973">
        <v>48</v>
      </c>
      <c r="B973">
        <v>28</v>
      </c>
      <c r="C973">
        <v>1</v>
      </c>
      <c r="D973">
        <v>2021</v>
      </c>
      <c r="E973">
        <v>14</v>
      </c>
      <c r="F973" t="str">
        <f>IFERROR(VLOOKUP(G973, Map!$A$1:$B$33, 2, FALSE),"WAS")</f>
        <v>DEN</v>
      </c>
      <c r="G973" t="s">
        <v>159</v>
      </c>
      <c r="H973" t="str">
        <f>IFERROR(VLOOKUP(I973, Map!$A$1:$B$33, 2, FALSE),"WAS")</f>
        <v>DET</v>
      </c>
      <c r="I973" t="s">
        <v>164</v>
      </c>
      <c r="J973" t="s">
        <v>183</v>
      </c>
      <c r="K973" t="s">
        <v>173</v>
      </c>
      <c r="L973">
        <v>1</v>
      </c>
      <c r="M973">
        <v>0</v>
      </c>
      <c r="N973">
        <v>40.058823529411796</v>
      </c>
      <c r="O973">
        <v>-11.911764705882399</v>
      </c>
      <c r="P973">
        <v>-12.5</v>
      </c>
      <c r="Q973">
        <v>42</v>
      </c>
      <c r="R973">
        <v>4.0999999999999996</v>
      </c>
      <c r="S973">
        <v>14.9</v>
      </c>
      <c r="T973">
        <v>-2.2000000000000002</v>
      </c>
      <c r="U973">
        <v>-0.3</v>
      </c>
      <c r="V973">
        <v>0</v>
      </c>
      <c r="W973">
        <v>0</v>
      </c>
      <c r="X973">
        <v>0</v>
      </c>
      <c r="Y973">
        <v>0</v>
      </c>
      <c r="Z973">
        <v>10.8</v>
      </c>
      <c r="AA973">
        <v>20.2</v>
      </c>
      <c r="AB973">
        <v>199</v>
      </c>
      <c r="AC973">
        <v>31</v>
      </c>
      <c r="AD973">
        <v>12.4</v>
      </c>
      <c r="AE973">
        <v>6.6</v>
      </c>
      <c r="AF973">
        <v>76.078000000000003</v>
      </c>
      <c r="AG973">
        <v>39.167000000000002</v>
      </c>
      <c r="AH973">
        <v>23.731000000000002</v>
      </c>
      <c r="AI973">
        <v>82.527000000000001</v>
      </c>
      <c r="AJ973">
        <v>85.427999999999997</v>
      </c>
      <c r="AK973">
        <v>92.991</v>
      </c>
      <c r="AL973">
        <v>9.4309999999999992</v>
      </c>
      <c r="AM973">
        <v>23.731000000000002</v>
      </c>
      <c r="AN973">
        <v>39.167000000000002</v>
      </c>
      <c r="AO973">
        <v>76.078000000000003</v>
      </c>
      <c r="AP973">
        <v>-9.4309999999999992</v>
      </c>
      <c r="AQ973">
        <v>14.571999999999999</v>
      </c>
      <c r="AR973">
        <v>17.472999999999999</v>
      </c>
      <c r="AS973">
        <v>7.0090000000000003</v>
      </c>
    </row>
    <row r="974" spans="1:45" x14ac:dyDescent="0.25">
      <c r="A974">
        <v>39</v>
      </c>
      <c r="B974">
        <v>-21</v>
      </c>
      <c r="C974">
        <v>0</v>
      </c>
      <c r="D974">
        <v>2021</v>
      </c>
      <c r="E974">
        <v>14</v>
      </c>
      <c r="F974" t="str">
        <f>IFERROR(VLOOKUP(G974, Map!$A$1:$B$33, 2, FALSE),"WAS")</f>
        <v>NYJ</v>
      </c>
      <c r="G974" t="s">
        <v>166</v>
      </c>
      <c r="H974" t="str">
        <f>IFERROR(VLOOKUP(I974, Map!$A$1:$B$33, 2, FALSE),"WAS")</f>
        <v>NO</v>
      </c>
      <c r="I974" t="s">
        <v>168</v>
      </c>
      <c r="J974" t="s">
        <v>172</v>
      </c>
      <c r="K974" t="s">
        <v>192</v>
      </c>
      <c r="L974">
        <v>0</v>
      </c>
      <c r="M974">
        <v>0</v>
      </c>
      <c r="N974">
        <v>38.823529411764703</v>
      </c>
      <c r="O974">
        <v>4.6764705882352899</v>
      </c>
      <c r="P974">
        <v>4</v>
      </c>
      <c r="Q974">
        <v>28.5</v>
      </c>
      <c r="R974">
        <v>8.8000000000000007</v>
      </c>
      <c r="S974">
        <v>18.100000000000001</v>
      </c>
      <c r="T974">
        <v>4.5999999999999996</v>
      </c>
      <c r="U974">
        <v>4</v>
      </c>
      <c r="V974">
        <v>4.8</v>
      </c>
      <c r="W974">
        <v>0</v>
      </c>
      <c r="X974">
        <v>4</v>
      </c>
      <c r="Y974">
        <v>4.8</v>
      </c>
      <c r="Z974">
        <v>31.4</v>
      </c>
      <c r="AA974">
        <v>65.5</v>
      </c>
      <c r="AB974">
        <v>273</v>
      </c>
      <c r="AC974">
        <v>55</v>
      </c>
      <c r="AD974">
        <v>42.1</v>
      </c>
      <c r="AE974">
        <v>20.8</v>
      </c>
      <c r="AF974">
        <v>29.032</v>
      </c>
      <c r="AG974">
        <v>23.765999999999998</v>
      </c>
      <c r="AH974">
        <v>70.734999999999999</v>
      </c>
      <c r="AI974">
        <v>43.237000000000002</v>
      </c>
      <c r="AJ974">
        <v>9.9139999999999997</v>
      </c>
      <c r="AK974">
        <v>19.881</v>
      </c>
      <c r="AL974">
        <v>-7.274</v>
      </c>
      <c r="AM974">
        <v>70.734999999999999</v>
      </c>
      <c r="AN974">
        <v>23.765999999999998</v>
      </c>
      <c r="AO974">
        <v>29.032</v>
      </c>
      <c r="AP974">
        <v>7.274</v>
      </c>
      <c r="AQ974">
        <v>90.085999999999999</v>
      </c>
      <c r="AR974">
        <v>56.762999999999998</v>
      </c>
      <c r="AS974">
        <v>80.119</v>
      </c>
    </row>
    <row r="975" spans="1:45" x14ac:dyDescent="0.25">
      <c r="A975">
        <v>58</v>
      </c>
      <c r="B975">
        <v>16</v>
      </c>
      <c r="C975">
        <v>1</v>
      </c>
      <c r="D975">
        <v>2021</v>
      </c>
      <c r="E975">
        <v>14</v>
      </c>
      <c r="F975" t="str">
        <f>IFERROR(VLOOKUP(G975, Map!$A$1:$B$33, 2, FALSE),"WAS")</f>
        <v>LAC</v>
      </c>
      <c r="G975" t="s">
        <v>160</v>
      </c>
      <c r="H975" t="str">
        <f>IFERROR(VLOOKUP(I975, Map!$A$1:$B$33, 2, FALSE),"WAS")</f>
        <v>NYG</v>
      </c>
      <c r="I975" t="s">
        <v>149</v>
      </c>
      <c r="J975" t="s">
        <v>210</v>
      </c>
      <c r="K975" t="s">
        <v>219</v>
      </c>
      <c r="L975">
        <v>1</v>
      </c>
      <c r="M975">
        <v>0</v>
      </c>
      <c r="N975">
        <v>41.588235294117602</v>
      </c>
      <c r="O975">
        <v>-9.2941176470588207</v>
      </c>
      <c r="P975">
        <v>-9</v>
      </c>
      <c r="Q975">
        <v>43</v>
      </c>
      <c r="R975">
        <v>10.4</v>
      </c>
      <c r="S975">
        <v>17.399999999999999</v>
      </c>
      <c r="T975">
        <v>3.5</v>
      </c>
      <c r="U975">
        <v>7.5</v>
      </c>
      <c r="V975">
        <v>0</v>
      </c>
      <c r="W975">
        <v>0</v>
      </c>
      <c r="X975">
        <v>0</v>
      </c>
      <c r="Y975">
        <v>0</v>
      </c>
      <c r="Z975">
        <v>16.100000000000001</v>
      </c>
      <c r="AA975">
        <v>24.5</v>
      </c>
      <c r="AB975">
        <v>323</v>
      </c>
      <c r="AC975">
        <v>59</v>
      </c>
      <c r="AD975">
        <v>13.6</v>
      </c>
      <c r="AE975">
        <v>8.4</v>
      </c>
      <c r="AF975">
        <v>77.965999999999994</v>
      </c>
      <c r="AG975">
        <v>44.826000000000001</v>
      </c>
      <c r="AH975">
        <v>21.858000000000001</v>
      </c>
      <c r="AI975">
        <v>60.012</v>
      </c>
      <c r="AJ975">
        <v>91.022999999999996</v>
      </c>
      <c r="AK975">
        <v>90.619</v>
      </c>
      <c r="AL975">
        <v>10.254</v>
      </c>
      <c r="AM975">
        <v>21.858000000000001</v>
      </c>
      <c r="AN975">
        <v>44.826000000000001</v>
      </c>
      <c r="AO975">
        <v>77.965999999999994</v>
      </c>
      <c r="AP975">
        <v>-10.254</v>
      </c>
      <c r="AQ975">
        <v>8.9770000000000003</v>
      </c>
      <c r="AR975">
        <v>39.988</v>
      </c>
      <c r="AS975">
        <v>9.3810000000000002</v>
      </c>
    </row>
    <row r="976" spans="1:45" x14ac:dyDescent="0.25">
      <c r="A976">
        <v>53</v>
      </c>
      <c r="B976">
        <v>-7</v>
      </c>
      <c r="C976">
        <v>0</v>
      </c>
      <c r="D976">
        <v>2021</v>
      </c>
      <c r="E976">
        <v>14</v>
      </c>
      <c r="F976" t="str">
        <f>IFERROR(VLOOKUP(G976, Map!$A$1:$B$33, 2, FALSE),"WAS")</f>
        <v>ARI</v>
      </c>
      <c r="G976" t="s">
        <v>156</v>
      </c>
      <c r="H976" t="str">
        <f>IFERROR(VLOOKUP(I976, Map!$A$1:$B$33, 2, FALSE),"WAS")</f>
        <v>LA</v>
      </c>
      <c r="I976" t="s">
        <v>155</v>
      </c>
      <c r="J976" t="s">
        <v>190</v>
      </c>
      <c r="K976" t="s">
        <v>178</v>
      </c>
      <c r="L976">
        <v>0</v>
      </c>
      <c r="M976">
        <v>0</v>
      </c>
      <c r="N976">
        <v>48.264705882352899</v>
      </c>
      <c r="O976">
        <v>-2.02941176470588</v>
      </c>
      <c r="P976">
        <v>-2.5</v>
      </c>
      <c r="Q976">
        <v>51</v>
      </c>
      <c r="R976">
        <v>11</v>
      </c>
      <c r="S976">
        <v>13</v>
      </c>
      <c r="T976">
        <v>9.4</v>
      </c>
      <c r="U976">
        <v>8.5</v>
      </c>
      <c r="V976">
        <v>50.4</v>
      </c>
      <c r="W976">
        <v>0</v>
      </c>
      <c r="X976">
        <v>21</v>
      </c>
      <c r="Y976">
        <v>50.4</v>
      </c>
      <c r="Z976">
        <v>29.4</v>
      </c>
      <c r="AA976">
        <v>57.2</v>
      </c>
      <c r="AB976">
        <v>132</v>
      </c>
      <c r="AC976">
        <v>93</v>
      </c>
      <c r="AD976">
        <v>36.700000000000003</v>
      </c>
      <c r="AE976">
        <v>17.2</v>
      </c>
      <c r="AF976">
        <v>59.26</v>
      </c>
      <c r="AG976">
        <v>84.503</v>
      </c>
      <c r="AH976">
        <v>40.414999999999999</v>
      </c>
      <c r="AI976">
        <v>15.553000000000001</v>
      </c>
      <c r="AJ976">
        <v>36.076999999999998</v>
      </c>
      <c r="AK976">
        <v>24.396000000000001</v>
      </c>
      <c r="AL976">
        <v>3.1589999999999998</v>
      </c>
      <c r="AM976">
        <v>40.414999999999999</v>
      </c>
      <c r="AN976">
        <v>84.503</v>
      </c>
      <c r="AO976">
        <v>59.26</v>
      </c>
      <c r="AP976">
        <v>-3.1589999999999998</v>
      </c>
      <c r="AQ976">
        <v>63.923000000000002</v>
      </c>
      <c r="AR976">
        <v>84.447000000000003</v>
      </c>
      <c r="AS976">
        <v>75.603999999999999</v>
      </c>
    </row>
    <row r="977" spans="1:45" x14ac:dyDescent="0.25">
      <c r="A977">
        <v>49</v>
      </c>
      <c r="B977">
        <v>-3</v>
      </c>
      <c r="C977">
        <v>0</v>
      </c>
      <c r="D977">
        <v>2021</v>
      </c>
      <c r="E977">
        <v>14</v>
      </c>
      <c r="F977" t="str">
        <f>IFERROR(VLOOKUP(G977, Map!$A$1:$B$33, 2, FALSE),"WAS")</f>
        <v>CIN</v>
      </c>
      <c r="G977" t="s">
        <v>161</v>
      </c>
      <c r="H977" t="str">
        <f>IFERROR(VLOOKUP(I977, Map!$A$1:$B$33, 2, FALSE),"WAS")</f>
        <v>SF</v>
      </c>
      <c r="I977" t="s">
        <v>143</v>
      </c>
      <c r="J977" t="s">
        <v>176</v>
      </c>
      <c r="K977" t="s">
        <v>197</v>
      </c>
      <c r="L977">
        <v>0</v>
      </c>
      <c r="M977">
        <v>0</v>
      </c>
      <c r="N977">
        <v>45.40625</v>
      </c>
      <c r="O977">
        <v>1.71875</v>
      </c>
      <c r="P977">
        <v>-1</v>
      </c>
      <c r="Q977">
        <v>41.5</v>
      </c>
      <c r="R977">
        <v>3</v>
      </c>
      <c r="S977">
        <v>8.8000000000000007</v>
      </c>
      <c r="T977">
        <v>-0.6</v>
      </c>
      <c r="U977">
        <v>-1.5</v>
      </c>
      <c r="V977">
        <v>0</v>
      </c>
      <c r="W977">
        <v>0</v>
      </c>
      <c r="X977">
        <v>0</v>
      </c>
      <c r="Y977">
        <v>0</v>
      </c>
      <c r="Z977">
        <v>21.2</v>
      </c>
      <c r="AA977">
        <v>40.299999999999997</v>
      </c>
      <c r="AB977">
        <v>240</v>
      </c>
      <c r="AC977">
        <v>62</v>
      </c>
      <c r="AD977">
        <v>25.8</v>
      </c>
      <c r="AE977">
        <v>12.3</v>
      </c>
      <c r="AF977">
        <v>48.051000000000002</v>
      </c>
      <c r="AG977">
        <v>72.135999999999996</v>
      </c>
      <c r="AH977">
        <v>51.563000000000002</v>
      </c>
      <c r="AI977">
        <v>29.079000000000001</v>
      </c>
      <c r="AJ977">
        <v>62.710999999999999</v>
      </c>
      <c r="AK977">
        <v>33.298000000000002</v>
      </c>
      <c r="AL977">
        <v>-0.58299999999999996</v>
      </c>
      <c r="AM977">
        <v>51.563000000000002</v>
      </c>
      <c r="AN977">
        <v>72.135999999999996</v>
      </c>
      <c r="AO977">
        <v>48.051000000000002</v>
      </c>
      <c r="AP977">
        <v>0.58299999999999996</v>
      </c>
      <c r="AQ977">
        <v>37.289000000000001</v>
      </c>
      <c r="AR977">
        <v>70.921000000000006</v>
      </c>
      <c r="AS977">
        <v>66.701999999999998</v>
      </c>
    </row>
    <row r="978" spans="1:45" x14ac:dyDescent="0.25">
      <c r="A978">
        <v>44</v>
      </c>
      <c r="B978">
        <v>18</v>
      </c>
      <c r="C978">
        <v>1</v>
      </c>
      <c r="D978">
        <v>2021</v>
      </c>
      <c r="E978">
        <v>15</v>
      </c>
      <c r="F978" t="str">
        <f>IFERROR(VLOOKUP(G978, Map!$A$1:$B$33, 2, FALSE),"WAS")</f>
        <v>SF</v>
      </c>
      <c r="G978" t="s">
        <v>143</v>
      </c>
      <c r="H978" t="str">
        <f>IFERROR(VLOOKUP(I978, Map!$A$1:$B$33, 2, FALSE),"WAS")</f>
        <v>ATL</v>
      </c>
      <c r="I978" t="s">
        <v>167</v>
      </c>
      <c r="J978" t="s">
        <v>197</v>
      </c>
      <c r="K978" t="s">
        <v>188</v>
      </c>
      <c r="L978">
        <v>1</v>
      </c>
      <c r="M978">
        <v>0</v>
      </c>
      <c r="N978">
        <v>44.647058823529399</v>
      </c>
      <c r="O978">
        <v>-8.3823529411764692</v>
      </c>
      <c r="P978">
        <v>-8.5</v>
      </c>
      <c r="Q978">
        <v>45.5</v>
      </c>
      <c r="R978">
        <v>7.2</v>
      </c>
      <c r="S978">
        <v>12.7</v>
      </c>
      <c r="T978">
        <v>3.6</v>
      </c>
      <c r="U978">
        <v>5.0999999999999996</v>
      </c>
      <c r="V978">
        <v>0</v>
      </c>
      <c r="W978">
        <v>0</v>
      </c>
      <c r="X978">
        <v>0</v>
      </c>
      <c r="Y978">
        <v>0</v>
      </c>
      <c r="Z978">
        <v>14.9</v>
      </c>
      <c r="AA978">
        <v>25.9</v>
      </c>
      <c r="AB978">
        <v>172</v>
      </c>
      <c r="AC978">
        <v>82</v>
      </c>
      <c r="AD978">
        <v>9</v>
      </c>
      <c r="AE978">
        <v>4.7</v>
      </c>
      <c r="AF978">
        <v>76.64</v>
      </c>
      <c r="AG978">
        <v>49.203000000000003</v>
      </c>
      <c r="AH978">
        <v>23.173999999999999</v>
      </c>
      <c r="AI978">
        <v>81.521000000000001</v>
      </c>
      <c r="AJ978">
        <v>96.768000000000001</v>
      </c>
      <c r="AK978">
        <v>88.679000000000002</v>
      </c>
      <c r="AL978">
        <v>9.6560000000000006</v>
      </c>
      <c r="AM978">
        <v>23.173999999999999</v>
      </c>
      <c r="AN978">
        <v>49.203000000000003</v>
      </c>
      <c r="AO978">
        <v>76.64</v>
      </c>
      <c r="AP978">
        <v>-9.6560000000000006</v>
      </c>
      <c r="AQ978">
        <v>3.2320000000000002</v>
      </c>
      <c r="AR978">
        <v>18.478999999999999</v>
      </c>
      <c r="AS978">
        <v>11.321</v>
      </c>
    </row>
    <row r="979" spans="1:45" x14ac:dyDescent="0.25">
      <c r="A979">
        <v>61</v>
      </c>
      <c r="B979">
        <v>-1</v>
      </c>
      <c r="C979">
        <v>0</v>
      </c>
      <c r="D979">
        <v>2021</v>
      </c>
      <c r="E979">
        <v>15</v>
      </c>
      <c r="F979" t="str">
        <f>IFERROR(VLOOKUP(G979, Map!$A$1:$B$33, 2, FALSE),"WAS")</f>
        <v>BAL</v>
      </c>
      <c r="G979" t="s">
        <v>146</v>
      </c>
      <c r="H979" t="str">
        <f>IFERROR(VLOOKUP(I979, Map!$A$1:$B$33, 2, FALSE),"WAS")</f>
        <v>GB</v>
      </c>
      <c r="I979" t="s">
        <v>154</v>
      </c>
      <c r="J979" t="s">
        <v>181</v>
      </c>
      <c r="K979" t="s">
        <v>200</v>
      </c>
      <c r="L979">
        <v>0</v>
      </c>
      <c r="M979">
        <v>0</v>
      </c>
      <c r="N979">
        <v>42.633333333333297</v>
      </c>
      <c r="O979">
        <v>7.7333333333333298</v>
      </c>
      <c r="P979">
        <v>6.5</v>
      </c>
      <c r="Q979">
        <v>43.5</v>
      </c>
      <c r="R979">
        <v>7.8</v>
      </c>
      <c r="S979">
        <v>13</v>
      </c>
      <c r="T979">
        <v>3.1</v>
      </c>
      <c r="U979">
        <v>3.7</v>
      </c>
      <c r="V979">
        <v>1.3</v>
      </c>
      <c r="W979">
        <v>0</v>
      </c>
      <c r="X979">
        <v>6</v>
      </c>
      <c r="Y979">
        <v>1.3</v>
      </c>
      <c r="Z979">
        <v>23.5</v>
      </c>
      <c r="AA979">
        <v>42.5</v>
      </c>
      <c r="AB979">
        <v>327</v>
      </c>
      <c r="AC979">
        <v>70</v>
      </c>
      <c r="AD979">
        <v>31.6</v>
      </c>
      <c r="AE979">
        <v>17.399999999999999</v>
      </c>
      <c r="AF979">
        <v>37.622</v>
      </c>
      <c r="AG979">
        <v>66.156999999999996</v>
      </c>
      <c r="AH979">
        <v>62.076000000000001</v>
      </c>
      <c r="AI979">
        <v>8.2690000000000001</v>
      </c>
      <c r="AJ979">
        <v>77.954999999999998</v>
      </c>
      <c r="AK979">
        <v>42.866</v>
      </c>
      <c r="AL979">
        <v>-4.1189999999999998</v>
      </c>
      <c r="AM979">
        <v>62.076000000000001</v>
      </c>
      <c r="AN979">
        <v>66.156999999999996</v>
      </c>
      <c r="AO979">
        <v>37.622</v>
      </c>
      <c r="AP979">
        <v>4.1189999999999998</v>
      </c>
      <c r="AQ979">
        <v>22.045000000000002</v>
      </c>
      <c r="AR979">
        <v>91.730999999999995</v>
      </c>
      <c r="AS979">
        <v>57.134</v>
      </c>
    </row>
    <row r="980" spans="1:45" x14ac:dyDescent="0.25">
      <c r="A980">
        <v>55</v>
      </c>
      <c r="B980">
        <v>7</v>
      </c>
      <c r="C980">
        <v>1</v>
      </c>
      <c r="D980">
        <v>2021</v>
      </c>
      <c r="E980">
        <v>15</v>
      </c>
      <c r="F980" t="str">
        <f>IFERROR(VLOOKUP(G980, Map!$A$1:$B$33, 2, FALSE),"WAS")</f>
        <v>MIA</v>
      </c>
      <c r="G980" t="s">
        <v>152</v>
      </c>
      <c r="H980" t="str">
        <f>IFERROR(VLOOKUP(I980, Map!$A$1:$B$33, 2, FALSE),"WAS")</f>
        <v>NYJ</v>
      </c>
      <c r="I980" t="s">
        <v>166</v>
      </c>
      <c r="J980" t="s">
        <v>175</v>
      </c>
      <c r="K980" t="s">
        <v>172</v>
      </c>
      <c r="L980">
        <v>1</v>
      </c>
      <c r="M980">
        <v>0</v>
      </c>
      <c r="N980">
        <v>39.852941176470601</v>
      </c>
      <c r="O980">
        <v>-8.6470588235294095</v>
      </c>
      <c r="P980">
        <v>-7.5</v>
      </c>
      <c r="Q980">
        <v>41</v>
      </c>
      <c r="R980">
        <v>23</v>
      </c>
      <c r="S980">
        <v>27.7</v>
      </c>
      <c r="T980">
        <v>19.899999999999999</v>
      </c>
      <c r="U980">
        <v>26</v>
      </c>
      <c r="V980">
        <v>15.4</v>
      </c>
      <c r="W980">
        <v>0</v>
      </c>
      <c r="X980">
        <v>15</v>
      </c>
      <c r="Y980">
        <v>15.4</v>
      </c>
      <c r="Z980">
        <v>14.5</v>
      </c>
      <c r="AA980">
        <v>38.200000000000003</v>
      </c>
      <c r="AB980">
        <v>166</v>
      </c>
      <c r="AC980">
        <v>90</v>
      </c>
      <c r="AD980">
        <v>21.3</v>
      </c>
      <c r="AE980">
        <v>9.6</v>
      </c>
      <c r="AF980">
        <v>81.278999999999996</v>
      </c>
      <c r="AG980">
        <v>37.795999999999999</v>
      </c>
      <c r="AH980">
        <v>18.571999999999999</v>
      </c>
      <c r="AI980">
        <v>72.632999999999996</v>
      </c>
      <c r="AJ980">
        <v>56.508000000000003</v>
      </c>
      <c r="AK980">
        <v>67.058000000000007</v>
      </c>
      <c r="AL980">
        <v>11.785</v>
      </c>
      <c r="AM980">
        <v>18.571999999999999</v>
      </c>
      <c r="AN980">
        <v>37.795999999999999</v>
      </c>
      <c r="AO980">
        <v>81.278999999999996</v>
      </c>
      <c r="AP980">
        <v>-11.785</v>
      </c>
      <c r="AQ980">
        <v>43.491999999999997</v>
      </c>
      <c r="AR980">
        <v>27.367000000000001</v>
      </c>
      <c r="AS980">
        <v>32.942</v>
      </c>
    </row>
    <row r="981" spans="1:45" x14ac:dyDescent="0.25">
      <c r="A981">
        <v>9</v>
      </c>
      <c r="B981">
        <v>-9</v>
      </c>
      <c r="C981">
        <v>0</v>
      </c>
      <c r="D981">
        <v>2021</v>
      </c>
      <c r="E981">
        <v>15</v>
      </c>
      <c r="F981" t="str">
        <f>IFERROR(VLOOKUP(G981, Map!$A$1:$B$33, 2, FALSE),"WAS")</f>
        <v>TB</v>
      </c>
      <c r="G981" t="s">
        <v>141</v>
      </c>
      <c r="H981" t="str">
        <f>IFERROR(VLOOKUP(I981, Map!$A$1:$B$33, 2, FALSE),"WAS")</f>
        <v>NO</v>
      </c>
      <c r="I981" t="s">
        <v>168</v>
      </c>
      <c r="J981" t="s">
        <v>186</v>
      </c>
      <c r="K981" t="s">
        <v>192</v>
      </c>
      <c r="L981">
        <v>0</v>
      </c>
      <c r="M981">
        <v>0</v>
      </c>
      <c r="N981">
        <v>40.6875</v>
      </c>
      <c r="O981">
        <v>-9.5625</v>
      </c>
      <c r="P981">
        <v>8.5</v>
      </c>
      <c r="Q981">
        <v>11.5</v>
      </c>
      <c r="R981">
        <v>21.1</v>
      </c>
      <c r="S981">
        <v>23.4</v>
      </c>
      <c r="T981">
        <v>19.2</v>
      </c>
      <c r="U981">
        <v>22.3</v>
      </c>
      <c r="V981">
        <v>0.4</v>
      </c>
      <c r="W981">
        <v>0</v>
      </c>
      <c r="X981">
        <v>3</v>
      </c>
      <c r="Y981">
        <v>0.4</v>
      </c>
      <c r="Z981">
        <v>22.3</v>
      </c>
      <c r="AA981">
        <v>37.1</v>
      </c>
      <c r="AB981">
        <v>35</v>
      </c>
      <c r="AC981">
        <v>88</v>
      </c>
      <c r="AD981">
        <v>26.7</v>
      </c>
      <c r="AE981">
        <v>15.1</v>
      </c>
      <c r="AF981">
        <v>75.653999999999996</v>
      </c>
      <c r="AG981">
        <v>69.387</v>
      </c>
      <c r="AH981">
        <v>24.152000000000001</v>
      </c>
      <c r="AI981">
        <v>88.444999999999993</v>
      </c>
      <c r="AJ981">
        <v>9.6999999999999993</v>
      </c>
      <c r="AK981">
        <v>28.27</v>
      </c>
      <c r="AL981">
        <v>9.2360000000000007</v>
      </c>
      <c r="AM981">
        <v>24.152000000000001</v>
      </c>
      <c r="AN981">
        <v>69.387</v>
      </c>
      <c r="AO981">
        <v>75.653999999999996</v>
      </c>
      <c r="AP981">
        <v>-9.2360000000000007</v>
      </c>
      <c r="AQ981">
        <v>90.3</v>
      </c>
      <c r="AR981">
        <v>11.555</v>
      </c>
      <c r="AS981">
        <v>71.73</v>
      </c>
    </row>
    <row r="982" spans="1:45" x14ac:dyDescent="0.25">
      <c r="A982">
        <v>32</v>
      </c>
      <c r="B982">
        <v>6</v>
      </c>
      <c r="C982">
        <v>1</v>
      </c>
      <c r="D982">
        <v>2021</v>
      </c>
      <c r="E982">
        <v>15</v>
      </c>
      <c r="F982" t="str">
        <f>IFERROR(VLOOKUP(G982, Map!$A$1:$B$33, 2, FALSE),"WAS")</f>
        <v>PIT</v>
      </c>
      <c r="G982" t="s">
        <v>145</v>
      </c>
      <c r="H982" t="str">
        <f>IFERROR(VLOOKUP(I982, Map!$A$1:$B$33, 2, FALSE),"WAS")</f>
        <v>TEN</v>
      </c>
      <c r="I982" t="s">
        <v>140</v>
      </c>
      <c r="J982" t="s">
        <v>170</v>
      </c>
      <c r="K982" t="s">
        <v>174</v>
      </c>
      <c r="L982">
        <v>1</v>
      </c>
      <c r="M982">
        <v>0</v>
      </c>
      <c r="N982">
        <v>40.470588235294102</v>
      </c>
      <c r="O982">
        <v>-1.29411764705882</v>
      </c>
      <c r="P982">
        <v>-1</v>
      </c>
      <c r="Q982">
        <v>34.5</v>
      </c>
      <c r="R982">
        <v>2.4</v>
      </c>
      <c r="S982">
        <v>11</v>
      </c>
      <c r="T982">
        <v>-0.8</v>
      </c>
      <c r="U982">
        <v>-2.1</v>
      </c>
      <c r="V982">
        <v>3.3</v>
      </c>
      <c r="W982">
        <v>0</v>
      </c>
      <c r="X982">
        <v>3</v>
      </c>
      <c r="Y982">
        <v>3.3</v>
      </c>
      <c r="Z982">
        <v>20.399999999999999</v>
      </c>
      <c r="AA982">
        <v>42.8</v>
      </c>
      <c r="AB982">
        <v>330</v>
      </c>
      <c r="AC982">
        <v>73</v>
      </c>
      <c r="AD982">
        <v>33.799999999999997</v>
      </c>
      <c r="AE982">
        <v>15.3</v>
      </c>
      <c r="AF982">
        <v>47.807000000000002</v>
      </c>
      <c r="AG982">
        <v>50.454999999999998</v>
      </c>
      <c r="AH982">
        <v>51.808999999999997</v>
      </c>
      <c r="AI982">
        <v>89.644999999999996</v>
      </c>
      <c r="AJ982">
        <v>21.863</v>
      </c>
      <c r="AK982">
        <v>64.406000000000006</v>
      </c>
      <c r="AL982">
        <v>-0.66400000000000003</v>
      </c>
      <c r="AM982">
        <v>51.808999999999997</v>
      </c>
      <c r="AN982">
        <v>50.454999999999998</v>
      </c>
      <c r="AO982">
        <v>47.807000000000002</v>
      </c>
      <c r="AP982">
        <v>0.66400000000000003</v>
      </c>
      <c r="AQ982">
        <v>78.137</v>
      </c>
      <c r="AR982">
        <v>10.355</v>
      </c>
      <c r="AS982">
        <v>35.594000000000001</v>
      </c>
    </row>
    <row r="983" spans="1:45" x14ac:dyDescent="0.25">
      <c r="A983">
        <v>27</v>
      </c>
      <c r="B983">
        <v>-15</v>
      </c>
      <c r="C983">
        <v>0</v>
      </c>
      <c r="D983">
        <v>2021</v>
      </c>
      <c r="E983">
        <v>15</v>
      </c>
      <c r="F983" t="str">
        <f>IFERROR(VLOOKUP(G983, Map!$A$1:$B$33, 2, FALSE),"WAS")</f>
        <v>NYG</v>
      </c>
      <c r="G983" t="s">
        <v>149</v>
      </c>
      <c r="H983" t="str">
        <f>IFERROR(VLOOKUP(I983, Map!$A$1:$B$33, 2, FALSE),"WAS")</f>
        <v>DAL</v>
      </c>
      <c r="I983" t="s">
        <v>150</v>
      </c>
      <c r="J983" t="s">
        <v>219</v>
      </c>
      <c r="K983" t="s">
        <v>184</v>
      </c>
      <c r="L983">
        <v>0</v>
      </c>
      <c r="M983">
        <v>0</v>
      </c>
      <c r="N983">
        <v>40.235294117647101</v>
      </c>
      <c r="O983">
        <v>10.4705882352941</v>
      </c>
      <c r="P983">
        <v>10.5</v>
      </c>
      <c r="Q983">
        <v>28.5</v>
      </c>
      <c r="R983">
        <v>4.5999999999999996</v>
      </c>
      <c r="S983">
        <v>7.2</v>
      </c>
      <c r="T983">
        <v>0.5</v>
      </c>
      <c r="U983">
        <v>0.3</v>
      </c>
      <c r="V983">
        <v>0.7</v>
      </c>
      <c r="W983">
        <v>0</v>
      </c>
      <c r="X983">
        <v>5</v>
      </c>
      <c r="Y983">
        <v>0.7</v>
      </c>
      <c r="Z983">
        <v>24.1</v>
      </c>
      <c r="AA983">
        <v>46.8</v>
      </c>
      <c r="AB983">
        <v>328</v>
      </c>
      <c r="AC983">
        <v>74</v>
      </c>
      <c r="AD983">
        <v>31.6</v>
      </c>
      <c r="AE983">
        <v>15.8</v>
      </c>
      <c r="AF983">
        <v>29.856999999999999</v>
      </c>
      <c r="AG983">
        <v>41.53</v>
      </c>
      <c r="AH983">
        <v>69.903000000000006</v>
      </c>
      <c r="AI983">
        <v>38.29</v>
      </c>
      <c r="AJ983">
        <v>6.37</v>
      </c>
      <c r="AK983">
        <v>13.981999999999999</v>
      </c>
      <c r="AL983">
        <v>-6.9450000000000003</v>
      </c>
      <c r="AM983">
        <v>69.903000000000006</v>
      </c>
      <c r="AN983">
        <v>41.53</v>
      </c>
      <c r="AO983">
        <v>29.856999999999999</v>
      </c>
      <c r="AP983">
        <v>6.9450000000000003</v>
      </c>
      <c r="AQ983">
        <v>93.63</v>
      </c>
      <c r="AR983">
        <v>61.71</v>
      </c>
      <c r="AS983">
        <v>86.018000000000001</v>
      </c>
    </row>
    <row r="984" spans="1:45" x14ac:dyDescent="0.25">
      <c r="A984">
        <v>46</v>
      </c>
      <c r="B984">
        <v>-14</v>
      </c>
      <c r="C984">
        <v>0</v>
      </c>
      <c r="D984">
        <v>2021</v>
      </c>
      <c r="E984">
        <v>15</v>
      </c>
      <c r="F984" t="str">
        <f>IFERROR(VLOOKUP(G984, Map!$A$1:$B$33, 2, FALSE),"WAS")</f>
        <v>JAX</v>
      </c>
      <c r="G984" t="s">
        <v>139</v>
      </c>
      <c r="H984" t="str">
        <f>IFERROR(VLOOKUP(I984, Map!$A$1:$B$33, 2, FALSE),"WAS")</f>
        <v>HOU</v>
      </c>
      <c r="I984" t="s">
        <v>137</v>
      </c>
      <c r="J984" t="s">
        <v>220</v>
      </c>
      <c r="K984" t="s">
        <v>209</v>
      </c>
      <c r="L984">
        <v>0</v>
      </c>
      <c r="M984">
        <v>0</v>
      </c>
      <c r="N984">
        <v>37.823529411764703</v>
      </c>
      <c r="O984">
        <v>-4.3823529411764701</v>
      </c>
      <c r="P984">
        <v>-4.5</v>
      </c>
      <c r="Q984">
        <v>39.5</v>
      </c>
      <c r="R984">
        <v>21.6</v>
      </c>
      <c r="S984">
        <v>25.7</v>
      </c>
      <c r="T984">
        <v>18.8</v>
      </c>
      <c r="U984">
        <v>23.3</v>
      </c>
      <c r="V984">
        <v>1</v>
      </c>
      <c r="W984">
        <v>0</v>
      </c>
      <c r="X984">
        <v>3</v>
      </c>
      <c r="Y984">
        <v>1</v>
      </c>
      <c r="Z984">
        <v>23.4</v>
      </c>
      <c r="AA984">
        <v>40</v>
      </c>
      <c r="AB984">
        <v>222</v>
      </c>
      <c r="AC984">
        <v>89</v>
      </c>
      <c r="AD984">
        <v>23.7</v>
      </c>
      <c r="AE984">
        <v>13.3</v>
      </c>
      <c r="AF984">
        <v>62.268999999999998</v>
      </c>
      <c r="AG984">
        <v>5.1070000000000002</v>
      </c>
      <c r="AH984">
        <v>37.43</v>
      </c>
      <c r="AI984">
        <v>65.58</v>
      </c>
      <c r="AJ984">
        <v>28.016999999999999</v>
      </c>
      <c r="AK984">
        <v>21.606999999999999</v>
      </c>
      <c r="AL984">
        <v>4.1859999999999999</v>
      </c>
      <c r="AM984">
        <v>37.43</v>
      </c>
      <c r="AN984">
        <v>5.1070000000000002</v>
      </c>
      <c r="AO984">
        <v>62.268999999999998</v>
      </c>
      <c r="AP984">
        <v>-4.1859999999999999</v>
      </c>
      <c r="AQ984">
        <v>71.983000000000004</v>
      </c>
      <c r="AR984">
        <v>34.42</v>
      </c>
      <c r="AS984">
        <v>78.393000000000001</v>
      </c>
    </row>
    <row r="985" spans="1:45" x14ac:dyDescent="0.25">
      <c r="A985">
        <v>42</v>
      </c>
      <c r="B985">
        <v>18</v>
      </c>
      <c r="C985">
        <v>1</v>
      </c>
      <c r="D985">
        <v>2021</v>
      </c>
      <c r="E985">
        <v>15</v>
      </c>
      <c r="F985" t="str">
        <f>IFERROR(VLOOKUP(G985, Map!$A$1:$B$33, 2, FALSE),"WAS")</f>
        <v>DET</v>
      </c>
      <c r="G985" t="s">
        <v>164</v>
      </c>
      <c r="H985" t="str">
        <f>IFERROR(VLOOKUP(I985, Map!$A$1:$B$33, 2, FALSE),"WAS")</f>
        <v>ARI</v>
      </c>
      <c r="I985" t="s">
        <v>156</v>
      </c>
      <c r="J985" t="s">
        <v>173</v>
      </c>
      <c r="K985" t="s">
        <v>190</v>
      </c>
      <c r="L985">
        <v>1</v>
      </c>
      <c r="M985">
        <v>0</v>
      </c>
      <c r="N985">
        <v>44.764705882352899</v>
      </c>
      <c r="O985">
        <v>9.7352941176470598</v>
      </c>
      <c r="P985">
        <v>12.5</v>
      </c>
      <c r="Q985">
        <v>42.5</v>
      </c>
      <c r="R985">
        <v>-1.1000000000000001</v>
      </c>
      <c r="S985">
        <v>1</v>
      </c>
      <c r="T985">
        <v>-3.8</v>
      </c>
      <c r="U985">
        <v>-5.6</v>
      </c>
      <c r="V985">
        <v>0</v>
      </c>
      <c r="W985">
        <v>0</v>
      </c>
      <c r="X985">
        <v>0</v>
      </c>
      <c r="Y985">
        <v>0</v>
      </c>
      <c r="Z985">
        <v>17.600000000000001</v>
      </c>
      <c r="AA985">
        <v>32.799999999999997</v>
      </c>
      <c r="AB985">
        <v>337</v>
      </c>
      <c r="AC985">
        <v>75</v>
      </c>
      <c r="AD985">
        <v>22.2</v>
      </c>
      <c r="AE985">
        <v>12.1</v>
      </c>
      <c r="AF985">
        <v>19.033000000000001</v>
      </c>
      <c r="AG985">
        <v>40.49</v>
      </c>
      <c r="AH985">
        <v>80.813999999999993</v>
      </c>
      <c r="AI985">
        <v>92.590999999999994</v>
      </c>
      <c r="AJ985">
        <v>77.977999999999994</v>
      </c>
      <c r="AK985">
        <v>92.597999999999999</v>
      </c>
      <c r="AL985">
        <v>-11.558</v>
      </c>
      <c r="AM985">
        <v>80.813999999999993</v>
      </c>
      <c r="AN985">
        <v>40.49</v>
      </c>
      <c r="AO985">
        <v>19.033000000000001</v>
      </c>
      <c r="AP985">
        <v>11.558</v>
      </c>
      <c r="AQ985">
        <v>22.021999999999998</v>
      </c>
      <c r="AR985">
        <v>7.4089999999999998</v>
      </c>
      <c r="AS985">
        <v>7.4020000000000001</v>
      </c>
    </row>
    <row r="986" spans="1:45" x14ac:dyDescent="0.25">
      <c r="A986">
        <v>26</v>
      </c>
      <c r="B986">
        <v>-8</v>
      </c>
      <c r="C986">
        <v>0</v>
      </c>
      <c r="D986">
        <v>2021</v>
      </c>
      <c r="E986">
        <v>15</v>
      </c>
      <c r="F986" t="str">
        <f>IFERROR(VLOOKUP(G986, Map!$A$1:$B$33, 2, FALSE),"WAS")</f>
        <v>CHI</v>
      </c>
      <c r="G986" t="s">
        <v>163</v>
      </c>
      <c r="H986" t="str">
        <f>IFERROR(VLOOKUP(I986, Map!$A$1:$B$33, 2, FALSE),"WAS")</f>
        <v>MIN</v>
      </c>
      <c r="I986" t="s">
        <v>153</v>
      </c>
      <c r="J986" t="s">
        <v>216</v>
      </c>
      <c r="K986" t="s">
        <v>214</v>
      </c>
      <c r="L986">
        <v>0</v>
      </c>
      <c r="M986">
        <v>0</v>
      </c>
      <c r="N986">
        <v>42.911764705882298</v>
      </c>
      <c r="O986">
        <v>6.4705882352941204</v>
      </c>
      <c r="P986">
        <v>6</v>
      </c>
      <c r="Q986">
        <v>26.5</v>
      </c>
      <c r="R986">
        <v>0.5</v>
      </c>
      <c r="S986">
        <v>4.7</v>
      </c>
      <c r="T986">
        <v>-2</v>
      </c>
      <c r="U986">
        <v>-4.5</v>
      </c>
      <c r="V986">
        <v>0</v>
      </c>
      <c r="W986">
        <v>0</v>
      </c>
      <c r="X986">
        <v>0</v>
      </c>
      <c r="Y986">
        <v>0</v>
      </c>
      <c r="Z986">
        <v>30</v>
      </c>
      <c r="AA986">
        <v>44.6</v>
      </c>
      <c r="AB986">
        <v>248</v>
      </c>
      <c r="AC986">
        <v>79</v>
      </c>
      <c r="AD986">
        <v>25.1</v>
      </c>
      <c r="AE986">
        <v>17.100000000000001</v>
      </c>
      <c r="AF986">
        <v>36.149000000000001</v>
      </c>
      <c r="AG986">
        <v>35.807000000000002</v>
      </c>
      <c r="AH986">
        <v>63.561</v>
      </c>
      <c r="AI986">
        <v>54.223999999999997</v>
      </c>
      <c r="AJ986">
        <v>10.407</v>
      </c>
      <c r="AK986">
        <v>17.812999999999999</v>
      </c>
      <c r="AL986">
        <v>-4.6369999999999996</v>
      </c>
      <c r="AM986">
        <v>63.561</v>
      </c>
      <c r="AN986">
        <v>35.807000000000002</v>
      </c>
      <c r="AO986">
        <v>36.149000000000001</v>
      </c>
      <c r="AP986">
        <v>4.6369999999999996</v>
      </c>
      <c r="AQ986">
        <v>89.593000000000004</v>
      </c>
      <c r="AR986">
        <v>45.776000000000003</v>
      </c>
      <c r="AS986">
        <v>82.186999999999998</v>
      </c>
    </row>
    <row r="987" spans="1:45" x14ac:dyDescent="0.25">
      <c r="A987">
        <v>30</v>
      </c>
      <c r="B987">
        <v>10</v>
      </c>
      <c r="C987">
        <v>1</v>
      </c>
      <c r="D987">
        <v>2021</v>
      </c>
      <c r="E987">
        <v>15</v>
      </c>
      <c r="F987" t="str">
        <f>IFERROR(VLOOKUP(G987, Map!$A$1:$B$33, 2, FALSE),"WAS")</f>
        <v>LA</v>
      </c>
      <c r="G987" t="s">
        <v>155</v>
      </c>
      <c r="H987" t="str">
        <f>IFERROR(VLOOKUP(I987, Map!$A$1:$B$33, 2, FALSE),"WAS")</f>
        <v>SEA</v>
      </c>
      <c r="I987" t="s">
        <v>144</v>
      </c>
      <c r="J987" t="s">
        <v>178</v>
      </c>
      <c r="K987" t="s">
        <v>182</v>
      </c>
      <c r="L987">
        <v>1</v>
      </c>
      <c r="M987">
        <v>0</v>
      </c>
      <c r="N987">
        <v>43.7</v>
      </c>
      <c r="O987">
        <v>-6.0333333333333297</v>
      </c>
      <c r="P987">
        <v>-6.5</v>
      </c>
      <c r="Q987">
        <v>45.5</v>
      </c>
      <c r="R987">
        <v>11.5</v>
      </c>
      <c r="S987">
        <v>17.7</v>
      </c>
      <c r="T987">
        <v>6.6</v>
      </c>
      <c r="U987">
        <v>9.8000000000000007</v>
      </c>
      <c r="V987">
        <v>0</v>
      </c>
      <c r="W987">
        <v>0</v>
      </c>
      <c r="X987">
        <v>0</v>
      </c>
      <c r="Y987">
        <v>0</v>
      </c>
      <c r="Z987">
        <v>12.7</v>
      </c>
      <c r="AA987">
        <v>21.2</v>
      </c>
      <c r="AB987">
        <v>277</v>
      </c>
      <c r="AC987">
        <v>73</v>
      </c>
      <c r="AD987">
        <v>9.9</v>
      </c>
      <c r="AE987">
        <v>5.8</v>
      </c>
      <c r="AF987">
        <v>67.887</v>
      </c>
      <c r="AG987">
        <v>72.997</v>
      </c>
      <c r="AH987">
        <v>31.856999999999999</v>
      </c>
      <c r="AI987">
        <v>77.838999999999999</v>
      </c>
      <c r="AJ987">
        <v>49.667999999999999</v>
      </c>
      <c r="AK987">
        <v>70.759</v>
      </c>
      <c r="AL987">
        <v>6.1909999999999998</v>
      </c>
      <c r="AM987">
        <v>31.856999999999999</v>
      </c>
      <c r="AN987">
        <v>72.997</v>
      </c>
      <c r="AO987">
        <v>67.887</v>
      </c>
      <c r="AP987">
        <v>-6.1909999999999998</v>
      </c>
      <c r="AQ987">
        <v>50.332000000000001</v>
      </c>
      <c r="AR987">
        <v>22.161000000000001</v>
      </c>
      <c r="AS987">
        <v>29.241</v>
      </c>
    </row>
    <row r="988" spans="1:45" x14ac:dyDescent="0.25">
      <c r="A988">
        <v>44</v>
      </c>
      <c r="B988">
        <v>10</v>
      </c>
      <c r="C988">
        <v>1</v>
      </c>
      <c r="D988">
        <v>2021</v>
      </c>
      <c r="E988">
        <v>15</v>
      </c>
      <c r="F988" t="str">
        <f>IFERROR(VLOOKUP(G988, Map!$A$1:$B$33, 2, FALSE),"WAS")</f>
        <v>IND</v>
      </c>
      <c r="G988" t="s">
        <v>138</v>
      </c>
      <c r="H988" t="str">
        <f>IFERROR(VLOOKUP(I988, Map!$A$1:$B$33, 2, FALSE),"WAS")</f>
        <v>NE</v>
      </c>
      <c r="I988" t="s">
        <v>151</v>
      </c>
      <c r="J988" t="s">
        <v>177</v>
      </c>
      <c r="K988" t="s">
        <v>187</v>
      </c>
      <c r="L988">
        <v>1</v>
      </c>
      <c r="M988">
        <v>0</v>
      </c>
      <c r="N988">
        <v>42.852941176470601</v>
      </c>
      <c r="O988">
        <v>-1.6470588235294099</v>
      </c>
      <c r="P988">
        <v>1</v>
      </c>
      <c r="Q988">
        <v>34.5</v>
      </c>
      <c r="R988">
        <v>1.7</v>
      </c>
      <c r="S988">
        <v>3.6</v>
      </c>
      <c r="T988">
        <v>-0.8</v>
      </c>
      <c r="U988">
        <v>-2.2999999999999998</v>
      </c>
      <c r="V988">
        <v>0</v>
      </c>
      <c r="W988">
        <v>0</v>
      </c>
      <c r="X988">
        <v>0</v>
      </c>
      <c r="Y988">
        <v>0</v>
      </c>
      <c r="Z988">
        <v>17.600000000000001</v>
      </c>
      <c r="AA988">
        <v>37.4</v>
      </c>
      <c r="AB988">
        <v>9</v>
      </c>
      <c r="AC988">
        <v>70</v>
      </c>
      <c r="AD988">
        <v>21.6</v>
      </c>
      <c r="AE988">
        <v>10.199999999999999</v>
      </c>
      <c r="AF988">
        <v>46.168999999999997</v>
      </c>
      <c r="AG988">
        <v>76.775000000000006</v>
      </c>
      <c r="AH988">
        <v>53.46</v>
      </c>
      <c r="AI988">
        <v>76.847999999999999</v>
      </c>
      <c r="AJ988">
        <v>82.248000000000005</v>
      </c>
      <c r="AK988">
        <v>93.438999999999993</v>
      </c>
      <c r="AL988">
        <v>-1.21</v>
      </c>
      <c r="AM988">
        <v>53.46</v>
      </c>
      <c r="AN988">
        <v>76.775000000000006</v>
      </c>
      <c r="AO988">
        <v>46.168999999999997</v>
      </c>
      <c r="AP988">
        <v>1.21</v>
      </c>
      <c r="AQ988">
        <v>17.751999999999999</v>
      </c>
      <c r="AR988">
        <v>23.152000000000001</v>
      </c>
      <c r="AS988">
        <v>6.5609999999999999</v>
      </c>
    </row>
    <row r="989" spans="1:45" x14ac:dyDescent="0.25">
      <c r="A989">
        <v>45</v>
      </c>
      <c r="B989">
        <v>17</v>
      </c>
      <c r="C989">
        <v>1</v>
      </c>
      <c r="D989">
        <v>2021</v>
      </c>
      <c r="E989">
        <v>15</v>
      </c>
      <c r="F989" t="str">
        <f>IFERROR(VLOOKUP(G989, Map!$A$1:$B$33, 2, FALSE),"WAS")</f>
        <v>BUF</v>
      </c>
      <c r="G989" t="s">
        <v>165</v>
      </c>
      <c r="H989" t="str">
        <f>IFERROR(VLOOKUP(I989, Map!$A$1:$B$33, 2, FALSE),"WAS")</f>
        <v>CAR</v>
      </c>
      <c r="I989" t="s">
        <v>142</v>
      </c>
      <c r="J989" t="s">
        <v>180</v>
      </c>
      <c r="K989" t="s">
        <v>185</v>
      </c>
      <c r="L989">
        <v>1</v>
      </c>
      <c r="M989">
        <v>0</v>
      </c>
      <c r="N989">
        <v>40.823529411764703</v>
      </c>
      <c r="O989">
        <v>-12.117647058823501</v>
      </c>
      <c r="P989">
        <v>-10.5</v>
      </c>
      <c r="Q989">
        <v>43</v>
      </c>
      <c r="R989">
        <v>13.3</v>
      </c>
      <c r="S989">
        <v>17</v>
      </c>
      <c r="T989">
        <v>7.4</v>
      </c>
      <c r="U989">
        <v>12</v>
      </c>
      <c r="V989">
        <v>49.5</v>
      </c>
      <c r="W989">
        <v>0</v>
      </c>
      <c r="X989">
        <v>19</v>
      </c>
      <c r="Y989">
        <v>49.5</v>
      </c>
      <c r="Z989">
        <v>22.8</v>
      </c>
      <c r="AA989">
        <v>45</v>
      </c>
      <c r="AB989">
        <v>340</v>
      </c>
      <c r="AC989">
        <v>93</v>
      </c>
      <c r="AD989">
        <v>29.7</v>
      </c>
      <c r="AE989">
        <v>15</v>
      </c>
      <c r="AF989">
        <v>80.382000000000005</v>
      </c>
      <c r="AG989">
        <v>53.475000000000001</v>
      </c>
      <c r="AH989">
        <v>19.462</v>
      </c>
      <c r="AI989">
        <v>82.647999999999996</v>
      </c>
      <c r="AJ989">
        <v>68.153000000000006</v>
      </c>
      <c r="AK989">
        <v>83.677999999999997</v>
      </c>
      <c r="AL989">
        <v>11.35</v>
      </c>
      <c r="AM989">
        <v>19.462</v>
      </c>
      <c r="AN989">
        <v>53.475000000000001</v>
      </c>
      <c r="AO989">
        <v>80.382000000000005</v>
      </c>
      <c r="AP989">
        <v>-11.35</v>
      </c>
      <c r="AQ989">
        <v>31.847000000000001</v>
      </c>
      <c r="AR989">
        <v>17.352</v>
      </c>
      <c r="AS989">
        <v>16.321999999999999</v>
      </c>
    </row>
    <row r="990" spans="1:45" x14ac:dyDescent="0.25">
      <c r="A990">
        <v>25</v>
      </c>
      <c r="B990">
        <v>-5</v>
      </c>
      <c r="C990">
        <v>0</v>
      </c>
      <c r="D990">
        <v>2021</v>
      </c>
      <c r="E990">
        <v>15</v>
      </c>
      <c r="F990" t="str">
        <f>IFERROR(VLOOKUP(G990, Map!$A$1:$B$33, 2, FALSE),"WAS")</f>
        <v>DEN</v>
      </c>
      <c r="G990" t="s">
        <v>159</v>
      </c>
      <c r="H990" t="str">
        <f>IFERROR(VLOOKUP(I990, Map!$A$1:$B$33, 2, FALSE),"WAS")</f>
        <v>CIN</v>
      </c>
      <c r="I990" t="s">
        <v>161</v>
      </c>
      <c r="J990" t="s">
        <v>183</v>
      </c>
      <c r="K990" t="s">
        <v>176</v>
      </c>
      <c r="L990">
        <v>0</v>
      </c>
      <c r="M990">
        <v>0</v>
      </c>
      <c r="N990">
        <v>40.323529411764703</v>
      </c>
      <c r="O990">
        <v>-2.1470588235294099</v>
      </c>
      <c r="P990">
        <v>-2.5</v>
      </c>
      <c r="Q990">
        <v>26.5</v>
      </c>
      <c r="R990">
        <v>1.4</v>
      </c>
      <c r="S990">
        <v>14.1</v>
      </c>
      <c r="T990">
        <v>-4.8</v>
      </c>
      <c r="U990">
        <v>-3.5</v>
      </c>
      <c r="V990">
        <v>0</v>
      </c>
      <c r="W990">
        <v>0</v>
      </c>
      <c r="X990">
        <v>0</v>
      </c>
      <c r="Y990">
        <v>0</v>
      </c>
      <c r="Z990">
        <v>13</v>
      </c>
      <c r="AA990">
        <v>25.2</v>
      </c>
      <c r="AB990">
        <v>178</v>
      </c>
      <c r="AC990">
        <v>23</v>
      </c>
      <c r="AD990">
        <v>14.2</v>
      </c>
      <c r="AE990">
        <v>8.1</v>
      </c>
      <c r="AF990">
        <v>60.667000000000002</v>
      </c>
      <c r="AG990">
        <v>57.892000000000003</v>
      </c>
      <c r="AH990">
        <v>39.020000000000003</v>
      </c>
      <c r="AI990">
        <v>69.09</v>
      </c>
      <c r="AJ990">
        <v>33.662999999999997</v>
      </c>
      <c r="AK990">
        <v>39.192999999999998</v>
      </c>
      <c r="AL990">
        <v>3.6339999999999999</v>
      </c>
      <c r="AM990">
        <v>39.020000000000003</v>
      </c>
      <c r="AN990">
        <v>57.892000000000003</v>
      </c>
      <c r="AO990">
        <v>60.667000000000002</v>
      </c>
      <c r="AP990">
        <v>-3.6339999999999999</v>
      </c>
      <c r="AQ990">
        <v>66.337000000000003</v>
      </c>
      <c r="AR990">
        <v>30.91</v>
      </c>
      <c r="AS990">
        <v>60.807000000000002</v>
      </c>
    </row>
    <row r="991" spans="1:45" x14ac:dyDescent="0.25">
      <c r="A991">
        <v>44</v>
      </c>
      <c r="B991">
        <v>10</v>
      </c>
      <c r="C991">
        <v>1</v>
      </c>
      <c r="D991">
        <v>2021</v>
      </c>
      <c r="E991">
        <v>15</v>
      </c>
      <c r="F991" t="str">
        <f>IFERROR(VLOOKUP(G991, Map!$A$1:$B$33, 2, FALSE),"WAS")</f>
        <v>PHI</v>
      </c>
      <c r="G991" t="s">
        <v>147</v>
      </c>
      <c r="H991" t="str">
        <f>IFERROR(VLOOKUP(I991, Map!$A$1:$B$33, 2, FALSE),"WAS")</f>
        <v>WAS</v>
      </c>
      <c r="I991" t="s">
        <v>169</v>
      </c>
      <c r="J991" t="s">
        <v>206</v>
      </c>
      <c r="K991" t="s">
        <v>205</v>
      </c>
      <c r="L991">
        <v>1</v>
      </c>
      <c r="M991">
        <v>0</v>
      </c>
      <c r="N991">
        <v>40</v>
      </c>
      <c r="O991">
        <v>-8.7142857142857206</v>
      </c>
      <c r="P991">
        <v>-6.5</v>
      </c>
      <c r="Q991">
        <v>39</v>
      </c>
      <c r="R991">
        <v>4.4000000000000004</v>
      </c>
      <c r="S991">
        <v>7.9</v>
      </c>
      <c r="T991">
        <v>2.2999999999999998</v>
      </c>
      <c r="U991">
        <v>0.3</v>
      </c>
      <c r="V991">
        <v>2.5</v>
      </c>
      <c r="W991">
        <v>0</v>
      </c>
      <c r="X991">
        <v>10</v>
      </c>
      <c r="Y991">
        <v>2.5</v>
      </c>
      <c r="Z991">
        <v>27.1</v>
      </c>
      <c r="AA991">
        <v>49.3</v>
      </c>
      <c r="AB991">
        <v>312</v>
      </c>
      <c r="AC991">
        <v>72</v>
      </c>
      <c r="AD991">
        <v>24.7</v>
      </c>
      <c r="AE991">
        <v>13.3</v>
      </c>
      <c r="AF991">
        <v>70.680000000000007</v>
      </c>
      <c r="AG991">
        <v>43.408000000000001</v>
      </c>
      <c r="AH991">
        <v>29.087</v>
      </c>
      <c r="AI991">
        <v>59.61</v>
      </c>
      <c r="AJ991">
        <v>72.63</v>
      </c>
      <c r="AK991">
        <v>72.323999999999998</v>
      </c>
      <c r="AL991">
        <v>7.2409999999999997</v>
      </c>
      <c r="AM991">
        <v>29.087</v>
      </c>
      <c r="AN991">
        <v>43.408000000000001</v>
      </c>
      <c r="AO991">
        <v>70.680000000000007</v>
      </c>
      <c r="AP991">
        <v>-7.2409999999999997</v>
      </c>
      <c r="AQ991">
        <v>27.37</v>
      </c>
      <c r="AR991">
        <v>40.39</v>
      </c>
      <c r="AS991">
        <v>27.675999999999998</v>
      </c>
    </row>
    <row r="992" spans="1:45" x14ac:dyDescent="0.25">
      <c r="A992">
        <v>62</v>
      </c>
      <c r="B992">
        <v>-6</v>
      </c>
      <c r="C992">
        <v>0</v>
      </c>
      <c r="D992">
        <v>2021</v>
      </c>
      <c r="E992">
        <v>15</v>
      </c>
      <c r="F992" t="str">
        <f>IFERROR(VLOOKUP(G992, Map!$A$1:$B$33, 2, FALSE),"WAS")</f>
        <v>LAC</v>
      </c>
      <c r="G992" t="s">
        <v>160</v>
      </c>
      <c r="H992" t="str">
        <f>IFERROR(VLOOKUP(I992, Map!$A$1:$B$33, 2, FALSE),"WAS")</f>
        <v>KC</v>
      </c>
      <c r="I992" t="s">
        <v>158</v>
      </c>
      <c r="J992" t="s">
        <v>210</v>
      </c>
      <c r="K992" t="s">
        <v>202</v>
      </c>
      <c r="L992">
        <v>0</v>
      </c>
      <c r="M992">
        <v>0</v>
      </c>
      <c r="N992">
        <v>50.794117647058798</v>
      </c>
      <c r="O992">
        <v>2.6764705882352899</v>
      </c>
      <c r="P992">
        <v>2.5</v>
      </c>
      <c r="Q992">
        <v>50</v>
      </c>
      <c r="R992">
        <v>11.1</v>
      </c>
      <c r="S992">
        <v>18.3</v>
      </c>
      <c r="T992">
        <v>6.7</v>
      </c>
      <c r="U992">
        <v>9.5</v>
      </c>
      <c r="V992">
        <v>1.9</v>
      </c>
      <c r="W992">
        <v>0</v>
      </c>
      <c r="X992">
        <v>6</v>
      </c>
      <c r="Y992">
        <v>1.9</v>
      </c>
      <c r="Z992">
        <v>12.4</v>
      </c>
      <c r="AA992">
        <v>19.8</v>
      </c>
      <c r="AB992">
        <v>72</v>
      </c>
      <c r="AC992">
        <v>81</v>
      </c>
      <c r="AD992">
        <v>12.4</v>
      </c>
      <c r="AE992">
        <v>6.9</v>
      </c>
      <c r="AF992">
        <v>48.271999999999998</v>
      </c>
      <c r="AG992">
        <v>80.245999999999995</v>
      </c>
      <c r="AH992">
        <v>51.341000000000001</v>
      </c>
      <c r="AI992">
        <v>19.780999999999999</v>
      </c>
      <c r="AJ992">
        <v>53.972999999999999</v>
      </c>
      <c r="AK992">
        <v>42.268999999999998</v>
      </c>
      <c r="AL992">
        <v>-0.50900000000000001</v>
      </c>
      <c r="AM992">
        <v>51.341000000000001</v>
      </c>
      <c r="AN992">
        <v>80.245999999999995</v>
      </c>
      <c r="AO992">
        <v>48.271999999999998</v>
      </c>
      <c r="AP992">
        <v>0.50900000000000001</v>
      </c>
      <c r="AQ992">
        <v>46.027000000000001</v>
      </c>
      <c r="AR992">
        <v>80.218999999999994</v>
      </c>
      <c r="AS992">
        <v>57.731000000000002</v>
      </c>
    </row>
    <row r="993" spans="1:45" x14ac:dyDescent="0.25">
      <c r="A993">
        <v>30</v>
      </c>
      <c r="B993">
        <v>-2</v>
      </c>
      <c r="C993">
        <v>0</v>
      </c>
      <c r="D993">
        <v>2021</v>
      </c>
      <c r="E993">
        <v>15</v>
      </c>
      <c r="F993" t="str">
        <f>IFERROR(VLOOKUP(G993, Map!$A$1:$B$33, 2, FALSE),"WAS")</f>
        <v>CLE</v>
      </c>
      <c r="G993" t="s">
        <v>162</v>
      </c>
      <c r="H993" t="str">
        <f>IFERROR(VLOOKUP(I993, Map!$A$1:$B$33, 2, FALSE),"WAS")</f>
        <v>LV</v>
      </c>
      <c r="I993" t="s">
        <v>157</v>
      </c>
      <c r="J993" t="s">
        <v>171</v>
      </c>
      <c r="K993" t="s">
        <v>179</v>
      </c>
      <c r="L993">
        <v>0</v>
      </c>
      <c r="M993">
        <v>0</v>
      </c>
      <c r="N993">
        <v>40.5</v>
      </c>
      <c r="O993">
        <v>2.8</v>
      </c>
      <c r="P993">
        <v>2.5</v>
      </c>
      <c r="Q993">
        <v>27.5</v>
      </c>
      <c r="R993">
        <v>0.7</v>
      </c>
      <c r="S993">
        <v>5.6</v>
      </c>
      <c r="T993">
        <v>-2.2999999999999998</v>
      </c>
      <c r="U993">
        <v>-4</v>
      </c>
      <c r="V993">
        <v>0</v>
      </c>
      <c r="W993">
        <v>0</v>
      </c>
      <c r="X993">
        <v>0</v>
      </c>
      <c r="Y993">
        <v>0</v>
      </c>
      <c r="Z993">
        <v>20.100000000000001</v>
      </c>
      <c r="AA993">
        <v>33.5</v>
      </c>
      <c r="AB993">
        <v>201</v>
      </c>
      <c r="AC993">
        <v>70</v>
      </c>
      <c r="AD993">
        <v>22.1</v>
      </c>
      <c r="AE993">
        <v>13.4</v>
      </c>
      <c r="AF993">
        <v>62.207999999999998</v>
      </c>
      <c r="AG993">
        <v>39.247</v>
      </c>
      <c r="AH993">
        <v>37.491</v>
      </c>
      <c r="AI993">
        <v>64.709999999999994</v>
      </c>
      <c r="AJ993">
        <v>47.174999999999997</v>
      </c>
      <c r="AK993">
        <v>43.22</v>
      </c>
      <c r="AL993">
        <v>4.165</v>
      </c>
      <c r="AM993">
        <v>37.491</v>
      </c>
      <c r="AN993">
        <v>39.247</v>
      </c>
      <c r="AO993">
        <v>62.207999999999998</v>
      </c>
      <c r="AP993">
        <v>-4.165</v>
      </c>
      <c r="AQ993">
        <v>52.825000000000003</v>
      </c>
      <c r="AR993">
        <v>35.29</v>
      </c>
      <c r="AS993">
        <v>56.78</v>
      </c>
    </row>
    <row r="994" spans="1:45" x14ac:dyDescent="0.25">
      <c r="A994">
        <v>47</v>
      </c>
      <c r="B994">
        <v>5</v>
      </c>
      <c r="C994">
        <v>1</v>
      </c>
      <c r="D994">
        <v>2021</v>
      </c>
      <c r="E994">
        <v>16</v>
      </c>
      <c r="F994" t="str">
        <f>IFERROR(VLOOKUP(G994, Map!$A$1:$B$33, 2, FALSE),"WAS")</f>
        <v>NYJ</v>
      </c>
      <c r="G994" t="s">
        <v>166</v>
      </c>
      <c r="H994" t="str">
        <f>IFERROR(VLOOKUP(I994, Map!$A$1:$B$33, 2, FALSE),"WAS")</f>
        <v>JAX</v>
      </c>
      <c r="I994" t="s">
        <v>139</v>
      </c>
      <c r="J994" t="s">
        <v>172</v>
      </c>
      <c r="K994" t="s">
        <v>220</v>
      </c>
      <c r="L994">
        <v>1</v>
      </c>
      <c r="M994">
        <v>0</v>
      </c>
      <c r="N994">
        <v>40.71875</v>
      </c>
      <c r="O994">
        <v>-2.34375</v>
      </c>
      <c r="P994">
        <v>-2</v>
      </c>
      <c r="Q994">
        <v>41.5</v>
      </c>
      <c r="R994">
        <v>7.2</v>
      </c>
      <c r="S994">
        <v>9.3000000000000007</v>
      </c>
      <c r="T994">
        <v>4.8</v>
      </c>
      <c r="U994">
        <v>3.5</v>
      </c>
      <c r="V994">
        <v>0.1</v>
      </c>
      <c r="W994">
        <v>0</v>
      </c>
      <c r="X994">
        <v>1</v>
      </c>
      <c r="Y994">
        <v>0.1</v>
      </c>
      <c r="Z994">
        <v>20.6</v>
      </c>
      <c r="AA994">
        <v>37.4</v>
      </c>
      <c r="AB994">
        <v>316</v>
      </c>
      <c r="AC994">
        <v>78</v>
      </c>
      <c r="AD994">
        <v>30.5</v>
      </c>
      <c r="AE994">
        <v>15.6</v>
      </c>
      <c r="AF994">
        <v>52.441000000000003</v>
      </c>
      <c r="AG994">
        <v>4.5739999999999998</v>
      </c>
      <c r="AH994">
        <v>47.18</v>
      </c>
      <c r="AI994">
        <v>44.37</v>
      </c>
      <c r="AJ994">
        <v>72.617000000000004</v>
      </c>
      <c r="AK994">
        <v>61.139000000000003</v>
      </c>
      <c r="AL994">
        <v>0.871</v>
      </c>
      <c r="AM994">
        <v>47.18</v>
      </c>
      <c r="AN994">
        <v>4.5739999999999998</v>
      </c>
      <c r="AO994">
        <v>52.441000000000003</v>
      </c>
      <c r="AP994">
        <v>-0.871</v>
      </c>
      <c r="AQ994">
        <v>27.382999999999999</v>
      </c>
      <c r="AR994">
        <v>55.63</v>
      </c>
      <c r="AS994">
        <v>38.860999999999997</v>
      </c>
    </row>
    <row r="995" spans="1:45" x14ac:dyDescent="0.25">
      <c r="A995">
        <v>38</v>
      </c>
      <c r="B995">
        <v>-6</v>
      </c>
      <c r="C995">
        <v>0</v>
      </c>
      <c r="D995">
        <v>2021</v>
      </c>
      <c r="E995">
        <v>16</v>
      </c>
      <c r="F995" t="str">
        <f>IFERROR(VLOOKUP(G995, Map!$A$1:$B$33, 2, FALSE),"WAS")</f>
        <v>ARI</v>
      </c>
      <c r="G995" t="s">
        <v>156</v>
      </c>
      <c r="H995" t="str">
        <f>IFERROR(VLOOKUP(I995, Map!$A$1:$B$33, 2, FALSE),"WAS")</f>
        <v>IND</v>
      </c>
      <c r="I995" t="s">
        <v>138</v>
      </c>
      <c r="J995" t="s">
        <v>190</v>
      </c>
      <c r="K995" t="s">
        <v>177</v>
      </c>
      <c r="L995">
        <v>0</v>
      </c>
      <c r="M995">
        <v>0</v>
      </c>
      <c r="N995">
        <v>44.941176470588204</v>
      </c>
      <c r="O995">
        <v>-1.73529411764706</v>
      </c>
      <c r="P995">
        <v>-1.5</v>
      </c>
      <c r="Q995">
        <v>39.5</v>
      </c>
      <c r="R995">
        <v>9.1999999999999993</v>
      </c>
      <c r="S995">
        <v>13.1</v>
      </c>
      <c r="T995">
        <v>4.0999999999999996</v>
      </c>
      <c r="U995">
        <v>7.3</v>
      </c>
      <c r="V995">
        <v>11.8</v>
      </c>
      <c r="W995">
        <v>0</v>
      </c>
      <c r="X995">
        <v>11</v>
      </c>
      <c r="Y995">
        <v>11.8</v>
      </c>
      <c r="Z995">
        <v>13</v>
      </c>
      <c r="AA995">
        <v>29.2</v>
      </c>
      <c r="AB995">
        <v>180</v>
      </c>
      <c r="AC995">
        <v>84</v>
      </c>
      <c r="AD995">
        <v>16.600000000000001</v>
      </c>
      <c r="AE995">
        <v>6.3</v>
      </c>
      <c r="AF995">
        <v>62.804000000000002</v>
      </c>
      <c r="AG995">
        <v>68.355000000000004</v>
      </c>
      <c r="AH995">
        <v>36.899000000000001</v>
      </c>
      <c r="AI995">
        <v>43.655999999999999</v>
      </c>
      <c r="AJ995">
        <v>41.277000000000001</v>
      </c>
      <c r="AK995">
        <v>33.087000000000003</v>
      </c>
      <c r="AL995">
        <v>4.367</v>
      </c>
      <c r="AM995">
        <v>36.899000000000001</v>
      </c>
      <c r="AN995">
        <v>68.355000000000004</v>
      </c>
      <c r="AO995">
        <v>62.804000000000002</v>
      </c>
      <c r="AP995">
        <v>-4.367</v>
      </c>
      <c r="AQ995">
        <v>58.722999999999999</v>
      </c>
      <c r="AR995">
        <v>56.344000000000001</v>
      </c>
      <c r="AS995">
        <v>66.912999999999997</v>
      </c>
    </row>
    <row r="996" spans="1:45" x14ac:dyDescent="0.25">
      <c r="A996">
        <v>46</v>
      </c>
      <c r="B996">
        <v>26</v>
      </c>
      <c r="C996">
        <v>1</v>
      </c>
      <c r="D996">
        <v>2021</v>
      </c>
      <c r="E996">
        <v>16</v>
      </c>
      <c r="F996" t="str">
        <f>IFERROR(VLOOKUP(G996, Map!$A$1:$B$33, 2, FALSE),"WAS")</f>
        <v>KC</v>
      </c>
      <c r="G996" t="s">
        <v>158</v>
      </c>
      <c r="H996" t="str">
        <f>IFERROR(VLOOKUP(I996, Map!$A$1:$B$33, 2, FALSE),"WAS")</f>
        <v>PIT</v>
      </c>
      <c r="I996" t="s">
        <v>145</v>
      </c>
      <c r="J996" t="s">
        <v>202</v>
      </c>
      <c r="K996" t="s">
        <v>170</v>
      </c>
      <c r="L996">
        <v>1</v>
      </c>
      <c r="M996">
        <v>0</v>
      </c>
      <c r="N996">
        <v>41.823529411764703</v>
      </c>
      <c r="O996">
        <v>-10</v>
      </c>
      <c r="P996">
        <v>-8.5</v>
      </c>
      <c r="Q996">
        <v>44</v>
      </c>
      <c r="R996">
        <v>7.6</v>
      </c>
      <c r="S996">
        <v>17.399999999999999</v>
      </c>
      <c r="T996">
        <v>2.1</v>
      </c>
      <c r="U996">
        <v>4.5999999999999996</v>
      </c>
      <c r="V996">
        <v>0.6</v>
      </c>
      <c r="W996">
        <v>0</v>
      </c>
      <c r="X996">
        <v>2</v>
      </c>
      <c r="Y996">
        <v>0.6</v>
      </c>
      <c r="Z996">
        <v>28.2</v>
      </c>
      <c r="AA996">
        <v>51.5</v>
      </c>
      <c r="AB996">
        <v>133</v>
      </c>
      <c r="AC996">
        <v>86</v>
      </c>
      <c r="AD996">
        <v>22.7</v>
      </c>
      <c r="AE996">
        <v>12.9</v>
      </c>
      <c r="AF996">
        <v>75.558999999999997</v>
      </c>
      <c r="AG996">
        <v>56.755000000000003</v>
      </c>
      <c r="AH996">
        <v>24.245999999999999</v>
      </c>
      <c r="AI996">
        <v>93.25</v>
      </c>
      <c r="AJ996">
        <v>89.953000000000003</v>
      </c>
      <c r="AK996">
        <v>97.656000000000006</v>
      </c>
      <c r="AL996">
        <v>9.1839999999999993</v>
      </c>
      <c r="AM996">
        <v>24.245999999999999</v>
      </c>
      <c r="AN996">
        <v>56.755000000000003</v>
      </c>
      <c r="AO996">
        <v>75.558999999999997</v>
      </c>
      <c r="AP996">
        <v>-9.1839999999999993</v>
      </c>
      <c r="AQ996">
        <v>10.047000000000001</v>
      </c>
      <c r="AR996">
        <v>6.75</v>
      </c>
      <c r="AS996">
        <v>2.3439999999999999</v>
      </c>
    </row>
    <row r="997" spans="1:45" x14ac:dyDescent="0.25">
      <c r="A997">
        <v>62</v>
      </c>
      <c r="B997">
        <v>20</v>
      </c>
      <c r="C997">
        <v>1</v>
      </c>
      <c r="D997">
        <v>2021</v>
      </c>
      <c r="E997">
        <v>16</v>
      </c>
      <c r="F997" t="str">
        <f>IFERROR(VLOOKUP(G997, Map!$A$1:$B$33, 2, FALSE),"WAS")</f>
        <v>CIN</v>
      </c>
      <c r="G997" t="s">
        <v>161</v>
      </c>
      <c r="H997" t="str">
        <f>IFERROR(VLOOKUP(I997, Map!$A$1:$B$33, 2, FALSE),"WAS")</f>
        <v>BAL</v>
      </c>
      <c r="I997" t="s">
        <v>146</v>
      </c>
      <c r="J997" t="s">
        <v>176</v>
      </c>
      <c r="K997" t="s">
        <v>181</v>
      </c>
      <c r="L997">
        <v>1</v>
      </c>
      <c r="M997">
        <v>0</v>
      </c>
      <c r="N997">
        <v>42.382352941176499</v>
      </c>
      <c r="O997">
        <v>-7.5</v>
      </c>
      <c r="P997">
        <v>-7.5</v>
      </c>
      <c r="Q997">
        <v>43</v>
      </c>
      <c r="R997">
        <v>8.8000000000000007</v>
      </c>
      <c r="S997">
        <v>13</v>
      </c>
      <c r="T997">
        <v>4.9000000000000004</v>
      </c>
      <c r="U997">
        <v>7.3</v>
      </c>
      <c r="V997">
        <v>0</v>
      </c>
      <c r="W997">
        <v>0</v>
      </c>
      <c r="X997">
        <v>0</v>
      </c>
      <c r="Y997">
        <v>0</v>
      </c>
      <c r="Z997">
        <v>10.199999999999999</v>
      </c>
      <c r="AA997">
        <v>27</v>
      </c>
      <c r="AB997">
        <v>333</v>
      </c>
      <c r="AC997">
        <v>88</v>
      </c>
      <c r="AD997">
        <v>13.4</v>
      </c>
      <c r="AE997">
        <v>5.2</v>
      </c>
      <c r="AF997">
        <v>60.4</v>
      </c>
      <c r="AG997">
        <v>50.954999999999998</v>
      </c>
      <c r="AH997">
        <v>39.284999999999997</v>
      </c>
      <c r="AI997">
        <v>29.266999999999999</v>
      </c>
      <c r="AJ997">
        <v>98.192999999999998</v>
      </c>
      <c r="AK997">
        <v>91.111000000000004</v>
      </c>
      <c r="AL997">
        <v>3.5369999999999999</v>
      </c>
      <c r="AM997">
        <v>39.284999999999997</v>
      </c>
      <c r="AN997">
        <v>50.954999999999998</v>
      </c>
      <c r="AO997">
        <v>60.4</v>
      </c>
      <c r="AP997">
        <v>-3.5369999999999999</v>
      </c>
      <c r="AQ997">
        <v>1.8069999999999999</v>
      </c>
      <c r="AR997">
        <v>70.733000000000004</v>
      </c>
      <c r="AS997">
        <v>8.8889999999999993</v>
      </c>
    </row>
    <row r="998" spans="1:45" x14ac:dyDescent="0.25">
      <c r="A998">
        <v>44</v>
      </c>
      <c r="B998">
        <v>24</v>
      </c>
      <c r="C998">
        <v>1</v>
      </c>
      <c r="D998">
        <v>2021</v>
      </c>
      <c r="E998">
        <v>16</v>
      </c>
      <c r="F998" t="str">
        <f>IFERROR(VLOOKUP(G998, Map!$A$1:$B$33, 2, FALSE),"WAS")</f>
        <v>PHI</v>
      </c>
      <c r="G998" t="s">
        <v>147</v>
      </c>
      <c r="H998" t="str">
        <f>IFERROR(VLOOKUP(I998, Map!$A$1:$B$33, 2, FALSE),"WAS")</f>
        <v>NYG</v>
      </c>
      <c r="I998" t="s">
        <v>149</v>
      </c>
      <c r="J998" t="s">
        <v>206</v>
      </c>
      <c r="K998" t="s">
        <v>219</v>
      </c>
      <c r="L998">
        <v>1</v>
      </c>
      <c r="M998">
        <v>0</v>
      </c>
      <c r="N998">
        <v>38.65625</v>
      </c>
      <c r="O998">
        <v>-10.96875</v>
      </c>
      <c r="P998">
        <v>-10.5</v>
      </c>
      <c r="Q998">
        <v>40.5</v>
      </c>
      <c r="R998">
        <v>9.9</v>
      </c>
      <c r="S998">
        <v>12.8</v>
      </c>
      <c r="T998">
        <v>6.1</v>
      </c>
      <c r="U998">
        <v>7.1</v>
      </c>
      <c r="V998">
        <v>1.9</v>
      </c>
      <c r="W998">
        <v>0</v>
      </c>
      <c r="X998">
        <v>3</v>
      </c>
      <c r="Y998">
        <v>1.9</v>
      </c>
      <c r="Z998">
        <v>19.600000000000001</v>
      </c>
      <c r="AA998">
        <v>34.200000000000003</v>
      </c>
      <c r="AB998">
        <v>304</v>
      </c>
      <c r="AC998">
        <v>78</v>
      </c>
      <c r="AD998">
        <v>25.1</v>
      </c>
      <c r="AE998">
        <v>13</v>
      </c>
      <c r="AF998">
        <v>68.742000000000004</v>
      </c>
      <c r="AG998">
        <v>33.688000000000002</v>
      </c>
      <c r="AH998">
        <v>31.009</v>
      </c>
      <c r="AI998">
        <v>96.298000000000002</v>
      </c>
      <c r="AJ998">
        <v>44.16</v>
      </c>
      <c r="AK998">
        <v>86.802999999999997</v>
      </c>
      <c r="AL998">
        <v>6.4989999999999997</v>
      </c>
      <c r="AM998">
        <v>31.009</v>
      </c>
      <c r="AN998">
        <v>33.688000000000002</v>
      </c>
      <c r="AO998">
        <v>68.742000000000004</v>
      </c>
      <c r="AP998">
        <v>-6.4989999999999997</v>
      </c>
      <c r="AQ998">
        <v>55.84</v>
      </c>
      <c r="AR998">
        <v>3.702</v>
      </c>
      <c r="AS998">
        <v>13.196999999999999</v>
      </c>
    </row>
    <row r="999" spans="1:45" x14ac:dyDescent="0.25">
      <c r="A999">
        <v>70</v>
      </c>
      <c r="B999">
        <v>42</v>
      </c>
      <c r="C999">
        <v>1</v>
      </c>
      <c r="D999">
        <v>2021</v>
      </c>
      <c r="E999">
        <v>16</v>
      </c>
      <c r="F999" t="str">
        <f>IFERROR(VLOOKUP(G999, Map!$A$1:$B$33, 2, FALSE),"WAS")</f>
        <v>DAL</v>
      </c>
      <c r="G999" t="s">
        <v>150</v>
      </c>
      <c r="H999" t="str">
        <f>IFERROR(VLOOKUP(I999, Map!$A$1:$B$33, 2, FALSE),"WAS")</f>
        <v>WAS</v>
      </c>
      <c r="I999" t="s">
        <v>169</v>
      </c>
      <c r="J999" t="s">
        <v>184</v>
      </c>
      <c r="K999" t="s">
        <v>205</v>
      </c>
      <c r="L999">
        <v>1</v>
      </c>
      <c r="M999">
        <v>0</v>
      </c>
      <c r="N999">
        <v>47.821428571428598</v>
      </c>
      <c r="O999">
        <v>-12.785714285714301</v>
      </c>
      <c r="P999">
        <v>-9.5</v>
      </c>
      <c r="Q999">
        <v>46</v>
      </c>
      <c r="R999">
        <v>20.6</v>
      </c>
      <c r="S999">
        <v>25</v>
      </c>
      <c r="T999">
        <v>16.8</v>
      </c>
      <c r="U999">
        <v>20.100000000000001</v>
      </c>
      <c r="V999">
        <v>0</v>
      </c>
      <c r="W999">
        <v>0</v>
      </c>
      <c r="X999">
        <v>0</v>
      </c>
      <c r="Y999">
        <v>0</v>
      </c>
      <c r="Z999">
        <v>33.200000000000003</v>
      </c>
      <c r="AA999">
        <v>52.6</v>
      </c>
      <c r="AB999">
        <v>194</v>
      </c>
      <c r="AC999">
        <v>81</v>
      </c>
      <c r="AD999">
        <v>35.200000000000003</v>
      </c>
      <c r="AE999">
        <v>20.399999999999999</v>
      </c>
      <c r="AF999">
        <v>75.090999999999994</v>
      </c>
      <c r="AG999">
        <v>52.773000000000003</v>
      </c>
      <c r="AH999">
        <v>24.710999999999999</v>
      </c>
      <c r="AI999">
        <v>96.683999999999997</v>
      </c>
      <c r="AJ999">
        <v>96.064999999999998</v>
      </c>
      <c r="AK999">
        <v>99.338999999999999</v>
      </c>
      <c r="AL999">
        <v>8.9879999999999995</v>
      </c>
      <c r="AM999">
        <v>24.710999999999999</v>
      </c>
      <c r="AN999">
        <v>52.773000000000003</v>
      </c>
      <c r="AO999">
        <v>75.090999999999994</v>
      </c>
      <c r="AP999">
        <v>-8.9879999999999995</v>
      </c>
      <c r="AQ999">
        <v>3.9350000000000001</v>
      </c>
      <c r="AR999">
        <v>3.3159999999999998</v>
      </c>
      <c r="AS999">
        <v>0.66100000000000003</v>
      </c>
    </row>
    <row r="1000" spans="1:45" x14ac:dyDescent="0.25">
      <c r="A1000">
        <v>30</v>
      </c>
      <c r="B1000">
        <v>4</v>
      </c>
      <c r="C1000">
        <v>1</v>
      </c>
      <c r="D1000">
        <v>2021</v>
      </c>
      <c r="E1000">
        <v>16</v>
      </c>
      <c r="F1000" t="str">
        <f>IFERROR(VLOOKUP(G1000, Map!$A$1:$B$33, 2, FALSE),"WAS")</f>
        <v>LV</v>
      </c>
      <c r="G1000" t="s">
        <v>157</v>
      </c>
      <c r="H1000" t="str">
        <f>IFERROR(VLOOKUP(I1000, Map!$A$1:$B$33, 2, FALSE),"WAS")</f>
        <v>DEN</v>
      </c>
      <c r="I1000" t="s">
        <v>159</v>
      </c>
      <c r="J1000" t="s">
        <v>179</v>
      </c>
      <c r="K1000" t="s">
        <v>183</v>
      </c>
      <c r="L1000">
        <v>1</v>
      </c>
      <c r="M1000">
        <v>0</v>
      </c>
      <c r="N1000">
        <v>40.84375</v>
      </c>
      <c r="O1000">
        <v>-0.375</v>
      </c>
      <c r="P1000">
        <v>0</v>
      </c>
      <c r="Q1000">
        <v>31.5</v>
      </c>
      <c r="R1000">
        <v>9.6999999999999993</v>
      </c>
      <c r="S1000">
        <v>12.5</v>
      </c>
      <c r="T1000">
        <v>6.7</v>
      </c>
      <c r="U1000">
        <v>4.2</v>
      </c>
      <c r="V1000">
        <v>0</v>
      </c>
      <c r="W1000">
        <v>0</v>
      </c>
      <c r="X1000">
        <v>0</v>
      </c>
      <c r="Y1000">
        <v>0</v>
      </c>
      <c r="Z1000">
        <v>33.700000000000003</v>
      </c>
      <c r="AA1000">
        <v>55.1</v>
      </c>
      <c r="AB1000">
        <v>208</v>
      </c>
      <c r="AC1000">
        <v>52</v>
      </c>
      <c r="AD1000">
        <v>37.700000000000003</v>
      </c>
      <c r="AE1000">
        <v>22.9</v>
      </c>
      <c r="AF1000">
        <v>45.585000000000001</v>
      </c>
      <c r="AG1000">
        <v>38.5</v>
      </c>
      <c r="AH1000">
        <v>54.048000000000002</v>
      </c>
      <c r="AI1000">
        <v>65.033000000000001</v>
      </c>
      <c r="AJ1000">
        <v>48.191000000000003</v>
      </c>
      <c r="AK1000">
        <v>62.04</v>
      </c>
      <c r="AL1000">
        <v>-1.4039999999999999</v>
      </c>
      <c r="AM1000">
        <v>54.048000000000002</v>
      </c>
      <c r="AN1000">
        <v>38.5</v>
      </c>
      <c r="AO1000">
        <v>45.585000000000001</v>
      </c>
      <c r="AP1000">
        <v>1.4039999999999999</v>
      </c>
      <c r="AQ1000">
        <v>51.808999999999997</v>
      </c>
      <c r="AR1000">
        <v>34.966999999999999</v>
      </c>
      <c r="AS1000">
        <v>37.96</v>
      </c>
    </row>
    <row r="1001" spans="1:45" x14ac:dyDescent="0.25">
      <c r="A1001">
        <v>37</v>
      </c>
      <c r="B1001">
        <v>3</v>
      </c>
      <c r="C1001">
        <v>1</v>
      </c>
      <c r="D1001">
        <v>2021</v>
      </c>
      <c r="E1001">
        <v>16</v>
      </c>
      <c r="F1001" t="str">
        <f>IFERROR(VLOOKUP(G1001, Map!$A$1:$B$33, 2, FALSE),"WAS")</f>
        <v>TEN</v>
      </c>
      <c r="G1001" t="s">
        <v>140</v>
      </c>
      <c r="H1001" t="str">
        <f>IFERROR(VLOOKUP(I1001, Map!$A$1:$B$33, 2, FALSE),"WAS")</f>
        <v>SF</v>
      </c>
      <c r="I1001" t="s">
        <v>143</v>
      </c>
      <c r="J1001" t="s">
        <v>174</v>
      </c>
      <c r="K1001" t="s">
        <v>197</v>
      </c>
      <c r="L1001">
        <v>1</v>
      </c>
      <c r="M1001">
        <v>0</v>
      </c>
      <c r="N1001">
        <v>42.147058823529399</v>
      </c>
      <c r="O1001">
        <v>2.6764705882352899</v>
      </c>
      <c r="P1001">
        <v>-2.5</v>
      </c>
      <c r="Q1001">
        <v>38.5</v>
      </c>
      <c r="R1001">
        <v>11.6</v>
      </c>
      <c r="S1001">
        <v>17.899999999999999</v>
      </c>
      <c r="T1001">
        <v>7.8</v>
      </c>
      <c r="U1001">
        <v>7.8</v>
      </c>
      <c r="V1001">
        <v>0</v>
      </c>
      <c r="W1001">
        <v>0</v>
      </c>
      <c r="X1001">
        <v>0</v>
      </c>
      <c r="Y1001">
        <v>0</v>
      </c>
      <c r="Z1001">
        <v>30.6</v>
      </c>
      <c r="AA1001">
        <v>54.7</v>
      </c>
      <c r="AB1001">
        <v>192</v>
      </c>
      <c r="AC1001">
        <v>64</v>
      </c>
      <c r="AD1001">
        <v>32.700000000000003</v>
      </c>
      <c r="AE1001">
        <v>18.3</v>
      </c>
      <c r="AF1001">
        <v>48.610999999999997</v>
      </c>
      <c r="AG1001">
        <v>72.135999999999996</v>
      </c>
      <c r="AH1001">
        <v>50.997999999999998</v>
      </c>
      <c r="AI1001">
        <v>60.505000000000003</v>
      </c>
      <c r="AJ1001">
        <v>51.423999999999999</v>
      </c>
      <c r="AK1001">
        <v>56.557000000000002</v>
      </c>
      <c r="AL1001">
        <v>-0.39500000000000002</v>
      </c>
      <c r="AM1001">
        <v>50.997999999999998</v>
      </c>
      <c r="AN1001">
        <v>72.135999999999996</v>
      </c>
      <c r="AO1001">
        <v>48.610999999999997</v>
      </c>
      <c r="AP1001">
        <v>0.39500000000000002</v>
      </c>
      <c r="AQ1001">
        <v>48.576000000000001</v>
      </c>
      <c r="AR1001">
        <v>39.494999999999997</v>
      </c>
      <c r="AS1001">
        <v>43.442999999999998</v>
      </c>
    </row>
    <row r="1002" spans="1:45" x14ac:dyDescent="0.25">
      <c r="A1002">
        <v>54</v>
      </c>
      <c r="B1002">
        <v>-12</v>
      </c>
      <c r="C1002">
        <v>0</v>
      </c>
      <c r="D1002">
        <v>2021</v>
      </c>
      <c r="E1002">
        <v>16</v>
      </c>
      <c r="F1002" t="str">
        <f>IFERROR(VLOOKUP(G1002, Map!$A$1:$B$33, 2, FALSE),"WAS")</f>
        <v>NE</v>
      </c>
      <c r="G1002" t="s">
        <v>151</v>
      </c>
      <c r="H1002" t="str">
        <f>IFERROR(VLOOKUP(I1002, Map!$A$1:$B$33, 2, FALSE),"WAS")</f>
        <v>BUF</v>
      </c>
      <c r="I1002" t="s">
        <v>165</v>
      </c>
      <c r="J1002" t="s">
        <v>187</v>
      </c>
      <c r="K1002" t="s">
        <v>180</v>
      </c>
      <c r="L1002">
        <v>0</v>
      </c>
      <c r="M1002">
        <v>0</v>
      </c>
      <c r="N1002">
        <v>41.470588235294102</v>
      </c>
      <c r="O1002">
        <v>-0.47058823529411797</v>
      </c>
      <c r="P1002">
        <v>0</v>
      </c>
      <c r="Q1002">
        <v>43.5</v>
      </c>
      <c r="R1002">
        <v>1.3</v>
      </c>
      <c r="S1002">
        <v>4.2</v>
      </c>
      <c r="T1002">
        <v>-0.3</v>
      </c>
      <c r="U1002">
        <v>-2.9</v>
      </c>
      <c r="V1002">
        <v>7.1</v>
      </c>
      <c r="W1002">
        <v>0.49</v>
      </c>
      <c r="X1002">
        <v>9</v>
      </c>
      <c r="Y1002">
        <v>6.4</v>
      </c>
      <c r="Z1002">
        <v>20.7</v>
      </c>
      <c r="AA1002">
        <v>46.8</v>
      </c>
      <c r="AB1002">
        <v>326</v>
      </c>
      <c r="AC1002">
        <v>89</v>
      </c>
      <c r="AD1002">
        <v>30.1</v>
      </c>
      <c r="AE1002">
        <v>13.8</v>
      </c>
      <c r="AF1002">
        <v>48.029000000000003</v>
      </c>
      <c r="AG1002">
        <v>93.637</v>
      </c>
      <c r="AH1002">
        <v>51.585000000000001</v>
      </c>
      <c r="AI1002">
        <v>16.439</v>
      </c>
      <c r="AJ1002">
        <v>59.731000000000002</v>
      </c>
      <c r="AK1002">
        <v>24.344000000000001</v>
      </c>
      <c r="AL1002">
        <v>-0.58899999999999997</v>
      </c>
      <c r="AM1002">
        <v>51.585000000000001</v>
      </c>
      <c r="AN1002">
        <v>93.637</v>
      </c>
      <c r="AO1002">
        <v>48.029000000000003</v>
      </c>
      <c r="AP1002">
        <v>0.58899999999999997</v>
      </c>
      <c r="AQ1002">
        <v>40.268999999999998</v>
      </c>
      <c r="AR1002">
        <v>83.561000000000007</v>
      </c>
      <c r="AS1002">
        <v>75.656000000000006</v>
      </c>
    </row>
    <row r="1003" spans="1:45" x14ac:dyDescent="0.25">
      <c r="A1003">
        <v>53</v>
      </c>
      <c r="B1003">
        <v>-7</v>
      </c>
      <c r="C1003">
        <v>0</v>
      </c>
      <c r="D1003">
        <v>2021</v>
      </c>
      <c r="E1003">
        <v>16</v>
      </c>
      <c r="F1003" t="str">
        <f>IFERROR(VLOOKUP(G1003, Map!$A$1:$B$33, 2, FALSE),"WAS")</f>
        <v>MIN</v>
      </c>
      <c r="G1003" t="s">
        <v>153</v>
      </c>
      <c r="H1003" t="str">
        <f>IFERROR(VLOOKUP(I1003, Map!$A$1:$B$33, 2, FALSE),"WAS")</f>
        <v>LA</v>
      </c>
      <c r="I1003" t="s">
        <v>155</v>
      </c>
      <c r="J1003" t="s">
        <v>214</v>
      </c>
      <c r="K1003" t="s">
        <v>178</v>
      </c>
      <c r="L1003">
        <v>0</v>
      </c>
      <c r="M1003">
        <v>0</v>
      </c>
      <c r="N1003">
        <v>46</v>
      </c>
      <c r="O1003">
        <v>3.1470588235294099</v>
      </c>
      <c r="P1003">
        <v>3</v>
      </c>
      <c r="Q1003">
        <v>48</v>
      </c>
      <c r="R1003">
        <v>-6.4</v>
      </c>
      <c r="S1003">
        <v>-0.8</v>
      </c>
      <c r="T1003">
        <v>-12</v>
      </c>
      <c r="U1003">
        <v>-11.3</v>
      </c>
      <c r="V1003">
        <v>0.1</v>
      </c>
      <c r="W1003">
        <v>7.0000000000000007E-2</v>
      </c>
      <c r="X1003">
        <v>1</v>
      </c>
      <c r="Y1003">
        <v>0</v>
      </c>
      <c r="Z1003">
        <v>19.600000000000001</v>
      </c>
      <c r="AA1003">
        <v>34.6</v>
      </c>
      <c r="AB1003">
        <v>63</v>
      </c>
      <c r="AC1003">
        <v>60</v>
      </c>
      <c r="AD1003">
        <v>17</v>
      </c>
      <c r="AE1003">
        <v>9.6999999999999993</v>
      </c>
      <c r="AF1003">
        <v>42.369</v>
      </c>
      <c r="AG1003">
        <v>76.872</v>
      </c>
      <c r="AH1003">
        <v>57.290999999999997</v>
      </c>
      <c r="AI1003">
        <v>61.104999999999997</v>
      </c>
      <c r="AJ1003">
        <v>30.472000000000001</v>
      </c>
      <c r="AK1003">
        <v>25.805</v>
      </c>
      <c r="AL1003">
        <v>-2.4849999999999999</v>
      </c>
      <c r="AM1003">
        <v>57.290999999999997</v>
      </c>
      <c r="AN1003">
        <v>76.872</v>
      </c>
      <c r="AO1003">
        <v>42.369</v>
      </c>
      <c r="AP1003">
        <v>2.4849999999999999</v>
      </c>
      <c r="AQ1003">
        <v>69.528000000000006</v>
      </c>
      <c r="AR1003">
        <v>38.895000000000003</v>
      </c>
      <c r="AS1003">
        <v>74.194999999999993</v>
      </c>
    </row>
    <row r="1004" spans="1:45" x14ac:dyDescent="0.25">
      <c r="A1004">
        <v>49</v>
      </c>
      <c r="B1004">
        <v>-1</v>
      </c>
      <c r="C1004">
        <v>0</v>
      </c>
      <c r="D1004">
        <v>2021</v>
      </c>
      <c r="E1004">
        <v>16</v>
      </c>
      <c r="F1004" t="str">
        <f>IFERROR(VLOOKUP(G1004, Map!$A$1:$B$33, 2, FALSE),"WAS")</f>
        <v>SEA</v>
      </c>
      <c r="G1004" t="s">
        <v>144</v>
      </c>
      <c r="H1004" t="str">
        <f>IFERROR(VLOOKUP(I1004, Map!$A$1:$B$33, 2, FALSE),"WAS")</f>
        <v>CHI</v>
      </c>
      <c r="I1004" t="s">
        <v>163</v>
      </c>
      <c r="J1004" t="s">
        <v>182</v>
      </c>
      <c r="K1004" t="s">
        <v>216</v>
      </c>
      <c r="L1004">
        <v>0</v>
      </c>
      <c r="M1004">
        <v>0</v>
      </c>
      <c r="N1004">
        <v>39.1875</v>
      </c>
      <c r="O1004">
        <v>-5.875</v>
      </c>
      <c r="P1004">
        <v>-3.5</v>
      </c>
      <c r="Q1004">
        <v>41</v>
      </c>
      <c r="R1004">
        <v>-0.7</v>
      </c>
      <c r="S1004">
        <v>2.2999999999999998</v>
      </c>
      <c r="T1004">
        <v>-4.4000000000000004</v>
      </c>
      <c r="U1004">
        <v>-6</v>
      </c>
      <c r="V1004">
        <v>11.2</v>
      </c>
      <c r="W1004">
        <v>7.7</v>
      </c>
      <c r="X1004">
        <v>13</v>
      </c>
      <c r="Y1004">
        <v>0.2</v>
      </c>
      <c r="Z1004">
        <v>29</v>
      </c>
      <c r="AA1004">
        <v>52.2</v>
      </c>
      <c r="AB1004">
        <v>227</v>
      </c>
      <c r="AC1004">
        <v>84</v>
      </c>
      <c r="AD1004">
        <v>33.799999999999997</v>
      </c>
      <c r="AE1004">
        <v>18.399999999999999</v>
      </c>
      <c r="AF1004">
        <v>72.596000000000004</v>
      </c>
      <c r="AG1004">
        <v>46.378</v>
      </c>
      <c r="AH1004">
        <v>27.184999999999999</v>
      </c>
      <c r="AI1004">
        <v>40.319000000000003</v>
      </c>
      <c r="AJ1004">
        <v>81.106999999999999</v>
      </c>
      <c r="AK1004">
        <v>54.817</v>
      </c>
      <c r="AL1004">
        <v>7.9770000000000003</v>
      </c>
      <c r="AM1004">
        <v>27.184999999999999</v>
      </c>
      <c r="AN1004">
        <v>46.378</v>
      </c>
      <c r="AO1004">
        <v>72.596000000000004</v>
      </c>
      <c r="AP1004">
        <v>-7.9770000000000003</v>
      </c>
      <c r="AQ1004">
        <v>18.893000000000001</v>
      </c>
      <c r="AR1004">
        <v>59.680999999999997</v>
      </c>
      <c r="AS1004">
        <v>45.183</v>
      </c>
    </row>
    <row r="1005" spans="1:45" x14ac:dyDescent="0.25">
      <c r="A1005">
        <v>23</v>
      </c>
      <c r="B1005">
        <v>-17</v>
      </c>
      <c r="C1005">
        <v>0</v>
      </c>
      <c r="D1005">
        <v>2021</v>
      </c>
      <c r="E1005">
        <v>16</v>
      </c>
      <c r="F1005" t="str">
        <f>IFERROR(VLOOKUP(G1005, Map!$A$1:$B$33, 2, FALSE),"WAS")</f>
        <v>NO</v>
      </c>
      <c r="G1005" t="s">
        <v>168</v>
      </c>
      <c r="H1005" t="str">
        <f>IFERROR(VLOOKUP(I1005, Map!$A$1:$B$33, 2, FALSE),"WAS")</f>
        <v>MIA</v>
      </c>
      <c r="I1005" t="s">
        <v>152</v>
      </c>
      <c r="J1005" t="s">
        <v>192</v>
      </c>
      <c r="K1005" t="s">
        <v>175</v>
      </c>
      <c r="L1005">
        <v>0</v>
      </c>
      <c r="M1005">
        <v>0</v>
      </c>
      <c r="N1005">
        <v>34.5</v>
      </c>
      <c r="O1005">
        <v>3.3823529411764701</v>
      </c>
      <c r="P1005">
        <v>1.5</v>
      </c>
      <c r="Q1005">
        <v>24.5</v>
      </c>
      <c r="R1005">
        <v>22.4</v>
      </c>
      <c r="S1005">
        <v>26</v>
      </c>
      <c r="T1005">
        <v>20.3</v>
      </c>
      <c r="U1005">
        <v>23.4</v>
      </c>
      <c r="V1005">
        <v>1.4</v>
      </c>
      <c r="W1005">
        <v>0</v>
      </c>
      <c r="X1005">
        <v>7</v>
      </c>
      <c r="Y1005">
        <v>1.4</v>
      </c>
      <c r="Z1005">
        <v>32.6</v>
      </c>
      <c r="AA1005">
        <v>56.9</v>
      </c>
      <c r="AB1005">
        <v>182</v>
      </c>
      <c r="AC1005">
        <v>86</v>
      </c>
      <c r="AD1005">
        <v>33.299999999999997</v>
      </c>
      <c r="AE1005">
        <v>19.3</v>
      </c>
      <c r="AF1005">
        <v>62.62</v>
      </c>
      <c r="AG1005">
        <v>49.932000000000002</v>
      </c>
      <c r="AH1005">
        <v>37.082000000000001</v>
      </c>
      <c r="AI1005">
        <v>61.204999999999998</v>
      </c>
      <c r="AJ1005">
        <v>0.55700000000000005</v>
      </c>
      <c r="AK1005">
        <v>12.47</v>
      </c>
      <c r="AL1005">
        <v>4.3029999999999999</v>
      </c>
      <c r="AM1005">
        <v>37.082000000000001</v>
      </c>
      <c r="AN1005">
        <v>49.932000000000002</v>
      </c>
      <c r="AO1005">
        <v>62.62</v>
      </c>
      <c r="AP1005">
        <v>-4.3029999999999999</v>
      </c>
      <c r="AQ1005">
        <v>99.442999999999998</v>
      </c>
      <c r="AR1005">
        <v>38.795000000000002</v>
      </c>
      <c r="AS1005">
        <v>87.53</v>
      </c>
    </row>
    <row r="1006" spans="1:45" x14ac:dyDescent="0.25">
      <c r="A1006">
        <v>36</v>
      </c>
      <c r="B1006">
        <v>4</v>
      </c>
      <c r="C1006">
        <v>1</v>
      </c>
      <c r="D1006">
        <v>2021</v>
      </c>
      <c r="E1006">
        <v>16</v>
      </c>
      <c r="F1006" t="str">
        <f>IFERROR(VLOOKUP(G1006, Map!$A$1:$B$33, 2, FALSE),"WAS")</f>
        <v>ATL</v>
      </c>
      <c r="G1006" t="s">
        <v>167</v>
      </c>
      <c r="H1006" t="str">
        <f>IFERROR(VLOOKUP(I1006, Map!$A$1:$B$33, 2, FALSE),"WAS")</f>
        <v>DET</v>
      </c>
      <c r="I1006" t="s">
        <v>164</v>
      </c>
      <c r="J1006" t="s">
        <v>188</v>
      </c>
      <c r="K1006" t="s">
        <v>173</v>
      </c>
      <c r="L1006">
        <v>1</v>
      </c>
      <c r="M1006">
        <v>0</v>
      </c>
      <c r="N1006">
        <v>39.970588235294102</v>
      </c>
      <c r="O1006">
        <v>-6.1470588235294104</v>
      </c>
      <c r="P1006">
        <v>-3.5</v>
      </c>
      <c r="Q1006">
        <v>39.5</v>
      </c>
      <c r="R1006">
        <v>17.100000000000001</v>
      </c>
      <c r="S1006">
        <v>21.8</v>
      </c>
      <c r="T1006">
        <v>13.3</v>
      </c>
      <c r="U1006">
        <v>16.899999999999999</v>
      </c>
      <c r="V1006">
        <v>0.2</v>
      </c>
      <c r="W1006">
        <v>0</v>
      </c>
      <c r="X1006">
        <v>2</v>
      </c>
      <c r="Y1006">
        <v>0.2</v>
      </c>
      <c r="Z1006">
        <v>20.399999999999999</v>
      </c>
      <c r="AA1006">
        <v>34.6</v>
      </c>
      <c r="AB1006">
        <v>256</v>
      </c>
      <c r="AC1006">
        <v>83</v>
      </c>
      <c r="AD1006">
        <v>19.899999999999999</v>
      </c>
      <c r="AE1006">
        <v>10.3</v>
      </c>
      <c r="AF1006">
        <v>67.677000000000007</v>
      </c>
      <c r="AG1006">
        <v>13.742000000000001</v>
      </c>
      <c r="AH1006">
        <v>32.064999999999998</v>
      </c>
      <c r="AI1006">
        <v>59.572000000000003</v>
      </c>
      <c r="AJ1006">
        <v>60.985999999999997</v>
      </c>
      <c r="AK1006">
        <v>60.344000000000001</v>
      </c>
      <c r="AL1006">
        <v>6.1059999999999999</v>
      </c>
      <c r="AM1006">
        <v>32.064999999999998</v>
      </c>
      <c r="AN1006">
        <v>13.742000000000001</v>
      </c>
      <c r="AO1006">
        <v>67.677000000000007</v>
      </c>
      <c r="AP1006">
        <v>-6.1059999999999999</v>
      </c>
      <c r="AQ1006">
        <v>39.014000000000003</v>
      </c>
      <c r="AR1006">
        <v>40.427999999999997</v>
      </c>
      <c r="AS1006">
        <v>39.655999999999999</v>
      </c>
    </row>
    <row r="1007" spans="1:45" x14ac:dyDescent="0.25">
      <c r="A1007">
        <v>70</v>
      </c>
      <c r="B1007">
        <v>12</v>
      </c>
      <c r="C1007">
        <v>1</v>
      </c>
      <c r="D1007">
        <v>2021</v>
      </c>
      <c r="E1007">
        <v>16</v>
      </c>
      <c r="F1007" t="str">
        <f>IFERROR(VLOOKUP(G1007, Map!$A$1:$B$33, 2, FALSE),"WAS")</f>
        <v>HOU</v>
      </c>
      <c r="G1007" t="s">
        <v>137</v>
      </c>
      <c r="H1007" t="str">
        <f>IFERROR(VLOOKUP(I1007, Map!$A$1:$B$33, 2, FALSE),"WAS")</f>
        <v>LAC</v>
      </c>
      <c r="I1007" t="s">
        <v>160</v>
      </c>
      <c r="J1007" t="s">
        <v>209</v>
      </c>
      <c r="K1007" t="s">
        <v>210</v>
      </c>
      <c r="L1007">
        <v>1</v>
      </c>
      <c r="M1007">
        <v>0</v>
      </c>
      <c r="N1007">
        <v>44.352941176470601</v>
      </c>
      <c r="O1007">
        <v>9.5294117647058805</v>
      </c>
      <c r="P1007">
        <v>9.5</v>
      </c>
      <c r="Q1007">
        <v>45.5</v>
      </c>
      <c r="R1007">
        <v>21.7</v>
      </c>
      <c r="S1007">
        <v>26.4</v>
      </c>
      <c r="T1007">
        <v>18.600000000000001</v>
      </c>
      <c r="U1007">
        <v>23.1</v>
      </c>
      <c r="V1007">
        <v>0</v>
      </c>
      <c r="W1007">
        <v>0</v>
      </c>
      <c r="X1007">
        <v>0</v>
      </c>
      <c r="Y1007">
        <v>0</v>
      </c>
      <c r="Z1007">
        <v>25.5</v>
      </c>
      <c r="AA1007">
        <v>42.5</v>
      </c>
      <c r="AB1007">
        <v>188</v>
      </c>
      <c r="AC1007">
        <v>86</v>
      </c>
      <c r="AD1007">
        <v>22.5</v>
      </c>
      <c r="AE1007">
        <v>13.4</v>
      </c>
      <c r="AF1007">
        <v>20.193000000000001</v>
      </c>
      <c r="AG1007">
        <v>26.038</v>
      </c>
      <c r="AH1007">
        <v>79.644999999999996</v>
      </c>
      <c r="AI1007">
        <v>42.637</v>
      </c>
      <c r="AJ1007">
        <v>89.468999999999994</v>
      </c>
      <c r="AK1007">
        <v>72.269000000000005</v>
      </c>
      <c r="AL1007">
        <v>-10.988</v>
      </c>
      <c r="AM1007">
        <v>79.644999999999996</v>
      </c>
      <c r="AN1007">
        <v>26.038</v>
      </c>
      <c r="AO1007">
        <v>20.193000000000001</v>
      </c>
      <c r="AP1007">
        <v>10.988</v>
      </c>
      <c r="AQ1007">
        <v>10.531000000000001</v>
      </c>
      <c r="AR1007">
        <v>57.363</v>
      </c>
      <c r="AS1007">
        <v>27.731000000000002</v>
      </c>
    </row>
    <row r="1008" spans="1:45" x14ac:dyDescent="0.25">
      <c r="A1008">
        <v>46</v>
      </c>
      <c r="B1008">
        <v>2</v>
      </c>
      <c r="C1008">
        <v>1</v>
      </c>
      <c r="D1008">
        <v>2021</v>
      </c>
      <c r="E1008">
        <v>16</v>
      </c>
      <c r="F1008" t="str">
        <f>IFERROR(VLOOKUP(G1008, Map!$A$1:$B$33, 2, FALSE),"WAS")</f>
        <v>GB</v>
      </c>
      <c r="G1008" t="s">
        <v>154</v>
      </c>
      <c r="H1008" t="str">
        <f>IFERROR(VLOOKUP(I1008, Map!$A$1:$B$33, 2, FALSE),"WAS")</f>
        <v>CLE</v>
      </c>
      <c r="I1008" t="s">
        <v>162</v>
      </c>
      <c r="J1008" t="s">
        <v>200</v>
      </c>
      <c r="K1008" t="s">
        <v>171</v>
      </c>
      <c r="L1008">
        <v>1</v>
      </c>
      <c r="M1008">
        <v>0</v>
      </c>
      <c r="N1008">
        <v>44.029411764705898</v>
      </c>
      <c r="O1008">
        <v>-6.7352941176470598</v>
      </c>
      <c r="P1008">
        <v>-7.5</v>
      </c>
      <c r="Q1008">
        <v>46.5</v>
      </c>
      <c r="R1008">
        <v>1.3</v>
      </c>
      <c r="S1008">
        <v>3.9</v>
      </c>
      <c r="T1008">
        <v>-2.5</v>
      </c>
      <c r="U1008">
        <v>-2.6</v>
      </c>
      <c r="V1008">
        <v>0.1</v>
      </c>
      <c r="W1008">
        <v>0</v>
      </c>
      <c r="X1008">
        <v>1</v>
      </c>
      <c r="Y1008">
        <v>0.1</v>
      </c>
      <c r="Z1008">
        <v>17.600000000000001</v>
      </c>
      <c r="AA1008">
        <v>31.7</v>
      </c>
      <c r="AB1008">
        <v>329</v>
      </c>
      <c r="AC1008">
        <v>78</v>
      </c>
      <c r="AD1008">
        <v>19.8</v>
      </c>
      <c r="AE1008">
        <v>10</v>
      </c>
      <c r="AF1008">
        <v>68.629000000000005</v>
      </c>
      <c r="AG1008">
        <v>63.884</v>
      </c>
      <c r="AH1008">
        <v>31.120999999999999</v>
      </c>
      <c r="AI1008">
        <v>41.314999999999998</v>
      </c>
      <c r="AJ1008">
        <v>79.106999999999999</v>
      </c>
      <c r="AK1008">
        <v>59.012</v>
      </c>
      <c r="AL1008">
        <v>6.4580000000000002</v>
      </c>
      <c r="AM1008">
        <v>31.120999999999999</v>
      </c>
      <c r="AN1008">
        <v>63.884</v>
      </c>
      <c r="AO1008">
        <v>68.629000000000005</v>
      </c>
      <c r="AP1008">
        <v>-6.4580000000000002</v>
      </c>
      <c r="AQ1008">
        <v>20.893000000000001</v>
      </c>
      <c r="AR1008">
        <v>58.685000000000002</v>
      </c>
      <c r="AS1008">
        <v>40.988</v>
      </c>
    </row>
    <row r="1009" spans="1:45" x14ac:dyDescent="0.25">
      <c r="A1009">
        <v>38</v>
      </c>
      <c r="B1009">
        <v>-26</v>
      </c>
      <c r="C1009">
        <v>0</v>
      </c>
      <c r="D1009">
        <v>2021</v>
      </c>
      <c r="E1009">
        <v>16</v>
      </c>
      <c r="F1009" t="str">
        <f>IFERROR(VLOOKUP(G1009, Map!$A$1:$B$33, 2, FALSE),"WAS")</f>
        <v>CAR</v>
      </c>
      <c r="G1009" t="s">
        <v>142</v>
      </c>
      <c r="H1009" t="str">
        <f>IFERROR(VLOOKUP(I1009, Map!$A$1:$B$33, 2, FALSE),"WAS")</f>
        <v>TB</v>
      </c>
      <c r="I1009" t="s">
        <v>141</v>
      </c>
      <c r="J1009" t="s">
        <v>185</v>
      </c>
      <c r="K1009" t="s">
        <v>186</v>
      </c>
      <c r="L1009">
        <v>0</v>
      </c>
      <c r="M1009">
        <v>0</v>
      </c>
      <c r="N1009">
        <v>41.382352941176499</v>
      </c>
      <c r="O1009">
        <v>10.382352941176499</v>
      </c>
      <c r="P1009">
        <v>9.5</v>
      </c>
      <c r="Q1009">
        <v>40.5</v>
      </c>
      <c r="R1009">
        <v>16.600000000000001</v>
      </c>
      <c r="S1009">
        <v>22.3</v>
      </c>
      <c r="T1009">
        <v>12</v>
      </c>
      <c r="U1009">
        <v>15.8</v>
      </c>
      <c r="V1009">
        <v>0.1</v>
      </c>
      <c r="W1009">
        <v>0</v>
      </c>
      <c r="X1009">
        <v>1</v>
      </c>
      <c r="Y1009">
        <v>0.1</v>
      </c>
      <c r="Z1009">
        <v>23.6</v>
      </c>
      <c r="AA1009">
        <v>42.5</v>
      </c>
      <c r="AB1009">
        <v>265</v>
      </c>
      <c r="AC1009">
        <v>79</v>
      </c>
      <c r="AD1009">
        <v>21.1</v>
      </c>
      <c r="AE1009">
        <v>10.7</v>
      </c>
      <c r="AF1009">
        <v>25.992000000000001</v>
      </c>
      <c r="AG1009">
        <v>65.004000000000005</v>
      </c>
      <c r="AH1009">
        <v>73.799000000000007</v>
      </c>
      <c r="AI1009">
        <v>15.972</v>
      </c>
      <c r="AJ1009">
        <v>14.429</v>
      </c>
      <c r="AK1009">
        <v>8.673</v>
      </c>
      <c r="AL1009">
        <v>-8.4589999999999996</v>
      </c>
      <c r="AM1009">
        <v>73.799000000000007</v>
      </c>
      <c r="AN1009">
        <v>65.004000000000005</v>
      </c>
      <c r="AO1009">
        <v>25.992000000000001</v>
      </c>
      <c r="AP1009">
        <v>8.4589999999999996</v>
      </c>
      <c r="AQ1009">
        <v>85.570999999999998</v>
      </c>
      <c r="AR1009">
        <v>84.028000000000006</v>
      </c>
      <c r="AS1009">
        <v>91.326999999999998</v>
      </c>
    </row>
    <row r="1010" spans="1:45" x14ac:dyDescent="0.25">
      <c r="A1010">
        <v>47</v>
      </c>
      <c r="B1010">
        <v>27</v>
      </c>
      <c r="C1010">
        <v>1</v>
      </c>
      <c r="D1010">
        <v>2021</v>
      </c>
      <c r="E1010">
        <v>17</v>
      </c>
      <c r="F1010" t="str">
        <f>IFERROR(VLOOKUP(G1010, Map!$A$1:$B$33, 2, FALSE),"WAS")</f>
        <v>GB</v>
      </c>
      <c r="G1010" t="s">
        <v>154</v>
      </c>
      <c r="H1010" t="str">
        <f>IFERROR(VLOOKUP(I1010, Map!$A$1:$B$33, 2, FALSE),"WAS")</f>
        <v>MIN</v>
      </c>
      <c r="I1010" t="s">
        <v>153</v>
      </c>
      <c r="J1010" t="s">
        <v>200</v>
      </c>
      <c r="K1010" t="s">
        <v>214</v>
      </c>
      <c r="L1010">
        <v>1</v>
      </c>
      <c r="M1010">
        <v>0</v>
      </c>
      <c r="N1010">
        <v>40.382352941176499</v>
      </c>
      <c r="O1010">
        <v>-11.9411764705882</v>
      </c>
      <c r="P1010">
        <v>-12</v>
      </c>
      <c r="Q1010">
        <v>42</v>
      </c>
      <c r="R1010">
        <v>-13.2</v>
      </c>
      <c r="S1010">
        <v>-7.2</v>
      </c>
      <c r="T1010">
        <v>-19.5</v>
      </c>
      <c r="U1010">
        <v>-18.600000000000001</v>
      </c>
      <c r="V1010">
        <v>0</v>
      </c>
      <c r="W1010">
        <v>0</v>
      </c>
      <c r="X1010">
        <v>0</v>
      </c>
      <c r="Y1010">
        <v>0</v>
      </c>
      <c r="Z1010">
        <v>18.600000000000001</v>
      </c>
      <c r="AA1010">
        <v>37.1</v>
      </c>
      <c r="AB1010">
        <v>227</v>
      </c>
      <c r="AC1010">
        <v>68</v>
      </c>
      <c r="AD1010">
        <v>22</v>
      </c>
      <c r="AE1010">
        <v>11.3</v>
      </c>
      <c r="AF1010">
        <v>77.673000000000002</v>
      </c>
      <c r="AG1010">
        <v>52.901000000000003</v>
      </c>
      <c r="AH1010">
        <v>22.149000000000001</v>
      </c>
      <c r="AI1010">
        <v>97.623999999999995</v>
      </c>
      <c r="AJ1010">
        <v>81.709999999999994</v>
      </c>
      <c r="AK1010">
        <v>95.986999999999995</v>
      </c>
      <c r="AL1010">
        <v>10.082000000000001</v>
      </c>
      <c r="AM1010">
        <v>22.149000000000001</v>
      </c>
      <c r="AN1010">
        <v>52.901000000000003</v>
      </c>
      <c r="AO1010">
        <v>77.673000000000002</v>
      </c>
      <c r="AP1010">
        <v>-10.082000000000001</v>
      </c>
      <c r="AQ1010">
        <v>18.29</v>
      </c>
      <c r="AR1010">
        <v>2.3759999999999999</v>
      </c>
      <c r="AS1010">
        <v>4.0129999999999999</v>
      </c>
    </row>
    <row r="1011" spans="1:45" x14ac:dyDescent="0.25">
      <c r="A1011">
        <v>65</v>
      </c>
      <c r="B1011">
        <v>3</v>
      </c>
      <c r="C1011">
        <v>1</v>
      </c>
      <c r="D1011">
        <v>2021</v>
      </c>
      <c r="E1011">
        <v>17</v>
      </c>
      <c r="F1011" t="str">
        <f>IFERROR(VLOOKUP(G1011, Map!$A$1:$B$33, 2, FALSE),"WAS")</f>
        <v>CIN</v>
      </c>
      <c r="G1011" t="s">
        <v>161</v>
      </c>
      <c r="H1011" t="str">
        <f>IFERROR(VLOOKUP(I1011, Map!$A$1:$B$33, 2, FALSE),"WAS")</f>
        <v>KC</v>
      </c>
      <c r="I1011" t="s">
        <v>158</v>
      </c>
      <c r="J1011" t="s">
        <v>176</v>
      </c>
      <c r="K1011" t="s">
        <v>202</v>
      </c>
      <c r="L1011">
        <v>1</v>
      </c>
      <c r="M1011">
        <v>0</v>
      </c>
      <c r="N1011">
        <v>48.617647058823501</v>
      </c>
      <c r="O1011">
        <v>2.7647058823529398</v>
      </c>
      <c r="P1011">
        <v>-3</v>
      </c>
      <c r="Q1011">
        <v>49.5</v>
      </c>
      <c r="R1011">
        <v>5.6</v>
      </c>
      <c r="S1011">
        <v>11.7</v>
      </c>
      <c r="T1011">
        <v>0.4</v>
      </c>
      <c r="U1011">
        <v>2.5</v>
      </c>
      <c r="V1011">
        <v>8.1999999999999993</v>
      </c>
      <c r="W1011">
        <v>0</v>
      </c>
      <c r="X1011">
        <v>12</v>
      </c>
      <c r="Y1011">
        <v>8.1999999999999993</v>
      </c>
      <c r="Z1011">
        <v>17.100000000000001</v>
      </c>
      <c r="AA1011">
        <v>36</v>
      </c>
      <c r="AB1011">
        <v>340</v>
      </c>
      <c r="AC1011">
        <v>83</v>
      </c>
      <c r="AD1011">
        <v>25.4</v>
      </c>
      <c r="AE1011">
        <v>12.1</v>
      </c>
      <c r="AF1011">
        <v>38.597000000000001</v>
      </c>
      <c r="AG1011">
        <v>80.045000000000002</v>
      </c>
      <c r="AH1011">
        <v>61.093000000000004</v>
      </c>
      <c r="AI1011">
        <v>10.574999999999999</v>
      </c>
      <c r="AJ1011">
        <v>87.754000000000005</v>
      </c>
      <c r="AK1011">
        <v>53.917999999999999</v>
      </c>
      <c r="AL1011">
        <v>-3.7709999999999999</v>
      </c>
      <c r="AM1011">
        <v>61.093000000000004</v>
      </c>
      <c r="AN1011">
        <v>80.045000000000002</v>
      </c>
      <c r="AO1011">
        <v>38.597000000000001</v>
      </c>
      <c r="AP1011">
        <v>3.7709999999999999</v>
      </c>
      <c r="AQ1011">
        <v>12.246</v>
      </c>
      <c r="AR1011">
        <v>89.424999999999997</v>
      </c>
      <c r="AS1011">
        <v>46.082000000000001</v>
      </c>
    </row>
    <row r="1012" spans="1:45" x14ac:dyDescent="0.25">
      <c r="A1012">
        <v>39</v>
      </c>
      <c r="B1012">
        <v>-1</v>
      </c>
      <c r="C1012">
        <v>0</v>
      </c>
      <c r="D1012">
        <v>2021</v>
      </c>
      <c r="E1012">
        <v>17</v>
      </c>
      <c r="F1012" t="str">
        <f>IFERROR(VLOOKUP(G1012, Map!$A$1:$B$33, 2, FALSE),"WAS")</f>
        <v>BAL</v>
      </c>
      <c r="G1012" t="s">
        <v>146</v>
      </c>
      <c r="H1012" t="str">
        <f>IFERROR(VLOOKUP(I1012, Map!$A$1:$B$33, 2, FALSE),"WAS")</f>
        <v>LA</v>
      </c>
      <c r="I1012" t="s">
        <v>155</v>
      </c>
      <c r="J1012" t="s">
        <v>181</v>
      </c>
      <c r="K1012" t="s">
        <v>178</v>
      </c>
      <c r="L1012">
        <v>0</v>
      </c>
      <c r="M1012">
        <v>0</v>
      </c>
      <c r="N1012">
        <v>43.28125</v>
      </c>
      <c r="O1012">
        <v>5.46875</v>
      </c>
      <c r="P1012">
        <v>-0.5</v>
      </c>
      <c r="Q1012">
        <v>39.5</v>
      </c>
      <c r="R1012">
        <v>14.2</v>
      </c>
      <c r="S1012">
        <v>18.100000000000001</v>
      </c>
      <c r="T1012">
        <v>11.8</v>
      </c>
      <c r="U1012">
        <v>13.2</v>
      </c>
      <c r="V1012">
        <v>13.3</v>
      </c>
      <c r="W1012">
        <v>0</v>
      </c>
      <c r="X1012">
        <v>11</v>
      </c>
      <c r="Y1012">
        <v>13.3</v>
      </c>
      <c r="Z1012">
        <v>27.2</v>
      </c>
      <c r="AA1012">
        <v>45.7</v>
      </c>
      <c r="AB1012">
        <v>269</v>
      </c>
      <c r="AC1012">
        <v>89</v>
      </c>
      <c r="AD1012">
        <v>22.6</v>
      </c>
      <c r="AE1012">
        <v>11.5</v>
      </c>
      <c r="AF1012">
        <v>38.180999999999997</v>
      </c>
      <c r="AG1012">
        <v>68.948999999999998</v>
      </c>
      <c r="AH1012">
        <v>61.512</v>
      </c>
      <c r="AI1012">
        <v>47.908999999999999</v>
      </c>
      <c r="AJ1012">
        <v>41.470999999999997</v>
      </c>
      <c r="AK1012">
        <v>50.643000000000001</v>
      </c>
      <c r="AL1012">
        <v>-3.915</v>
      </c>
      <c r="AM1012">
        <v>61.512</v>
      </c>
      <c r="AN1012">
        <v>68.948999999999998</v>
      </c>
      <c r="AO1012">
        <v>38.180999999999997</v>
      </c>
      <c r="AP1012">
        <v>3.915</v>
      </c>
      <c r="AQ1012">
        <v>58.529000000000003</v>
      </c>
      <c r="AR1012">
        <v>52.091000000000001</v>
      </c>
      <c r="AS1012">
        <v>49.356999999999999</v>
      </c>
    </row>
    <row r="1013" spans="1:45" x14ac:dyDescent="0.25">
      <c r="A1013">
        <v>40</v>
      </c>
      <c r="B1013">
        <v>12</v>
      </c>
      <c r="C1013">
        <v>1</v>
      </c>
      <c r="D1013">
        <v>2021</v>
      </c>
      <c r="E1013">
        <v>17</v>
      </c>
      <c r="F1013" t="str">
        <f>IFERROR(VLOOKUP(G1013, Map!$A$1:$B$33, 2, FALSE),"WAS")</f>
        <v>PIT</v>
      </c>
      <c r="G1013" t="s">
        <v>145</v>
      </c>
      <c r="H1013" t="str">
        <f>IFERROR(VLOOKUP(I1013, Map!$A$1:$B$33, 2, FALSE),"WAS")</f>
        <v>CLE</v>
      </c>
      <c r="I1013" t="s">
        <v>162</v>
      </c>
      <c r="J1013" t="s">
        <v>170</v>
      </c>
      <c r="K1013" t="s">
        <v>171</v>
      </c>
      <c r="L1013">
        <v>1</v>
      </c>
      <c r="M1013">
        <v>0</v>
      </c>
      <c r="N1013">
        <v>39.75</v>
      </c>
      <c r="O1013">
        <v>-1.25</v>
      </c>
      <c r="P1013">
        <v>0</v>
      </c>
      <c r="Q1013">
        <v>32.5</v>
      </c>
      <c r="R1013">
        <v>-2.2000000000000002</v>
      </c>
      <c r="S1013">
        <v>4.0999999999999996</v>
      </c>
      <c r="T1013">
        <v>-5.3</v>
      </c>
      <c r="U1013">
        <v>-6.5</v>
      </c>
      <c r="V1013">
        <v>0</v>
      </c>
      <c r="W1013">
        <v>0</v>
      </c>
      <c r="X1013">
        <v>0</v>
      </c>
      <c r="Y1013">
        <v>0</v>
      </c>
      <c r="Z1013">
        <v>10.8</v>
      </c>
      <c r="AA1013">
        <v>25.9</v>
      </c>
      <c r="AB1013">
        <v>203</v>
      </c>
      <c r="AC1013">
        <v>69</v>
      </c>
      <c r="AD1013">
        <v>18.8</v>
      </c>
      <c r="AE1013">
        <v>8.6999999999999993</v>
      </c>
      <c r="AF1013">
        <v>45.643000000000001</v>
      </c>
      <c r="AG1013">
        <v>45.536999999999999</v>
      </c>
      <c r="AH1013">
        <v>53.99</v>
      </c>
      <c r="AI1013">
        <v>91.978999999999999</v>
      </c>
      <c r="AJ1013">
        <v>31.417000000000002</v>
      </c>
      <c r="AK1013">
        <v>73.347999999999999</v>
      </c>
      <c r="AL1013">
        <v>-1.383</v>
      </c>
      <c r="AM1013">
        <v>53.99</v>
      </c>
      <c r="AN1013">
        <v>45.536999999999999</v>
      </c>
      <c r="AO1013">
        <v>45.643000000000001</v>
      </c>
      <c r="AP1013">
        <v>1.383</v>
      </c>
      <c r="AQ1013">
        <v>68.582999999999998</v>
      </c>
      <c r="AR1013">
        <v>8.0210000000000008</v>
      </c>
      <c r="AS1013">
        <v>26.652000000000001</v>
      </c>
    </row>
    <row r="1014" spans="1:45" x14ac:dyDescent="0.25">
      <c r="A1014">
        <v>43</v>
      </c>
      <c r="B1014">
        <v>-3</v>
      </c>
      <c r="C1014">
        <v>0</v>
      </c>
      <c r="D1014">
        <v>2021</v>
      </c>
      <c r="E1014">
        <v>17</v>
      </c>
      <c r="F1014" t="str">
        <f>IFERROR(VLOOKUP(G1014, Map!$A$1:$B$33, 2, FALSE),"WAS")</f>
        <v>IND</v>
      </c>
      <c r="G1014" t="s">
        <v>138</v>
      </c>
      <c r="H1014" t="str">
        <f>IFERROR(VLOOKUP(I1014, Map!$A$1:$B$33, 2, FALSE),"WAS")</f>
        <v>LV</v>
      </c>
      <c r="I1014" t="s">
        <v>157</v>
      </c>
      <c r="J1014" t="s">
        <v>177</v>
      </c>
      <c r="K1014" t="s">
        <v>179</v>
      </c>
      <c r="L1014">
        <v>0</v>
      </c>
      <c r="M1014">
        <v>0</v>
      </c>
      <c r="N1014">
        <v>46.125</v>
      </c>
      <c r="O1014">
        <v>-7.34375</v>
      </c>
      <c r="P1014">
        <v>-2.5</v>
      </c>
      <c r="Q1014">
        <v>43.5</v>
      </c>
      <c r="R1014">
        <v>1.2</v>
      </c>
      <c r="S1014">
        <v>7.3</v>
      </c>
      <c r="T1014">
        <v>-2.2999999999999998</v>
      </c>
      <c r="U1014">
        <v>-3.2</v>
      </c>
      <c r="V1014">
        <v>3.7</v>
      </c>
      <c r="W1014">
        <v>0.63</v>
      </c>
      <c r="X1014">
        <v>10</v>
      </c>
      <c r="Y1014">
        <v>2.8</v>
      </c>
      <c r="Z1014">
        <v>19.5</v>
      </c>
      <c r="AA1014">
        <v>36.4</v>
      </c>
      <c r="AB1014">
        <v>5</v>
      </c>
      <c r="AC1014">
        <v>81</v>
      </c>
      <c r="AD1014">
        <v>30.1</v>
      </c>
      <c r="AE1014">
        <v>14.9</v>
      </c>
      <c r="AF1014">
        <v>73.578000000000003</v>
      </c>
      <c r="AG1014">
        <v>49.53</v>
      </c>
      <c r="AH1014">
        <v>26.212</v>
      </c>
      <c r="AI1014">
        <v>48.704999999999998</v>
      </c>
      <c r="AJ1014">
        <v>56.951999999999998</v>
      </c>
      <c r="AK1014">
        <v>42.42</v>
      </c>
      <c r="AL1014">
        <v>8.36</v>
      </c>
      <c r="AM1014">
        <v>26.212</v>
      </c>
      <c r="AN1014">
        <v>49.53</v>
      </c>
      <c r="AO1014">
        <v>73.578000000000003</v>
      </c>
      <c r="AP1014">
        <v>-8.36</v>
      </c>
      <c r="AQ1014">
        <v>43.048000000000002</v>
      </c>
      <c r="AR1014">
        <v>51.295000000000002</v>
      </c>
      <c r="AS1014">
        <v>57.58</v>
      </c>
    </row>
    <row r="1015" spans="1:45" x14ac:dyDescent="0.25">
      <c r="A1015">
        <v>30</v>
      </c>
      <c r="B1015">
        <v>16</v>
      </c>
      <c r="C1015">
        <v>1</v>
      </c>
      <c r="D1015">
        <v>2021</v>
      </c>
      <c r="E1015">
        <v>17</v>
      </c>
      <c r="F1015" t="str">
        <f>IFERROR(VLOOKUP(G1015, Map!$A$1:$B$33, 2, FALSE),"WAS")</f>
        <v>SF</v>
      </c>
      <c r="G1015" t="s">
        <v>143</v>
      </c>
      <c r="H1015" t="str">
        <f>IFERROR(VLOOKUP(I1015, Map!$A$1:$B$33, 2, FALSE),"WAS")</f>
        <v>HOU</v>
      </c>
      <c r="I1015" t="s">
        <v>137</v>
      </c>
      <c r="J1015" t="s">
        <v>197</v>
      </c>
      <c r="K1015" t="s">
        <v>209</v>
      </c>
      <c r="L1015">
        <v>1</v>
      </c>
      <c r="M1015">
        <v>0</v>
      </c>
      <c r="N1015">
        <v>40.764705882352899</v>
      </c>
      <c r="O1015">
        <v>-11.5588235294118</v>
      </c>
      <c r="P1015">
        <v>-9.5</v>
      </c>
      <c r="Q1015">
        <v>26.5</v>
      </c>
      <c r="R1015">
        <v>5.5</v>
      </c>
      <c r="S1015">
        <v>14.5</v>
      </c>
      <c r="T1015">
        <v>0.1</v>
      </c>
      <c r="U1015">
        <v>2.4</v>
      </c>
      <c r="V1015">
        <v>0</v>
      </c>
      <c r="W1015">
        <v>0</v>
      </c>
      <c r="X1015">
        <v>0</v>
      </c>
      <c r="Y1015">
        <v>0</v>
      </c>
      <c r="Z1015">
        <v>13.5</v>
      </c>
      <c r="AA1015">
        <v>24.1</v>
      </c>
      <c r="AB1015">
        <v>145</v>
      </c>
      <c r="AC1015">
        <v>68</v>
      </c>
      <c r="AD1015">
        <v>11.9</v>
      </c>
      <c r="AE1015">
        <v>7.1</v>
      </c>
      <c r="AF1015">
        <v>83.697000000000003</v>
      </c>
      <c r="AG1015">
        <v>46.131999999999998</v>
      </c>
      <c r="AH1015">
        <v>16.172999999999998</v>
      </c>
      <c r="AI1015">
        <v>75.415999999999997</v>
      </c>
      <c r="AJ1015">
        <v>49.253</v>
      </c>
      <c r="AK1015">
        <v>75.183000000000007</v>
      </c>
      <c r="AL1015">
        <v>12.992000000000001</v>
      </c>
      <c r="AM1015">
        <v>16.172999999999998</v>
      </c>
      <c r="AN1015">
        <v>46.131999999999998</v>
      </c>
      <c r="AO1015">
        <v>83.697000000000003</v>
      </c>
      <c r="AP1015">
        <v>-12.992000000000001</v>
      </c>
      <c r="AQ1015">
        <v>50.747</v>
      </c>
      <c r="AR1015">
        <v>24.584</v>
      </c>
      <c r="AS1015">
        <v>24.817</v>
      </c>
    </row>
    <row r="1016" spans="1:45" x14ac:dyDescent="0.25">
      <c r="A1016">
        <v>52</v>
      </c>
      <c r="B1016">
        <v>-4</v>
      </c>
      <c r="C1016">
        <v>0</v>
      </c>
      <c r="D1016">
        <v>2021</v>
      </c>
      <c r="E1016">
        <v>17</v>
      </c>
      <c r="F1016" t="str">
        <f>IFERROR(VLOOKUP(G1016, Map!$A$1:$B$33, 2, FALSE),"WAS")</f>
        <v>NYJ</v>
      </c>
      <c r="G1016" t="s">
        <v>166</v>
      </c>
      <c r="H1016" t="str">
        <f>IFERROR(VLOOKUP(I1016, Map!$A$1:$B$33, 2, FALSE),"WAS")</f>
        <v>TB</v>
      </c>
      <c r="I1016" t="s">
        <v>141</v>
      </c>
      <c r="J1016" t="s">
        <v>172</v>
      </c>
      <c r="K1016" t="s">
        <v>186</v>
      </c>
      <c r="L1016">
        <v>0</v>
      </c>
      <c r="M1016">
        <v>0</v>
      </c>
      <c r="N1016">
        <v>44.852941176470601</v>
      </c>
      <c r="O1016">
        <v>11.4411764705882</v>
      </c>
      <c r="P1016">
        <v>-4.5</v>
      </c>
      <c r="Q1016">
        <v>45.5</v>
      </c>
      <c r="R1016">
        <v>10.7</v>
      </c>
      <c r="S1016">
        <v>13.2</v>
      </c>
      <c r="T1016">
        <v>7.2</v>
      </c>
      <c r="U1016">
        <v>9.1</v>
      </c>
      <c r="V1016">
        <v>26</v>
      </c>
      <c r="W1016">
        <v>0</v>
      </c>
      <c r="X1016">
        <v>11</v>
      </c>
      <c r="Y1016">
        <v>26</v>
      </c>
      <c r="Z1016">
        <v>20.100000000000001</v>
      </c>
      <c r="AA1016">
        <v>46.8</v>
      </c>
      <c r="AB1016">
        <v>320</v>
      </c>
      <c r="AC1016">
        <v>93</v>
      </c>
      <c r="AD1016">
        <v>22.2</v>
      </c>
      <c r="AE1016">
        <v>10.4</v>
      </c>
      <c r="AF1016">
        <v>11.489000000000001</v>
      </c>
      <c r="AG1016">
        <v>48.726999999999997</v>
      </c>
      <c r="AH1016">
        <v>88.418000000000006</v>
      </c>
      <c r="AI1016">
        <v>23.498999999999999</v>
      </c>
      <c r="AJ1016">
        <v>77.153999999999996</v>
      </c>
      <c r="AK1016">
        <v>49.500999999999998</v>
      </c>
      <c r="AL1016">
        <v>-15.813000000000001</v>
      </c>
      <c r="AM1016">
        <v>88.418000000000006</v>
      </c>
      <c r="AN1016">
        <v>48.726999999999997</v>
      </c>
      <c r="AO1016">
        <v>11.489000000000001</v>
      </c>
      <c r="AP1016">
        <v>15.813000000000001</v>
      </c>
      <c r="AQ1016">
        <v>22.846</v>
      </c>
      <c r="AR1016">
        <v>76.501000000000005</v>
      </c>
      <c r="AS1016">
        <v>50.499000000000002</v>
      </c>
    </row>
    <row r="1017" spans="1:45" x14ac:dyDescent="0.25">
      <c r="A1017">
        <v>60</v>
      </c>
      <c r="B1017">
        <v>40</v>
      </c>
      <c r="C1017">
        <v>1</v>
      </c>
      <c r="D1017">
        <v>2021</v>
      </c>
      <c r="E1017">
        <v>17</v>
      </c>
      <c r="F1017" t="str">
        <f>IFERROR(VLOOKUP(G1017, Map!$A$1:$B$33, 2, FALSE),"WAS")</f>
        <v>NE</v>
      </c>
      <c r="G1017" t="s">
        <v>151</v>
      </c>
      <c r="H1017" t="str">
        <f>IFERROR(VLOOKUP(I1017, Map!$A$1:$B$33, 2, FALSE),"WAS")</f>
        <v>JAX</v>
      </c>
      <c r="I1017" t="s">
        <v>139</v>
      </c>
      <c r="J1017" t="s">
        <v>187</v>
      </c>
      <c r="K1017" t="s">
        <v>220</v>
      </c>
      <c r="L1017">
        <v>1</v>
      </c>
      <c r="M1017">
        <v>0</v>
      </c>
      <c r="N1017">
        <v>39.911764705882298</v>
      </c>
      <c r="O1017">
        <v>-16.4411764705882</v>
      </c>
      <c r="P1017">
        <v>-15.5</v>
      </c>
      <c r="Q1017">
        <v>41.5</v>
      </c>
      <c r="R1017">
        <v>7.9</v>
      </c>
      <c r="S1017">
        <v>10.3</v>
      </c>
      <c r="T1017">
        <v>5</v>
      </c>
      <c r="U1017">
        <v>6.2</v>
      </c>
      <c r="V1017">
        <v>9.9</v>
      </c>
      <c r="W1017">
        <v>0</v>
      </c>
      <c r="X1017">
        <v>13</v>
      </c>
      <c r="Y1017">
        <v>9.9</v>
      </c>
      <c r="Z1017">
        <v>13.9</v>
      </c>
      <c r="AA1017">
        <v>29.5</v>
      </c>
      <c r="AB1017">
        <v>340</v>
      </c>
      <c r="AC1017">
        <v>98</v>
      </c>
      <c r="AD1017">
        <v>16.7</v>
      </c>
      <c r="AE1017">
        <v>7.7</v>
      </c>
      <c r="AF1017">
        <v>87.888000000000005</v>
      </c>
      <c r="AG1017">
        <v>48.591999999999999</v>
      </c>
      <c r="AH1017">
        <v>12.016</v>
      </c>
      <c r="AI1017">
        <v>94.457999999999998</v>
      </c>
      <c r="AJ1017">
        <v>97.417000000000002</v>
      </c>
      <c r="AK1017">
        <v>99.507999999999996</v>
      </c>
      <c r="AL1017">
        <v>15.46</v>
      </c>
      <c r="AM1017">
        <v>12.016</v>
      </c>
      <c r="AN1017">
        <v>48.591999999999999</v>
      </c>
      <c r="AO1017">
        <v>87.888000000000005</v>
      </c>
      <c r="AP1017">
        <v>-15.46</v>
      </c>
      <c r="AQ1017">
        <v>2.5830000000000002</v>
      </c>
      <c r="AR1017">
        <v>5.5419999999999998</v>
      </c>
      <c r="AS1017">
        <v>0.49199999999999999</v>
      </c>
    </row>
    <row r="1018" spans="1:45" x14ac:dyDescent="0.25">
      <c r="A1018">
        <v>80</v>
      </c>
      <c r="B1018">
        <v>22</v>
      </c>
      <c r="C1018">
        <v>1</v>
      </c>
      <c r="D1018">
        <v>2021</v>
      </c>
      <c r="E1018">
        <v>17</v>
      </c>
      <c r="F1018" t="str">
        <f>IFERROR(VLOOKUP(G1018, Map!$A$1:$B$33, 2, FALSE),"WAS")</f>
        <v>SEA</v>
      </c>
      <c r="G1018" t="s">
        <v>144</v>
      </c>
      <c r="H1018" t="str">
        <f>IFERROR(VLOOKUP(I1018, Map!$A$1:$B$33, 2, FALSE),"WAS")</f>
        <v>DET</v>
      </c>
      <c r="I1018" t="s">
        <v>164</v>
      </c>
      <c r="J1018" t="s">
        <v>182</v>
      </c>
      <c r="K1018" t="s">
        <v>173</v>
      </c>
      <c r="L1018">
        <v>1</v>
      </c>
      <c r="M1018">
        <v>0</v>
      </c>
      <c r="N1018">
        <v>40.705882352941202</v>
      </c>
      <c r="O1018">
        <v>-8.5</v>
      </c>
      <c r="P1018">
        <v>-7.5</v>
      </c>
      <c r="Q1018">
        <v>40.5</v>
      </c>
      <c r="R1018">
        <v>1.3</v>
      </c>
      <c r="S1018">
        <v>3.7</v>
      </c>
      <c r="T1018">
        <v>-1.5</v>
      </c>
      <c r="U1018">
        <v>-3.8</v>
      </c>
      <c r="V1018">
        <v>5.4</v>
      </c>
      <c r="W1018">
        <v>1.96</v>
      </c>
      <c r="X1018">
        <v>6</v>
      </c>
      <c r="Y1018">
        <v>2.6</v>
      </c>
      <c r="Z1018">
        <v>22.2</v>
      </c>
      <c r="AA1018">
        <v>40.299999999999997</v>
      </c>
      <c r="AB1018">
        <v>161</v>
      </c>
      <c r="AC1018">
        <v>72</v>
      </c>
      <c r="AD1018">
        <v>31.2</v>
      </c>
      <c r="AE1018">
        <v>17.5</v>
      </c>
      <c r="AF1018">
        <v>83.122</v>
      </c>
      <c r="AG1018">
        <v>45.341000000000001</v>
      </c>
      <c r="AH1018">
        <v>16.744</v>
      </c>
      <c r="AI1018">
        <v>72.381</v>
      </c>
      <c r="AJ1018">
        <v>94.671999999999997</v>
      </c>
      <c r="AK1018">
        <v>94.983000000000004</v>
      </c>
      <c r="AL1018">
        <v>12.688000000000001</v>
      </c>
      <c r="AM1018">
        <v>16.744</v>
      </c>
      <c r="AN1018">
        <v>45.341000000000001</v>
      </c>
      <c r="AO1018">
        <v>83.122</v>
      </c>
      <c r="AP1018">
        <v>-12.688000000000001</v>
      </c>
      <c r="AQ1018">
        <v>5.3280000000000003</v>
      </c>
      <c r="AR1018">
        <v>27.619</v>
      </c>
      <c r="AS1018">
        <v>5.0170000000000003</v>
      </c>
    </row>
    <row r="1019" spans="1:45" x14ac:dyDescent="0.25">
      <c r="A1019">
        <v>36</v>
      </c>
      <c r="B1019">
        <v>-4</v>
      </c>
      <c r="C1019">
        <v>0</v>
      </c>
      <c r="D1019">
        <v>2021</v>
      </c>
      <c r="E1019">
        <v>17</v>
      </c>
      <c r="F1019" t="str">
        <f>IFERROR(VLOOKUP(G1019, Map!$A$1:$B$33, 2, FALSE),"WAS")</f>
        <v>WAS</v>
      </c>
      <c r="G1019" t="s">
        <v>169</v>
      </c>
      <c r="H1019" t="str">
        <f>IFERROR(VLOOKUP(I1019, Map!$A$1:$B$33, 2, FALSE),"WAS")</f>
        <v>PHI</v>
      </c>
      <c r="I1019" t="s">
        <v>147</v>
      </c>
      <c r="J1019" t="s">
        <v>205</v>
      </c>
      <c r="K1019" t="s">
        <v>206</v>
      </c>
      <c r="L1019">
        <v>0</v>
      </c>
      <c r="M1019">
        <v>0</v>
      </c>
      <c r="N1019">
        <v>44.71875</v>
      </c>
      <c r="O1019">
        <v>4.875</v>
      </c>
      <c r="P1019">
        <v>1.5</v>
      </c>
      <c r="Q1019">
        <v>43.5</v>
      </c>
      <c r="R1019">
        <v>15.3</v>
      </c>
      <c r="S1019">
        <v>18.7</v>
      </c>
      <c r="T1019">
        <v>13.1</v>
      </c>
      <c r="U1019">
        <v>14.7</v>
      </c>
      <c r="V1019">
        <v>16.100000000000001</v>
      </c>
      <c r="W1019">
        <v>0</v>
      </c>
      <c r="X1019">
        <v>10</v>
      </c>
      <c r="Y1019">
        <v>16.100000000000001</v>
      </c>
      <c r="Z1019">
        <v>23.8</v>
      </c>
      <c r="AA1019">
        <v>46.4</v>
      </c>
      <c r="AB1019">
        <v>251</v>
      </c>
      <c r="AC1019">
        <v>88</v>
      </c>
      <c r="AD1019">
        <v>22.8</v>
      </c>
      <c r="AE1019">
        <v>11.1</v>
      </c>
      <c r="AF1019">
        <v>41.493000000000002</v>
      </c>
      <c r="AG1019">
        <v>38.624000000000002</v>
      </c>
      <c r="AH1019">
        <v>58.173999999999999</v>
      </c>
      <c r="AI1019">
        <v>38.188000000000002</v>
      </c>
      <c r="AJ1019">
        <v>42.219000000000001</v>
      </c>
      <c r="AK1019">
        <v>40.249000000000002</v>
      </c>
      <c r="AL1019">
        <v>-2.7789999999999999</v>
      </c>
      <c r="AM1019">
        <v>58.173999999999999</v>
      </c>
      <c r="AN1019">
        <v>38.624000000000002</v>
      </c>
      <c r="AO1019">
        <v>41.493000000000002</v>
      </c>
      <c r="AP1019">
        <v>2.7789999999999999</v>
      </c>
      <c r="AQ1019">
        <v>57.780999999999999</v>
      </c>
      <c r="AR1019">
        <v>61.811999999999998</v>
      </c>
      <c r="AS1019">
        <v>59.750999999999998</v>
      </c>
    </row>
    <row r="1020" spans="1:45" x14ac:dyDescent="0.25">
      <c r="A1020">
        <v>37</v>
      </c>
      <c r="B1020">
        <v>31</v>
      </c>
      <c r="C1020">
        <v>1</v>
      </c>
      <c r="D1020">
        <v>2021</v>
      </c>
      <c r="E1020">
        <v>17</v>
      </c>
      <c r="F1020" t="str">
        <f>IFERROR(VLOOKUP(G1020, Map!$A$1:$B$33, 2, FALSE),"WAS")</f>
        <v>TEN</v>
      </c>
      <c r="G1020" t="s">
        <v>140</v>
      </c>
      <c r="H1020" t="str">
        <f>IFERROR(VLOOKUP(I1020, Map!$A$1:$B$33, 2, FALSE),"WAS")</f>
        <v>MIA</v>
      </c>
      <c r="I1020" t="s">
        <v>152</v>
      </c>
      <c r="J1020" t="s">
        <v>174</v>
      </c>
      <c r="K1020" t="s">
        <v>175</v>
      </c>
      <c r="L1020">
        <v>1</v>
      </c>
      <c r="M1020">
        <v>0</v>
      </c>
      <c r="N1020">
        <v>38.147058823529399</v>
      </c>
      <c r="O1020">
        <v>-3.4117647058823501</v>
      </c>
      <c r="P1020">
        <v>-3</v>
      </c>
      <c r="Q1020">
        <v>32.5</v>
      </c>
      <c r="R1020">
        <v>9.9</v>
      </c>
      <c r="S1020">
        <v>14.8</v>
      </c>
      <c r="T1020">
        <v>1.8</v>
      </c>
      <c r="U1020">
        <v>7.9</v>
      </c>
      <c r="V1020">
        <v>18.899999999999999</v>
      </c>
      <c r="W1020">
        <v>0.35</v>
      </c>
      <c r="X1020">
        <v>16</v>
      </c>
      <c r="Y1020">
        <v>18.399999999999999</v>
      </c>
      <c r="Z1020">
        <v>18.3</v>
      </c>
      <c r="AA1020">
        <v>36.700000000000003</v>
      </c>
      <c r="AB1020">
        <v>327</v>
      </c>
      <c r="AC1020">
        <v>91</v>
      </c>
      <c r="AD1020">
        <v>24.3</v>
      </c>
      <c r="AE1020">
        <v>11.8</v>
      </c>
      <c r="AF1020">
        <v>62.381999999999998</v>
      </c>
      <c r="AG1020">
        <v>50.771999999999998</v>
      </c>
      <c r="AH1020">
        <v>37.317999999999998</v>
      </c>
      <c r="AI1020">
        <v>95.119</v>
      </c>
      <c r="AJ1020">
        <v>63.018000000000001</v>
      </c>
      <c r="AK1020">
        <v>94.858999999999995</v>
      </c>
      <c r="AL1020">
        <v>4.2149999999999999</v>
      </c>
      <c r="AM1020">
        <v>37.317999999999998</v>
      </c>
      <c r="AN1020">
        <v>50.771999999999998</v>
      </c>
      <c r="AO1020">
        <v>62.381999999999998</v>
      </c>
      <c r="AP1020">
        <v>-4.2149999999999999</v>
      </c>
      <c r="AQ1020">
        <v>36.981999999999999</v>
      </c>
      <c r="AR1020">
        <v>4.8810000000000002</v>
      </c>
      <c r="AS1020">
        <v>5.141</v>
      </c>
    </row>
    <row r="1021" spans="1:45" x14ac:dyDescent="0.25">
      <c r="A1021">
        <v>28</v>
      </c>
      <c r="B1021">
        <v>8</v>
      </c>
      <c r="C1021">
        <v>1</v>
      </c>
      <c r="D1021">
        <v>2021</v>
      </c>
      <c r="E1021">
        <v>17</v>
      </c>
      <c r="F1021" t="str">
        <f>IFERROR(VLOOKUP(G1021, Map!$A$1:$B$33, 2, FALSE),"WAS")</f>
        <v>NO</v>
      </c>
      <c r="G1021" t="s">
        <v>168</v>
      </c>
      <c r="H1021" t="str">
        <f>IFERROR(VLOOKUP(I1021, Map!$A$1:$B$33, 2, FALSE),"WAS")</f>
        <v>CAR</v>
      </c>
      <c r="I1021" t="s">
        <v>142</v>
      </c>
      <c r="J1021" t="s">
        <v>192</v>
      </c>
      <c r="K1021" t="s">
        <v>185</v>
      </c>
      <c r="L1021">
        <v>1</v>
      </c>
      <c r="M1021">
        <v>0</v>
      </c>
      <c r="N1021">
        <v>34.5</v>
      </c>
      <c r="O1021">
        <v>-6.0625</v>
      </c>
      <c r="P1021">
        <v>-6.5</v>
      </c>
      <c r="Q1021">
        <v>33.5</v>
      </c>
      <c r="R1021">
        <v>20.3</v>
      </c>
      <c r="S1021">
        <v>23.8</v>
      </c>
      <c r="T1021">
        <v>10.1</v>
      </c>
      <c r="U1021">
        <v>20</v>
      </c>
      <c r="V1021">
        <v>7.6</v>
      </c>
      <c r="W1021">
        <v>0</v>
      </c>
      <c r="X1021">
        <v>15</v>
      </c>
      <c r="Y1021">
        <v>7.6</v>
      </c>
      <c r="Z1021">
        <v>40</v>
      </c>
      <c r="AA1021">
        <v>69.099999999999994</v>
      </c>
      <c r="AB1021">
        <v>254</v>
      </c>
      <c r="AC1021">
        <v>89</v>
      </c>
      <c r="AD1021">
        <v>46.9</v>
      </c>
      <c r="AE1021">
        <v>26</v>
      </c>
      <c r="AF1021">
        <v>66.846999999999994</v>
      </c>
      <c r="AG1021">
        <v>42.133000000000003</v>
      </c>
      <c r="AH1021">
        <v>32.889000000000003</v>
      </c>
      <c r="AI1021">
        <v>82.897999999999996</v>
      </c>
      <c r="AJ1021">
        <v>35.963999999999999</v>
      </c>
      <c r="AK1021">
        <v>68.096999999999994</v>
      </c>
      <c r="AL1021">
        <v>5.7960000000000003</v>
      </c>
      <c r="AM1021">
        <v>32.889000000000003</v>
      </c>
      <c r="AN1021">
        <v>42.133000000000003</v>
      </c>
      <c r="AO1021">
        <v>66.846999999999994</v>
      </c>
      <c r="AP1021">
        <v>-5.7960000000000003</v>
      </c>
      <c r="AQ1021">
        <v>64.036000000000001</v>
      </c>
      <c r="AR1021">
        <v>17.102</v>
      </c>
      <c r="AS1021">
        <v>31.902999999999999</v>
      </c>
    </row>
    <row r="1022" spans="1:45" x14ac:dyDescent="0.25">
      <c r="A1022">
        <v>32</v>
      </c>
      <c r="B1022">
        <v>26</v>
      </c>
      <c r="C1022">
        <v>1</v>
      </c>
      <c r="D1022">
        <v>2021</v>
      </c>
      <c r="E1022">
        <v>17</v>
      </c>
      <c r="F1022" t="str">
        <f>IFERROR(VLOOKUP(G1022, Map!$A$1:$B$33, 2, FALSE),"WAS")</f>
        <v>CHI</v>
      </c>
      <c r="G1022" t="s">
        <v>163</v>
      </c>
      <c r="H1022" t="str">
        <f>IFERROR(VLOOKUP(I1022, Map!$A$1:$B$33, 2, FALSE),"WAS")</f>
        <v>NYG</v>
      </c>
      <c r="I1022" t="s">
        <v>149</v>
      </c>
      <c r="J1022" t="s">
        <v>216</v>
      </c>
      <c r="K1022" t="s">
        <v>219</v>
      </c>
      <c r="L1022">
        <v>1</v>
      </c>
      <c r="M1022">
        <v>0</v>
      </c>
      <c r="N1022">
        <v>34.794117647058798</v>
      </c>
      <c r="O1022">
        <v>-6.8529411764705896</v>
      </c>
      <c r="P1022">
        <v>-6.5</v>
      </c>
      <c r="Q1022">
        <v>36.5</v>
      </c>
      <c r="R1022">
        <v>-3.3</v>
      </c>
      <c r="S1022">
        <v>-0.6</v>
      </c>
      <c r="T1022">
        <v>-6.6</v>
      </c>
      <c r="U1022">
        <v>-10.5</v>
      </c>
      <c r="V1022">
        <v>7</v>
      </c>
      <c r="W1022">
        <v>4.9000000000000004</v>
      </c>
      <c r="X1022">
        <v>17</v>
      </c>
      <c r="Y1022">
        <v>0</v>
      </c>
      <c r="Z1022">
        <v>42.7</v>
      </c>
      <c r="AA1022">
        <v>62.3</v>
      </c>
      <c r="AB1022">
        <v>11</v>
      </c>
      <c r="AC1022">
        <v>81</v>
      </c>
      <c r="AD1022">
        <v>44.8</v>
      </c>
      <c r="AE1022">
        <v>29.4</v>
      </c>
      <c r="AF1022">
        <v>61.712000000000003</v>
      </c>
      <c r="AG1022">
        <v>20.048999999999999</v>
      </c>
      <c r="AH1022">
        <v>37.982999999999997</v>
      </c>
      <c r="AI1022">
        <v>99.938000000000002</v>
      </c>
      <c r="AJ1022">
        <v>50.341999999999999</v>
      </c>
      <c r="AK1022">
        <v>97.884</v>
      </c>
      <c r="AL1022">
        <v>3.9830000000000001</v>
      </c>
      <c r="AM1022">
        <v>37.982999999999997</v>
      </c>
      <c r="AN1022">
        <v>20.048999999999999</v>
      </c>
      <c r="AO1022">
        <v>61.712000000000003</v>
      </c>
      <c r="AP1022">
        <v>-3.9830000000000001</v>
      </c>
      <c r="AQ1022">
        <v>49.658000000000001</v>
      </c>
      <c r="AR1022">
        <v>6.2E-2</v>
      </c>
      <c r="AS1022">
        <v>2.1160000000000001</v>
      </c>
    </row>
    <row r="1023" spans="1:45" x14ac:dyDescent="0.25">
      <c r="A1023">
        <v>47</v>
      </c>
      <c r="B1023">
        <v>21</v>
      </c>
      <c r="C1023">
        <v>1</v>
      </c>
      <c r="D1023">
        <v>2021</v>
      </c>
      <c r="E1023">
        <v>17</v>
      </c>
      <c r="F1023" t="str">
        <f>IFERROR(VLOOKUP(G1023, Map!$A$1:$B$33, 2, FALSE),"WAS")</f>
        <v>LAC</v>
      </c>
      <c r="G1023" t="s">
        <v>160</v>
      </c>
      <c r="H1023" t="str">
        <f>IFERROR(VLOOKUP(I1023, Map!$A$1:$B$33, 2, FALSE),"WAS")</f>
        <v>DEN</v>
      </c>
      <c r="I1023" t="s">
        <v>159</v>
      </c>
      <c r="J1023" t="s">
        <v>210</v>
      </c>
      <c r="K1023" t="s">
        <v>183</v>
      </c>
      <c r="L1023">
        <v>1</v>
      </c>
      <c r="M1023">
        <v>0</v>
      </c>
      <c r="N1023">
        <v>42.764705882352899</v>
      </c>
      <c r="O1023">
        <v>-7.5</v>
      </c>
      <c r="P1023">
        <v>-6.5</v>
      </c>
      <c r="Q1023">
        <v>45</v>
      </c>
      <c r="R1023">
        <v>8.5</v>
      </c>
      <c r="S1023">
        <v>16.600000000000001</v>
      </c>
      <c r="T1023">
        <v>3.2</v>
      </c>
      <c r="U1023">
        <v>5.6</v>
      </c>
      <c r="V1023">
        <v>0</v>
      </c>
      <c r="W1023">
        <v>0</v>
      </c>
      <c r="X1023">
        <v>0</v>
      </c>
      <c r="Y1023">
        <v>0</v>
      </c>
      <c r="Z1023">
        <v>10.5</v>
      </c>
      <c r="AA1023">
        <v>19.399999999999999</v>
      </c>
      <c r="AB1023">
        <v>5</v>
      </c>
      <c r="AC1023">
        <v>66</v>
      </c>
      <c r="AD1023">
        <v>13.3</v>
      </c>
      <c r="AE1023">
        <v>8</v>
      </c>
      <c r="AF1023">
        <v>59.707000000000001</v>
      </c>
      <c r="AG1023">
        <v>54.210999999999999</v>
      </c>
      <c r="AH1023">
        <v>39.972000000000001</v>
      </c>
      <c r="AI1023">
        <v>85.159000000000006</v>
      </c>
      <c r="AJ1023">
        <v>75.983000000000004</v>
      </c>
      <c r="AK1023">
        <v>92.86</v>
      </c>
      <c r="AL1023">
        <v>3.2970000000000002</v>
      </c>
      <c r="AM1023">
        <v>39.972000000000001</v>
      </c>
      <c r="AN1023">
        <v>54.210999999999999</v>
      </c>
      <c r="AO1023">
        <v>59.707000000000001</v>
      </c>
      <c r="AP1023">
        <v>-3.2970000000000002</v>
      </c>
      <c r="AQ1023">
        <v>24.016999999999999</v>
      </c>
      <c r="AR1023">
        <v>14.840999999999999</v>
      </c>
      <c r="AS1023">
        <v>7.14</v>
      </c>
    </row>
    <row r="1024" spans="1:45" x14ac:dyDescent="0.25">
      <c r="A1024">
        <v>44</v>
      </c>
      <c r="B1024">
        <v>14</v>
      </c>
      <c r="C1024">
        <v>1</v>
      </c>
      <c r="D1024">
        <v>2021</v>
      </c>
      <c r="E1024">
        <v>17</v>
      </c>
      <c r="F1024" t="str">
        <f>IFERROR(VLOOKUP(G1024, Map!$A$1:$B$33, 2, FALSE),"WAS")</f>
        <v>BUF</v>
      </c>
      <c r="G1024" t="s">
        <v>165</v>
      </c>
      <c r="H1024" t="str">
        <f>IFERROR(VLOOKUP(I1024, Map!$A$1:$B$33, 2, FALSE),"WAS")</f>
        <v>ATL</v>
      </c>
      <c r="I1024" t="s">
        <v>167</v>
      </c>
      <c r="J1024" t="s">
        <v>180</v>
      </c>
      <c r="K1024" t="s">
        <v>188</v>
      </c>
      <c r="L1024">
        <v>1</v>
      </c>
      <c r="M1024">
        <v>0</v>
      </c>
      <c r="N1024">
        <v>43.5</v>
      </c>
      <c r="O1024">
        <v>-12.4705882352941</v>
      </c>
      <c r="P1024">
        <v>-14</v>
      </c>
      <c r="Q1024">
        <v>44.5</v>
      </c>
      <c r="R1024">
        <v>19.2</v>
      </c>
      <c r="S1024">
        <v>21.2</v>
      </c>
      <c r="T1024">
        <v>14.4</v>
      </c>
      <c r="U1024">
        <v>18.399999999999999</v>
      </c>
      <c r="V1024">
        <v>15.8</v>
      </c>
      <c r="W1024">
        <v>0</v>
      </c>
      <c r="X1024">
        <v>9</v>
      </c>
      <c r="Y1024">
        <v>15.8</v>
      </c>
      <c r="Z1024">
        <v>32.799999999999997</v>
      </c>
      <c r="AA1024">
        <v>58.3</v>
      </c>
      <c r="AB1024">
        <v>220</v>
      </c>
      <c r="AC1024">
        <v>84</v>
      </c>
      <c r="AD1024">
        <v>40.1</v>
      </c>
      <c r="AE1024">
        <v>21.2</v>
      </c>
      <c r="AF1024">
        <v>87.549000000000007</v>
      </c>
      <c r="AG1024">
        <v>51.1</v>
      </c>
      <c r="AH1024">
        <v>12.352</v>
      </c>
      <c r="AI1024">
        <v>73.525999999999996</v>
      </c>
      <c r="AJ1024">
        <v>72.167000000000002</v>
      </c>
      <c r="AK1024">
        <v>81.38</v>
      </c>
      <c r="AL1024">
        <v>15.24</v>
      </c>
      <c r="AM1024">
        <v>12.352</v>
      </c>
      <c r="AN1024">
        <v>51.1</v>
      </c>
      <c r="AO1024">
        <v>87.549000000000007</v>
      </c>
      <c r="AP1024">
        <v>-15.24</v>
      </c>
      <c r="AQ1024">
        <v>27.832999999999998</v>
      </c>
      <c r="AR1024">
        <v>26.474</v>
      </c>
      <c r="AS1024">
        <v>18.62</v>
      </c>
    </row>
    <row r="1025" spans="1:45" x14ac:dyDescent="0.25">
      <c r="A1025">
        <v>47</v>
      </c>
      <c r="B1025">
        <v>-3</v>
      </c>
      <c r="C1025">
        <v>0</v>
      </c>
      <c r="D1025">
        <v>2021</v>
      </c>
      <c r="E1025">
        <v>17</v>
      </c>
      <c r="F1025" t="str">
        <f>IFERROR(VLOOKUP(G1025, Map!$A$1:$B$33, 2, FALSE),"WAS")</f>
        <v>DAL</v>
      </c>
      <c r="G1025" t="s">
        <v>150</v>
      </c>
      <c r="H1025" t="str">
        <f>IFERROR(VLOOKUP(I1025, Map!$A$1:$B$33, 2, FALSE),"WAS")</f>
        <v>ARI</v>
      </c>
      <c r="I1025" t="s">
        <v>156</v>
      </c>
      <c r="J1025" t="s">
        <v>184</v>
      </c>
      <c r="K1025" t="s">
        <v>190</v>
      </c>
      <c r="L1025">
        <v>0</v>
      </c>
      <c r="M1025">
        <v>0</v>
      </c>
      <c r="N1025">
        <v>49.205882352941202</v>
      </c>
      <c r="O1025">
        <v>-4.8529411764705896</v>
      </c>
      <c r="P1025">
        <v>-6</v>
      </c>
      <c r="Q1025">
        <v>49.5</v>
      </c>
      <c r="R1025">
        <v>-2.7</v>
      </c>
      <c r="S1025">
        <v>3.1</v>
      </c>
      <c r="T1025">
        <v>-7.8</v>
      </c>
      <c r="U1025">
        <v>-9.9</v>
      </c>
      <c r="V1025">
        <v>0</v>
      </c>
      <c r="W1025">
        <v>0</v>
      </c>
      <c r="X1025">
        <v>0</v>
      </c>
      <c r="Y1025">
        <v>0</v>
      </c>
      <c r="Z1025">
        <v>31.1</v>
      </c>
      <c r="AA1025">
        <v>53.3</v>
      </c>
      <c r="AB1025">
        <v>326</v>
      </c>
      <c r="AC1025">
        <v>52</v>
      </c>
      <c r="AD1025">
        <v>46.9</v>
      </c>
      <c r="AE1025">
        <v>26.7</v>
      </c>
      <c r="AF1025">
        <v>57.1</v>
      </c>
      <c r="AG1025">
        <v>77.912999999999997</v>
      </c>
      <c r="AH1025">
        <v>42.558</v>
      </c>
      <c r="AI1025">
        <v>33.197000000000003</v>
      </c>
      <c r="AJ1025">
        <v>58.466000000000001</v>
      </c>
      <c r="AK1025">
        <v>31.062000000000001</v>
      </c>
      <c r="AL1025">
        <v>2.4180000000000001</v>
      </c>
      <c r="AM1025">
        <v>42.558</v>
      </c>
      <c r="AN1025">
        <v>77.912999999999997</v>
      </c>
      <c r="AO1025">
        <v>57.1</v>
      </c>
      <c r="AP1025">
        <v>-2.4180000000000001</v>
      </c>
      <c r="AQ1025">
        <v>41.533999999999999</v>
      </c>
      <c r="AR1025">
        <v>66.802999999999997</v>
      </c>
      <c r="AS1025">
        <v>68.938000000000002</v>
      </c>
    </row>
    <row r="1026" spans="1:45" x14ac:dyDescent="0.25">
      <c r="A1026">
        <v>37</v>
      </c>
      <c r="B1026">
        <v>15</v>
      </c>
      <c r="C1026">
        <v>1</v>
      </c>
      <c r="D1026">
        <v>2021</v>
      </c>
      <c r="E1026">
        <v>18</v>
      </c>
      <c r="F1026" t="str">
        <f>IFERROR(VLOOKUP(G1026, Map!$A$1:$B$33, 2, FALSE),"WAS")</f>
        <v>JAX</v>
      </c>
      <c r="G1026" t="s">
        <v>139</v>
      </c>
      <c r="H1026" t="str">
        <f>IFERROR(VLOOKUP(I1026, Map!$A$1:$B$33, 2, FALSE),"WAS")</f>
        <v>IND</v>
      </c>
      <c r="I1026" t="s">
        <v>138</v>
      </c>
      <c r="J1026" t="s">
        <v>220</v>
      </c>
      <c r="K1026" t="s">
        <v>177</v>
      </c>
      <c r="L1026">
        <v>1</v>
      </c>
      <c r="M1026">
        <v>0</v>
      </c>
      <c r="N1026">
        <v>40.647058823529399</v>
      </c>
      <c r="O1026">
        <v>10.764705882352899</v>
      </c>
      <c r="P1026">
        <v>14</v>
      </c>
      <c r="Q1026">
        <v>38.5</v>
      </c>
      <c r="R1026">
        <v>19</v>
      </c>
      <c r="S1026">
        <v>24.4</v>
      </c>
      <c r="T1026">
        <v>14.3</v>
      </c>
      <c r="U1026">
        <v>19.100000000000001</v>
      </c>
      <c r="V1026">
        <v>0</v>
      </c>
      <c r="W1026">
        <v>0</v>
      </c>
      <c r="X1026">
        <v>0</v>
      </c>
      <c r="Y1026">
        <v>0</v>
      </c>
      <c r="Z1026">
        <v>19.7</v>
      </c>
      <c r="AA1026">
        <v>34.6</v>
      </c>
      <c r="AB1026">
        <v>141</v>
      </c>
      <c r="AC1026">
        <v>80</v>
      </c>
      <c r="AD1026">
        <v>19.5</v>
      </c>
      <c r="AE1026">
        <v>11.2</v>
      </c>
      <c r="AF1026">
        <v>20.808</v>
      </c>
      <c r="AG1026">
        <v>27.600999999999999</v>
      </c>
      <c r="AH1026">
        <v>79.025000000000006</v>
      </c>
      <c r="AI1026">
        <v>97.009</v>
      </c>
      <c r="AJ1026">
        <v>64.363</v>
      </c>
      <c r="AK1026">
        <v>90.44</v>
      </c>
      <c r="AL1026">
        <v>-10.679</v>
      </c>
      <c r="AM1026">
        <v>79.025000000000006</v>
      </c>
      <c r="AN1026">
        <v>27.600999999999999</v>
      </c>
      <c r="AO1026">
        <v>20.808</v>
      </c>
      <c r="AP1026">
        <v>10.679</v>
      </c>
      <c r="AQ1026">
        <v>35.637</v>
      </c>
      <c r="AR1026">
        <v>2.9910000000000001</v>
      </c>
      <c r="AS1026">
        <v>9.56</v>
      </c>
    </row>
    <row r="1027" spans="1:45" x14ac:dyDescent="0.25">
      <c r="A1027">
        <v>57</v>
      </c>
      <c r="B1027">
        <v>9</v>
      </c>
      <c r="C1027">
        <v>1</v>
      </c>
      <c r="D1027">
        <v>2021</v>
      </c>
      <c r="E1027">
        <v>18</v>
      </c>
      <c r="F1027" t="str">
        <f>IFERROR(VLOOKUP(G1027, Map!$A$1:$B$33, 2, FALSE),"WAS")</f>
        <v>MIA</v>
      </c>
      <c r="G1027" t="s">
        <v>152</v>
      </c>
      <c r="H1027" t="str">
        <f>IFERROR(VLOOKUP(I1027, Map!$A$1:$B$33, 2, FALSE),"WAS")</f>
        <v>NE</v>
      </c>
      <c r="I1027" t="s">
        <v>151</v>
      </c>
      <c r="J1027" t="s">
        <v>175</v>
      </c>
      <c r="K1027" t="s">
        <v>187</v>
      </c>
      <c r="L1027">
        <v>1</v>
      </c>
      <c r="M1027">
        <v>0</v>
      </c>
      <c r="N1027">
        <v>38.375</v>
      </c>
      <c r="O1027">
        <v>4.03125</v>
      </c>
      <c r="P1027">
        <v>5.5</v>
      </c>
      <c r="Q1027">
        <v>39.5</v>
      </c>
      <c r="R1027">
        <v>22.2</v>
      </c>
      <c r="S1027">
        <v>24</v>
      </c>
      <c r="T1027">
        <v>20.9</v>
      </c>
      <c r="U1027">
        <v>23.5</v>
      </c>
      <c r="V1027">
        <v>9.8000000000000007</v>
      </c>
      <c r="W1027">
        <v>0</v>
      </c>
      <c r="X1027">
        <v>19</v>
      </c>
      <c r="Y1027">
        <v>9.8000000000000007</v>
      </c>
      <c r="Z1027">
        <v>19.100000000000001</v>
      </c>
      <c r="AA1027">
        <v>38.5</v>
      </c>
      <c r="AB1027">
        <v>84</v>
      </c>
      <c r="AC1027">
        <v>84</v>
      </c>
      <c r="AD1027">
        <v>29.8</v>
      </c>
      <c r="AE1027">
        <v>15.4</v>
      </c>
      <c r="AF1027">
        <v>33.043999999999997</v>
      </c>
      <c r="AG1027">
        <v>65.186000000000007</v>
      </c>
      <c r="AH1027">
        <v>66.69</v>
      </c>
      <c r="AI1027">
        <v>69.783000000000001</v>
      </c>
      <c r="AJ1027">
        <v>62.619</v>
      </c>
      <c r="AK1027">
        <v>76.295000000000002</v>
      </c>
      <c r="AL1027">
        <v>-5.734</v>
      </c>
      <c r="AM1027">
        <v>66.69</v>
      </c>
      <c r="AN1027">
        <v>65.186000000000007</v>
      </c>
      <c r="AO1027">
        <v>33.043999999999997</v>
      </c>
      <c r="AP1027">
        <v>5.734</v>
      </c>
      <c r="AQ1027">
        <v>37.381</v>
      </c>
      <c r="AR1027">
        <v>30.216999999999999</v>
      </c>
      <c r="AS1027">
        <v>23.704999999999998</v>
      </c>
    </row>
    <row r="1028" spans="1:45" x14ac:dyDescent="0.25">
      <c r="A1028">
        <v>48</v>
      </c>
      <c r="B1028">
        <v>14</v>
      </c>
      <c r="C1028">
        <v>1</v>
      </c>
      <c r="D1028">
        <v>2021</v>
      </c>
      <c r="E1028">
        <v>18</v>
      </c>
      <c r="F1028" t="str">
        <f>IFERROR(VLOOKUP(G1028, Map!$A$1:$B$33, 2, FALSE),"WAS")</f>
        <v>MIN</v>
      </c>
      <c r="G1028" t="s">
        <v>153</v>
      </c>
      <c r="H1028" t="str">
        <f>IFERROR(VLOOKUP(I1028, Map!$A$1:$B$33, 2, FALSE),"WAS")</f>
        <v>CHI</v>
      </c>
      <c r="I1028" t="s">
        <v>163</v>
      </c>
      <c r="J1028" t="s">
        <v>214</v>
      </c>
      <c r="K1028" t="s">
        <v>216</v>
      </c>
      <c r="L1028">
        <v>1</v>
      </c>
      <c r="M1028">
        <v>0</v>
      </c>
      <c r="N1028">
        <v>42.176470588235297</v>
      </c>
      <c r="O1028">
        <v>-2.9117647058823501</v>
      </c>
      <c r="P1028">
        <v>-0.5</v>
      </c>
      <c r="Q1028">
        <v>44.5</v>
      </c>
      <c r="R1028">
        <v>-15.5</v>
      </c>
      <c r="S1028">
        <v>-4</v>
      </c>
      <c r="T1028">
        <v>-21.6</v>
      </c>
      <c r="U1028">
        <v>-21.5</v>
      </c>
      <c r="V1028">
        <v>0</v>
      </c>
      <c r="W1028">
        <v>0</v>
      </c>
      <c r="X1028">
        <v>0</v>
      </c>
      <c r="Y1028">
        <v>0</v>
      </c>
      <c r="Z1028">
        <v>23.2</v>
      </c>
      <c r="AA1028">
        <v>43.2</v>
      </c>
      <c r="AB1028">
        <v>287</v>
      </c>
      <c r="AC1028">
        <v>71</v>
      </c>
      <c r="AD1028">
        <v>30</v>
      </c>
      <c r="AE1028">
        <v>15.7</v>
      </c>
      <c r="AF1028">
        <v>65.816999999999993</v>
      </c>
      <c r="AG1028">
        <v>42.121000000000002</v>
      </c>
      <c r="AH1028">
        <v>33.909999999999997</v>
      </c>
      <c r="AI1028">
        <v>77.849999999999994</v>
      </c>
      <c r="AJ1028">
        <v>75.513000000000005</v>
      </c>
      <c r="AK1028">
        <v>73.709999999999994</v>
      </c>
      <c r="AL1028">
        <v>5.42</v>
      </c>
      <c r="AM1028">
        <v>33.909999999999997</v>
      </c>
      <c r="AN1028">
        <v>42.121000000000002</v>
      </c>
      <c r="AO1028">
        <v>65.816999999999993</v>
      </c>
      <c r="AP1028">
        <v>-5.42</v>
      </c>
      <c r="AQ1028">
        <v>24.486999999999998</v>
      </c>
      <c r="AR1028">
        <v>22.15</v>
      </c>
      <c r="AS1028">
        <v>26.29</v>
      </c>
    </row>
    <row r="1029" spans="1:45" x14ac:dyDescent="0.25">
      <c r="A1029">
        <v>53</v>
      </c>
      <c r="B1029">
        <v>-3</v>
      </c>
      <c r="C1029">
        <v>0</v>
      </c>
      <c r="D1029">
        <v>2021</v>
      </c>
      <c r="E1029">
        <v>18</v>
      </c>
      <c r="F1029" t="str">
        <f>IFERROR(VLOOKUP(G1029, Map!$A$1:$B$33, 2, FALSE),"WAS")</f>
        <v>HOU</v>
      </c>
      <c r="G1029" t="s">
        <v>137</v>
      </c>
      <c r="H1029" t="str">
        <f>IFERROR(VLOOKUP(I1029, Map!$A$1:$B$33, 2, FALSE),"WAS")</f>
        <v>TEN</v>
      </c>
      <c r="I1029" t="s">
        <v>140</v>
      </c>
      <c r="J1029" t="s">
        <v>209</v>
      </c>
      <c r="K1029" t="s">
        <v>174</v>
      </c>
      <c r="L1029">
        <v>0</v>
      </c>
      <c r="M1029">
        <v>0</v>
      </c>
      <c r="N1029">
        <v>41</v>
      </c>
      <c r="O1029">
        <v>8.9705882352941195</v>
      </c>
      <c r="P1029">
        <v>3</v>
      </c>
      <c r="Q1029">
        <v>42.5</v>
      </c>
      <c r="R1029">
        <v>19.3</v>
      </c>
      <c r="S1029">
        <v>21.6</v>
      </c>
      <c r="T1029">
        <v>17</v>
      </c>
      <c r="U1029">
        <v>19.399999999999999</v>
      </c>
      <c r="V1029">
        <v>78.5</v>
      </c>
      <c r="W1029">
        <v>0</v>
      </c>
      <c r="X1029">
        <v>16</v>
      </c>
      <c r="Y1029">
        <v>78.5</v>
      </c>
      <c r="Z1029">
        <v>33.700000000000003</v>
      </c>
      <c r="AA1029">
        <v>54</v>
      </c>
      <c r="AB1029">
        <v>211</v>
      </c>
      <c r="AC1029">
        <v>89</v>
      </c>
      <c r="AD1029">
        <v>32.6</v>
      </c>
      <c r="AE1029">
        <v>17</v>
      </c>
      <c r="AF1029">
        <v>25.367000000000001</v>
      </c>
      <c r="AG1029">
        <v>24.95</v>
      </c>
      <c r="AH1029">
        <v>74.429000000000002</v>
      </c>
      <c r="AI1029">
        <v>10.116</v>
      </c>
      <c r="AJ1029">
        <v>69.358999999999995</v>
      </c>
      <c r="AK1029">
        <v>30.896999999999998</v>
      </c>
      <c r="AL1029">
        <v>-8.6969999999999992</v>
      </c>
      <c r="AM1029">
        <v>74.429000000000002</v>
      </c>
      <c r="AN1029">
        <v>24.95</v>
      </c>
      <c r="AO1029">
        <v>25.367000000000001</v>
      </c>
      <c r="AP1029">
        <v>8.6969999999999992</v>
      </c>
      <c r="AQ1029">
        <v>30.640999999999998</v>
      </c>
      <c r="AR1029">
        <v>89.884</v>
      </c>
      <c r="AS1029">
        <v>69.102999999999994</v>
      </c>
    </row>
    <row r="1030" spans="1:45" x14ac:dyDescent="0.25">
      <c r="A1030">
        <v>58</v>
      </c>
      <c r="B1030">
        <v>24</v>
      </c>
      <c r="C1030">
        <v>1</v>
      </c>
      <c r="D1030">
        <v>2021</v>
      </c>
      <c r="E1030">
        <v>18</v>
      </c>
      <c r="F1030" t="str">
        <f>IFERROR(VLOOKUP(G1030, Map!$A$1:$B$33, 2, FALSE),"WAS")</f>
        <v>TB</v>
      </c>
      <c r="G1030" t="s">
        <v>141</v>
      </c>
      <c r="H1030" t="str">
        <f>IFERROR(VLOOKUP(I1030, Map!$A$1:$B$33, 2, FALSE),"WAS")</f>
        <v>CAR</v>
      </c>
      <c r="I1030" t="s">
        <v>142</v>
      </c>
      <c r="J1030" t="s">
        <v>186</v>
      </c>
      <c r="K1030" t="s">
        <v>185</v>
      </c>
      <c r="L1030">
        <v>1</v>
      </c>
      <c r="M1030">
        <v>0</v>
      </c>
      <c r="N1030">
        <v>40.9375</v>
      </c>
      <c r="O1030">
        <v>-9.28125</v>
      </c>
      <c r="P1030">
        <v>-8.5</v>
      </c>
      <c r="Q1030">
        <v>42.5</v>
      </c>
      <c r="R1030">
        <v>21.5</v>
      </c>
      <c r="S1030">
        <v>28.3</v>
      </c>
      <c r="T1030">
        <v>17.2</v>
      </c>
      <c r="U1030">
        <v>21.4</v>
      </c>
      <c r="V1030">
        <v>0.1</v>
      </c>
      <c r="W1030">
        <v>0</v>
      </c>
      <c r="X1030">
        <v>1</v>
      </c>
      <c r="Y1030">
        <v>0.1</v>
      </c>
      <c r="Z1030">
        <v>20.8</v>
      </c>
      <c r="AA1030">
        <v>36.700000000000003</v>
      </c>
      <c r="AB1030">
        <v>104</v>
      </c>
      <c r="AC1030">
        <v>73</v>
      </c>
      <c r="AD1030">
        <v>26.6</v>
      </c>
      <c r="AE1030">
        <v>14.9</v>
      </c>
      <c r="AF1030">
        <v>84.992999999999995</v>
      </c>
      <c r="AG1030">
        <v>52.308999999999997</v>
      </c>
      <c r="AH1030">
        <v>14.887</v>
      </c>
      <c r="AI1030">
        <v>66.459000000000003</v>
      </c>
      <c r="AJ1030">
        <v>92.456000000000003</v>
      </c>
      <c r="AK1030">
        <v>85.899000000000001</v>
      </c>
      <c r="AL1030">
        <v>13.69</v>
      </c>
      <c r="AM1030">
        <v>14.887</v>
      </c>
      <c r="AN1030">
        <v>52.308999999999997</v>
      </c>
      <c r="AO1030">
        <v>84.992999999999995</v>
      </c>
      <c r="AP1030">
        <v>-13.69</v>
      </c>
      <c r="AQ1030">
        <v>7.5439999999999996</v>
      </c>
      <c r="AR1030">
        <v>33.540999999999997</v>
      </c>
      <c r="AS1030">
        <v>14.101000000000001</v>
      </c>
    </row>
    <row r="1031" spans="1:45" x14ac:dyDescent="0.25">
      <c r="A1031">
        <v>77</v>
      </c>
      <c r="B1031">
        <v>-25</v>
      </c>
      <c r="C1031">
        <v>0</v>
      </c>
      <c r="D1031">
        <v>2021</v>
      </c>
      <c r="E1031">
        <v>18</v>
      </c>
      <c r="F1031" t="str">
        <f>IFERROR(VLOOKUP(G1031, Map!$A$1:$B$33, 2, FALSE),"WAS")</f>
        <v>PHI</v>
      </c>
      <c r="G1031" t="s">
        <v>147</v>
      </c>
      <c r="H1031" t="str">
        <f>IFERROR(VLOOKUP(I1031, Map!$A$1:$B$33, 2, FALSE),"WAS")</f>
        <v>DAL</v>
      </c>
      <c r="I1031" t="s">
        <v>150</v>
      </c>
      <c r="J1031" t="s">
        <v>206</v>
      </c>
      <c r="K1031" t="s">
        <v>184</v>
      </c>
      <c r="L1031">
        <v>0</v>
      </c>
      <c r="M1031">
        <v>0</v>
      </c>
      <c r="N1031">
        <v>44.088235294117602</v>
      </c>
      <c r="O1031">
        <v>5.7647058823529402</v>
      </c>
      <c r="P1031">
        <v>3.5</v>
      </c>
      <c r="Q1031">
        <v>42.5</v>
      </c>
      <c r="R1031">
        <v>0.1</v>
      </c>
      <c r="S1031">
        <v>6.6</v>
      </c>
      <c r="T1031">
        <v>-5.2</v>
      </c>
      <c r="U1031">
        <v>-4.7</v>
      </c>
      <c r="V1031">
        <v>6.4</v>
      </c>
      <c r="W1031">
        <v>0</v>
      </c>
      <c r="X1031">
        <v>8</v>
      </c>
      <c r="Y1031">
        <v>6.4</v>
      </c>
      <c r="Z1031">
        <v>23.8</v>
      </c>
      <c r="AA1031">
        <v>42.1</v>
      </c>
      <c r="AB1031">
        <v>207</v>
      </c>
      <c r="AC1031">
        <v>75</v>
      </c>
      <c r="AD1031">
        <v>27.9</v>
      </c>
      <c r="AE1031">
        <v>15.8</v>
      </c>
      <c r="AF1031">
        <v>43.110999999999997</v>
      </c>
      <c r="AG1031">
        <v>72.081999999999994</v>
      </c>
      <c r="AH1031">
        <v>56.542000000000002</v>
      </c>
      <c r="AI1031">
        <v>0.63600000000000001</v>
      </c>
      <c r="AJ1031">
        <v>66.257999999999996</v>
      </c>
      <c r="AK1031">
        <v>11.92</v>
      </c>
      <c r="AL1031">
        <v>-2.2290000000000001</v>
      </c>
      <c r="AM1031">
        <v>56.542000000000002</v>
      </c>
      <c r="AN1031">
        <v>72.081999999999994</v>
      </c>
      <c r="AO1031">
        <v>43.110999999999997</v>
      </c>
      <c r="AP1031">
        <v>2.2290000000000001</v>
      </c>
      <c r="AQ1031">
        <v>33.741999999999997</v>
      </c>
      <c r="AR1031">
        <v>99.364000000000004</v>
      </c>
      <c r="AS1031">
        <v>88.08</v>
      </c>
    </row>
    <row r="1032" spans="1:45" x14ac:dyDescent="0.25">
      <c r="A1032">
        <v>51</v>
      </c>
      <c r="B1032">
        <v>-3</v>
      </c>
      <c r="C1032">
        <v>0</v>
      </c>
      <c r="D1032">
        <v>2021</v>
      </c>
      <c r="E1032">
        <v>18</v>
      </c>
      <c r="F1032" t="str">
        <f>IFERROR(VLOOKUP(G1032, Map!$A$1:$B$33, 2, FALSE),"WAS")</f>
        <v>LA</v>
      </c>
      <c r="G1032" t="s">
        <v>155</v>
      </c>
      <c r="H1032" t="str">
        <f>IFERROR(VLOOKUP(I1032, Map!$A$1:$B$33, 2, FALSE),"WAS")</f>
        <v>SF</v>
      </c>
      <c r="I1032" t="s">
        <v>143</v>
      </c>
      <c r="J1032" t="s">
        <v>178</v>
      </c>
      <c r="K1032" t="s">
        <v>197</v>
      </c>
      <c r="L1032">
        <v>0</v>
      </c>
      <c r="M1032">
        <v>0</v>
      </c>
      <c r="N1032">
        <v>43.294117647058798</v>
      </c>
      <c r="O1032">
        <v>-3.1470588235294099</v>
      </c>
      <c r="P1032">
        <v>-3</v>
      </c>
      <c r="Q1032">
        <v>42.5</v>
      </c>
      <c r="R1032">
        <v>11</v>
      </c>
      <c r="S1032">
        <v>20.5</v>
      </c>
      <c r="T1032">
        <v>4.7</v>
      </c>
      <c r="U1032">
        <v>9.1</v>
      </c>
      <c r="V1032">
        <v>0</v>
      </c>
      <c r="W1032">
        <v>0</v>
      </c>
      <c r="X1032">
        <v>0</v>
      </c>
      <c r="Y1032">
        <v>0</v>
      </c>
      <c r="Z1032">
        <v>11.4</v>
      </c>
      <c r="AA1032">
        <v>16.600000000000001</v>
      </c>
      <c r="AB1032">
        <v>345</v>
      </c>
      <c r="AC1032">
        <v>75</v>
      </c>
      <c r="AD1032">
        <v>10.8</v>
      </c>
      <c r="AE1032">
        <v>6.4</v>
      </c>
      <c r="AF1032">
        <v>61.634</v>
      </c>
      <c r="AG1032">
        <v>81.655000000000001</v>
      </c>
      <c r="AH1032">
        <v>38.06</v>
      </c>
      <c r="AI1032">
        <v>27.919</v>
      </c>
      <c r="AJ1032">
        <v>62.036999999999999</v>
      </c>
      <c r="AK1032">
        <v>47.951999999999998</v>
      </c>
      <c r="AL1032">
        <v>3.9529999999999998</v>
      </c>
      <c r="AM1032">
        <v>38.06</v>
      </c>
      <c r="AN1032">
        <v>81.655000000000001</v>
      </c>
      <c r="AO1032">
        <v>61.634</v>
      </c>
      <c r="AP1032">
        <v>-3.9529999999999998</v>
      </c>
      <c r="AQ1032">
        <v>37.963000000000001</v>
      </c>
      <c r="AR1032">
        <v>72.081000000000003</v>
      </c>
      <c r="AS1032">
        <v>52.048000000000002</v>
      </c>
    </row>
    <row r="1033" spans="1:45" x14ac:dyDescent="0.25">
      <c r="A1033">
        <v>29</v>
      </c>
      <c r="B1033">
        <v>-15</v>
      </c>
      <c r="C1033">
        <v>0</v>
      </c>
      <c r="D1033">
        <v>2021</v>
      </c>
      <c r="E1033">
        <v>18</v>
      </c>
      <c r="F1033" t="str">
        <f>IFERROR(VLOOKUP(G1033, Map!$A$1:$B$33, 2, FALSE),"WAS")</f>
        <v>NYG</v>
      </c>
      <c r="G1033" t="s">
        <v>149</v>
      </c>
      <c r="H1033" t="str">
        <f>IFERROR(VLOOKUP(I1033, Map!$A$1:$B$33, 2, FALSE),"WAS")</f>
        <v>WAS</v>
      </c>
      <c r="I1033" t="s">
        <v>169</v>
      </c>
      <c r="J1033" t="s">
        <v>219</v>
      </c>
      <c r="K1033" t="s">
        <v>205</v>
      </c>
      <c r="L1033">
        <v>0</v>
      </c>
      <c r="M1033">
        <v>0</v>
      </c>
      <c r="N1033">
        <v>35.75</v>
      </c>
      <c r="O1033">
        <v>5.78125</v>
      </c>
      <c r="P1033">
        <v>6</v>
      </c>
      <c r="Q1033">
        <v>26.5</v>
      </c>
      <c r="R1033">
        <v>-1.5</v>
      </c>
      <c r="S1033">
        <v>3.8</v>
      </c>
      <c r="T1033">
        <v>-6.2</v>
      </c>
      <c r="U1033">
        <v>-6.2</v>
      </c>
      <c r="V1033">
        <v>2.8</v>
      </c>
      <c r="W1033">
        <v>0</v>
      </c>
      <c r="X1033">
        <v>8</v>
      </c>
      <c r="Y1033">
        <v>2.8</v>
      </c>
      <c r="Z1033">
        <v>20</v>
      </c>
      <c r="AA1033">
        <v>38.200000000000003</v>
      </c>
      <c r="AB1033">
        <v>209</v>
      </c>
      <c r="AC1033">
        <v>79</v>
      </c>
      <c r="AD1033">
        <v>27.4</v>
      </c>
      <c r="AE1033">
        <v>13.9</v>
      </c>
      <c r="AF1033">
        <v>41.374000000000002</v>
      </c>
      <c r="AG1033">
        <v>11.426</v>
      </c>
      <c r="AH1033">
        <v>58.293999999999997</v>
      </c>
      <c r="AI1033">
        <v>52.988999999999997</v>
      </c>
      <c r="AJ1033">
        <v>2.8660000000000001</v>
      </c>
      <c r="AK1033">
        <v>16.504999999999999</v>
      </c>
      <c r="AL1033">
        <v>-2.8159999999999998</v>
      </c>
      <c r="AM1033">
        <v>58.293999999999997</v>
      </c>
      <c r="AN1033">
        <v>11.426</v>
      </c>
      <c r="AO1033">
        <v>41.374000000000002</v>
      </c>
      <c r="AP1033">
        <v>2.8159999999999998</v>
      </c>
      <c r="AQ1033">
        <v>97.134</v>
      </c>
      <c r="AR1033">
        <v>47.011000000000003</v>
      </c>
      <c r="AS1033">
        <v>83.495000000000005</v>
      </c>
    </row>
    <row r="1034" spans="1:45" x14ac:dyDescent="0.25">
      <c r="A1034">
        <v>29</v>
      </c>
      <c r="B1034">
        <v>-3</v>
      </c>
      <c r="C1034">
        <v>0</v>
      </c>
      <c r="D1034">
        <v>2021</v>
      </c>
      <c r="E1034">
        <v>18</v>
      </c>
      <c r="F1034" t="str">
        <f>IFERROR(VLOOKUP(G1034, Map!$A$1:$B$33, 2, FALSE),"WAS")</f>
        <v>BAL</v>
      </c>
      <c r="G1034" t="s">
        <v>146</v>
      </c>
      <c r="H1034" t="str">
        <f>IFERROR(VLOOKUP(I1034, Map!$A$1:$B$33, 2, FALSE),"WAS")</f>
        <v>PIT</v>
      </c>
      <c r="I1034" t="s">
        <v>145</v>
      </c>
      <c r="J1034" t="s">
        <v>181</v>
      </c>
      <c r="K1034" t="s">
        <v>170</v>
      </c>
      <c r="L1034">
        <v>0</v>
      </c>
      <c r="M1034">
        <v>0</v>
      </c>
      <c r="N1034">
        <v>37.911764705882298</v>
      </c>
      <c r="O1034">
        <v>-2.6470588235294099</v>
      </c>
      <c r="P1034">
        <v>-2.5</v>
      </c>
      <c r="Q1034">
        <v>31.5</v>
      </c>
      <c r="R1034">
        <v>1.1000000000000001</v>
      </c>
      <c r="S1034">
        <v>8.1</v>
      </c>
      <c r="T1034">
        <v>-3.9</v>
      </c>
      <c r="U1034">
        <v>-3.3</v>
      </c>
      <c r="V1034">
        <v>5.9</v>
      </c>
      <c r="W1034">
        <v>0</v>
      </c>
      <c r="X1034">
        <v>9</v>
      </c>
      <c r="Y1034">
        <v>5.9</v>
      </c>
      <c r="Z1034">
        <v>23</v>
      </c>
      <c r="AA1034">
        <v>38.9</v>
      </c>
      <c r="AB1034">
        <v>200</v>
      </c>
      <c r="AC1034">
        <v>75</v>
      </c>
      <c r="AD1034">
        <v>24.4</v>
      </c>
      <c r="AE1034">
        <v>13.5</v>
      </c>
      <c r="AF1034">
        <v>56.816000000000003</v>
      </c>
      <c r="AG1034">
        <v>39.908999999999999</v>
      </c>
      <c r="AH1034">
        <v>42.84</v>
      </c>
      <c r="AI1034">
        <v>69.947999999999993</v>
      </c>
      <c r="AJ1034">
        <v>20.863</v>
      </c>
      <c r="AK1034">
        <v>43.81</v>
      </c>
      <c r="AL1034">
        <v>2.3210000000000002</v>
      </c>
      <c r="AM1034">
        <v>42.84</v>
      </c>
      <c r="AN1034">
        <v>39.908999999999999</v>
      </c>
      <c r="AO1034">
        <v>56.816000000000003</v>
      </c>
      <c r="AP1034">
        <v>-2.3210000000000002</v>
      </c>
      <c r="AQ1034">
        <v>79.137</v>
      </c>
      <c r="AR1034">
        <v>30.052</v>
      </c>
      <c r="AS1034">
        <v>56.19</v>
      </c>
    </row>
    <row r="1035" spans="1:45" x14ac:dyDescent="0.25">
      <c r="A1035">
        <v>68</v>
      </c>
      <c r="B1035">
        <v>-8</v>
      </c>
      <c r="C1035">
        <v>0</v>
      </c>
      <c r="D1035">
        <v>2021</v>
      </c>
      <c r="E1035">
        <v>18</v>
      </c>
      <c r="F1035" t="str">
        <f>IFERROR(VLOOKUP(G1035, Map!$A$1:$B$33, 2, FALSE),"WAS")</f>
        <v>ARI</v>
      </c>
      <c r="G1035" t="s">
        <v>156</v>
      </c>
      <c r="H1035" t="str">
        <f>IFERROR(VLOOKUP(I1035, Map!$A$1:$B$33, 2, FALSE),"WAS")</f>
        <v>SEA</v>
      </c>
      <c r="I1035" t="s">
        <v>144</v>
      </c>
      <c r="J1035" t="s">
        <v>190</v>
      </c>
      <c r="K1035" t="s">
        <v>182</v>
      </c>
      <c r="L1035">
        <v>0</v>
      </c>
      <c r="M1035">
        <v>0</v>
      </c>
      <c r="N1035">
        <v>46.558823529411796</v>
      </c>
      <c r="O1035">
        <v>-4.3235294117647101</v>
      </c>
      <c r="P1035">
        <v>3.5</v>
      </c>
      <c r="Q1035">
        <v>47.5</v>
      </c>
      <c r="R1035">
        <v>11.7</v>
      </c>
      <c r="S1035">
        <v>20.6</v>
      </c>
      <c r="T1035">
        <v>6.2</v>
      </c>
      <c r="U1035">
        <v>9.8000000000000007</v>
      </c>
      <c r="V1035">
        <v>0</v>
      </c>
      <c r="W1035">
        <v>0</v>
      </c>
      <c r="X1035">
        <v>0</v>
      </c>
      <c r="Y1035">
        <v>0</v>
      </c>
      <c r="Z1035">
        <v>7.9</v>
      </c>
      <c r="AA1035">
        <v>18.399999999999999</v>
      </c>
      <c r="AB1035">
        <v>232</v>
      </c>
      <c r="AC1035">
        <v>65</v>
      </c>
      <c r="AD1035">
        <v>9.9</v>
      </c>
      <c r="AE1035">
        <v>4.3</v>
      </c>
      <c r="AF1035">
        <v>64.915999999999997</v>
      </c>
      <c r="AG1035">
        <v>69.238</v>
      </c>
      <c r="AH1035">
        <v>34.804000000000002</v>
      </c>
      <c r="AI1035">
        <v>33.454999999999998</v>
      </c>
      <c r="AJ1035">
        <v>40.601999999999997</v>
      </c>
      <c r="AK1035">
        <v>31.035</v>
      </c>
      <c r="AL1035">
        <v>5.0990000000000002</v>
      </c>
      <c r="AM1035">
        <v>34.804000000000002</v>
      </c>
      <c r="AN1035">
        <v>69.238</v>
      </c>
      <c r="AO1035">
        <v>64.915999999999997</v>
      </c>
      <c r="AP1035">
        <v>-5.0990000000000002</v>
      </c>
      <c r="AQ1035">
        <v>59.398000000000003</v>
      </c>
      <c r="AR1035">
        <v>66.545000000000002</v>
      </c>
      <c r="AS1035">
        <v>68.965000000000003</v>
      </c>
    </row>
    <row r="1036" spans="1:45" x14ac:dyDescent="0.25">
      <c r="A1036">
        <v>52</v>
      </c>
      <c r="B1036">
        <v>-4</v>
      </c>
      <c r="C1036">
        <v>0</v>
      </c>
      <c r="D1036">
        <v>2021</v>
      </c>
      <c r="E1036">
        <v>18</v>
      </c>
      <c r="F1036" t="str">
        <f>IFERROR(VLOOKUP(G1036, Map!$A$1:$B$33, 2, FALSE),"WAS")</f>
        <v>DEN</v>
      </c>
      <c r="G1036" t="s">
        <v>159</v>
      </c>
      <c r="H1036" t="str">
        <f>IFERROR(VLOOKUP(I1036, Map!$A$1:$B$33, 2, FALSE),"WAS")</f>
        <v>KC</v>
      </c>
      <c r="I1036" t="s">
        <v>158</v>
      </c>
      <c r="J1036" t="s">
        <v>183</v>
      </c>
      <c r="K1036" t="s">
        <v>202</v>
      </c>
      <c r="L1036">
        <v>0</v>
      </c>
      <c r="M1036">
        <v>0</v>
      </c>
      <c r="N1036">
        <v>42.323529411764703</v>
      </c>
      <c r="O1036">
        <v>9.2352941176470598</v>
      </c>
      <c r="P1036">
        <v>1.5</v>
      </c>
      <c r="Q1036">
        <v>44.5</v>
      </c>
      <c r="R1036">
        <v>-1.9</v>
      </c>
      <c r="S1036">
        <v>5</v>
      </c>
      <c r="T1036">
        <v>-9.5</v>
      </c>
      <c r="U1036">
        <v>-6.2</v>
      </c>
      <c r="V1036">
        <v>0</v>
      </c>
      <c r="W1036">
        <v>0</v>
      </c>
      <c r="X1036">
        <v>0</v>
      </c>
      <c r="Y1036">
        <v>0</v>
      </c>
      <c r="Z1036">
        <v>15.7</v>
      </c>
      <c r="AA1036">
        <v>25.9</v>
      </c>
      <c r="AB1036">
        <v>223</v>
      </c>
      <c r="AC1036">
        <v>73</v>
      </c>
      <c r="AD1036">
        <v>16.3</v>
      </c>
      <c r="AE1036">
        <v>9.6</v>
      </c>
      <c r="AF1036">
        <v>34.89</v>
      </c>
      <c r="AG1036">
        <v>72.837999999999994</v>
      </c>
      <c r="AH1036">
        <v>64.83</v>
      </c>
      <c r="AI1036">
        <v>25.486999999999998</v>
      </c>
      <c r="AJ1036">
        <v>52.942</v>
      </c>
      <c r="AK1036">
        <v>37.96</v>
      </c>
      <c r="AL1036">
        <v>-5.0679999999999996</v>
      </c>
      <c r="AM1036">
        <v>64.83</v>
      </c>
      <c r="AN1036">
        <v>72.837999999999994</v>
      </c>
      <c r="AO1036">
        <v>34.89</v>
      </c>
      <c r="AP1036">
        <v>5.0679999999999996</v>
      </c>
      <c r="AQ1036">
        <v>47.058</v>
      </c>
      <c r="AR1036">
        <v>74.513000000000005</v>
      </c>
      <c r="AS1036">
        <v>62.04</v>
      </c>
    </row>
    <row r="1037" spans="1:45" x14ac:dyDescent="0.25">
      <c r="A1037">
        <v>67</v>
      </c>
      <c r="B1037">
        <v>3</v>
      </c>
      <c r="C1037">
        <v>1</v>
      </c>
      <c r="D1037">
        <v>2021</v>
      </c>
      <c r="E1037">
        <v>18</v>
      </c>
      <c r="F1037" t="str">
        <f>IFERROR(VLOOKUP(G1037, Map!$A$1:$B$33, 2, FALSE),"WAS")</f>
        <v>LV</v>
      </c>
      <c r="G1037" t="s">
        <v>157</v>
      </c>
      <c r="H1037" t="str">
        <f>IFERROR(VLOOKUP(I1037, Map!$A$1:$B$33, 2, FALSE),"WAS")</f>
        <v>LAC</v>
      </c>
      <c r="I1037" t="s">
        <v>160</v>
      </c>
      <c r="J1037" t="s">
        <v>179</v>
      </c>
      <c r="K1037" t="s">
        <v>210</v>
      </c>
      <c r="L1037">
        <v>1</v>
      </c>
      <c r="M1037">
        <v>0</v>
      </c>
      <c r="N1037">
        <v>50.09375</v>
      </c>
      <c r="O1037">
        <v>2.75</v>
      </c>
      <c r="P1037">
        <v>2.5</v>
      </c>
      <c r="Q1037">
        <v>48.5</v>
      </c>
      <c r="R1037">
        <v>9.9</v>
      </c>
      <c r="S1037">
        <v>15.5</v>
      </c>
      <c r="T1037">
        <v>3.5</v>
      </c>
      <c r="U1037">
        <v>6</v>
      </c>
      <c r="V1037">
        <v>0</v>
      </c>
      <c r="W1037">
        <v>0</v>
      </c>
      <c r="X1037">
        <v>0</v>
      </c>
      <c r="Y1037">
        <v>0</v>
      </c>
      <c r="Z1037">
        <v>16.8</v>
      </c>
      <c r="AA1037">
        <v>32</v>
      </c>
      <c r="AB1037">
        <v>341</v>
      </c>
      <c r="AC1037">
        <v>29</v>
      </c>
      <c r="AD1037">
        <v>11.1</v>
      </c>
      <c r="AE1037">
        <v>5.6</v>
      </c>
      <c r="AF1037">
        <v>41.481000000000002</v>
      </c>
      <c r="AG1037">
        <v>47.325000000000003</v>
      </c>
      <c r="AH1037">
        <v>58.185000000000002</v>
      </c>
      <c r="AI1037">
        <v>36.183</v>
      </c>
      <c r="AJ1037">
        <v>72.182000000000002</v>
      </c>
      <c r="AK1037">
        <v>67.503</v>
      </c>
      <c r="AL1037">
        <v>-2.78</v>
      </c>
      <c r="AM1037">
        <v>58.185000000000002</v>
      </c>
      <c r="AN1037">
        <v>47.325000000000003</v>
      </c>
      <c r="AO1037">
        <v>41.481000000000002</v>
      </c>
      <c r="AP1037">
        <v>2.78</v>
      </c>
      <c r="AQ1037">
        <v>27.818000000000001</v>
      </c>
      <c r="AR1037">
        <v>63.817</v>
      </c>
      <c r="AS1037">
        <v>32.497</v>
      </c>
    </row>
    <row r="1038" spans="1:45" x14ac:dyDescent="0.25">
      <c r="A1038">
        <v>67</v>
      </c>
      <c r="B1038">
        <v>7</v>
      </c>
      <c r="C1038">
        <v>1</v>
      </c>
      <c r="D1038">
        <v>2021</v>
      </c>
      <c r="E1038">
        <v>18</v>
      </c>
      <c r="F1038" t="str">
        <f>IFERROR(VLOOKUP(G1038, Map!$A$1:$B$33, 2, FALSE),"WAS")</f>
        <v>DET</v>
      </c>
      <c r="G1038" t="s">
        <v>164</v>
      </c>
      <c r="H1038" t="str">
        <f>IFERROR(VLOOKUP(I1038, Map!$A$1:$B$33, 2, FALSE),"WAS")</f>
        <v>GB</v>
      </c>
      <c r="I1038" t="s">
        <v>154</v>
      </c>
      <c r="J1038" t="s">
        <v>173</v>
      </c>
      <c r="K1038" t="s">
        <v>200</v>
      </c>
      <c r="L1038">
        <v>1</v>
      </c>
      <c r="M1038">
        <v>0</v>
      </c>
      <c r="N1038">
        <v>42.911764705882298</v>
      </c>
      <c r="O1038">
        <v>3.2352941176470602</v>
      </c>
      <c r="P1038">
        <v>-2.5</v>
      </c>
      <c r="Q1038">
        <v>44.5</v>
      </c>
      <c r="R1038">
        <v>0.8</v>
      </c>
      <c r="S1038">
        <v>2.9</v>
      </c>
      <c r="T1038">
        <v>-6.5</v>
      </c>
      <c r="U1038">
        <v>-5.6</v>
      </c>
      <c r="V1038">
        <v>1.7</v>
      </c>
      <c r="W1038">
        <v>0</v>
      </c>
      <c r="X1038">
        <v>12</v>
      </c>
      <c r="Y1038">
        <v>1.7</v>
      </c>
      <c r="Z1038">
        <v>38.4</v>
      </c>
      <c r="AA1038">
        <v>61.9</v>
      </c>
      <c r="AB1038">
        <v>248</v>
      </c>
      <c r="AC1038">
        <v>72</v>
      </c>
      <c r="AD1038">
        <v>42.3</v>
      </c>
      <c r="AE1038">
        <v>26.1</v>
      </c>
      <c r="AF1038">
        <v>20.105</v>
      </c>
      <c r="AG1038">
        <v>47.307000000000002</v>
      </c>
      <c r="AH1038">
        <v>79.733000000000004</v>
      </c>
      <c r="AI1038">
        <v>36.231000000000002</v>
      </c>
      <c r="AJ1038">
        <v>89.748000000000005</v>
      </c>
      <c r="AK1038">
        <v>65.709000000000003</v>
      </c>
      <c r="AL1038">
        <v>-11.006</v>
      </c>
      <c r="AM1038">
        <v>79.733000000000004</v>
      </c>
      <c r="AN1038">
        <v>47.307000000000002</v>
      </c>
      <c r="AO1038">
        <v>20.105</v>
      </c>
      <c r="AP1038">
        <v>11.006</v>
      </c>
      <c r="AQ1038">
        <v>10.252000000000001</v>
      </c>
      <c r="AR1038">
        <v>63.768999999999998</v>
      </c>
      <c r="AS1038">
        <v>34.290999999999997</v>
      </c>
    </row>
    <row r="1039" spans="1:45" x14ac:dyDescent="0.25">
      <c r="A1039">
        <v>37</v>
      </c>
      <c r="B1039">
        <v>17</v>
      </c>
      <c r="C1039">
        <v>1</v>
      </c>
      <c r="D1039">
        <v>2021</v>
      </c>
      <c r="E1039">
        <v>18</v>
      </c>
      <c r="F1039" t="str">
        <f>IFERROR(VLOOKUP(G1039, Map!$A$1:$B$33, 2, FALSE),"WAS")</f>
        <v>BUF</v>
      </c>
      <c r="G1039" t="s">
        <v>165</v>
      </c>
      <c r="H1039" t="str">
        <f>IFERROR(VLOOKUP(I1039, Map!$A$1:$B$33, 2, FALSE),"WAS")</f>
        <v>NYJ</v>
      </c>
      <c r="I1039" t="s">
        <v>166</v>
      </c>
      <c r="J1039" t="s">
        <v>180</v>
      </c>
      <c r="K1039" t="s">
        <v>172</v>
      </c>
      <c r="L1039">
        <v>1</v>
      </c>
      <c r="M1039">
        <v>0</v>
      </c>
      <c r="N1039">
        <v>39.21875</v>
      </c>
      <c r="O1039">
        <v>-13.34375</v>
      </c>
      <c r="P1039">
        <v>-6.5</v>
      </c>
      <c r="Q1039">
        <v>32.5</v>
      </c>
      <c r="R1039">
        <v>6.2</v>
      </c>
      <c r="S1039">
        <v>14.5</v>
      </c>
      <c r="T1039">
        <v>-0.4</v>
      </c>
      <c r="U1039">
        <v>3.2</v>
      </c>
      <c r="V1039">
        <v>1.5</v>
      </c>
      <c r="W1039">
        <v>0</v>
      </c>
      <c r="X1039">
        <v>5</v>
      </c>
      <c r="Y1039">
        <v>1.5</v>
      </c>
      <c r="Z1039">
        <v>16</v>
      </c>
      <c r="AA1039">
        <v>29.9</v>
      </c>
      <c r="AB1039">
        <v>192</v>
      </c>
      <c r="AC1039">
        <v>70</v>
      </c>
      <c r="AD1039">
        <v>17.2</v>
      </c>
      <c r="AE1039">
        <v>9</v>
      </c>
      <c r="AF1039">
        <v>92.355000000000004</v>
      </c>
      <c r="AG1039">
        <v>49.984999999999999</v>
      </c>
      <c r="AH1039">
        <v>7.5839999999999996</v>
      </c>
      <c r="AI1039">
        <v>97.418000000000006</v>
      </c>
      <c r="AJ1039">
        <v>38.557000000000002</v>
      </c>
      <c r="AK1039">
        <v>77.259</v>
      </c>
      <c r="AL1039">
        <v>18.867000000000001</v>
      </c>
      <c r="AM1039">
        <v>7.5839999999999996</v>
      </c>
      <c r="AN1039">
        <v>49.984999999999999</v>
      </c>
      <c r="AO1039">
        <v>92.355000000000004</v>
      </c>
      <c r="AP1039">
        <v>-18.867000000000001</v>
      </c>
      <c r="AQ1039">
        <v>61.442999999999998</v>
      </c>
      <c r="AR1039">
        <v>2.5819999999999999</v>
      </c>
      <c r="AS1039">
        <v>22.741</v>
      </c>
    </row>
    <row r="1040" spans="1:45" x14ac:dyDescent="0.25">
      <c r="A1040">
        <v>37</v>
      </c>
      <c r="B1040">
        <v>5</v>
      </c>
      <c r="C1040">
        <v>1</v>
      </c>
      <c r="D1040">
        <v>2021</v>
      </c>
      <c r="E1040">
        <v>18</v>
      </c>
      <c r="F1040" t="str">
        <f>IFERROR(VLOOKUP(G1040, Map!$A$1:$B$33, 2, FALSE),"WAS")</f>
        <v>CLE</v>
      </c>
      <c r="G1040" t="s">
        <v>162</v>
      </c>
      <c r="H1040" t="str">
        <f>IFERROR(VLOOKUP(I1040, Map!$A$1:$B$33, 2, FALSE),"WAS")</f>
        <v>CIN</v>
      </c>
      <c r="I1040" t="s">
        <v>161</v>
      </c>
      <c r="J1040" t="s">
        <v>171</v>
      </c>
      <c r="K1040" t="s">
        <v>176</v>
      </c>
      <c r="L1040">
        <v>1</v>
      </c>
      <c r="M1040">
        <v>0</v>
      </c>
      <c r="N1040">
        <v>35.735294117647101</v>
      </c>
      <c r="O1040">
        <v>-5.6470588235294104</v>
      </c>
      <c r="P1040">
        <v>-5</v>
      </c>
      <c r="Q1040">
        <v>37.5</v>
      </c>
      <c r="R1040">
        <v>3.1</v>
      </c>
      <c r="S1040">
        <v>4.9000000000000004</v>
      </c>
      <c r="T1040">
        <v>-1.1000000000000001</v>
      </c>
      <c r="U1040">
        <v>-3.2</v>
      </c>
      <c r="V1040">
        <v>5.6</v>
      </c>
      <c r="W1040">
        <v>0</v>
      </c>
      <c r="X1040">
        <v>12</v>
      </c>
      <c r="Y1040">
        <v>5.6</v>
      </c>
      <c r="Z1040">
        <v>42.5</v>
      </c>
      <c r="AA1040">
        <v>67</v>
      </c>
      <c r="AB1040">
        <v>237</v>
      </c>
      <c r="AC1040">
        <v>72</v>
      </c>
      <c r="AD1040">
        <v>43.6</v>
      </c>
      <c r="AE1040">
        <v>27.5</v>
      </c>
      <c r="AF1040">
        <v>54.548000000000002</v>
      </c>
      <c r="AG1040">
        <v>41.131</v>
      </c>
      <c r="AH1040">
        <v>45.09</v>
      </c>
      <c r="AI1040">
        <v>83.661000000000001</v>
      </c>
      <c r="AJ1040">
        <v>51.026000000000003</v>
      </c>
      <c r="AK1040">
        <v>73.046000000000006</v>
      </c>
      <c r="AL1040">
        <v>1.5660000000000001</v>
      </c>
      <c r="AM1040">
        <v>45.09</v>
      </c>
      <c r="AN1040">
        <v>41.131</v>
      </c>
      <c r="AO1040">
        <v>54.548000000000002</v>
      </c>
      <c r="AP1040">
        <v>-1.5660000000000001</v>
      </c>
      <c r="AQ1040">
        <v>48.973999999999997</v>
      </c>
      <c r="AR1040">
        <v>16.338999999999999</v>
      </c>
      <c r="AS1040">
        <v>26.954000000000001</v>
      </c>
    </row>
    <row r="1041" spans="1:45" x14ac:dyDescent="0.25">
      <c r="A1041">
        <v>50</v>
      </c>
      <c r="B1041">
        <v>-10</v>
      </c>
      <c r="C1041">
        <v>0</v>
      </c>
      <c r="D1041">
        <v>2021</v>
      </c>
      <c r="E1041">
        <v>18</v>
      </c>
      <c r="F1041" t="str">
        <f>IFERROR(VLOOKUP(G1041, Map!$A$1:$B$33, 2, FALSE),"WAS")</f>
        <v>ATL</v>
      </c>
      <c r="G1041" t="s">
        <v>167</v>
      </c>
      <c r="H1041" t="str">
        <f>IFERROR(VLOOKUP(I1041, Map!$A$1:$B$33, 2, FALSE),"WAS")</f>
        <v>NO</v>
      </c>
      <c r="I1041" t="s">
        <v>168</v>
      </c>
      <c r="J1041" t="s">
        <v>188</v>
      </c>
      <c r="K1041" t="s">
        <v>192</v>
      </c>
      <c r="L1041">
        <v>0</v>
      </c>
      <c r="M1041">
        <v>0</v>
      </c>
      <c r="N1041">
        <v>38.03125</v>
      </c>
      <c r="O1041">
        <v>4.625</v>
      </c>
      <c r="P1041">
        <v>3.5</v>
      </c>
      <c r="Q1041">
        <v>40</v>
      </c>
      <c r="R1041">
        <v>8</v>
      </c>
      <c r="S1041">
        <v>16.7</v>
      </c>
      <c r="T1041">
        <v>3.1</v>
      </c>
      <c r="U1041">
        <v>4.5</v>
      </c>
      <c r="V1041">
        <v>12.2</v>
      </c>
      <c r="W1041">
        <v>0</v>
      </c>
      <c r="X1041">
        <v>6</v>
      </c>
      <c r="Y1041">
        <v>12.2</v>
      </c>
      <c r="Z1041">
        <v>21</v>
      </c>
      <c r="AA1041">
        <v>41.4</v>
      </c>
      <c r="AB1041">
        <v>120</v>
      </c>
      <c r="AC1041">
        <v>77</v>
      </c>
      <c r="AD1041">
        <v>28.3</v>
      </c>
      <c r="AE1041">
        <v>15.6</v>
      </c>
      <c r="AF1041">
        <v>37.450000000000003</v>
      </c>
      <c r="AG1041">
        <v>32.881999999999998</v>
      </c>
      <c r="AH1041">
        <v>62.249000000000002</v>
      </c>
      <c r="AI1041">
        <v>13.79</v>
      </c>
      <c r="AJ1041">
        <v>6.1779999999999999</v>
      </c>
      <c r="AK1041">
        <v>10.465999999999999</v>
      </c>
      <c r="AL1041">
        <v>-4.165</v>
      </c>
      <c r="AM1041">
        <v>62.249000000000002</v>
      </c>
      <c r="AN1041">
        <v>32.881999999999998</v>
      </c>
      <c r="AO1041">
        <v>37.450000000000003</v>
      </c>
      <c r="AP1041">
        <v>4.165</v>
      </c>
      <c r="AQ1041">
        <v>93.822000000000003</v>
      </c>
      <c r="AR1041">
        <v>86.21</v>
      </c>
      <c r="AS1041">
        <v>89.534000000000006</v>
      </c>
    </row>
    <row r="1042" spans="1:45" x14ac:dyDescent="0.25">
      <c r="A1042">
        <v>22</v>
      </c>
      <c r="B1042">
        <v>-16</v>
      </c>
      <c r="C1042">
        <v>0</v>
      </c>
      <c r="D1042">
        <v>2022</v>
      </c>
      <c r="E1042">
        <v>1</v>
      </c>
      <c r="F1042" t="str">
        <f>IFERROR(VLOOKUP(G1042, Map!$A$1:$B$33, 2, FALSE),"WAS")</f>
        <v>DAL</v>
      </c>
      <c r="G1042" t="s">
        <v>150</v>
      </c>
      <c r="H1042" t="str">
        <f>IFERROR(VLOOKUP(I1042, Map!$A$1:$B$33, 2, FALSE),"WAS")</f>
        <v>TB</v>
      </c>
      <c r="I1042" t="s">
        <v>141</v>
      </c>
      <c r="J1042" t="s">
        <v>184</v>
      </c>
      <c r="K1042" t="s">
        <v>186</v>
      </c>
      <c r="L1042">
        <v>0</v>
      </c>
      <c r="M1042">
        <v>0</v>
      </c>
      <c r="N1042">
        <v>44.96875</v>
      </c>
      <c r="O1042">
        <v>3.03125</v>
      </c>
      <c r="P1042">
        <v>1.5</v>
      </c>
      <c r="Q1042">
        <v>23.5</v>
      </c>
      <c r="R1042">
        <v>24.4</v>
      </c>
      <c r="S1042">
        <v>29.6</v>
      </c>
      <c r="T1042">
        <v>19.600000000000001</v>
      </c>
      <c r="U1042">
        <v>24.9</v>
      </c>
      <c r="V1042">
        <v>0</v>
      </c>
      <c r="W1042">
        <v>0</v>
      </c>
      <c r="X1042">
        <v>0</v>
      </c>
      <c r="Y1042">
        <v>0</v>
      </c>
      <c r="Z1042">
        <v>10.6</v>
      </c>
      <c r="AA1042">
        <v>26.6</v>
      </c>
      <c r="AB1042">
        <v>25</v>
      </c>
      <c r="AC1042">
        <v>50</v>
      </c>
      <c r="AD1042">
        <v>13.8</v>
      </c>
      <c r="AE1042">
        <v>5.5</v>
      </c>
      <c r="AF1042">
        <v>38.435000000000002</v>
      </c>
      <c r="AG1042">
        <v>0</v>
      </c>
      <c r="AH1042">
        <v>61.106000000000002</v>
      </c>
      <c r="AI1042">
        <v>45.57</v>
      </c>
      <c r="AJ1042">
        <v>5.6289999999999996</v>
      </c>
      <c r="AK1042">
        <v>15.943</v>
      </c>
      <c r="AL1042">
        <v>-3.3639999999999999</v>
      </c>
      <c r="AM1042">
        <v>61.106000000000002</v>
      </c>
      <c r="AN1042">
        <v>0</v>
      </c>
      <c r="AO1042">
        <v>38.435000000000002</v>
      </c>
      <c r="AP1042">
        <v>3.3639999999999999</v>
      </c>
      <c r="AQ1042">
        <v>94.370999999999995</v>
      </c>
      <c r="AR1042">
        <v>54.43</v>
      </c>
      <c r="AS1042">
        <v>84.057000000000002</v>
      </c>
    </row>
    <row r="1043" spans="1:45" x14ac:dyDescent="0.25">
      <c r="A1043">
        <v>29</v>
      </c>
      <c r="B1043">
        <v>9</v>
      </c>
      <c r="C1043">
        <v>1</v>
      </c>
      <c r="D1043">
        <v>2022</v>
      </c>
      <c r="E1043">
        <v>1</v>
      </c>
      <c r="F1043" t="str">
        <f>IFERROR(VLOOKUP(G1043, Map!$A$1:$B$33, 2, FALSE),"WAS")</f>
        <v>CHI</v>
      </c>
      <c r="G1043" t="s">
        <v>163</v>
      </c>
      <c r="H1043" t="str">
        <f>IFERROR(VLOOKUP(I1043, Map!$A$1:$B$33, 2, FALSE),"WAS")</f>
        <v>SF</v>
      </c>
      <c r="I1043" t="s">
        <v>143</v>
      </c>
      <c r="J1043" t="s">
        <v>216</v>
      </c>
      <c r="K1043" t="s">
        <v>197</v>
      </c>
      <c r="L1043">
        <v>1</v>
      </c>
      <c r="M1043">
        <v>0</v>
      </c>
      <c r="N1043">
        <v>35.299999999999997</v>
      </c>
      <c r="O1043">
        <v>5</v>
      </c>
      <c r="P1043">
        <v>6</v>
      </c>
      <c r="Q1043">
        <v>31.5</v>
      </c>
      <c r="R1043">
        <v>20.399999999999999</v>
      </c>
      <c r="S1043">
        <v>24.7</v>
      </c>
      <c r="T1043">
        <v>15.7</v>
      </c>
      <c r="U1043">
        <v>21.9</v>
      </c>
      <c r="V1043">
        <v>38.700000000000003</v>
      </c>
      <c r="W1043">
        <v>0</v>
      </c>
      <c r="X1043">
        <v>13</v>
      </c>
      <c r="Y1043">
        <v>38.700000000000003</v>
      </c>
      <c r="Z1043">
        <v>54</v>
      </c>
      <c r="AA1043">
        <v>80.599999999999994</v>
      </c>
      <c r="AB1043">
        <v>345</v>
      </c>
      <c r="AC1043">
        <v>90</v>
      </c>
      <c r="AD1043">
        <v>21.2</v>
      </c>
      <c r="AE1043">
        <v>12</v>
      </c>
      <c r="AF1043">
        <v>31.684000000000001</v>
      </c>
      <c r="AG1043">
        <v>0</v>
      </c>
      <c r="AH1043">
        <v>67.965999999999994</v>
      </c>
      <c r="AI1043">
        <v>77.346999999999994</v>
      </c>
      <c r="AJ1043">
        <v>54.335000000000001</v>
      </c>
      <c r="AK1043">
        <v>68.668999999999997</v>
      </c>
      <c r="AL1043">
        <v>-5.4610000000000003</v>
      </c>
      <c r="AM1043">
        <v>67.965999999999994</v>
      </c>
      <c r="AN1043">
        <v>0</v>
      </c>
      <c r="AO1043">
        <v>31.684000000000001</v>
      </c>
      <c r="AP1043">
        <v>5.4610000000000003</v>
      </c>
      <c r="AQ1043">
        <v>45.664999999999999</v>
      </c>
      <c r="AR1043">
        <v>22.652999999999999</v>
      </c>
      <c r="AS1043">
        <v>31.331</v>
      </c>
    </row>
    <row r="1044" spans="1:45" x14ac:dyDescent="0.25">
      <c r="A1044">
        <v>40</v>
      </c>
      <c r="B1044">
        <v>0</v>
      </c>
      <c r="C1044">
        <v>0</v>
      </c>
      <c r="D1044">
        <v>2022</v>
      </c>
      <c r="E1044">
        <v>1</v>
      </c>
      <c r="F1044" t="str">
        <f>IFERROR(VLOOKUP(G1044, Map!$A$1:$B$33, 2, FALSE),"WAS")</f>
        <v>HOU</v>
      </c>
      <c r="G1044" t="s">
        <v>137</v>
      </c>
      <c r="H1044" t="str">
        <f>IFERROR(VLOOKUP(I1044, Map!$A$1:$B$33, 2, FALSE),"WAS")</f>
        <v>IND</v>
      </c>
      <c r="I1044" t="s">
        <v>138</v>
      </c>
      <c r="J1044" t="s">
        <v>209</v>
      </c>
      <c r="K1044" t="s">
        <v>177</v>
      </c>
      <c r="L1044">
        <v>0</v>
      </c>
      <c r="M1044">
        <v>0</v>
      </c>
      <c r="N1044">
        <v>42.566666666666698</v>
      </c>
      <c r="O1044">
        <v>6.3333333333333304</v>
      </c>
      <c r="P1044">
        <v>2.5</v>
      </c>
      <c r="Q1044">
        <v>44.5</v>
      </c>
      <c r="R1044">
        <v>26.6</v>
      </c>
      <c r="S1044">
        <v>32.1</v>
      </c>
      <c r="T1044">
        <v>22</v>
      </c>
      <c r="U1044">
        <v>29.9</v>
      </c>
      <c r="V1044">
        <v>0</v>
      </c>
      <c r="W1044">
        <v>0</v>
      </c>
      <c r="X1044">
        <v>0</v>
      </c>
      <c r="Y1044">
        <v>0</v>
      </c>
      <c r="Z1044">
        <v>12.5</v>
      </c>
      <c r="AA1044">
        <v>26.3</v>
      </c>
      <c r="AB1044">
        <v>311</v>
      </c>
      <c r="AC1044">
        <v>72</v>
      </c>
      <c r="AD1044">
        <v>15.1</v>
      </c>
      <c r="AE1044">
        <v>8.1</v>
      </c>
      <c r="AF1044">
        <v>27.881</v>
      </c>
      <c r="AG1044">
        <v>0</v>
      </c>
      <c r="AH1044">
        <v>71.825999999999993</v>
      </c>
      <c r="AI1044">
        <v>57.679000000000002</v>
      </c>
      <c r="AJ1044">
        <v>38.726999999999997</v>
      </c>
      <c r="AK1044">
        <v>55.107999999999997</v>
      </c>
      <c r="AL1044">
        <v>-6.7549999999999999</v>
      </c>
      <c r="AM1044">
        <v>71.825999999999993</v>
      </c>
      <c r="AN1044">
        <v>0</v>
      </c>
      <c r="AO1044">
        <v>27.881</v>
      </c>
      <c r="AP1044">
        <v>6.7549999999999999</v>
      </c>
      <c r="AQ1044">
        <v>61.273000000000003</v>
      </c>
      <c r="AR1044">
        <v>42.320999999999998</v>
      </c>
      <c r="AS1044">
        <v>44.892000000000003</v>
      </c>
    </row>
    <row r="1045" spans="1:45" x14ac:dyDescent="0.25">
      <c r="A1045">
        <v>33</v>
      </c>
      <c r="B1045">
        <v>1</v>
      </c>
      <c r="C1045">
        <v>1</v>
      </c>
      <c r="D1045">
        <v>2022</v>
      </c>
      <c r="E1045">
        <v>1</v>
      </c>
      <c r="F1045" t="str">
        <f>IFERROR(VLOOKUP(G1045, Map!$A$1:$B$33, 2, FALSE),"WAS")</f>
        <v>SEA</v>
      </c>
      <c r="G1045" t="s">
        <v>144</v>
      </c>
      <c r="H1045" t="str">
        <f>IFERROR(VLOOKUP(I1045, Map!$A$1:$B$33, 2, FALSE),"WAS")</f>
        <v>DEN</v>
      </c>
      <c r="I1045" t="s">
        <v>159</v>
      </c>
      <c r="J1045" t="s">
        <v>182</v>
      </c>
      <c r="K1045" t="s">
        <v>183</v>
      </c>
      <c r="L1045">
        <v>1</v>
      </c>
      <c r="M1045">
        <v>0</v>
      </c>
      <c r="N1045">
        <v>39.9</v>
      </c>
      <c r="O1045">
        <v>5.1666666666666696</v>
      </c>
      <c r="P1045">
        <v>-0.5</v>
      </c>
      <c r="Q1045">
        <v>34.5</v>
      </c>
      <c r="R1045">
        <v>17.600000000000001</v>
      </c>
      <c r="S1045">
        <v>22.3</v>
      </c>
      <c r="T1045">
        <v>15.2</v>
      </c>
      <c r="U1045">
        <v>17.3</v>
      </c>
      <c r="V1045">
        <v>0.2</v>
      </c>
      <c r="W1045">
        <v>0</v>
      </c>
      <c r="X1045">
        <v>2</v>
      </c>
      <c r="Y1045">
        <v>0.2</v>
      </c>
      <c r="Z1045">
        <v>11.9</v>
      </c>
      <c r="AA1045">
        <v>27.4</v>
      </c>
      <c r="AB1045">
        <v>12</v>
      </c>
      <c r="AC1045">
        <v>72</v>
      </c>
      <c r="AD1045">
        <v>17.3</v>
      </c>
      <c r="AE1045">
        <v>7.4</v>
      </c>
      <c r="AF1045">
        <v>33.921999999999997</v>
      </c>
      <c r="AG1045">
        <v>0</v>
      </c>
      <c r="AH1045">
        <v>65.694999999999993</v>
      </c>
      <c r="AI1045">
        <v>45.744999999999997</v>
      </c>
      <c r="AJ1045">
        <v>53.436999999999998</v>
      </c>
      <c r="AK1045">
        <v>53.337000000000003</v>
      </c>
      <c r="AL1045">
        <v>-4.7430000000000003</v>
      </c>
      <c r="AM1045">
        <v>65.694999999999993</v>
      </c>
      <c r="AN1045">
        <v>0</v>
      </c>
      <c r="AO1045">
        <v>33.921999999999997</v>
      </c>
      <c r="AP1045">
        <v>4.7430000000000003</v>
      </c>
      <c r="AQ1045">
        <v>46.563000000000002</v>
      </c>
      <c r="AR1045">
        <v>54.255000000000003</v>
      </c>
      <c r="AS1045">
        <v>46.662999999999997</v>
      </c>
    </row>
    <row r="1046" spans="1:45" x14ac:dyDescent="0.25">
      <c r="A1046">
        <v>41</v>
      </c>
      <c r="B1046">
        <v>-21</v>
      </c>
      <c r="C1046">
        <v>0</v>
      </c>
      <c r="D1046">
        <v>2022</v>
      </c>
      <c r="E1046">
        <v>1</v>
      </c>
      <c r="F1046" t="str">
        <f>IFERROR(VLOOKUP(G1046, Map!$A$1:$B$33, 2, FALSE),"WAS")</f>
        <v>LA</v>
      </c>
      <c r="G1046" t="s">
        <v>155</v>
      </c>
      <c r="H1046" t="str">
        <f>IFERROR(VLOOKUP(I1046, Map!$A$1:$B$33, 2, FALSE),"WAS")</f>
        <v>BUF</v>
      </c>
      <c r="I1046" t="s">
        <v>165</v>
      </c>
      <c r="J1046" t="s">
        <v>178</v>
      </c>
      <c r="K1046" t="s">
        <v>180</v>
      </c>
      <c r="L1046">
        <v>0</v>
      </c>
      <c r="M1046">
        <v>0</v>
      </c>
      <c r="N1046">
        <v>48.625</v>
      </c>
      <c r="O1046">
        <v>2.6875</v>
      </c>
      <c r="P1046">
        <v>-1</v>
      </c>
      <c r="Q1046">
        <v>47.5</v>
      </c>
      <c r="R1046">
        <v>30.9</v>
      </c>
      <c r="S1046">
        <v>40.799999999999997</v>
      </c>
      <c r="T1046">
        <v>25.8</v>
      </c>
      <c r="U1046">
        <v>31.2</v>
      </c>
      <c r="V1046">
        <v>0.1</v>
      </c>
      <c r="W1046">
        <v>0</v>
      </c>
      <c r="X1046">
        <v>1</v>
      </c>
      <c r="Y1046">
        <v>0.1</v>
      </c>
      <c r="Z1046">
        <v>39</v>
      </c>
      <c r="AA1046">
        <v>60.5</v>
      </c>
      <c r="AB1046">
        <v>128</v>
      </c>
      <c r="AC1046">
        <v>45</v>
      </c>
      <c r="AD1046">
        <v>26.5</v>
      </c>
      <c r="AE1046">
        <v>15.1</v>
      </c>
      <c r="AF1046">
        <v>55.734999999999999</v>
      </c>
      <c r="AG1046">
        <v>0</v>
      </c>
      <c r="AH1046">
        <v>43.703000000000003</v>
      </c>
      <c r="AI1046">
        <v>25.751000000000001</v>
      </c>
      <c r="AJ1046">
        <v>15.034000000000001</v>
      </c>
      <c r="AK1046">
        <v>11.992000000000001</v>
      </c>
      <c r="AL1046">
        <v>1.651</v>
      </c>
      <c r="AM1046">
        <v>43.703000000000003</v>
      </c>
      <c r="AN1046">
        <v>0</v>
      </c>
      <c r="AO1046">
        <v>55.734999999999999</v>
      </c>
      <c r="AP1046">
        <v>-1.651</v>
      </c>
      <c r="AQ1046">
        <v>84.965999999999994</v>
      </c>
      <c r="AR1046">
        <v>74.248999999999995</v>
      </c>
      <c r="AS1046">
        <v>88.007999999999996</v>
      </c>
    </row>
    <row r="1047" spans="1:45" x14ac:dyDescent="0.25">
      <c r="A1047">
        <v>30</v>
      </c>
      <c r="B1047">
        <v>16</v>
      </c>
      <c r="C1047">
        <v>1</v>
      </c>
      <c r="D1047">
        <v>2022</v>
      </c>
      <c r="E1047">
        <v>1</v>
      </c>
      <c r="F1047" t="str">
        <f>IFERROR(VLOOKUP(G1047, Map!$A$1:$B$33, 2, FALSE),"WAS")</f>
        <v>MIN</v>
      </c>
      <c r="G1047" t="s">
        <v>153</v>
      </c>
      <c r="H1047" t="str">
        <f>IFERROR(VLOOKUP(I1047, Map!$A$1:$B$33, 2, FALSE),"WAS")</f>
        <v>GB</v>
      </c>
      <c r="I1047" t="s">
        <v>154</v>
      </c>
      <c r="J1047" t="s">
        <v>214</v>
      </c>
      <c r="K1047" t="s">
        <v>200</v>
      </c>
      <c r="L1047">
        <v>1</v>
      </c>
      <c r="M1047">
        <v>0</v>
      </c>
      <c r="N1047">
        <v>43.125</v>
      </c>
      <c r="O1047">
        <v>-2.15625</v>
      </c>
      <c r="P1047">
        <v>-1.5</v>
      </c>
      <c r="Q1047">
        <v>36.5</v>
      </c>
      <c r="R1047">
        <v>16.100000000000001</v>
      </c>
      <c r="S1047">
        <v>22.6</v>
      </c>
      <c r="T1047">
        <v>9.6</v>
      </c>
      <c r="U1047">
        <v>14.6</v>
      </c>
      <c r="V1047">
        <v>0</v>
      </c>
      <c r="W1047">
        <v>0</v>
      </c>
      <c r="X1047">
        <v>0</v>
      </c>
      <c r="Y1047">
        <v>0</v>
      </c>
      <c r="Z1047">
        <v>12</v>
      </c>
      <c r="AA1047">
        <v>26.3</v>
      </c>
      <c r="AB1047">
        <v>341</v>
      </c>
      <c r="AC1047">
        <v>62</v>
      </c>
      <c r="AD1047">
        <v>15.3</v>
      </c>
      <c r="AE1047">
        <v>7.7</v>
      </c>
      <c r="AF1047">
        <v>31.696999999999999</v>
      </c>
      <c r="AG1047">
        <v>0</v>
      </c>
      <c r="AH1047">
        <v>67.956000000000003</v>
      </c>
      <c r="AI1047">
        <v>84.287000000000006</v>
      </c>
      <c r="AJ1047">
        <v>83.843000000000004</v>
      </c>
      <c r="AK1047">
        <v>90.899000000000001</v>
      </c>
      <c r="AL1047">
        <v>-5.468</v>
      </c>
      <c r="AM1047">
        <v>67.956000000000003</v>
      </c>
      <c r="AN1047">
        <v>0</v>
      </c>
      <c r="AO1047">
        <v>31.696999999999999</v>
      </c>
      <c r="AP1047">
        <v>5.468</v>
      </c>
      <c r="AQ1047">
        <v>16.157</v>
      </c>
      <c r="AR1047">
        <v>15.712999999999999</v>
      </c>
      <c r="AS1047">
        <v>9.1010000000000009</v>
      </c>
    </row>
    <row r="1048" spans="1:45" x14ac:dyDescent="0.25">
      <c r="A1048">
        <v>50</v>
      </c>
      <c r="B1048">
        <v>-2</v>
      </c>
      <c r="C1048">
        <v>0</v>
      </c>
      <c r="D1048">
        <v>2022</v>
      </c>
      <c r="E1048">
        <v>1</v>
      </c>
      <c r="F1048" t="str">
        <f>IFERROR(VLOOKUP(G1048, Map!$A$1:$B$33, 2, FALSE),"WAS")</f>
        <v>CAR</v>
      </c>
      <c r="G1048" t="s">
        <v>142</v>
      </c>
      <c r="H1048" t="str">
        <f>IFERROR(VLOOKUP(I1048, Map!$A$1:$B$33, 2, FALSE),"WAS")</f>
        <v>CLE</v>
      </c>
      <c r="I1048" t="s">
        <v>162</v>
      </c>
      <c r="J1048" t="s">
        <v>185</v>
      </c>
      <c r="K1048" t="s">
        <v>171</v>
      </c>
      <c r="L1048">
        <v>0</v>
      </c>
      <c r="M1048">
        <v>0</v>
      </c>
      <c r="N1048">
        <v>39.6</v>
      </c>
      <c r="O1048">
        <v>-1.5</v>
      </c>
      <c r="P1048">
        <v>-0.5</v>
      </c>
      <c r="Q1048">
        <v>41.5</v>
      </c>
      <c r="R1048">
        <v>23.4</v>
      </c>
      <c r="S1048">
        <v>28.8</v>
      </c>
      <c r="T1048">
        <v>20.7</v>
      </c>
      <c r="U1048">
        <v>26.8</v>
      </c>
      <c r="V1048">
        <v>7.8</v>
      </c>
      <c r="W1048">
        <v>0</v>
      </c>
      <c r="X1048">
        <v>10</v>
      </c>
      <c r="Y1048">
        <v>7.8</v>
      </c>
      <c r="Z1048">
        <v>11.8</v>
      </c>
      <c r="AA1048">
        <v>26.3</v>
      </c>
      <c r="AB1048">
        <v>174</v>
      </c>
      <c r="AC1048">
        <v>88</v>
      </c>
      <c r="AD1048">
        <v>16.2</v>
      </c>
      <c r="AE1048">
        <v>7.7</v>
      </c>
      <c r="AF1048">
        <v>62.734999999999999</v>
      </c>
      <c r="AG1048">
        <v>0</v>
      </c>
      <c r="AH1048">
        <v>36.82</v>
      </c>
      <c r="AI1048">
        <v>45.215000000000003</v>
      </c>
      <c r="AJ1048">
        <v>50.545999999999999</v>
      </c>
      <c r="AK1048">
        <v>38.478999999999999</v>
      </c>
      <c r="AL1048">
        <v>3.7029999999999998</v>
      </c>
      <c r="AM1048">
        <v>36.82</v>
      </c>
      <c r="AN1048">
        <v>0</v>
      </c>
      <c r="AO1048">
        <v>62.734999999999999</v>
      </c>
      <c r="AP1048">
        <v>-3.7029999999999998</v>
      </c>
      <c r="AQ1048">
        <v>49.454000000000001</v>
      </c>
      <c r="AR1048">
        <v>54.784999999999997</v>
      </c>
      <c r="AS1048">
        <v>61.521000000000001</v>
      </c>
    </row>
    <row r="1049" spans="1:45" x14ac:dyDescent="0.25">
      <c r="A1049">
        <v>27</v>
      </c>
      <c r="B1049">
        <v>13</v>
      </c>
      <c r="C1049">
        <v>1</v>
      </c>
      <c r="D1049">
        <v>2022</v>
      </c>
      <c r="E1049">
        <v>1</v>
      </c>
      <c r="F1049" t="str">
        <f>IFERROR(VLOOKUP(G1049, Map!$A$1:$B$33, 2, FALSE),"WAS")</f>
        <v>MIA</v>
      </c>
      <c r="G1049" t="s">
        <v>152</v>
      </c>
      <c r="H1049" t="str">
        <f>IFERROR(VLOOKUP(I1049, Map!$A$1:$B$33, 2, FALSE),"WAS")</f>
        <v>NE</v>
      </c>
      <c r="I1049" t="s">
        <v>151</v>
      </c>
      <c r="J1049" t="s">
        <v>175</v>
      </c>
      <c r="K1049" t="s">
        <v>187</v>
      </c>
      <c r="L1049">
        <v>1</v>
      </c>
      <c r="M1049">
        <v>0</v>
      </c>
      <c r="N1049">
        <v>42.533333333333303</v>
      </c>
      <c r="O1049">
        <v>-3.6666666666666701</v>
      </c>
      <c r="P1049">
        <v>-2.5</v>
      </c>
      <c r="Q1049">
        <v>34.5</v>
      </c>
      <c r="R1049">
        <v>27.5</v>
      </c>
      <c r="S1049">
        <v>33</v>
      </c>
      <c r="T1049">
        <v>24.1</v>
      </c>
      <c r="U1049">
        <v>32.700000000000003</v>
      </c>
      <c r="V1049">
        <v>11.1</v>
      </c>
      <c r="W1049">
        <v>0</v>
      </c>
      <c r="X1049">
        <v>6</v>
      </c>
      <c r="Y1049">
        <v>11.1</v>
      </c>
      <c r="Z1049">
        <v>13.4</v>
      </c>
      <c r="AA1049">
        <v>29.2</v>
      </c>
      <c r="AB1049">
        <v>137</v>
      </c>
      <c r="AC1049">
        <v>82</v>
      </c>
      <c r="AD1049">
        <v>17.5</v>
      </c>
      <c r="AE1049">
        <v>7.7</v>
      </c>
      <c r="AF1049">
        <v>51.308</v>
      </c>
      <c r="AG1049">
        <v>0</v>
      </c>
      <c r="AH1049">
        <v>48.07</v>
      </c>
      <c r="AI1049">
        <v>92.421000000000006</v>
      </c>
      <c r="AJ1049">
        <v>66.98</v>
      </c>
      <c r="AK1049">
        <v>89.054000000000002</v>
      </c>
      <c r="AL1049">
        <v>0.374</v>
      </c>
      <c r="AM1049">
        <v>48.07</v>
      </c>
      <c r="AN1049">
        <v>0</v>
      </c>
      <c r="AO1049">
        <v>51.308</v>
      </c>
      <c r="AP1049">
        <v>-0.374</v>
      </c>
      <c r="AQ1049">
        <v>33.020000000000003</v>
      </c>
      <c r="AR1049">
        <v>7.5789999999999997</v>
      </c>
      <c r="AS1049">
        <v>10.946</v>
      </c>
    </row>
    <row r="1050" spans="1:45" x14ac:dyDescent="0.25">
      <c r="A1050">
        <v>43</v>
      </c>
      <c r="B1050">
        <v>5</v>
      </c>
      <c r="C1050">
        <v>1</v>
      </c>
      <c r="D1050">
        <v>2022</v>
      </c>
      <c r="E1050">
        <v>1</v>
      </c>
      <c r="F1050" t="str">
        <f>IFERROR(VLOOKUP(G1050, Map!$A$1:$B$33, 2, FALSE),"WAS")</f>
        <v>LAC</v>
      </c>
      <c r="G1050" t="s">
        <v>160</v>
      </c>
      <c r="H1050" t="str">
        <f>IFERROR(VLOOKUP(I1050, Map!$A$1:$B$33, 2, FALSE),"WAS")</f>
        <v>LV</v>
      </c>
      <c r="I1050" t="s">
        <v>157</v>
      </c>
      <c r="J1050" t="s">
        <v>210</v>
      </c>
      <c r="K1050" t="s">
        <v>179</v>
      </c>
      <c r="L1050">
        <v>1</v>
      </c>
      <c r="M1050">
        <v>0</v>
      </c>
      <c r="N1050">
        <v>52.033333333333303</v>
      </c>
      <c r="O1050">
        <v>-3.4666666666666699</v>
      </c>
      <c r="P1050">
        <v>-2.5</v>
      </c>
      <c r="Q1050">
        <v>46.5</v>
      </c>
      <c r="R1050">
        <v>24.4</v>
      </c>
      <c r="S1050">
        <v>28.1</v>
      </c>
      <c r="T1050">
        <v>22.6</v>
      </c>
      <c r="U1050">
        <v>28.4</v>
      </c>
      <c r="V1050">
        <v>1.9</v>
      </c>
      <c r="W1050">
        <v>0</v>
      </c>
      <c r="X1050">
        <v>5</v>
      </c>
      <c r="Y1050">
        <v>1.9</v>
      </c>
      <c r="Z1050">
        <v>20.2</v>
      </c>
      <c r="AA1050">
        <v>33.799999999999997</v>
      </c>
      <c r="AB1050">
        <v>183</v>
      </c>
      <c r="AC1050">
        <v>86</v>
      </c>
      <c r="AD1050">
        <v>14.7</v>
      </c>
      <c r="AE1050">
        <v>7.1</v>
      </c>
      <c r="AF1050">
        <v>60.722999999999999</v>
      </c>
      <c r="AG1050">
        <v>0</v>
      </c>
      <c r="AH1050">
        <v>38.798000000000002</v>
      </c>
      <c r="AI1050">
        <v>78.98</v>
      </c>
      <c r="AJ1050">
        <v>68.947999999999993</v>
      </c>
      <c r="AK1050">
        <v>80.218999999999994</v>
      </c>
      <c r="AL1050">
        <v>3.1110000000000002</v>
      </c>
      <c r="AM1050">
        <v>38.798000000000002</v>
      </c>
      <c r="AN1050">
        <v>0</v>
      </c>
      <c r="AO1050">
        <v>60.722999999999999</v>
      </c>
      <c r="AP1050">
        <v>-3.1110000000000002</v>
      </c>
      <c r="AQ1050">
        <v>31.052</v>
      </c>
      <c r="AR1050">
        <v>21.02</v>
      </c>
      <c r="AS1050">
        <v>19.780999999999999</v>
      </c>
    </row>
    <row r="1051" spans="1:45" x14ac:dyDescent="0.25">
      <c r="A1051">
        <v>33</v>
      </c>
      <c r="B1051">
        <v>-15</v>
      </c>
      <c r="C1051">
        <v>0</v>
      </c>
      <c r="D1051">
        <v>2022</v>
      </c>
      <c r="E1051">
        <v>1</v>
      </c>
      <c r="F1051" t="str">
        <f>IFERROR(VLOOKUP(G1051, Map!$A$1:$B$33, 2, FALSE),"WAS")</f>
        <v>NYJ</v>
      </c>
      <c r="G1051" t="s">
        <v>166</v>
      </c>
      <c r="H1051" t="str">
        <f>IFERROR(VLOOKUP(I1051, Map!$A$1:$B$33, 2, FALSE),"WAS")</f>
        <v>BAL</v>
      </c>
      <c r="I1051" t="s">
        <v>146</v>
      </c>
      <c r="J1051" t="s">
        <v>172</v>
      </c>
      <c r="K1051" t="s">
        <v>181</v>
      </c>
      <c r="L1051">
        <v>0</v>
      </c>
      <c r="M1051">
        <v>0</v>
      </c>
      <c r="N1051">
        <v>40.6875</v>
      </c>
      <c r="O1051">
        <v>6.9375</v>
      </c>
      <c r="P1051">
        <v>5.5</v>
      </c>
      <c r="Q1051">
        <v>34.5</v>
      </c>
      <c r="R1051">
        <v>21</v>
      </c>
      <c r="S1051">
        <v>24.6</v>
      </c>
      <c r="T1051">
        <v>18.600000000000001</v>
      </c>
      <c r="U1051">
        <v>22.6</v>
      </c>
      <c r="V1051">
        <v>8.6</v>
      </c>
      <c r="W1051">
        <v>0</v>
      </c>
      <c r="X1051">
        <v>9</v>
      </c>
      <c r="Y1051">
        <v>8.6</v>
      </c>
      <c r="Z1051">
        <v>9.1999999999999993</v>
      </c>
      <c r="AA1051">
        <v>21.6</v>
      </c>
      <c r="AB1051">
        <v>236</v>
      </c>
      <c r="AC1051">
        <v>77</v>
      </c>
      <c r="AD1051">
        <v>12.5</v>
      </c>
      <c r="AE1051">
        <v>5.0999999999999996</v>
      </c>
      <c r="AF1051">
        <v>25.841000000000001</v>
      </c>
      <c r="AG1051">
        <v>0</v>
      </c>
      <c r="AH1051">
        <v>73.894000000000005</v>
      </c>
      <c r="AI1051">
        <v>48.871000000000002</v>
      </c>
      <c r="AJ1051">
        <v>11.802</v>
      </c>
      <c r="AK1051">
        <v>13.327999999999999</v>
      </c>
      <c r="AL1051">
        <v>-7.492</v>
      </c>
      <c r="AM1051">
        <v>73.894000000000005</v>
      </c>
      <c r="AN1051">
        <v>0</v>
      </c>
      <c r="AO1051">
        <v>25.841000000000001</v>
      </c>
      <c r="AP1051">
        <v>7.492</v>
      </c>
      <c r="AQ1051">
        <v>88.197999999999993</v>
      </c>
      <c r="AR1051">
        <v>51.128999999999998</v>
      </c>
      <c r="AS1051">
        <v>86.671999999999997</v>
      </c>
    </row>
    <row r="1052" spans="1:45" x14ac:dyDescent="0.25">
      <c r="A1052">
        <v>73</v>
      </c>
      <c r="B1052">
        <v>-3</v>
      </c>
      <c r="C1052">
        <v>0</v>
      </c>
      <c r="D1052">
        <v>2022</v>
      </c>
      <c r="E1052">
        <v>1</v>
      </c>
      <c r="F1052" t="str">
        <f>IFERROR(VLOOKUP(G1052, Map!$A$1:$B$33, 2, FALSE),"WAS")</f>
        <v>DET</v>
      </c>
      <c r="G1052" t="s">
        <v>164</v>
      </c>
      <c r="H1052" t="str">
        <f>IFERROR(VLOOKUP(I1052, Map!$A$1:$B$33, 2, FALSE),"WAS")</f>
        <v>PHI</v>
      </c>
      <c r="I1052" t="s">
        <v>147</v>
      </c>
      <c r="J1052" t="s">
        <v>173</v>
      </c>
      <c r="K1052" t="s">
        <v>206</v>
      </c>
      <c r="L1052">
        <v>0</v>
      </c>
      <c r="M1052">
        <v>0</v>
      </c>
      <c r="N1052">
        <v>47.15625</v>
      </c>
      <c r="O1052">
        <v>5.09375</v>
      </c>
      <c r="P1052">
        <v>3</v>
      </c>
      <c r="Q1052">
        <v>48</v>
      </c>
      <c r="R1052">
        <v>22.3</v>
      </c>
      <c r="S1052">
        <v>25.5</v>
      </c>
      <c r="T1052">
        <v>19.8</v>
      </c>
      <c r="U1052">
        <v>23.7</v>
      </c>
      <c r="V1052">
        <v>3.6</v>
      </c>
      <c r="W1052">
        <v>0</v>
      </c>
      <c r="X1052">
        <v>10</v>
      </c>
      <c r="Y1052">
        <v>3.6</v>
      </c>
      <c r="Z1052">
        <v>16.899999999999999</v>
      </c>
      <c r="AA1052">
        <v>30.2</v>
      </c>
      <c r="AB1052">
        <v>171</v>
      </c>
      <c r="AC1052">
        <v>79</v>
      </c>
      <c r="AD1052">
        <v>22.4</v>
      </c>
      <c r="AE1052">
        <v>11.7</v>
      </c>
      <c r="AF1052">
        <v>34.076999999999998</v>
      </c>
      <c r="AG1052">
        <v>0</v>
      </c>
      <c r="AH1052">
        <v>65.533000000000001</v>
      </c>
      <c r="AI1052">
        <v>22.486999999999998</v>
      </c>
      <c r="AJ1052">
        <v>58.408000000000001</v>
      </c>
      <c r="AK1052">
        <v>29.45</v>
      </c>
      <c r="AL1052">
        <v>-4.694</v>
      </c>
      <c r="AM1052">
        <v>65.533000000000001</v>
      </c>
      <c r="AN1052">
        <v>0</v>
      </c>
      <c r="AO1052">
        <v>34.076999999999998</v>
      </c>
      <c r="AP1052">
        <v>4.694</v>
      </c>
      <c r="AQ1052">
        <v>41.591999999999999</v>
      </c>
      <c r="AR1052">
        <v>77.513000000000005</v>
      </c>
      <c r="AS1052">
        <v>70.55</v>
      </c>
    </row>
    <row r="1053" spans="1:45" x14ac:dyDescent="0.25">
      <c r="A1053">
        <v>65</v>
      </c>
      <c r="B1053">
        <v>-23</v>
      </c>
      <c r="C1053">
        <v>0</v>
      </c>
      <c r="D1053">
        <v>2022</v>
      </c>
      <c r="E1053">
        <v>1</v>
      </c>
      <c r="F1053" t="str">
        <f>IFERROR(VLOOKUP(G1053, Map!$A$1:$B$33, 2, FALSE),"WAS")</f>
        <v>ARI</v>
      </c>
      <c r="G1053" t="s">
        <v>156</v>
      </c>
      <c r="H1053" t="str">
        <f>IFERROR(VLOOKUP(I1053, Map!$A$1:$B$33, 2, FALSE),"WAS")</f>
        <v>KC</v>
      </c>
      <c r="I1053" t="s">
        <v>158</v>
      </c>
      <c r="J1053" t="s">
        <v>190</v>
      </c>
      <c r="K1053" t="s">
        <v>202</v>
      </c>
      <c r="L1053">
        <v>0</v>
      </c>
      <c r="M1053">
        <v>0</v>
      </c>
      <c r="N1053">
        <v>51.40625</v>
      </c>
      <c r="O1053">
        <v>5.96875</v>
      </c>
      <c r="P1053">
        <v>4.5</v>
      </c>
      <c r="Q1053">
        <v>53.5</v>
      </c>
      <c r="R1053">
        <v>24</v>
      </c>
      <c r="S1053">
        <v>29.4</v>
      </c>
      <c r="T1053">
        <v>21.3</v>
      </c>
      <c r="U1053">
        <v>27.7</v>
      </c>
      <c r="V1053">
        <v>1.6</v>
      </c>
      <c r="W1053">
        <v>0</v>
      </c>
      <c r="X1053">
        <v>4</v>
      </c>
      <c r="Y1053">
        <v>1.6</v>
      </c>
      <c r="Z1053">
        <v>14.3</v>
      </c>
      <c r="AA1053">
        <v>31.7</v>
      </c>
      <c r="AB1053">
        <v>205</v>
      </c>
      <c r="AC1053">
        <v>84</v>
      </c>
      <c r="AD1053">
        <v>13.3</v>
      </c>
      <c r="AE1053">
        <v>4.8</v>
      </c>
      <c r="AF1053">
        <v>38.790999999999997</v>
      </c>
      <c r="AG1053">
        <v>0</v>
      </c>
      <c r="AH1053">
        <v>60.741999999999997</v>
      </c>
      <c r="AI1053">
        <v>2.7850000000000001</v>
      </c>
      <c r="AJ1053">
        <v>38.875999999999998</v>
      </c>
      <c r="AK1053">
        <v>5.6040000000000001</v>
      </c>
      <c r="AL1053">
        <v>-3.2549999999999999</v>
      </c>
      <c r="AM1053">
        <v>60.741999999999997</v>
      </c>
      <c r="AN1053">
        <v>0</v>
      </c>
      <c r="AO1053">
        <v>38.790999999999997</v>
      </c>
      <c r="AP1053">
        <v>3.2549999999999999</v>
      </c>
      <c r="AQ1053">
        <v>61.124000000000002</v>
      </c>
      <c r="AR1053">
        <v>97.215000000000003</v>
      </c>
      <c r="AS1053">
        <v>94.396000000000001</v>
      </c>
    </row>
    <row r="1054" spans="1:45" x14ac:dyDescent="0.25">
      <c r="A1054">
        <v>43</v>
      </c>
      <c r="B1054">
        <v>-3</v>
      </c>
      <c r="C1054">
        <v>0</v>
      </c>
      <c r="D1054">
        <v>2022</v>
      </c>
      <c r="E1054">
        <v>1</v>
      </c>
      <c r="F1054" t="str">
        <f>IFERROR(VLOOKUP(G1054, Map!$A$1:$B$33, 2, FALSE),"WAS")</f>
        <v>CIN</v>
      </c>
      <c r="G1054" t="s">
        <v>161</v>
      </c>
      <c r="H1054" t="str">
        <f>IFERROR(VLOOKUP(I1054, Map!$A$1:$B$33, 2, FALSE),"WAS")</f>
        <v>PIT</v>
      </c>
      <c r="I1054" t="s">
        <v>145</v>
      </c>
      <c r="J1054" t="s">
        <v>176</v>
      </c>
      <c r="K1054" t="s">
        <v>170</v>
      </c>
      <c r="L1054">
        <v>0</v>
      </c>
      <c r="M1054">
        <v>0</v>
      </c>
      <c r="N1054">
        <v>41.533333333333303</v>
      </c>
      <c r="O1054">
        <v>-5.8</v>
      </c>
      <c r="P1054">
        <v>2.5</v>
      </c>
      <c r="Q1054">
        <v>44</v>
      </c>
      <c r="R1054">
        <v>21.3</v>
      </c>
      <c r="S1054">
        <v>24.8</v>
      </c>
      <c r="T1054">
        <v>19</v>
      </c>
      <c r="U1054">
        <v>23.6</v>
      </c>
      <c r="V1054">
        <v>18.100000000000001</v>
      </c>
      <c r="W1054">
        <v>0</v>
      </c>
      <c r="X1054">
        <v>12</v>
      </c>
      <c r="Y1054">
        <v>18.100000000000001</v>
      </c>
      <c r="Z1054">
        <v>15.9</v>
      </c>
      <c r="AA1054">
        <v>36</v>
      </c>
      <c r="AB1054">
        <v>170</v>
      </c>
      <c r="AC1054">
        <v>88</v>
      </c>
      <c r="AD1054">
        <v>20</v>
      </c>
      <c r="AE1054">
        <v>8.4</v>
      </c>
      <c r="AF1054">
        <v>77.518000000000001</v>
      </c>
      <c r="AG1054">
        <v>0</v>
      </c>
      <c r="AH1054">
        <v>22.262</v>
      </c>
      <c r="AI1054">
        <v>75.102999999999994</v>
      </c>
      <c r="AJ1054">
        <v>24.76</v>
      </c>
      <c r="AK1054">
        <v>48.468000000000004</v>
      </c>
      <c r="AL1054">
        <v>8.8149999999999995</v>
      </c>
      <c r="AM1054">
        <v>22.262</v>
      </c>
      <c r="AN1054">
        <v>0</v>
      </c>
      <c r="AO1054">
        <v>77.518000000000001</v>
      </c>
      <c r="AP1054">
        <v>-8.8149999999999995</v>
      </c>
      <c r="AQ1054">
        <v>75.239999999999995</v>
      </c>
      <c r="AR1054">
        <v>24.896999999999998</v>
      </c>
      <c r="AS1054">
        <v>51.531999999999996</v>
      </c>
    </row>
    <row r="1055" spans="1:45" x14ac:dyDescent="0.25">
      <c r="A1055">
        <v>50</v>
      </c>
      <c r="B1055">
        <v>6</v>
      </c>
      <c r="C1055">
        <v>1</v>
      </c>
      <c r="D1055">
        <v>2022</v>
      </c>
      <c r="E1055">
        <v>1</v>
      </c>
      <c r="F1055" t="str">
        <f>IFERROR(VLOOKUP(G1055, Map!$A$1:$B$33, 2, FALSE),"WAS")</f>
        <v>WAS</v>
      </c>
      <c r="G1055" t="s">
        <v>148</v>
      </c>
      <c r="H1055" t="str">
        <f>IFERROR(VLOOKUP(I1055, Map!$A$1:$B$33, 2, FALSE),"WAS")</f>
        <v>JAX</v>
      </c>
      <c r="I1055" t="s">
        <v>139</v>
      </c>
      <c r="J1055" t="s">
        <v>205</v>
      </c>
      <c r="K1055" t="s">
        <v>220</v>
      </c>
      <c r="L1055">
        <v>1</v>
      </c>
      <c r="M1055">
        <v>0</v>
      </c>
      <c r="N1055">
        <v>43.733333333333299</v>
      </c>
      <c r="O1055">
        <v>-3.2666666666666702</v>
      </c>
      <c r="P1055">
        <v>-3</v>
      </c>
      <c r="Q1055">
        <v>43</v>
      </c>
      <c r="R1055">
        <v>23.2</v>
      </c>
      <c r="S1055">
        <v>27.2</v>
      </c>
      <c r="T1055">
        <v>21.3</v>
      </c>
      <c r="U1055">
        <v>26.3</v>
      </c>
      <c r="V1055">
        <v>22.1</v>
      </c>
      <c r="W1055">
        <v>0</v>
      </c>
      <c r="X1055">
        <v>20</v>
      </c>
      <c r="Y1055">
        <v>22.1</v>
      </c>
      <c r="Z1055">
        <v>14.2</v>
      </c>
      <c r="AA1055">
        <v>30.2</v>
      </c>
      <c r="AB1055">
        <v>148</v>
      </c>
      <c r="AC1055">
        <v>87</v>
      </c>
      <c r="AD1055">
        <v>18.100000000000001</v>
      </c>
      <c r="AE1055">
        <v>8.6999999999999993</v>
      </c>
      <c r="AF1055">
        <v>60.35</v>
      </c>
      <c r="AG1055">
        <v>0</v>
      </c>
      <c r="AH1055">
        <v>39.158999999999999</v>
      </c>
      <c r="AI1055">
        <v>49.75</v>
      </c>
      <c r="AJ1055">
        <v>64.748000000000005</v>
      </c>
      <c r="AK1055">
        <v>63.366</v>
      </c>
      <c r="AL1055">
        <v>2.99</v>
      </c>
      <c r="AM1055">
        <v>39.158999999999999</v>
      </c>
      <c r="AN1055">
        <v>0</v>
      </c>
      <c r="AO1055">
        <v>60.35</v>
      </c>
      <c r="AP1055">
        <v>-2.99</v>
      </c>
      <c r="AQ1055">
        <v>35.252000000000002</v>
      </c>
      <c r="AR1055">
        <v>50.25</v>
      </c>
      <c r="AS1055">
        <v>36.634</v>
      </c>
    </row>
    <row r="1056" spans="1:45" x14ac:dyDescent="0.25">
      <c r="A1056">
        <v>53</v>
      </c>
      <c r="B1056">
        <v>-1</v>
      </c>
      <c r="C1056">
        <v>0</v>
      </c>
      <c r="D1056">
        <v>2022</v>
      </c>
      <c r="E1056">
        <v>1</v>
      </c>
      <c r="F1056" t="str">
        <f>IFERROR(VLOOKUP(G1056, Map!$A$1:$B$33, 2, FALSE),"WAS")</f>
        <v>ATL</v>
      </c>
      <c r="G1056" t="s">
        <v>167</v>
      </c>
      <c r="H1056" t="str">
        <f>IFERROR(VLOOKUP(I1056, Map!$A$1:$B$33, 2, FALSE),"WAS")</f>
        <v>NO</v>
      </c>
      <c r="I1056" t="s">
        <v>168</v>
      </c>
      <c r="J1056" t="s">
        <v>188</v>
      </c>
      <c r="K1056" t="s">
        <v>192</v>
      </c>
      <c r="L1056">
        <v>0</v>
      </c>
      <c r="M1056">
        <v>0</v>
      </c>
      <c r="N1056">
        <v>41</v>
      </c>
      <c r="O1056">
        <v>4.5</v>
      </c>
      <c r="P1056">
        <v>-1.5</v>
      </c>
      <c r="Q1056">
        <v>42.5</v>
      </c>
      <c r="R1056">
        <v>22.7</v>
      </c>
      <c r="S1056">
        <v>27.1</v>
      </c>
      <c r="T1056">
        <v>20.6</v>
      </c>
      <c r="U1056">
        <v>25.3</v>
      </c>
      <c r="V1056">
        <v>4</v>
      </c>
      <c r="W1056">
        <v>0</v>
      </c>
      <c r="X1056">
        <v>14</v>
      </c>
      <c r="Y1056">
        <v>4</v>
      </c>
      <c r="Z1056">
        <v>13.1</v>
      </c>
      <c r="AA1056">
        <v>29.5</v>
      </c>
      <c r="AB1056">
        <v>147</v>
      </c>
      <c r="AC1056">
        <v>89</v>
      </c>
      <c r="AD1056">
        <v>20.5</v>
      </c>
      <c r="AE1056">
        <v>10.5</v>
      </c>
      <c r="AF1056">
        <v>27.824000000000002</v>
      </c>
      <c r="AG1056">
        <v>0</v>
      </c>
      <c r="AH1056">
        <v>71.884</v>
      </c>
      <c r="AI1056">
        <v>40.887999999999998</v>
      </c>
      <c r="AJ1056">
        <v>61.101999999999997</v>
      </c>
      <c r="AK1056">
        <v>56.771999999999998</v>
      </c>
      <c r="AL1056">
        <v>-6.7679999999999998</v>
      </c>
      <c r="AM1056">
        <v>71.884</v>
      </c>
      <c r="AN1056">
        <v>0</v>
      </c>
      <c r="AO1056">
        <v>27.824000000000002</v>
      </c>
      <c r="AP1056">
        <v>6.7679999999999998</v>
      </c>
      <c r="AQ1056">
        <v>38.898000000000003</v>
      </c>
      <c r="AR1056">
        <v>59.112000000000002</v>
      </c>
      <c r="AS1056">
        <v>43.228000000000002</v>
      </c>
    </row>
    <row r="1057" spans="1:45" x14ac:dyDescent="0.25">
      <c r="A1057">
        <v>41</v>
      </c>
      <c r="B1057">
        <v>-1</v>
      </c>
      <c r="C1057">
        <v>0</v>
      </c>
      <c r="D1057">
        <v>2022</v>
      </c>
      <c r="E1057">
        <v>1</v>
      </c>
      <c r="F1057" t="str">
        <f>IFERROR(VLOOKUP(G1057, Map!$A$1:$B$33, 2, FALSE),"WAS")</f>
        <v>TEN</v>
      </c>
      <c r="G1057" t="s">
        <v>140</v>
      </c>
      <c r="H1057" t="str">
        <f>IFERROR(VLOOKUP(I1057, Map!$A$1:$B$33, 2, FALSE),"WAS")</f>
        <v>NYG</v>
      </c>
      <c r="I1057" t="s">
        <v>149</v>
      </c>
      <c r="J1057" t="s">
        <v>174</v>
      </c>
      <c r="K1057" t="s">
        <v>219</v>
      </c>
      <c r="L1057">
        <v>0</v>
      </c>
      <c r="M1057">
        <v>0</v>
      </c>
      <c r="N1057">
        <v>41.125</v>
      </c>
      <c r="O1057">
        <v>-4.875</v>
      </c>
      <c r="P1057">
        <v>-1.5</v>
      </c>
      <c r="Q1057">
        <v>43.5</v>
      </c>
      <c r="R1057">
        <v>22.1</v>
      </c>
      <c r="S1057">
        <v>26.1</v>
      </c>
      <c r="T1057">
        <v>19.7</v>
      </c>
      <c r="U1057">
        <v>24.9</v>
      </c>
      <c r="V1057">
        <v>20.399999999999999</v>
      </c>
      <c r="W1057">
        <v>0</v>
      </c>
      <c r="X1057">
        <v>13</v>
      </c>
      <c r="Y1057">
        <v>20.399999999999999</v>
      </c>
      <c r="Z1057">
        <v>12.6</v>
      </c>
      <c r="AA1057">
        <v>33.799999999999997</v>
      </c>
      <c r="AB1057">
        <v>210</v>
      </c>
      <c r="AC1057">
        <v>90</v>
      </c>
      <c r="AD1057">
        <v>16.3</v>
      </c>
      <c r="AE1057">
        <v>7.5</v>
      </c>
      <c r="AF1057">
        <v>73.86</v>
      </c>
      <c r="AG1057">
        <v>0</v>
      </c>
      <c r="AH1057">
        <v>25.872</v>
      </c>
      <c r="AI1057">
        <v>53.612000000000002</v>
      </c>
      <c r="AJ1057">
        <v>60.703000000000003</v>
      </c>
      <c r="AK1057">
        <v>48.411999999999999</v>
      </c>
      <c r="AL1057">
        <v>7.3769999999999998</v>
      </c>
      <c r="AM1057">
        <v>25.872</v>
      </c>
      <c r="AN1057">
        <v>0</v>
      </c>
      <c r="AO1057">
        <v>73.86</v>
      </c>
      <c r="AP1057">
        <v>-7.3769999999999998</v>
      </c>
      <c r="AQ1057">
        <v>39.296999999999997</v>
      </c>
      <c r="AR1057">
        <v>46.387999999999998</v>
      </c>
      <c r="AS1057">
        <v>51.588000000000001</v>
      </c>
    </row>
    <row r="1058" spans="1:45" x14ac:dyDescent="0.25">
      <c r="A1058">
        <v>37</v>
      </c>
      <c r="B1058">
        <v>3</v>
      </c>
      <c r="C1058">
        <v>1</v>
      </c>
      <c r="D1058">
        <v>2022</v>
      </c>
      <c r="E1058">
        <v>2</v>
      </c>
      <c r="F1058" t="str">
        <f>IFERROR(VLOOKUP(G1058, Map!$A$1:$B$33, 2, FALSE),"WAS")</f>
        <v>DAL</v>
      </c>
      <c r="G1058" t="s">
        <v>150</v>
      </c>
      <c r="H1058" t="str">
        <f>IFERROR(VLOOKUP(I1058, Map!$A$1:$B$33, 2, FALSE),"WAS")</f>
        <v>CIN</v>
      </c>
      <c r="I1058" t="s">
        <v>161</v>
      </c>
      <c r="J1058" t="s">
        <v>184</v>
      </c>
      <c r="K1058" t="s">
        <v>176</v>
      </c>
      <c r="L1058">
        <v>1</v>
      </c>
      <c r="M1058">
        <v>0</v>
      </c>
      <c r="N1058">
        <v>39.5</v>
      </c>
      <c r="O1058">
        <v>6.1470588235294104</v>
      </c>
      <c r="P1058">
        <v>-2.5</v>
      </c>
      <c r="Q1058">
        <v>38.5</v>
      </c>
      <c r="R1058">
        <v>29.1</v>
      </c>
      <c r="S1058">
        <v>34.4</v>
      </c>
      <c r="T1058">
        <v>24.5</v>
      </c>
      <c r="U1058">
        <v>30.9</v>
      </c>
      <c r="V1058">
        <v>0.1</v>
      </c>
      <c r="W1058">
        <v>0</v>
      </c>
      <c r="X1058">
        <v>1</v>
      </c>
      <c r="Y1058">
        <v>0.1</v>
      </c>
      <c r="Z1058">
        <v>22.3</v>
      </c>
      <c r="AA1058">
        <v>38.5</v>
      </c>
      <c r="AB1058">
        <v>165</v>
      </c>
      <c r="AC1058">
        <v>59</v>
      </c>
      <c r="AD1058">
        <v>27.7</v>
      </c>
      <c r="AE1058">
        <v>14.7</v>
      </c>
      <c r="AF1058">
        <v>18.5</v>
      </c>
      <c r="AG1058">
        <v>0</v>
      </c>
      <c r="AH1058">
        <v>81.325000000000003</v>
      </c>
      <c r="AI1058">
        <v>55.874000000000002</v>
      </c>
      <c r="AJ1058">
        <v>62.835999999999999</v>
      </c>
      <c r="AK1058">
        <v>60.319000000000003</v>
      </c>
      <c r="AL1058">
        <v>-10.558</v>
      </c>
      <c r="AM1058">
        <v>81.325000000000003</v>
      </c>
      <c r="AN1058">
        <v>0</v>
      </c>
      <c r="AO1058">
        <v>18.5</v>
      </c>
      <c r="AP1058">
        <v>10.558</v>
      </c>
      <c r="AQ1058">
        <v>37.164000000000001</v>
      </c>
      <c r="AR1058">
        <v>44.125999999999998</v>
      </c>
      <c r="AS1058">
        <v>39.680999999999997</v>
      </c>
    </row>
    <row r="1059" spans="1:45" x14ac:dyDescent="0.25">
      <c r="A1059">
        <v>80</v>
      </c>
      <c r="B1059">
        <v>-4</v>
      </c>
      <c r="C1059">
        <v>0</v>
      </c>
      <c r="D1059">
        <v>2022</v>
      </c>
      <c r="E1059">
        <v>2</v>
      </c>
      <c r="F1059" t="str">
        <f>IFERROR(VLOOKUP(G1059, Map!$A$1:$B$33, 2, FALSE),"WAS")</f>
        <v>BAL</v>
      </c>
      <c r="G1059" t="s">
        <v>146</v>
      </c>
      <c r="H1059" t="str">
        <f>IFERROR(VLOOKUP(I1059, Map!$A$1:$B$33, 2, FALSE),"WAS")</f>
        <v>MIA</v>
      </c>
      <c r="I1059" t="s">
        <v>152</v>
      </c>
      <c r="J1059" t="s">
        <v>181</v>
      </c>
      <c r="K1059" t="s">
        <v>175</v>
      </c>
      <c r="L1059">
        <v>0</v>
      </c>
      <c r="M1059">
        <v>0</v>
      </c>
      <c r="N1059">
        <v>43.088235294117602</v>
      </c>
      <c r="O1059">
        <v>-2.8235294117647101</v>
      </c>
      <c r="P1059">
        <v>-3</v>
      </c>
      <c r="Q1059">
        <v>43.5</v>
      </c>
      <c r="R1059">
        <v>21</v>
      </c>
      <c r="S1059">
        <v>28.7</v>
      </c>
      <c r="T1059">
        <v>14.9</v>
      </c>
      <c r="U1059">
        <v>21.9</v>
      </c>
      <c r="V1059">
        <v>0</v>
      </c>
      <c r="W1059">
        <v>0</v>
      </c>
      <c r="X1059">
        <v>0</v>
      </c>
      <c r="Y1059">
        <v>0</v>
      </c>
      <c r="Z1059">
        <v>10.1</v>
      </c>
      <c r="AA1059">
        <v>21.2</v>
      </c>
      <c r="AB1059">
        <v>217</v>
      </c>
      <c r="AC1059">
        <v>72</v>
      </c>
      <c r="AD1059">
        <v>15.5</v>
      </c>
      <c r="AE1059">
        <v>7.7</v>
      </c>
      <c r="AF1059">
        <v>73.384</v>
      </c>
      <c r="AG1059">
        <v>0</v>
      </c>
      <c r="AH1059">
        <v>26.34</v>
      </c>
      <c r="AI1059">
        <v>6.57</v>
      </c>
      <c r="AJ1059">
        <v>89.954999999999998</v>
      </c>
      <c r="AK1059">
        <v>50.868000000000002</v>
      </c>
      <c r="AL1059">
        <v>7.2089999999999996</v>
      </c>
      <c r="AM1059">
        <v>26.34</v>
      </c>
      <c r="AN1059">
        <v>0</v>
      </c>
      <c r="AO1059">
        <v>73.384</v>
      </c>
      <c r="AP1059">
        <v>-7.2089999999999996</v>
      </c>
      <c r="AQ1059">
        <v>10.045</v>
      </c>
      <c r="AR1059">
        <v>93.43</v>
      </c>
      <c r="AS1059">
        <v>49.131999999999998</v>
      </c>
    </row>
    <row r="1060" spans="1:45" x14ac:dyDescent="0.25">
      <c r="A1060">
        <v>25</v>
      </c>
      <c r="B1060">
        <v>7</v>
      </c>
      <c r="C1060">
        <v>1</v>
      </c>
      <c r="D1060">
        <v>2022</v>
      </c>
      <c r="E1060">
        <v>2</v>
      </c>
      <c r="F1060" t="str">
        <f>IFERROR(VLOOKUP(G1060, Map!$A$1:$B$33, 2, FALSE),"WAS")</f>
        <v>DEN</v>
      </c>
      <c r="G1060" t="s">
        <v>159</v>
      </c>
      <c r="H1060" t="str">
        <f>IFERROR(VLOOKUP(I1060, Map!$A$1:$B$33, 2, FALSE),"WAS")</f>
        <v>HOU</v>
      </c>
      <c r="I1060" t="s">
        <v>137</v>
      </c>
      <c r="J1060" t="s">
        <v>183</v>
      </c>
      <c r="K1060" t="s">
        <v>209</v>
      </c>
      <c r="L1060">
        <v>1</v>
      </c>
      <c r="M1060">
        <v>0</v>
      </c>
      <c r="N1060">
        <v>41.676470588235297</v>
      </c>
      <c r="O1060">
        <v>-9.4411764705882408</v>
      </c>
      <c r="P1060">
        <v>-7</v>
      </c>
      <c r="Q1060">
        <v>26.5</v>
      </c>
      <c r="R1060">
        <v>18.399999999999999</v>
      </c>
      <c r="S1060">
        <v>31.5</v>
      </c>
      <c r="T1060">
        <v>9.5</v>
      </c>
      <c r="U1060">
        <v>16.600000000000001</v>
      </c>
      <c r="V1060">
        <v>0</v>
      </c>
      <c r="W1060">
        <v>0</v>
      </c>
      <c r="X1060">
        <v>0</v>
      </c>
      <c r="Y1060">
        <v>0</v>
      </c>
      <c r="Z1060">
        <v>14.7</v>
      </c>
      <c r="AA1060">
        <v>32.799999999999997</v>
      </c>
      <c r="AB1060">
        <v>338</v>
      </c>
      <c r="AC1060">
        <v>51</v>
      </c>
      <c r="AD1060">
        <v>16.899999999999999</v>
      </c>
      <c r="AE1060">
        <v>7</v>
      </c>
      <c r="AF1060">
        <v>74.959000000000003</v>
      </c>
      <c r="AG1060">
        <v>0</v>
      </c>
      <c r="AH1060">
        <v>24.788</v>
      </c>
      <c r="AI1060">
        <v>76.361999999999995</v>
      </c>
      <c r="AJ1060">
        <v>47.752000000000002</v>
      </c>
      <c r="AK1060">
        <v>63.808</v>
      </c>
      <c r="AL1060">
        <v>7.798</v>
      </c>
      <c r="AM1060">
        <v>24.788</v>
      </c>
      <c r="AN1060">
        <v>0</v>
      </c>
      <c r="AO1060">
        <v>74.959000000000003</v>
      </c>
      <c r="AP1060">
        <v>-7.798</v>
      </c>
      <c r="AQ1060">
        <v>52.247999999999998</v>
      </c>
      <c r="AR1060">
        <v>23.638000000000002</v>
      </c>
      <c r="AS1060">
        <v>36.192</v>
      </c>
    </row>
    <row r="1061" spans="1:45" x14ac:dyDescent="0.25">
      <c r="A1061">
        <v>24</v>
      </c>
      <c r="B1061">
        <v>24</v>
      </c>
      <c r="C1061">
        <v>1</v>
      </c>
      <c r="D1061">
        <v>2022</v>
      </c>
      <c r="E1061">
        <v>2</v>
      </c>
      <c r="F1061" t="str">
        <f>IFERROR(VLOOKUP(G1061, Map!$A$1:$B$33, 2, FALSE),"WAS")</f>
        <v>JAX</v>
      </c>
      <c r="G1061" t="s">
        <v>139</v>
      </c>
      <c r="H1061" t="str">
        <f>IFERROR(VLOOKUP(I1061, Map!$A$1:$B$33, 2, FALSE),"WAS")</f>
        <v>IND</v>
      </c>
      <c r="I1061" t="s">
        <v>138</v>
      </c>
      <c r="J1061" t="s">
        <v>220</v>
      </c>
      <c r="K1061" t="s">
        <v>177</v>
      </c>
      <c r="L1061">
        <v>1</v>
      </c>
      <c r="M1061">
        <v>0</v>
      </c>
      <c r="N1061">
        <v>40.205882352941202</v>
      </c>
      <c r="O1061">
        <v>1.3235294117647101</v>
      </c>
      <c r="P1061">
        <v>2.5</v>
      </c>
      <c r="Q1061">
        <v>25.5</v>
      </c>
      <c r="R1061">
        <v>24.5</v>
      </c>
      <c r="S1061">
        <v>27.1</v>
      </c>
      <c r="T1061">
        <v>22.3</v>
      </c>
      <c r="U1061">
        <v>27.7</v>
      </c>
      <c r="V1061">
        <v>13</v>
      </c>
      <c r="W1061">
        <v>0</v>
      </c>
      <c r="X1061">
        <v>13</v>
      </c>
      <c r="Y1061">
        <v>13</v>
      </c>
      <c r="Z1061">
        <v>19.2</v>
      </c>
      <c r="AA1061">
        <v>36</v>
      </c>
      <c r="AB1061">
        <v>35</v>
      </c>
      <c r="AC1061">
        <v>87</v>
      </c>
      <c r="AD1061">
        <v>24.2</v>
      </c>
      <c r="AE1061">
        <v>13</v>
      </c>
      <c r="AF1061">
        <v>43.177999999999997</v>
      </c>
      <c r="AG1061">
        <v>0</v>
      </c>
      <c r="AH1061">
        <v>56.268000000000001</v>
      </c>
      <c r="AI1061">
        <v>98.489000000000004</v>
      </c>
      <c r="AJ1061">
        <v>78.305000000000007</v>
      </c>
      <c r="AK1061">
        <v>96.480999999999995</v>
      </c>
      <c r="AL1061">
        <v>-1.9550000000000001</v>
      </c>
      <c r="AM1061">
        <v>56.268000000000001</v>
      </c>
      <c r="AN1061">
        <v>0</v>
      </c>
      <c r="AO1061">
        <v>43.177999999999997</v>
      </c>
      <c r="AP1061">
        <v>1.9550000000000001</v>
      </c>
      <c r="AQ1061">
        <v>21.695</v>
      </c>
      <c r="AR1061">
        <v>1.5109999999999999</v>
      </c>
      <c r="AS1061">
        <v>3.5190000000000001</v>
      </c>
    </row>
    <row r="1062" spans="1:45" x14ac:dyDescent="0.25">
      <c r="A1062">
        <v>31</v>
      </c>
      <c r="B1062">
        <v>-3</v>
      </c>
      <c r="C1062">
        <v>0</v>
      </c>
      <c r="D1062">
        <v>2022</v>
      </c>
      <c r="E1062">
        <v>2</v>
      </c>
      <c r="F1062" t="str">
        <f>IFERROR(VLOOKUP(G1062, Map!$A$1:$B$33, 2, FALSE),"WAS")</f>
        <v>PIT</v>
      </c>
      <c r="G1062" t="s">
        <v>145</v>
      </c>
      <c r="H1062" t="str">
        <f>IFERROR(VLOOKUP(I1062, Map!$A$1:$B$33, 2, FALSE),"WAS")</f>
        <v>NE</v>
      </c>
      <c r="I1062" t="s">
        <v>151</v>
      </c>
      <c r="J1062" t="s">
        <v>170</v>
      </c>
      <c r="K1062" t="s">
        <v>187</v>
      </c>
      <c r="L1062">
        <v>0</v>
      </c>
      <c r="M1062">
        <v>0</v>
      </c>
      <c r="N1062">
        <v>37.15625</v>
      </c>
      <c r="O1062">
        <v>2.6875</v>
      </c>
      <c r="P1062">
        <v>1.5</v>
      </c>
      <c r="Q1062">
        <v>33.5</v>
      </c>
      <c r="R1062">
        <v>21.7</v>
      </c>
      <c r="S1062">
        <v>27.5</v>
      </c>
      <c r="T1062">
        <v>17</v>
      </c>
      <c r="U1062">
        <v>22.3</v>
      </c>
      <c r="V1062">
        <v>0</v>
      </c>
      <c r="W1062">
        <v>0</v>
      </c>
      <c r="X1062">
        <v>0</v>
      </c>
      <c r="Y1062">
        <v>0</v>
      </c>
      <c r="Z1062">
        <v>17.399999999999999</v>
      </c>
      <c r="AA1062">
        <v>37.1</v>
      </c>
      <c r="AB1062">
        <v>225</v>
      </c>
      <c r="AC1062">
        <v>72</v>
      </c>
      <c r="AD1062">
        <v>20.5</v>
      </c>
      <c r="AE1062">
        <v>9.6999999999999993</v>
      </c>
      <c r="AF1062">
        <v>52.171999999999997</v>
      </c>
      <c r="AG1062">
        <v>0</v>
      </c>
      <c r="AH1062">
        <v>47.207000000000001</v>
      </c>
      <c r="AI1062">
        <v>49.465000000000003</v>
      </c>
      <c r="AJ1062">
        <v>34.090000000000003</v>
      </c>
      <c r="AK1062">
        <v>40.198999999999998</v>
      </c>
      <c r="AL1062">
        <v>0.62</v>
      </c>
      <c r="AM1062">
        <v>47.207000000000001</v>
      </c>
      <c r="AN1062">
        <v>0</v>
      </c>
      <c r="AO1062">
        <v>52.171999999999997</v>
      </c>
      <c r="AP1062">
        <v>-0.62</v>
      </c>
      <c r="AQ1062">
        <v>65.91</v>
      </c>
      <c r="AR1062">
        <v>50.534999999999997</v>
      </c>
      <c r="AS1062">
        <v>59.801000000000002</v>
      </c>
    </row>
    <row r="1063" spans="1:45" x14ac:dyDescent="0.25">
      <c r="A1063">
        <v>48</v>
      </c>
      <c r="B1063">
        <v>34</v>
      </c>
      <c r="C1063">
        <v>1</v>
      </c>
      <c r="D1063">
        <v>2022</v>
      </c>
      <c r="E1063">
        <v>2</v>
      </c>
      <c r="F1063" t="str">
        <f>IFERROR(VLOOKUP(G1063, Map!$A$1:$B$33, 2, FALSE),"WAS")</f>
        <v>BUF</v>
      </c>
      <c r="G1063" t="s">
        <v>165</v>
      </c>
      <c r="H1063" t="str">
        <f>IFERROR(VLOOKUP(I1063, Map!$A$1:$B$33, 2, FALSE),"WAS")</f>
        <v>TEN</v>
      </c>
      <c r="I1063" t="s">
        <v>140</v>
      </c>
      <c r="J1063" t="s">
        <v>180</v>
      </c>
      <c r="K1063" t="s">
        <v>174</v>
      </c>
      <c r="L1063">
        <v>1</v>
      </c>
      <c r="M1063">
        <v>0</v>
      </c>
      <c r="N1063">
        <v>45.029411764705898</v>
      </c>
      <c r="O1063">
        <v>-10.852941176470599</v>
      </c>
      <c r="P1063">
        <v>-9.5</v>
      </c>
      <c r="Q1063">
        <v>47</v>
      </c>
      <c r="R1063">
        <v>22.8</v>
      </c>
      <c r="S1063">
        <v>30</v>
      </c>
      <c r="T1063">
        <v>15.9</v>
      </c>
      <c r="U1063">
        <v>24.6</v>
      </c>
      <c r="V1063">
        <v>0</v>
      </c>
      <c r="W1063">
        <v>0</v>
      </c>
      <c r="X1063">
        <v>0</v>
      </c>
      <c r="Y1063">
        <v>0</v>
      </c>
      <c r="Z1063">
        <v>8.6999999999999993</v>
      </c>
      <c r="AA1063">
        <v>18.399999999999999</v>
      </c>
      <c r="AB1063">
        <v>42</v>
      </c>
      <c r="AC1063">
        <v>71</v>
      </c>
      <c r="AD1063">
        <v>11.4</v>
      </c>
      <c r="AE1063">
        <v>4.9000000000000004</v>
      </c>
      <c r="AF1063">
        <v>78.86</v>
      </c>
      <c r="AG1063">
        <v>0.499</v>
      </c>
      <c r="AH1063">
        <v>20.934999999999999</v>
      </c>
      <c r="AI1063">
        <v>82.034000000000006</v>
      </c>
      <c r="AJ1063">
        <v>84.793000000000006</v>
      </c>
      <c r="AK1063">
        <v>95.194000000000003</v>
      </c>
      <c r="AL1063">
        <v>9.3680000000000003</v>
      </c>
      <c r="AM1063">
        <v>20.934999999999999</v>
      </c>
      <c r="AN1063">
        <v>0.499</v>
      </c>
      <c r="AO1063">
        <v>78.86</v>
      </c>
      <c r="AP1063">
        <v>-9.3680000000000003</v>
      </c>
      <c r="AQ1063">
        <v>15.207000000000001</v>
      </c>
      <c r="AR1063">
        <v>17.966000000000001</v>
      </c>
      <c r="AS1063">
        <v>4.806</v>
      </c>
    </row>
    <row r="1064" spans="1:45" x14ac:dyDescent="0.25">
      <c r="A1064">
        <v>61</v>
      </c>
      <c r="B1064">
        <v>-1</v>
      </c>
      <c r="C1064">
        <v>0</v>
      </c>
      <c r="D1064">
        <v>2022</v>
      </c>
      <c r="E1064">
        <v>2</v>
      </c>
      <c r="F1064" t="str">
        <f>IFERROR(VLOOKUP(G1064, Map!$A$1:$B$33, 2, FALSE),"WAS")</f>
        <v>CLE</v>
      </c>
      <c r="G1064" t="s">
        <v>162</v>
      </c>
      <c r="H1064" t="str">
        <f>IFERROR(VLOOKUP(I1064, Map!$A$1:$B$33, 2, FALSE),"WAS")</f>
        <v>NYJ</v>
      </c>
      <c r="I1064" t="s">
        <v>166</v>
      </c>
      <c r="J1064" t="s">
        <v>171</v>
      </c>
      <c r="K1064" t="s">
        <v>172</v>
      </c>
      <c r="L1064">
        <v>0</v>
      </c>
      <c r="M1064">
        <v>0</v>
      </c>
      <c r="N1064">
        <v>37.411764705882298</v>
      </c>
      <c r="O1064">
        <v>-5.8823529411764701</v>
      </c>
      <c r="P1064">
        <v>-5.5</v>
      </c>
      <c r="Q1064">
        <v>37.5</v>
      </c>
      <c r="R1064">
        <v>23.2</v>
      </c>
      <c r="S1064">
        <v>27.1</v>
      </c>
      <c r="T1064">
        <v>19.399999999999999</v>
      </c>
      <c r="U1064">
        <v>22.9</v>
      </c>
      <c r="V1064">
        <v>0</v>
      </c>
      <c r="W1064">
        <v>0</v>
      </c>
      <c r="X1064">
        <v>0</v>
      </c>
      <c r="Y1064">
        <v>0</v>
      </c>
      <c r="Z1064">
        <v>21.4</v>
      </c>
      <c r="AA1064">
        <v>33.5</v>
      </c>
      <c r="AB1064">
        <v>211</v>
      </c>
      <c r="AC1064">
        <v>66</v>
      </c>
      <c r="AD1064">
        <v>26.8</v>
      </c>
      <c r="AE1064">
        <v>17</v>
      </c>
      <c r="AF1064">
        <v>76.760999999999996</v>
      </c>
      <c r="AG1064">
        <v>0</v>
      </c>
      <c r="AH1064">
        <v>23.009</v>
      </c>
      <c r="AI1064">
        <v>28.545000000000002</v>
      </c>
      <c r="AJ1064">
        <v>84.209000000000003</v>
      </c>
      <c r="AK1064">
        <v>50.003</v>
      </c>
      <c r="AL1064">
        <v>8.4760000000000009</v>
      </c>
      <c r="AM1064">
        <v>23.009</v>
      </c>
      <c r="AN1064">
        <v>0</v>
      </c>
      <c r="AO1064">
        <v>76.760999999999996</v>
      </c>
      <c r="AP1064">
        <v>-8.4760000000000009</v>
      </c>
      <c r="AQ1064">
        <v>15.791</v>
      </c>
      <c r="AR1064">
        <v>71.454999999999998</v>
      </c>
      <c r="AS1064">
        <v>49.997</v>
      </c>
    </row>
    <row r="1065" spans="1:45" x14ac:dyDescent="0.25">
      <c r="A1065">
        <v>52</v>
      </c>
      <c r="B1065">
        <v>-6</v>
      </c>
      <c r="C1065">
        <v>0</v>
      </c>
      <c r="D1065">
        <v>2022</v>
      </c>
      <c r="E1065">
        <v>2</v>
      </c>
      <c r="F1065" t="str">
        <f>IFERROR(VLOOKUP(G1065, Map!$A$1:$B$33, 2, FALSE),"WAS")</f>
        <v>LV</v>
      </c>
      <c r="G1065" t="s">
        <v>157</v>
      </c>
      <c r="H1065" t="str">
        <f>IFERROR(VLOOKUP(I1065, Map!$A$1:$B$33, 2, FALSE),"WAS")</f>
        <v>ARI</v>
      </c>
      <c r="I1065" t="s">
        <v>156</v>
      </c>
      <c r="J1065" t="s">
        <v>179</v>
      </c>
      <c r="K1065" t="s">
        <v>190</v>
      </c>
      <c r="L1065">
        <v>0</v>
      </c>
      <c r="M1065">
        <v>0</v>
      </c>
      <c r="N1065">
        <v>51.9375</v>
      </c>
      <c r="O1065">
        <v>-5.28125</v>
      </c>
      <c r="P1065">
        <v>-2.5</v>
      </c>
      <c r="Q1065">
        <v>51.5</v>
      </c>
      <c r="R1065">
        <v>27.1</v>
      </c>
      <c r="S1065">
        <v>34.5</v>
      </c>
      <c r="T1065">
        <v>20.2</v>
      </c>
      <c r="U1065">
        <v>23.4</v>
      </c>
      <c r="V1065">
        <v>0</v>
      </c>
      <c r="W1065">
        <v>0</v>
      </c>
      <c r="X1065">
        <v>0</v>
      </c>
      <c r="Y1065">
        <v>0</v>
      </c>
      <c r="Z1065">
        <v>26.8</v>
      </c>
      <c r="AA1065">
        <v>46.1</v>
      </c>
      <c r="AB1065">
        <v>195</v>
      </c>
      <c r="AC1065">
        <v>21</v>
      </c>
      <c r="AD1065">
        <v>24.6</v>
      </c>
      <c r="AE1065">
        <v>13.9</v>
      </c>
      <c r="AF1065">
        <v>62.814999999999998</v>
      </c>
      <c r="AG1065">
        <v>0</v>
      </c>
      <c r="AH1065">
        <v>36.744999999999997</v>
      </c>
      <c r="AI1065">
        <v>49.061999999999998</v>
      </c>
      <c r="AJ1065">
        <v>41.648000000000003</v>
      </c>
      <c r="AK1065">
        <v>48.822000000000003</v>
      </c>
      <c r="AL1065">
        <v>3.7450000000000001</v>
      </c>
      <c r="AM1065">
        <v>36.744999999999997</v>
      </c>
      <c r="AN1065">
        <v>0</v>
      </c>
      <c r="AO1065">
        <v>62.814999999999998</v>
      </c>
      <c r="AP1065">
        <v>-3.7450000000000001</v>
      </c>
      <c r="AQ1065">
        <v>58.351999999999997</v>
      </c>
      <c r="AR1065">
        <v>50.938000000000002</v>
      </c>
      <c r="AS1065">
        <v>51.177999999999997</v>
      </c>
    </row>
    <row r="1066" spans="1:45" x14ac:dyDescent="0.25">
      <c r="A1066">
        <v>63</v>
      </c>
      <c r="B1066">
        <v>9</v>
      </c>
      <c r="C1066">
        <v>1</v>
      </c>
      <c r="D1066">
        <v>2022</v>
      </c>
      <c r="E1066">
        <v>2</v>
      </c>
      <c r="F1066" t="str">
        <f>IFERROR(VLOOKUP(G1066, Map!$A$1:$B$33, 2, FALSE),"WAS")</f>
        <v>DET</v>
      </c>
      <c r="G1066" t="s">
        <v>164</v>
      </c>
      <c r="H1066" t="str">
        <f>IFERROR(VLOOKUP(I1066, Map!$A$1:$B$33, 2, FALSE),"WAS")</f>
        <v>WAS</v>
      </c>
      <c r="I1066" t="s">
        <v>148</v>
      </c>
      <c r="J1066" t="s">
        <v>173</v>
      </c>
      <c r="K1066" t="s">
        <v>205</v>
      </c>
      <c r="L1066">
        <v>1</v>
      </c>
      <c r="M1066">
        <v>0</v>
      </c>
      <c r="N1066">
        <v>49.09375</v>
      </c>
      <c r="O1066">
        <v>-0.5625</v>
      </c>
      <c r="P1066">
        <v>0</v>
      </c>
      <c r="Q1066">
        <v>47.5</v>
      </c>
      <c r="R1066">
        <v>24.1</v>
      </c>
      <c r="S1066">
        <v>29.1</v>
      </c>
      <c r="T1066">
        <v>20.2</v>
      </c>
      <c r="U1066">
        <v>23.7</v>
      </c>
      <c r="V1066">
        <v>0.3</v>
      </c>
      <c r="W1066">
        <v>0</v>
      </c>
      <c r="X1066">
        <v>1</v>
      </c>
      <c r="Y1066">
        <v>0.3</v>
      </c>
      <c r="Z1066">
        <v>22.4</v>
      </c>
      <c r="AA1066">
        <v>40</v>
      </c>
      <c r="AB1066">
        <v>225</v>
      </c>
      <c r="AC1066">
        <v>63</v>
      </c>
      <c r="AD1066">
        <v>30.5</v>
      </c>
      <c r="AE1066">
        <v>18</v>
      </c>
      <c r="AF1066">
        <v>44.92</v>
      </c>
      <c r="AG1066">
        <v>0</v>
      </c>
      <c r="AH1066">
        <v>54.494</v>
      </c>
      <c r="AI1066">
        <v>61.296999999999997</v>
      </c>
      <c r="AJ1066">
        <v>80.224000000000004</v>
      </c>
      <c r="AK1066">
        <v>86.835999999999999</v>
      </c>
      <c r="AL1066">
        <v>-1.452</v>
      </c>
      <c r="AM1066">
        <v>54.494</v>
      </c>
      <c r="AN1066">
        <v>0</v>
      </c>
      <c r="AO1066">
        <v>44.92</v>
      </c>
      <c r="AP1066">
        <v>1.452</v>
      </c>
      <c r="AQ1066">
        <v>19.776</v>
      </c>
      <c r="AR1066">
        <v>38.703000000000003</v>
      </c>
      <c r="AS1066">
        <v>13.164</v>
      </c>
    </row>
    <row r="1067" spans="1:45" x14ac:dyDescent="0.25">
      <c r="A1067">
        <v>58</v>
      </c>
      <c r="B1067">
        <v>4</v>
      </c>
      <c r="C1067">
        <v>1</v>
      </c>
      <c r="D1067">
        <v>2022</v>
      </c>
      <c r="E1067">
        <v>2</v>
      </c>
      <c r="F1067" t="str">
        <f>IFERROR(VLOOKUP(G1067, Map!$A$1:$B$33, 2, FALSE),"WAS")</f>
        <v>LA</v>
      </c>
      <c r="G1067" t="s">
        <v>155</v>
      </c>
      <c r="H1067" t="str">
        <f>IFERROR(VLOOKUP(I1067, Map!$A$1:$B$33, 2, FALSE),"WAS")</f>
        <v>ATL</v>
      </c>
      <c r="I1067" t="s">
        <v>167</v>
      </c>
      <c r="J1067" t="s">
        <v>178</v>
      </c>
      <c r="K1067" t="s">
        <v>188</v>
      </c>
      <c r="L1067">
        <v>1</v>
      </c>
      <c r="M1067">
        <v>0</v>
      </c>
      <c r="N1067">
        <v>44.058823529411796</v>
      </c>
      <c r="O1067">
        <v>-9.2352941176470598</v>
      </c>
      <c r="P1067">
        <v>-6</v>
      </c>
      <c r="Q1067">
        <v>45.5</v>
      </c>
      <c r="R1067">
        <v>20.9</v>
      </c>
      <c r="S1067">
        <v>23.7</v>
      </c>
      <c r="T1067">
        <v>18.600000000000001</v>
      </c>
      <c r="U1067">
        <v>21.1</v>
      </c>
      <c r="V1067">
        <v>0.5</v>
      </c>
      <c r="W1067">
        <v>0</v>
      </c>
      <c r="X1067">
        <v>3</v>
      </c>
      <c r="Y1067">
        <v>0.5</v>
      </c>
      <c r="Z1067">
        <v>21.1</v>
      </c>
      <c r="AA1067">
        <v>37.1</v>
      </c>
      <c r="AB1067">
        <v>194</v>
      </c>
      <c r="AC1067">
        <v>74</v>
      </c>
      <c r="AD1067">
        <v>23.1</v>
      </c>
      <c r="AE1067">
        <v>12.8</v>
      </c>
      <c r="AF1067">
        <v>81.777000000000001</v>
      </c>
      <c r="AG1067">
        <v>0</v>
      </c>
      <c r="AH1067">
        <v>18.052</v>
      </c>
      <c r="AI1067">
        <v>80.965999999999994</v>
      </c>
      <c r="AJ1067">
        <v>77.013000000000005</v>
      </c>
      <c r="AK1067">
        <v>85.683000000000007</v>
      </c>
      <c r="AL1067">
        <v>10.673999999999999</v>
      </c>
      <c r="AM1067">
        <v>18.052</v>
      </c>
      <c r="AN1067">
        <v>0</v>
      </c>
      <c r="AO1067">
        <v>81.777000000000001</v>
      </c>
      <c r="AP1067">
        <v>-10.673999999999999</v>
      </c>
      <c r="AQ1067">
        <v>22.986999999999998</v>
      </c>
      <c r="AR1067">
        <v>19.033999999999999</v>
      </c>
      <c r="AS1067">
        <v>14.317</v>
      </c>
    </row>
    <row r="1068" spans="1:45" x14ac:dyDescent="0.25">
      <c r="A1068">
        <v>37</v>
      </c>
      <c r="B1068">
        <v>17</v>
      </c>
      <c r="C1068">
        <v>1</v>
      </c>
      <c r="D1068">
        <v>2022</v>
      </c>
      <c r="E1068">
        <v>2</v>
      </c>
      <c r="F1068" t="str">
        <f>IFERROR(VLOOKUP(G1068, Map!$A$1:$B$33, 2, FALSE),"WAS")</f>
        <v>GB</v>
      </c>
      <c r="G1068" t="s">
        <v>154</v>
      </c>
      <c r="H1068" t="str">
        <f>IFERROR(VLOOKUP(I1068, Map!$A$1:$B$33, 2, FALSE),"WAS")</f>
        <v>CHI</v>
      </c>
      <c r="I1068" t="s">
        <v>163</v>
      </c>
      <c r="J1068" t="s">
        <v>200</v>
      </c>
      <c r="K1068" t="s">
        <v>216</v>
      </c>
      <c r="L1068">
        <v>1</v>
      </c>
      <c r="M1068">
        <v>0</v>
      </c>
      <c r="N1068">
        <v>39.235294117647101</v>
      </c>
      <c r="O1068">
        <v>-9.8823529411764692</v>
      </c>
      <c r="P1068">
        <v>-9.5</v>
      </c>
      <c r="Q1068">
        <v>38.5</v>
      </c>
      <c r="R1068">
        <v>20.7</v>
      </c>
      <c r="S1068">
        <v>25.6</v>
      </c>
      <c r="T1068">
        <v>15.2</v>
      </c>
      <c r="U1068">
        <v>20.8</v>
      </c>
      <c r="V1068">
        <v>0</v>
      </c>
      <c r="W1068">
        <v>0</v>
      </c>
      <c r="X1068">
        <v>0</v>
      </c>
      <c r="Y1068">
        <v>0</v>
      </c>
      <c r="Z1068">
        <v>15.1</v>
      </c>
      <c r="AA1068">
        <v>27.7</v>
      </c>
      <c r="AB1068">
        <v>279</v>
      </c>
      <c r="AC1068">
        <v>69</v>
      </c>
      <c r="AD1068">
        <v>21.5</v>
      </c>
      <c r="AE1068">
        <v>10.1</v>
      </c>
      <c r="AF1068">
        <v>87.3</v>
      </c>
      <c r="AG1068">
        <v>0</v>
      </c>
      <c r="AH1068">
        <v>12.587</v>
      </c>
      <c r="AI1068">
        <v>71.566999999999993</v>
      </c>
      <c r="AJ1068">
        <v>82.358000000000004</v>
      </c>
      <c r="AK1068">
        <v>89.778999999999996</v>
      </c>
      <c r="AL1068">
        <v>13.706</v>
      </c>
      <c r="AM1068">
        <v>12.587</v>
      </c>
      <c r="AN1068">
        <v>0</v>
      </c>
      <c r="AO1068">
        <v>87.3</v>
      </c>
      <c r="AP1068">
        <v>-13.706</v>
      </c>
      <c r="AQ1068">
        <v>17.641999999999999</v>
      </c>
      <c r="AR1068">
        <v>28.433</v>
      </c>
      <c r="AS1068">
        <v>10.221</v>
      </c>
    </row>
    <row r="1069" spans="1:45" x14ac:dyDescent="0.25">
      <c r="A1069">
        <v>51</v>
      </c>
      <c r="B1069">
        <v>3</v>
      </c>
      <c r="C1069">
        <v>1</v>
      </c>
      <c r="D1069">
        <v>2022</v>
      </c>
      <c r="E1069">
        <v>2</v>
      </c>
      <c r="F1069" t="str">
        <f>IFERROR(VLOOKUP(G1069, Map!$A$1:$B$33, 2, FALSE),"WAS")</f>
        <v>KC</v>
      </c>
      <c r="G1069" t="s">
        <v>158</v>
      </c>
      <c r="H1069" t="str">
        <f>IFERROR(VLOOKUP(I1069, Map!$A$1:$B$33, 2, FALSE),"WAS")</f>
        <v>LAC</v>
      </c>
      <c r="I1069" t="s">
        <v>160</v>
      </c>
      <c r="J1069" t="s">
        <v>202</v>
      </c>
      <c r="K1069" t="s">
        <v>210</v>
      </c>
      <c r="L1069">
        <v>1</v>
      </c>
      <c r="M1069">
        <v>0</v>
      </c>
      <c r="N1069">
        <v>49.588235294117602</v>
      </c>
      <c r="O1069">
        <v>-3.7058823529411802</v>
      </c>
      <c r="P1069">
        <v>-3</v>
      </c>
      <c r="Q1069">
        <v>52.5</v>
      </c>
      <c r="R1069">
        <v>23.3</v>
      </c>
      <c r="S1069">
        <v>29.2</v>
      </c>
      <c r="T1069">
        <v>19.100000000000001</v>
      </c>
      <c r="U1069">
        <v>22.9</v>
      </c>
      <c r="V1069">
        <v>0.9</v>
      </c>
      <c r="W1069">
        <v>0</v>
      </c>
      <c r="X1069">
        <v>3</v>
      </c>
      <c r="Y1069">
        <v>0.9</v>
      </c>
      <c r="Z1069">
        <v>16.2</v>
      </c>
      <c r="AA1069">
        <v>32.4</v>
      </c>
      <c r="AB1069">
        <v>175</v>
      </c>
      <c r="AC1069">
        <v>57</v>
      </c>
      <c r="AD1069">
        <v>24.2</v>
      </c>
      <c r="AE1069">
        <v>12.4</v>
      </c>
      <c r="AF1069">
        <v>54.183</v>
      </c>
      <c r="AG1069">
        <v>0</v>
      </c>
      <c r="AH1069">
        <v>45.225999999999999</v>
      </c>
      <c r="AI1069">
        <v>65.340999999999994</v>
      </c>
      <c r="AJ1069">
        <v>65.545000000000002</v>
      </c>
      <c r="AK1069">
        <v>68.930000000000007</v>
      </c>
      <c r="AL1069">
        <v>1.1859999999999999</v>
      </c>
      <c r="AM1069">
        <v>45.225999999999999</v>
      </c>
      <c r="AN1069">
        <v>0</v>
      </c>
      <c r="AO1069">
        <v>54.183</v>
      </c>
      <c r="AP1069">
        <v>-1.1859999999999999</v>
      </c>
      <c r="AQ1069">
        <v>34.454999999999998</v>
      </c>
      <c r="AR1069">
        <v>34.658999999999999</v>
      </c>
      <c r="AS1069">
        <v>31.07</v>
      </c>
    </row>
    <row r="1070" spans="1:45" x14ac:dyDescent="0.25">
      <c r="A1070">
        <v>31</v>
      </c>
      <c r="B1070">
        <v>17</v>
      </c>
      <c r="C1070">
        <v>1</v>
      </c>
      <c r="D1070">
        <v>2022</v>
      </c>
      <c r="E1070">
        <v>2</v>
      </c>
      <c r="F1070" t="str">
        <f>IFERROR(VLOOKUP(G1070, Map!$A$1:$B$33, 2, FALSE),"WAS")</f>
        <v>PHI</v>
      </c>
      <c r="G1070" t="s">
        <v>147</v>
      </c>
      <c r="H1070" t="str">
        <f>IFERROR(VLOOKUP(I1070, Map!$A$1:$B$33, 2, FALSE),"WAS")</f>
        <v>MIN</v>
      </c>
      <c r="I1070" t="s">
        <v>153</v>
      </c>
      <c r="J1070" t="s">
        <v>206</v>
      </c>
      <c r="K1070" t="s">
        <v>214</v>
      </c>
      <c r="L1070">
        <v>1</v>
      </c>
      <c r="M1070">
        <v>0</v>
      </c>
      <c r="N1070">
        <v>45.40625</v>
      </c>
      <c r="O1070">
        <v>-3.53125</v>
      </c>
      <c r="P1070">
        <v>-2.5</v>
      </c>
      <c r="Q1070">
        <v>32.5</v>
      </c>
      <c r="R1070">
        <v>22.6</v>
      </c>
      <c r="S1070">
        <v>28.5</v>
      </c>
      <c r="T1070">
        <v>18.399999999999999</v>
      </c>
      <c r="U1070">
        <v>22.8</v>
      </c>
      <c r="V1070">
        <v>0</v>
      </c>
      <c r="W1070">
        <v>0</v>
      </c>
      <c r="X1070">
        <v>0</v>
      </c>
      <c r="Y1070">
        <v>0</v>
      </c>
      <c r="Z1070">
        <v>20.8</v>
      </c>
      <c r="AA1070">
        <v>36.4</v>
      </c>
      <c r="AB1070">
        <v>309</v>
      </c>
      <c r="AC1070">
        <v>66</v>
      </c>
      <c r="AD1070">
        <v>22.5</v>
      </c>
      <c r="AE1070">
        <v>11.8</v>
      </c>
      <c r="AF1070">
        <v>65.888999999999996</v>
      </c>
      <c r="AG1070">
        <v>0.49099999999999999</v>
      </c>
      <c r="AH1070">
        <v>33.720999999999997</v>
      </c>
      <c r="AI1070">
        <v>88.215999999999994</v>
      </c>
      <c r="AJ1070">
        <v>86.186000000000007</v>
      </c>
      <c r="AK1070">
        <v>91.533000000000001</v>
      </c>
      <c r="AL1070">
        <v>4.681</v>
      </c>
      <c r="AM1070">
        <v>33.720999999999997</v>
      </c>
      <c r="AN1070">
        <v>0.49099999999999999</v>
      </c>
      <c r="AO1070">
        <v>65.888999999999996</v>
      </c>
      <c r="AP1070">
        <v>-4.681</v>
      </c>
      <c r="AQ1070">
        <v>13.814</v>
      </c>
      <c r="AR1070">
        <v>11.784000000000001</v>
      </c>
      <c r="AS1070">
        <v>8.4670000000000005</v>
      </c>
    </row>
    <row r="1071" spans="1:45" x14ac:dyDescent="0.25">
      <c r="A1071">
        <v>35</v>
      </c>
      <c r="B1071">
        <v>3</v>
      </c>
      <c r="C1071">
        <v>1</v>
      </c>
      <c r="D1071">
        <v>2022</v>
      </c>
      <c r="E1071">
        <v>2</v>
      </c>
      <c r="F1071" t="str">
        <f>IFERROR(VLOOKUP(G1071, Map!$A$1:$B$33, 2, FALSE),"WAS")</f>
        <v>NYG</v>
      </c>
      <c r="G1071" t="s">
        <v>149</v>
      </c>
      <c r="H1071" t="str">
        <f>IFERROR(VLOOKUP(I1071, Map!$A$1:$B$33, 2, FALSE),"WAS")</f>
        <v>CAR</v>
      </c>
      <c r="I1071" t="s">
        <v>142</v>
      </c>
      <c r="J1071" t="s">
        <v>219</v>
      </c>
      <c r="K1071" t="s">
        <v>185</v>
      </c>
      <c r="L1071">
        <v>1</v>
      </c>
      <c r="M1071">
        <v>0</v>
      </c>
      <c r="N1071">
        <v>40.441176470588204</v>
      </c>
      <c r="O1071">
        <v>0.23529411764705899</v>
      </c>
      <c r="P1071">
        <v>1</v>
      </c>
      <c r="Q1071">
        <v>36.5</v>
      </c>
      <c r="R1071">
        <v>21.8</v>
      </c>
      <c r="S1071">
        <v>28.8</v>
      </c>
      <c r="T1071">
        <v>16.600000000000001</v>
      </c>
      <c r="U1071">
        <v>22.2</v>
      </c>
      <c r="V1071">
        <v>0</v>
      </c>
      <c r="W1071">
        <v>0</v>
      </c>
      <c r="X1071">
        <v>0</v>
      </c>
      <c r="Y1071">
        <v>0</v>
      </c>
      <c r="Z1071">
        <v>17.7</v>
      </c>
      <c r="AA1071">
        <v>36</v>
      </c>
      <c r="AB1071">
        <v>226</v>
      </c>
      <c r="AC1071">
        <v>73</v>
      </c>
      <c r="AD1071">
        <v>25.5</v>
      </c>
      <c r="AE1071">
        <v>12.4</v>
      </c>
      <c r="AF1071">
        <v>41.875999999999998</v>
      </c>
      <c r="AG1071">
        <v>0</v>
      </c>
      <c r="AH1071">
        <v>57.593000000000004</v>
      </c>
      <c r="AI1071">
        <v>69.117000000000004</v>
      </c>
      <c r="AJ1071">
        <v>30.751999999999999</v>
      </c>
      <c r="AK1071">
        <v>55.89</v>
      </c>
      <c r="AL1071">
        <v>-2.3290000000000002</v>
      </c>
      <c r="AM1071">
        <v>57.593000000000004</v>
      </c>
      <c r="AN1071">
        <v>0</v>
      </c>
      <c r="AO1071">
        <v>41.875999999999998</v>
      </c>
      <c r="AP1071">
        <v>2.3290000000000002</v>
      </c>
      <c r="AQ1071">
        <v>69.248000000000005</v>
      </c>
      <c r="AR1071">
        <v>30.882999999999999</v>
      </c>
      <c r="AS1071">
        <v>44.11</v>
      </c>
    </row>
    <row r="1072" spans="1:45" x14ac:dyDescent="0.25">
      <c r="A1072">
        <v>34</v>
      </c>
      <c r="B1072">
        <v>20</v>
      </c>
      <c r="C1072">
        <v>1</v>
      </c>
      <c r="D1072">
        <v>2022</v>
      </c>
      <c r="E1072">
        <v>2</v>
      </c>
      <c r="F1072" t="str">
        <f>IFERROR(VLOOKUP(G1072, Map!$A$1:$B$33, 2, FALSE),"WAS")</f>
        <v>SF</v>
      </c>
      <c r="G1072" t="s">
        <v>143</v>
      </c>
      <c r="H1072" t="str">
        <f>IFERROR(VLOOKUP(I1072, Map!$A$1:$B$33, 2, FALSE),"WAS")</f>
        <v>SEA</v>
      </c>
      <c r="I1072" t="s">
        <v>144</v>
      </c>
      <c r="J1072" t="s">
        <v>197</v>
      </c>
      <c r="K1072" t="s">
        <v>182</v>
      </c>
      <c r="L1072">
        <v>1</v>
      </c>
      <c r="M1072">
        <v>0</v>
      </c>
      <c r="N1072">
        <v>37.058823529411796</v>
      </c>
      <c r="O1072">
        <v>-8.6470588235294095</v>
      </c>
      <c r="P1072">
        <v>-8</v>
      </c>
      <c r="Q1072">
        <v>34.5</v>
      </c>
      <c r="R1072">
        <v>18.5</v>
      </c>
      <c r="S1072">
        <v>22.2</v>
      </c>
      <c r="T1072">
        <v>16.3</v>
      </c>
      <c r="U1072">
        <v>16.600000000000001</v>
      </c>
      <c r="V1072">
        <v>9.8000000000000007</v>
      </c>
      <c r="W1072">
        <v>0</v>
      </c>
      <c r="X1072">
        <v>9</v>
      </c>
      <c r="Y1072">
        <v>9.8000000000000007</v>
      </c>
      <c r="Z1072">
        <v>30.7</v>
      </c>
      <c r="AA1072">
        <v>54.4</v>
      </c>
      <c r="AB1072">
        <v>150</v>
      </c>
      <c r="AC1072">
        <v>66</v>
      </c>
      <c r="AD1072">
        <v>30.4</v>
      </c>
      <c r="AE1072">
        <v>17.100000000000001</v>
      </c>
      <c r="AF1072">
        <v>73.492999999999995</v>
      </c>
      <c r="AG1072">
        <v>0</v>
      </c>
      <c r="AH1072">
        <v>26.233000000000001</v>
      </c>
      <c r="AI1072">
        <v>94.563999999999993</v>
      </c>
      <c r="AJ1072">
        <v>82.072999999999993</v>
      </c>
      <c r="AK1072">
        <v>94.516999999999996</v>
      </c>
      <c r="AL1072">
        <v>7.24</v>
      </c>
      <c r="AM1072">
        <v>26.233000000000001</v>
      </c>
      <c r="AN1072">
        <v>0</v>
      </c>
      <c r="AO1072">
        <v>73.492999999999995</v>
      </c>
      <c r="AP1072">
        <v>-7.24</v>
      </c>
      <c r="AQ1072">
        <v>17.927</v>
      </c>
      <c r="AR1072">
        <v>5.4359999999999999</v>
      </c>
      <c r="AS1072">
        <v>5.4829999999999997</v>
      </c>
    </row>
    <row r="1073" spans="1:45" x14ac:dyDescent="0.25">
      <c r="A1073">
        <v>30</v>
      </c>
      <c r="B1073">
        <v>-10</v>
      </c>
      <c r="C1073">
        <v>0</v>
      </c>
      <c r="D1073">
        <v>2022</v>
      </c>
      <c r="E1073">
        <v>2</v>
      </c>
      <c r="F1073" t="str">
        <f>IFERROR(VLOOKUP(G1073, Map!$A$1:$B$33, 2, FALSE),"WAS")</f>
        <v>NO</v>
      </c>
      <c r="G1073" t="s">
        <v>168</v>
      </c>
      <c r="H1073" t="str">
        <f>IFERROR(VLOOKUP(I1073, Map!$A$1:$B$33, 2, FALSE),"WAS")</f>
        <v>TB</v>
      </c>
      <c r="I1073" t="s">
        <v>141</v>
      </c>
      <c r="J1073" t="s">
        <v>192</v>
      </c>
      <c r="K1073" t="s">
        <v>186</v>
      </c>
      <c r="L1073">
        <v>0</v>
      </c>
      <c r="M1073">
        <v>0</v>
      </c>
      <c r="N1073">
        <v>40.382352941176499</v>
      </c>
      <c r="O1073">
        <v>2.8235294117647101</v>
      </c>
      <c r="P1073">
        <v>2.5</v>
      </c>
      <c r="Q1073">
        <v>31.5</v>
      </c>
      <c r="R1073">
        <v>26.9</v>
      </c>
      <c r="S1073">
        <v>30.5</v>
      </c>
      <c r="T1073">
        <v>24.3</v>
      </c>
      <c r="U1073">
        <v>31.4</v>
      </c>
      <c r="V1073">
        <v>1.2</v>
      </c>
      <c r="W1073">
        <v>0</v>
      </c>
      <c r="X1073">
        <v>4</v>
      </c>
      <c r="Y1073">
        <v>1.2</v>
      </c>
      <c r="Z1073">
        <v>17.3</v>
      </c>
      <c r="AA1073">
        <v>40</v>
      </c>
      <c r="AB1073">
        <v>103</v>
      </c>
      <c r="AC1073">
        <v>81</v>
      </c>
      <c r="AD1073">
        <v>19.7</v>
      </c>
      <c r="AE1073">
        <v>9.5</v>
      </c>
      <c r="AF1073">
        <v>30.989000000000001</v>
      </c>
      <c r="AG1073">
        <v>0</v>
      </c>
      <c r="AH1073">
        <v>68.677999999999997</v>
      </c>
      <c r="AI1073">
        <v>79.058999999999997</v>
      </c>
      <c r="AJ1073">
        <v>4.1760000000000002</v>
      </c>
      <c r="AK1073">
        <v>23.187999999999999</v>
      </c>
      <c r="AL1073">
        <v>-5.6980000000000004</v>
      </c>
      <c r="AM1073">
        <v>68.677999999999997</v>
      </c>
      <c r="AN1073">
        <v>0</v>
      </c>
      <c r="AO1073">
        <v>30.989000000000001</v>
      </c>
      <c r="AP1073">
        <v>5.6980000000000004</v>
      </c>
      <c r="AQ1073">
        <v>95.823999999999998</v>
      </c>
      <c r="AR1073">
        <v>20.940999999999999</v>
      </c>
      <c r="AS1073">
        <v>76.811999999999998</v>
      </c>
    </row>
    <row r="1074" spans="1:45" x14ac:dyDescent="0.25">
      <c r="A1074">
        <v>26</v>
      </c>
      <c r="B1074">
        <v>-2</v>
      </c>
      <c r="C1074">
        <v>0</v>
      </c>
      <c r="D1074">
        <v>2022</v>
      </c>
      <c r="E1074">
        <v>3</v>
      </c>
      <c r="F1074" t="str">
        <f>IFERROR(VLOOKUP(G1074, Map!$A$1:$B$33, 2, FALSE),"WAS")</f>
        <v>TB</v>
      </c>
      <c r="G1074" t="s">
        <v>141</v>
      </c>
      <c r="H1074" t="str">
        <f>IFERROR(VLOOKUP(I1074, Map!$A$1:$B$33, 2, FALSE),"WAS")</f>
        <v>GB</v>
      </c>
      <c r="I1074" t="s">
        <v>154</v>
      </c>
      <c r="J1074" t="s">
        <v>186</v>
      </c>
      <c r="K1074" t="s">
        <v>200</v>
      </c>
      <c r="L1074">
        <v>0</v>
      </c>
      <c r="M1074">
        <v>0</v>
      </c>
      <c r="N1074">
        <v>39.3125</v>
      </c>
      <c r="O1074">
        <v>-1.5</v>
      </c>
      <c r="P1074">
        <v>-1</v>
      </c>
      <c r="Q1074">
        <v>41.5</v>
      </c>
      <c r="R1074">
        <v>25.3</v>
      </c>
      <c r="S1074">
        <v>28.2</v>
      </c>
      <c r="T1074">
        <v>22.5</v>
      </c>
      <c r="U1074">
        <v>28.4</v>
      </c>
      <c r="V1074">
        <v>1.7</v>
      </c>
      <c r="W1074">
        <v>0</v>
      </c>
      <c r="X1074">
        <v>7</v>
      </c>
      <c r="Y1074">
        <v>1.7</v>
      </c>
      <c r="Z1074">
        <v>18.399999999999999</v>
      </c>
      <c r="AA1074">
        <v>29.2</v>
      </c>
      <c r="AB1074">
        <v>58</v>
      </c>
      <c r="AC1074">
        <v>81</v>
      </c>
      <c r="AD1074">
        <v>21.7</v>
      </c>
      <c r="AE1074">
        <v>12</v>
      </c>
      <c r="AF1074">
        <v>57.98</v>
      </c>
      <c r="AG1074">
        <v>0.98499999999999999</v>
      </c>
      <c r="AH1074">
        <v>41.491</v>
      </c>
      <c r="AI1074">
        <v>61.984999999999999</v>
      </c>
      <c r="AJ1074">
        <v>22.916</v>
      </c>
      <c r="AK1074">
        <v>37.729999999999997</v>
      </c>
      <c r="AL1074">
        <v>2.2959999999999998</v>
      </c>
      <c r="AM1074">
        <v>41.491</v>
      </c>
      <c r="AN1074">
        <v>0.98499999999999999</v>
      </c>
      <c r="AO1074">
        <v>57.98</v>
      </c>
      <c r="AP1074">
        <v>-2.2959999999999998</v>
      </c>
      <c r="AQ1074">
        <v>77.084000000000003</v>
      </c>
      <c r="AR1074">
        <v>38.015000000000001</v>
      </c>
      <c r="AS1074">
        <v>62.27</v>
      </c>
    </row>
    <row r="1075" spans="1:45" x14ac:dyDescent="0.25">
      <c r="A1075">
        <v>46</v>
      </c>
      <c r="B1075">
        <v>2</v>
      </c>
      <c r="C1075">
        <v>1</v>
      </c>
      <c r="D1075">
        <v>2022</v>
      </c>
      <c r="E1075">
        <v>3</v>
      </c>
      <c r="F1075" t="str">
        <f>IFERROR(VLOOKUP(G1075, Map!$A$1:$B$33, 2, FALSE),"WAS")</f>
        <v>TEN</v>
      </c>
      <c r="G1075" t="s">
        <v>140</v>
      </c>
      <c r="H1075" t="str">
        <f>IFERROR(VLOOKUP(I1075, Map!$A$1:$B$33, 2, FALSE),"WAS")</f>
        <v>LV</v>
      </c>
      <c r="I1075" t="s">
        <v>157</v>
      </c>
      <c r="J1075" t="s">
        <v>174</v>
      </c>
      <c r="K1075" t="s">
        <v>179</v>
      </c>
      <c r="L1075">
        <v>1</v>
      </c>
      <c r="M1075">
        <v>0</v>
      </c>
      <c r="N1075">
        <v>46.3333333333333</v>
      </c>
      <c r="O1075">
        <v>1.3333333333333299</v>
      </c>
      <c r="P1075">
        <v>1.5</v>
      </c>
      <c r="Q1075">
        <v>45</v>
      </c>
      <c r="R1075">
        <v>22.5</v>
      </c>
      <c r="S1075">
        <v>26.5</v>
      </c>
      <c r="T1075">
        <v>19.5</v>
      </c>
      <c r="U1075">
        <v>23.3</v>
      </c>
      <c r="V1075">
        <v>5.0999999999999996</v>
      </c>
      <c r="W1075">
        <v>0</v>
      </c>
      <c r="X1075">
        <v>5</v>
      </c>
      <c r="Y1075">
        <v>5.0999999999999996</v>
      </c>
      <c r="Z1075">
        <v>23.7</v>
      </c>
      <c r="AA1075">
        <v>44.6</v>
      </c>
      <c r="AB1075">
        <v>236</v>
      </c>
      <c r="AC1075">
        <v>74</v>
      </c>
      <c r="AD1075">
        <v>27.3</v>
      </c>
      <c r="AE1075">
        <v>13.3</v>
      </c>
      <c r="AF1075">
        <v>40.034999999999997</v>
      </c>
      <c r="AG1075">
        <v>0.54900000000000004</v>
      </c>
      <c r="AH1075">
        <v>59.472000000000001</v>
      </c>
      <c r="AI1075">
        <v>52.33</v>
      </c>
      <c r="AJ1075">
        <v>81.531000000000006</v>
      </c>
      <c r="AK1075">
        <v>75.045000000000002</v>
      </c>
      <c r="AL1075">
        <v>-2.8719999999999999</v>
      </c>
      <c r="AM1075">
        <v>59.472000000000001</v>
      </c>
      <c r="AN1075">
        <v>0.54900000000000004</v>
      </c>
      <c r="AO1075">
        <v>40.034999999999997</v>
      </c>
      <c r="AP1075">
        <v>2.8719999999999999</v>
      </c>
      <c r="AQ1075">
        <v>18.469000000000001</v>
      </c>
      <c r="AR1075">
        <v>47.67</v>
      </c>
      <c r="AS1075">
        <v>24.954999999999998</v>
      </c>
    </row>
    <row r="1076" spans="1:45" x14ac:dyDescent="0.25">
      <c r="A1076">
        <v>50</v>
      </c>
      <c r="B1076">
        <v>-4</v>
      </c>
      <c r="C1076">
        <v>0</v>
      </c>
      <c r="D1076">
        <v>2022</v>
      </c>
      <c r="E1076">
        <v>3</v>
      </c>
      <c r="F1076" t="str">
        <f>IFERROR(VLOOKUP(G1076, Map!$A$1:$B$33, 2, FALSE),"WAS")</f>
        <v>SEA</v>
      </c>
      <c r="G1076" t="s">
        <v>144</v>
      </c>
      <c r="H1076" t="str">
        <f>IFERROR(VLOOKUP(I1076, Map!$A$1:$B$33, 2, FALSE),"WAS")</f>
        <v>ATL</v>
      </c>
      <c r="I1076" t="s">
        <v>167</v>
      </c>
      <c r="J1076" t="s">
        <v>182</v>
      </c>
      <c r="K1076" t="s">
        <v>188</v>
      </c>
      <c r="L1076">
        <v>0</v>
      </c>
      <c r="M1076">
        <v>0</v>
      </c>
      <c r="N1076">
        <v>40.71875</v>
      </c>
      <c r="O1076">
        <v>-1.1875</v>
      </c>
      <c r="P1076">
        <v>-0.5</v>
      </c>
      <c r="Q1076">
        <v>42.5</v>
      </c>
      <c r="R1076">
        <v>16.2</v>
      </c>
      <c r="S1076">
        <v>22.5</v>
      </c>
      <c r="T1076">
        <v>11.9</v>
      </c>
      <c r="U1076">
        <v>14.9</v>
      </c>
      <c r="V1076">
        <v>0</v>
      </c>
      <c r="W1076">
        <v>0</v>
      </c>
      <c r="X1076">
        <v>0</v>
      </c>
      <c r="Y1076">
        <v>0</v>
      </c>
      <c r="Z1076">
        <v>19.100000000000001</v>
      </c>
      <c r="AA1076">
        <v>40.700000000000003</v>
      </c>
      <c r="AB1076">
        <v>3</v>
      </c>
      <c r="AC1076">
        <v>74</v>
      </c>
      <c r="AD1076">
        <v>23.4</v>
      </c>
      <c r="AE1076">
        <v>11.8</v>
      </c>
      <c r="AF1076">
        <v>47.484999999999999</v>
      </c>
      <c r="AG1076">
        <v>3.5999999999999997E-2</v>
      </c>
      <c r="AH1076">
        <v>51.895000000000003</v>
      </c>
      <c r="AI1076">
        <v>16.414999999999999</v>
      </c>
      <c r="AJ1076">
        <v>71.676000000000002</v>
      </c>
      <c r="AK1076">
        <v>41.984000000000002</v>
      </c>
      <c r="AL1076">
        <v>-0.71499999999999997</v>
      </c>
      <c r="AM1076">
        <v>51.895000000000003</v>
      </c>
      <c r="AN1076">
        <v>3.5999999999999997E-2</v>
      </c>
      <c r="AO1076">
        <v>47.484999999999999</v>
      </c>
      <c r="AP1076">
        <v>0.71499999999999997</v>
      </c>
      <c r="AQ1076">
        <v>28.324000000000002</v>
      </c>
      <c r="AR1076">
        <v>83.584999999999994</v>
      </c>
      <c r="AS1076">
        <v>58.015999999999998</v>
      </c>
    </row>
    <row r="1077" spans="1:45" x14ac:dyDescent="0.25">
      <c r="A1077">
        <v>36</v>
      </c>
      <c r="B1077">
        <v>8</v>
      </c>
      <c r="C1077">
        <v>1</v>
      </c>
      <c r="D1077">
        <v>2022</v>
      </c>
      <c r="E1077">
        <v>3</v>
      </c>
      <c r="F1077" t="str">
        <f>IFERROR(VLOOKUP(G1077, Map!$A$1:$B$33, 2, FALSE),"WAS")</f>
        <v>CAR</v>
      </c>
      <c r="G1077" t="s">
        <v>142</v>
      </c>
      <c r="H1077" t="str">
        <f>IFERROR(VLOOKUP(I1077, Map!$A$1:$B$33, 2, FALSE),"WAS")</f>
        <v>NO</v>
      </c>
      <c r="I1077" t="s">
        <v>168</v>
      </c>
      <c r="J1077" t="s">
        <v>185</v>
      </c>
      <c r="K1077" t="s">
        <v>192</v>
      </c>
      <c r="L1077">
        <v>1</v>
      </c>
      <c r="M1077">
        <v>0</v>
      </c>
      <c r="N1077">
        <v>37.970588235294102</v>
      </c>
      <c r="O1077">
        <v>1.1470588235294099</v>
      </c>
      <c r="P1077">
        <v>0.5</v>
      </c>
      <c r="Q1077">
        <v>32.5</v>
      </c>
      <c r="R1077">
        <v>19.600000000000001</v>
      </c>
      <c r="S1077">
        <v>24.4</v>
      </c>
      <c r="T1077">
        <v>15.7</v>
      </c>
      <c r="U1077">
        <v>17.899999999999999</v>
      </c>
      <c r="V1077">
        <v>0</v>
      </c>
      <c r="W1077">
        <v>0</v>
      </c>
      <c r="X1077">
        <v>0</v>
      </c>
      <c r="Y1077">
        <v>0</v>
      </c>
      <c r="Z1077">
        <v>21.3</v>
      </c>
      <c r="AA1077">
        <v>40</v>
      </c>
      <c r="AB1077">
        <v>222</v>
      </c>
      <c r="AC1077">
        <v>58</v>
      </c>
      <c r="AD1077">
        <v>25.4</v>
      </c>
      <c r="AE1077">
        <v>14</v>
      </c>
      <c r="AF1077">
        <v>51.02</v>
      </c>
      <c r="AG1077">
        <v>0.59199999999999997</v>
      </c>
      <c r="AH1077">
        <v>48.353000000000002</v>
      </c>
      <c r="AI1077">
        <v>83.241</v>
      </c>
      <c r="AJ1077">
        <v>32.575000000000003</v>
      </c>
      <c r="AK1077">
        <v>84.204999999999998</v>
      </c>
      <c r="AL1077">
        <v>0.28799999999999998</v>
      </c>
      <c r="AM1077">
        <v>48.353000000000002</v>
      </c>
      <c r="AN1077">
        <v>0.59199999999999997</v>
      </c>
      <c r="AO1077">
        <v>51.02</v>
      </c>
      <c r="AP1077">
        <v>-0.28799999999999998</v>
      </c>
      <c r="AQ1077">
        <v>67.424999999999997</v>
      </c>
      <c r="AR1077">
        <v>16.759</v>
      </c>
      <c r="AS1077">
        <v>15.795</v>
      </c>
    </row>
    <row r="1078" spans="1:45" x14ac:dyDescent="0.25">
      <c r="A1078">
        <v>39</v>
      </c>
      <c r="B1078">
        <v>-7</v>
      </c>
      <c r="C1078">
        <v>0</v>
      </c>
      <c r="D1078">
        <v>2022</v>
      </c>
      <c r="E1078">
        <v>3</v>
      </c>
      <c r="F1078" t="str">
        <f>IFERROR(VLOOKUP(G1078, Map!$A$1:$B$33, 2, FALSE),"WAS")</f>
        <v>NYG</v>
      </c>
      <c r="G1078" t="s">
        <v>149</v>
      </c>
      <c r="H1078" t="str">
        <f>IFERROR(VLOOKUP(I1078, Map!$A$1:$B$33, 2, FALSE),"WAS")</f>
        <v>DAL</v>
      </c>
      <c r="I1078" t="s">
        <v>150</v>
      </c>
      <c r="J1078" t="s">
        <v>219</v>
      </c>
      <c r="K1078" t="s">
        <v>184</v>
      </c>
      <c r="L1078">
        <v>0</v>
      </c>
      <c r="M1078">
        <v>0</v>
      </c>
      <c r="N1078">
        <v>36.441176470588204</v>
      </c>
      <c r="O1078">
        <v>-0.76470588235294101</v>
      </c>
      <c r="P1078">
        <v>-1</v>
      </c>
      <c r="Q1078">
        <v>38.5</v>
      </c>
      <c r="R1078">
        <v>17.399999999999999</v>
      </c>
      <c r="S1078">
        <v>21.6</v>
      </c>
      <c r="T1078">
        <v>13.3</v>
      </c>
      <c r="U1078">
        <v>14.8</v>
      </c>
      <c r="V1078">
        <v>0</v>
      </c>
      <c r="W1078">
        <v>0</v>
      </c>
      <c r="X1078">
        <v>0</v>
      </c>
      <c r="Y1078">
        <v>0</v>
      </c>
      <c r="Z1078">
        <v>18.8</v>
      </c>
      <c r="AA1078">
        <v>40.299999999999997</v>
      </c>
      <c r="AB1078">
        <v>244</v>
      </c>
      <c r="AC1078">
        <v>52</v>
      </c>
      <c r="AD1078">
        <v>26.6</v>
      </c>
      <c r="AE1078">
        <v>12.9</v>
      </c>
      <c r="AF1078">
        <v>55.87</v>
      </c>
      <c r="AG1078">
        <v>0.49399999999999999</v>
      </c>
      <c r="AH1078">
        <v>43.555</v>
      </c>
      <c r="AI1078">
        <v>28.280999999999999</v>
      </c>
      <c r="AJ1078">
        <v>46.097000000000001</v>
      </c>
      <c r="AK1078">
        <v>32.707000000000001</v>
      </c>
      <c r="AL1078">
        <v>1.6739999999999999</v>
      </c>
      <c r="AM1078">
        <v>43.555</v>
      </c>
      <c r="AN1078">
        <v>0.49399999999999999</v>
      </c>
      <c r="AO1078">
        <v>55.87</v>
      </c>
      <c r="AP1078">
        <v>-1.6739999999999999</v>
      </c>
      <c r="AQ1078">
        <v>53.902999999999999</v>
      </c>
      <c r="AR1078">
        <v>71.718999999999994</v>
      </c>
      <c r="AS1078">
        <v>67.293000000000006</v>
      </c>
    </row>
    <row r="1079" spans="1:45" x14ac:dyDescent="0.25">
      <c r="A1079">
        <v>43</v>
      </c>
      <c r="B1079">
        <v>3</v>
      </c>
      <c r="C1079">
        <v>1</v>
      </c>
      <c r="D1079">
        <v>2022</v>
      </c>
      <c r="E1079">
        <v>3</v>
      </c>
      <c r="F1079" t="str">
        <f>IFERROR(VLOOKUP(G1079, Map!$A$1:$B$33, 2, FALSE),"WAS")</f>
        <v>CHI</v>
      </c>
      <c r="G1079" t="s">
        <v>163</v>
      </c>
      <c r="H1079" t="str">
        <f>IFERROR(VLOOKUP(I1079, Map!$A$1:$B$33, 2, FALSE),"WAS")</f>
        <v>HOU</v>
      </c>
      <c r="I1079" t="s">
        <v>137</v>
      </c>
      <c r="J1079" t="s">
        <v>216</v>
      </c>
      <c r="K1079" t="s">
        <v>209</v>
      </c>
      <c r="L1079">
        <v>1</v>
      </c>
      <c r="M1079">
        <v>0</v>
      </c>
      <c r="N1079">
        <v>37.617647058823501</v>
      </c>
      <c r="O1079">
        <v>-2.6764705882352899</v>
      </c>
      <c r="P1079">
        <v>0</v>
      </c>
      <c r="Q1079">
        <v>39</v>
      </c>
      <c r="R1079">
        <v>16.399999999999999</v>
      </c>
      <c r="S1079">
        <v>19.600000000000001</v>
      </c>
      <c r="T1079">
        <v>14</v>
      </c>
      <c r="U1079">
        <v>14.6</v>
      </c>
      <c r="V1079">
        <v>9.9</v>
      </c>
      <c r="W1079">
        <v>0</v>
      </c>
      <c r="X1079">
        <v>11</v>
      </c>
      <c r="Y1079">
        <v>9.9</v>
      </c>
      <c r="Z1079">
        <v>27.8</v>
      </c>
      <c r="AA1079">
        <v>47.5</v>
      </c>
      <c r="AB1079">
        <v>288</v>
      </c>
      <c r="AC1079">
        <v>81</v>
      </c>
      <c r="AD1079">
        <v>31.3</v>
      </c>
      <c r="AE1079">
        <v>18.899999999999999</v>
      </c>
      <c r="AF1079">
        <v>50.914000000000001</v>
      </c>
      <c r="AG1079">
        <v>2.7E-2</v>
      </c>
      <c r="AH1079">
        <v>48.457999999999998</v>
      </c>
      <c r="AI1079">
        <v>72.825999999999993</v>
      </c>
      <c r="AJ1079">
        <v>40.281999999999996</v>
      </c>
      <c r="AK1079">
        <v>56.33</v>
      </c>
      <c r="AL1079">
        <v>0.25900000000000001</v>
      </c>
      <c r="AM1079">
        <v>48.457999999999998</v>
      </c>
      <c r="AN1079">
        <v>2.7E-2</v>
      </c>
      <c r="AO1079">
        <v>50.914000000000001</v>
      </c>
      <c r="AP1079">
        <v>-0.25900000000000001</v>
      </c>
      <c r="AQ1079">
        <v>59.718000000000004</v>
      </c>
      <c r="AR1079">
        <v>27.173999999999999</v>
      </c>
      <c r="AS1079">
        <v>43.67</v>
      </c>
    </row>
    <row r="1080" spans="1:45" x14ac:dyDescent="0.25">
      <c r="A1080">
        <v>32</v>
      </c>
      <c r="B1080">
        <v>-16</v>
      </c>
      <c r="C1080">
        <v>0</v>
      </c>
      <c r="D1080">
        <v>2022</v>
      </c>
      <c r="E1080">
        <v>3</v>
      </c>
      <c r="F1080" t="str">
        <f>IFERROR(VLOOKUP(G1080, Map!$A$1:$B$33, 2, FALSE),"WAS")</f>
        <v>WAS</v>
      </c>
      <c r="G1080" t="s">
        <v>148</v>
      </c>
      <c r="H1080" t="str">
        <f>IFERROR(VLOOKUP(I1080, Map!$A$1:$B$33, 2, FALSE),"WAS")</f>
        <v>PHI</v>
      </c>
      <c r="I1080" t="s">
        <v>147</v>
      </c>
      <c r="J1080" t="s">
        <v>205</v>
      </c>
      <c r="K1080" t="s">
        <v>206</v>
      </c>
      <c r="L1080">
        <v>0</v>
      </c>
      <c r="M1080">
        <v>0</v>
      </c>
      <c r="N1080">
        <v>47.2</v>
      </c>
      <c r="O1080">
        <v>6.8</v>
      </c>
      <c r="P1080">
        <v>4.5</v>
      </c>
      <c r="Q1080">
        <v>40.5</v>
      </c>
      <c r="R1080">
        <v>19</v>
      </c>
      <c r="S1080">
        <v>27.5</v>
      </c>
      <c r="T1080">
        <v>14.5</v>
      </c>
      <c r="U1080">
        <v>18.2</v>
      </c>
      <c r="V1080">
        <v>3.9</v>
      </c>
      <c r="W1080">
        <v>0</v>
      </c>
      <c r="X1080">
        <v>1</v>
      </c>
      <c r="Y1080">
        <v>3.9</v>
      </c>
      <c r="Z1080">
        <v>22.8</v>
      </c>
      <c r="AA1080">
        <v>49.3</v>
      </c>
      <c r="AB1080">
        <v>211</v>
      </c>
      <c r="AC1080">
        <v>66</v>
      </c>
      <c r="AD1080">
        <v>22.9</v>
      </c>
      <c r="AE1080">
        <v>11.3</v>
      </c>
      <c r="AF1080">
        <v>35.802999999999997</v>
      </c>
      <c r="AG1080">
        <v>0.6</v>
      </c>
      <c r="AH1080">
        <v>63.777999999999999</v>
      </c>
      <c r="AI1080">
        <v>31.03</v>
      </c>
      <c r="AJ1080">
        <v>2.907</v>
      </c>
      <c r="AK1080">
        <v>7.492</v>
      </c>
      <c r="AL1080">
        <v>-4.1470000000000002</v>
      </c>
      <c r="AM1080">
        <v>63.777999999999999</v>
      </c>
      <c r="AN1080">
        <v>0.6</v>
      </c>
      <c r="AO1080">
        <v>35.802999999999997</v>
      </c>
      <c r="AP1080">
        <v>4.1470000000000002</v>
      </c>
      <c r="AQ1080">
        <v>97.093000000000004</v>
      </c>
      <c r="AR1080">
        <v>68.97</v>
      </c>
      <c r="AS1080">
        <v>92.507999999999996</v>
      </c>
    </row>
    <row r="1081" spans="1:45" x14ac:dyDescent="0.25">
      <c r="A1081">
        <v>39</v>
      </c>
      <c r="B1081">
        <v>-15</v>
      </c>
      <c r="C1081">
        <v>0</v>
      </c>
      <c r="D1081">
        <v>2022</v>
      </c>
      <c r="E1081">
        <v>3</v>
      </c>
      <c r="F1081" t="str">
        <f>IFERROR(VLOOKUP(G1081, Map!$A$1:$B$33, 2, FALSE),"WAS")</f>
        <v>NYJ</v>
      </c>
      <c r="G1081" t="s">
        <v>166</v>
      </c>
      <c r="H1081" t="str">
        <f>IFERROR(VLOOKUP(I1081, Map!$A$1:$B$33, 2, FALSE),"WAS")</f>
        <v>CIN</v>
      </c>
      <c r="I1081" t="s">
        <v>161</v>
      </c>
      <c r="J1081" t="s">
        <v>172</v>
      </c>
      <c r="K1081" t="s">
        <v>176</v>
      </c>
      <c r="L1081">
        <v>0</v>
      </c>
      <c r="M1081">
        <v>0</v>
      </c>
      <c r="N1081">
        <v>43.058823529411796</v>
      </c>
      <c r="O1081">
        <v>6.2352941176470598</v>
      </c>
      <c r="P1081">
        <v>4.5</v>
      </c>
      <c r="Q1081">
        <v>42.5</v>
      </c>
      <c r="R1081">
        <v>16.7</v>
      </c>
      <c r="S1081">
        <v>24.5</v>
      </c>
      <c r="T1081">
        <v>11.3</v>
      </c>
      <c r="U1081">
        <v>15.1</v>
      </c>
      <c r="V1081">
        <v>0</v>
      </c>
      <c r="W1081">
        <v>0</v>
      </c>
      <c r="X1081">
        <v>0</v>
      </c>
      <c r="Y1081">
        <v>0</v>
      </c>
      <c r="Z1081">
        <v>21.1</v>
      </c>
      <c r="AA1081">
        <v>40.299999999999997</v>
      </c>
      <c r="AB1081">
        <v>218</v>
      </c>
      <c r="AC1081">
        <v>64</v>
      </c>
      <c r="AD1081">
        <v>21.6</v>
      </c>
      <c r="AE1081">
        <v>10.6</v>
      </c>
      <c r="AF1081">
        <v>22.478000000000002</v>
      </c>
      <c r="AG1081">
        <v>0.52500000000000002</v>
      </c>
      <c r="AH1081">
        <v>77.301000000000002</v>
      </c>
      <c r="AI1081">
        <v>34.634</v>
      </c>
      <c r="AJ1081">
        <v>7.52</v>
      </c>
      <c r="AK1081">
        <v>11.933</v>
      </c>
      <c r="AL1081">
        <v>-8.8130000000000006</v>
      </c>
      <c r="AM1081">
        <v>77.301000000000002</v>
      </c>
      <c r="AN1081">
        <v>0.52500000000000002</v>
      </c>
      <c r="AO1081">
        <v>22.478000000000002</v>
      </c>
      <c r="AP1081">
        <v>8.8130000000000006</v>
      </c>
      <c r="AQ1081">
        <v>92.48</v>
      </c>
      <c r="AR1081">
        <v>65.366</v>
      </c>
      <c r="AS1081">
        <v>88.066999999999993</v>
      </c>
    </row>
    <row r="1082" spans="1:45" x14ac:dyDescent="0.25">
      <c r="A1082">
        <v>40</v>
      </c>
      <c r="B1082">
        <v>2</v>
      </c>
      <c r="C1082">
        <v>1</v>
      </c>
      <c r="D1082">
        <v>2022</v>
      </c>
      <c r="E1082">
        <v>3</v>
      </c>
      <c r="F1082" t="str">
        <f>IFERROR(VLOOKUP(G1082, Map!$A$1:$B$33, 2, FALSE),"WAS")</f>
        <v>MIA</v>
      </c>
      <c r="G1082" t="s">
        <v>152</v>
      </c>
      <c r="H1082" t="str">
        <f>IFERROR(VLOOKUP(I1082, Map!$A$1:$B$33, 2, FALSE),"WAS")</f>
        <v>BUF</v>
      </c>
      <c r="I1082" t="s">
        <v>165</v>
      </c>
      <c r="J1082" t="s">
        <v>175</v>
      </c>
      <c r="K1082" t="s">
        <v>180</v>
      </c>
      <c r="L1082">
        <v>1</v>
      </c>
      <c r="M1082">
        <v>0</v>
      </c>
      <c r="N1082">
        <v>50.53125</v>
      </c>
      <c r="O1082">
        <v>3.9375</v>
      </c>
      <c r="P1082">
        <v>3.5</v>
      </c>
      <c r="Q1082">
        <v>50.5</v>
      </c>
      <c r="R1082">
        <v>26.9</v>
      </c>
      <c r="S1082">
        <v>31.9</v>
      </c>
      <c r="T1082">
        <v>23.3</v>
      </c>
      <c r="U1082">
        <v>31.9</v>
      </c>
      <c r="V1082">
        <v>6.3</v>
      </c>
      <c r="W1082">
        <v>0</v>
      </c>
      <c r="X1082">
        <v>6</v>
      </c>
      <c r="Y1082">
        <v>6.3</v>
      </c>
      <c r="Z1082">
        <v>10.1</v>
      </c>
      <c r="AA1082">
        <v>25.2</v>
      </c>
      <c r="AB1082">
        <v>80</v>
      </c>
      <c r="AC1082">
        <v>83</v>
      </c>
      <c r="AD1082">
        <v>14.4</v>
      </c>
      <c r="AE1082">
        <v>6</v>
      </c>
      <c r="AF1082">
        <v>44.948999999999998</v>
      </c>
      <c r="AG1082">
        <v>0.76900000000000002</v>
      </c>
      <c r="AH1082">
        <v>54.468000000000004</v>
      </c>
      <c r="AI1082">
        <v>43.201000000000001</v>
      </c>
      <c r="AJ1082">
        <v>68.188000000000002</v>
      </c>
      <c r="AK1082">
        <v>53.244</v>
      </c>
      <c r="AL1082">
        <v>-1.4370000000000001</v>
      </c>
      <c r="AM1082">
        <v>54.468000000000004</v>
      </c>
      <c r="AN1082">
        <v>0.76900000000000002</v>
      </c>
      <c r="AO1082">
        <v>44.948999999999998</v>
      </c>
      <c r="AP1082">
        <v>1.4370000000000001</v>
      </c>
      <c r="AQ1082">
        <v>31.812000000000001</v>
      </c>
      <c r="AR1082">
        <v>56.798999999999999</v>
      </c>
      <c r="AS1082">
        <v>46.756</v>
      </c>
    </row>
    <row r="1083" spans="1:45" x14ac:dyDescent="0.25">
      <c r="A1083">
        <v>21</v>
      </c>
      <c r="B1083">
        <v>1</v>
      </c>
      <c r="C1083">
        <v>1</v>
      </c>
      <c r="D1083">
        <v>2022</v>
      </c>
      <c r="E1083">
        <v>3</v>
      </c>
      <c r="F1083" t="str">
        <f>IFERROR(VLOOKUP(G1083, Map!$A$1:$B$33, 2, FALSE),"WAS")</f>
        <v>DEN</v>
      </c>
      <c r="G1083" t="s">
        <v>159</v>
      </c>
      <c r="H1083" t="str">
        <f>IFERROR(VLOOKUP(I1083, Map!$A$1:$B$33, 2, FALSE),"WAS")</f>
        <v>SF</v>
      </c>
      <c r="I1083" t="s">
        <v>143</v>
      </c>
      <c r="J1083" t="s">
        <v>183</v>
      </c>
      <c r="K1083" t="s">
        <v>197</v>
      </c>
      <c r="L1083">
        <v>1</v>
      </c>
      <c r="M1083">
        <v>0</v>
      </c>
      <c r="N1083">
        <v>40.823529411764703</v>
      </c>
      <c r="O1083">
        <v>1.1470588235294099</v>
      </c>
      <c r="P1083">
        <v>-0.5</v>
      </c>
      <c r="Q1083">
        <v>22.5</v>
      </c>
      <c r="R1083">
        <v>16.899999999999999</v>
      </c>
      <c r="S1083">
        <v>26.4</v>
      </c>
      <c r="T1083">
        <v>7.4</v>
      </c>
      <c r="U1083">
        <v>14.5</v>
      </c>
      <c r="V1083">
        <v>0</v>
      </c>
      <c r="W1083">
        <v>0</v>
      </c>
      <c r="X1083">
        <v>0</v>
      </c>
      <c r="Y1083">
        <v>0</v>
      </c>
      <c r="Z1083">
        <v>11.5</v>
      </c>
      <c r="AA1083">
        <v>26.3</v>
      </c>
      <c r="AB1083">
        <v>334</v>
      </c>
      <c r="AC1083">
        <v>45</v>
      </c>
      <c r="AD1083">
        <v>14.1</v>
      </c>
      <c r="AE1083">
        <v>6.4</v>
      </c>
      <c r="AF1083">
        <v>47.758000000000003</v>
      </c>
      <c r="AG1083">
        <v>0.504</v>
      </c>
      <c r="AH1083">
        <v>51.625</v>
      </c>
      <c r="AI1083">
        <v>93.713999999999999</v>
      </c>
      <c r="AJ1083">
        <v>21.271999999999998</v>
      </c>
      <c r="AK1083">
        <v>53.942</v>
      </c>
      <c r="AL1083">
        <v>-0.64500000000000002</v>
      </c>
      <c r="AM1083">
        <v>51.625</v>
      </c>
      <c r="AN1083">
        <v>0.504</v>
      </c>
      <c r="AO1083">
        <v>47.758000000000003</v>
      </c>
      <c r="AP1083">
        <v>0.64500000000000002</v>
      </c>
      <c r="AQ1083">
        <v>78.727999999999994</v>
      </c>
      <c r="AR1083">
        <v>6.2859999999999996</v>
      </c>
      <c r="AS1083">
        <v>46.058</v>
      </c>
    </row>
    <row r="1084" spans="1:45" x14ac:dyDescent="0.25">
      <c r="A1084">
        <v>48</v>
      </c>
      <c r="B1084">
        <v>-28</v>
      </c>
      <c r="C1084">
        <v>0</v>
      </c>
      <c r="D1084">
        <v>2022</v>
      </c>
      <c r="E1084">
        <v>3</v>
      </c>
      <c r="F1084" t="str">
        <f>IFERROR(VLOOKUP(G1084, Map!$A$1:$B$33, 2, FALSE),"WAS")</f>
        <v>LAC</v>
      </c>
      <c r="G1084" t="s">
        <v>160</v>
      </c>
      <c r="H1084" t="str">
        <f>IFERROR(VLOOKUP(I1084, Map!$A$1:$B$33, 2, FALSE),"WAS")</f>
        <v>JAX</v>
      </c>
      <c r="I1084" t="s">
        <v>139</v>
      </c>
      <c r="J1084" t="s">
        <v>210</v>
      </c>
      <c r="K1084" t="s">
        <v>220</v>
      </c>
      <c r="L1084">
        <v>0</v>
      </c>
      <c r="M1084">
        <v>0</v>
      </c>
      <c r="N1084">
        <v>42.375</v>
      </c>
      <c r="O1084">
        <v>-5.4375</v>
      </c>
      <c r="P1084">
        <v>-3</v>
      </c>
      <c r="Q1084">
        <v>42</v>
      </c>
      <c r="R1084">
        <v>23.4</v>
      </c>
      <c r="S1084">
        <v>30</v>
      </c>
      <c r="T1084">
        <v>18.2</v>
      </c>
      <c r="U1084">
        <v>24</v>
      </c>
      <c r="V1084">
        <v>0</v>
      </c>
      <c r="W1084">
        <v>0</v>
      </c>
      <c r="X1084">
        <v>0</v>
      </c>
      <c r="Y1084">
        <v>0</v>
      </c>
      <c r="Z1084">
        <v>25</v>
      </c>
      <c r="AA1084">
        <v>42.8</v>
      </c>
      <c r="AB1084">
        <v>236</v>
      </c>
      <c r="AC1084">
        <v>65</v>
      </c>
      <c r="AD1084">
        <v>19.5</v>
      </c>
      <c r="AE1084">
        <v>10.199999999999999</v>
      </c>
      <c r="AF1084">
        <v>77.084999999999994</v>
      </c>
      <c r="AG1084">
        <v>0.66300000000000003</v>
      </c>
      <c r="AH1084">
        <v>22.687999999999999</v>
      </c>
      <c r="AI1084">
        <v>27.024000000000001</v>
      </c>
      <c r="AJ1084">
        <v>8.8539999999999992</v>
      </c>
      <c r="AK1084">
        <v>8.7750000000000004</v>
      </c>
      <c r="AL1084">
        <v>8.6379999999999999</v>
      </c>
      <c r="AM1084">
        <v>22.687999999999999</v>
      </c>
      <c r="AN1084">
        <v>0.66300000000000003</v>
      </c>
      <c r="AO1084">
        <v>77.084999999999994</v>
      </c>
      <c r="AP1084">
        <v>-8.6379999999999999</v>
      </c>
      <c r="AQ1084">
        <v>91.146000000000001</v>
      </c>
      <c r="AR1084">
        <v>72.975999999999999</v>
      </c>
      <c r="AS1084">
        <v>91.224999999999994</v>
      </c>
    </row>
    <row r="1085" spans="1:45" x14ac:dyDescent="0.25">
      <c r="A1085">
        <v>52</v>
      </c>
      <c r="B1085">
        <v>4</v>
      </c>
      <c r="C1085">
        <v>1</v>
      </c>
      <c r="D1085">
        <v>2022</v>
      </c>
      <c r="E1085">
        <v>3</v>
      </c>
      <c r="F1085" t="str">
        <f>IFERROR(VLOOKUP(G1085, Map!$A$1:$B$33, 2, FALSE),"WAS")</f>
        <v>MIN</v>
      </c>
      <c r="G1085" t="s">
        <v>153</v>
      </c>
      <c r="H1085" t="str">
        <f>IFERROR(VLOOKUP(I1085, Map!$A$1:$B$33, 2, FALSE),"WAS")</f>
        <v>DET</v>
      </c>
      <c r="I1085" t="s">
        <v>164</v>
      </c>
      <c r="J1085" t="s">
        <v>214</v>
      </c>
      <c r="K1085" t="s">
        <v>173</v>
      </c>
      <c r="L1085">
        <v>1</v>
      </c>
      <c r="M1085">
        <v>0</v>
      </c>
      <c r="N1085">
        <v>48.705882352941202</v>
      </c>
      <c r="O1085">
        <v>-5.7352941176470598</v>
      </c>
      <c r="P1085">
        <v>-3</v>
      </c>
      <c r="Q1085">
        <v>51.5</v>
      </c>
      <c r="R1085">
        <v>14.5</v>
      </c>
      <c r="S1085">
        <v>19.5</v>
      </c>
      <c r="T1085">
        <v>11</v>
      </c>
      <c r="U1085">
        <v>11.8</v>
      </c>
      <c r="V1085">
        <v>0</v>
      </c>
      <c r="W1085">
        <v>0</v>
      </c>
      <c r="X1085">
        <v>0</v>
      </c>
      <c r="Y1085">
        <v>0</v>
      </c>
      <c r="Z1085">
        <v>30.3</v>
      </c>
      <c r="AA1085">
        <v>57.2</v>
      </c>
      <c r="AB1085">
        <v>307</v>
      </c>
      <c r="AC1085">
        <v>72</v>
      </c>
      <c r="AD1085">
        <v>32.9</v>
      </c>
      <c r="AE1085">
        <v>17.2</v>
      </c>
      <c r="AF1085">
        <v>64.034999999999997</v>
      </c>
      <c r="AG1085">
        <v>0.28399999999999997</v>
      </c>
      <c r="AH1085">
        <v>35.542999999999999</v>
      </c>
      <c r="AI1085">
        <v>39.734999999999999</v>
      </c>
      <c r="AJ1085">
        <v>64.305999999999997</v>
      </c>
      <c r="AK1085">
        <v>52.779000000000003</v>
      </c>
      <c r="AL1085">
        <v>4.1079999999999997</v>
      </c>
      <c r="AM1085">
        <v>35.542999999999999</v>
      </c>
      <c r="AN1085">
        <v>0.28399999999999997</v>
      </c>
      <c r="AO1085">
        <v>64.034999999999997</v>
      </c>
      <c r="AP1085">
        <v>-4.1079999999999997</v>
      </c>
      <c r="AQ1085">
        <v>35.694000000000003</v>
      </c>
      <c r="AR1085">
        <v>60.265000000000001</v>
      </c>
      <c r="AS1085">
        <v>47.220999999999997</v>
      </c>
    </row>
    <row r="1086" spans="1:45" x14ac:dyDescent="0.25">
      <c r="A1086">
        <v>63</v>
      </c>
      <c r="B1086">
        <v>-11</v>
      </c>
      <c r="C1086">
        <v>0</v>
      </c>
      <c r="D1086">
        <v>2022</v>
      </c>
      <c r="E1086">
        <v>3</v>
      </c>
      <c r="F1086" t="str">
        <f>IFERROR(VLOOKUP(G1086, Map!$A$1:$B$33, 2, FALSE),"WAS")</f>
        <v>NE</v>
      </c>
      <c r="G1086" t="s">
        <v>151</v>
      </c>
      <c r="H1086" t="str">
        <f>IFERROR(VLOOKUP(I1086, Map!$A$1:$B$33, 2, FALSE),"WAS")</f>
        <v>BAL</v>
      </c>
      <c r="I1086" t="s">
        <v>146</v>
      </c>
      <c r="J1086" t="s">
        <v>187</v>
      </c>
      <c r="K1086" t="s">
        <v>181</v>
      </c>
      <c r="L1086">
        <v>0</v>
      </c>
      <c r="M1086">
        <v>0</v>
      </c>
      <c r="N1086">
        <v>42.294117647058798</v>
      </c>
      <c r="O1086">
        <v>2.3823529411764701</v>
      </c>
      <c r="P1086">
        <v>1.5</v>
      </c>
      <c r="Q1086">
        <v>42.5</v>
      </c>
      <c r="R1086">
        <v>14.1</v>
      </c>
      <c r="S1086">
        <v>19.899999999999999</v>
      </c>
      <c r="T1086">
        <v>9.3000000000000007</v>
      </c>
      <c r="U1086">
        <v>12.5</v>
      </c>
      <c r="V1086">
        <v>0.6</v>
      </c>
      <c r="W1086">
        <v>0</v>
      </c>
      <c r="X1086">
        <v>4</v>
      </c>
      <c r="Y1086">
        <v>0.6</v>
      </c>
      <c r="Z1086">
        <v>17.399999999999999</v>
      </c>
      <c r="AA1086">
        <v>40.299999999999997</v>
      </c>
      <c r="AB1086">
        <v>225</v>
      </c>
      <c r="AC1086">
        <v>76</v>
      </c>
      <c r="AD1086">
        <v>23</v>
      </c>
      <c r="AE1086">
        <v>10.9</v>
      </c>
      <c r="AF1086">
        <v>43.335000000000001</v>
      </c>
      <c r="AG1086">
        <v>0.78700000000000003</v>
      </c>
      <c r="AH1086">
        <v>56.109000000000002</v>
      </c>
      <c r="AI1086">
        <v>29.667000000000002</v>
      </c>
      <c r="AJ1086">
        <v>39.594999999999999</v>
      </c>
      <c r="AK1086">
        <v>28.29</v>
      </c>
      <c r="AL1086">
        <v>-1.907</v>
      </c>
      <c r="AM1086">
        <v>56.109000000000002</v>
      </c>
      <c r="AN1086">
        <v>0.78700000000000003</v>
      </c>
      <c r="AO1086">
        <v>43.335000000000001</v>
      </c>
      <c r="AP1086">
        <v>1.907</v>
      </c>
      <c r="AQ1086">
        <v>60.405000000000001</v>
      </c>
      <c r="AR1086">
        <v>70.332999999999998</v>
      </c>
      <c r="AS1086">
        <v>71.709999999999994</v>
      </c>
    </row>
    <row r="1087" spans="1:45" x14ac:dyDescent="0.25">
      <c r="A1087">
        <v>32</v>
      </c>
      <c r="B1087">
        <v>-8</v>
      </c>
      <c r="C1087">
        <v>0</v>
      </c>
      <c r="D1087">
        <v>2022</v>
      </c>
      <c r="E1087">
        <v>3</v>
      </c>
      <c r="F1087" t="str">
        <f>IFERROR(VLOOKUP(G1087, Map!$A$1:$B$33, 2, FALSE),"WAS")</f>
        <v>ARI</v>
      </c>
      <c r="G1087" t="s">
        <v>156</v>
      </c>
      <c r="H1087" t="str">
        <f>IFERROR(VLOOKUP(I1087, Map!$A$1:$B$33, 2, FALSE),"WAS")</f>
        <v>LA</v>
      </c>
      <c r="I1087" t="s">
        <v>155</v>
      </c>
      <c r="J1087" t="s">
        <v>190</v>
      </c>
      <c r="K1087" t="s">
        <v>178</v>
      </c>
      <c r="L1087">
        <v>0</v>
      </c>
      <c r="M1087">
        <v>0</v>
      </c>
      <c r="N1087">
        <v>45.65625</v>
      </c>
      <c r="O1087">
        <v>3.5</v>
      </c>
      <c r="P1087">
        <v>3.5</v>
      </c>
      <c r="Q1087">
        <v>48.5</v>
      </c>
      <c r="R1087">
        <v>25.4</v>
      </c>
      <c r="S1087">
        <v>34.5</v>
      </c>
      <c r="T1087">
        <v>18.399999999999999</v>
      </c>
      <c r="U1087">
        <v>25.6</v>
      </c>
      <c r="V1087">
        <v>0</v>
      </c>
      <c r="W1087">
        <v>0</v>
      </c>
      <c r="X1087">
        <v>0</v>
      </c>
      <c r="Y1087">
        <v>0</v>
      </c>
      <c r="Z1087">
        <v>12.5</v>
      </c>
      <c r="AA1087">
        <v>29.5</v>
      </c>
      <c r="AB1087">
        <v>178</v>
      </c>
      <c r="AC1087">
        <v>50</v>
      </c>
      <c r="AD1087">
        <v>15.1</v>
      </c>
      <c r="AE1087">
        <v>6.1</v>
      </c>
      <c r="AF1087">
        <v>49.088999999999999</v>
      </c>
      <c r="AG1087">
        <v>0.73</v>
      </c>
      <c r="AH1087">
        <v>50.287999999999997</v>
      </c>
      <c r="AI1087">
        <v>25.687999999999999</v>
      </c>
      <c r="AJ1087">
        <v>32.884999999999998</v>
      </c>
      <c r="AK1087">
        <v>23.454999999999998</v>
      </c>
      <c r="AL1087">
        <v>-0.26300000000000001</v>
      </c>
      <c r="AM1087">
        <v>50.287999999999997</v>
      </c>
      <c r="AN1087">
        <v>0.73</v>
      </c>
      <c r="AO1087">
        <v>49.088999999999999</v>
      </c>
      <c r="AP1087">
        <v>0.26300000000000001</v>
      </c>
      <c r="AQ1087">
        <v>67.114999999999995</v>
      </c>
      <c r="AR1087">
        <v>74.311999999999998</v>
      </c>
      <c r="AS1087">
        <v>76.545000000000002</v>
      </c>
    </row>
    <row r="1088" spans="1:45" x14ac:dyDescent="0.25">
      <c r="A1088">
        <v>37</v>
      </c>
      <c r="B1088">
        <v>3</v>
      </c>
      <c r="C1088">
        <v>1</v>
      </c>
      <c r="D1088">
        <v>2022</v>
      </c>
      <c r="E1088">
        <v>3</v>
      </c>
      <c r="F1088" t="str">
        <f>IFERROR(VLOOKUP(G1088, Map!$A$1:$B$33, 2, FALSE),"WAS")</f>
        <v>IND</v>
      </c>
      <c r="G1088" t="s">
        <v>138</v>
      </c>
      <c r="H1088" t="str">
        <f>IFERROR(VLOOKUP(I1088, Map!$A$1:$B$33, 2, FALSE),"WAS")</f>
        <v>KC</v>
      </c>
      <c r="I1088" t="s">
        <v>158</v>
      </c>
      <c r="J1088" t="s">
        <v>177</v>
      </c>
      <c r="K1088" t="s">
        <v>202</v>
      </c>
      <c r="L1088">
        <v>1</v>
      </c>
      <c r="M1088">
        <v>0</v>
      </c>
      <c r="N1088">
        <v>47.352941176470601</v>
      </c>
      <c r="O1088">
        <v>4.8235294117647101</v>
      </c>
      <c r="P1088">
        <v>4.5</v>
      </c>
      <c r="Q1088">
        <v>47.5</v>
      </c>
      <c r="R1088">
        <v>18.899999999999999</v>
      </c>
      <c r="S1088">
        <v>21</v>
      </c>
      <c r="T1088">
        <v>16</v>
      </c>
      <c r="U1088">
        <v>16.899999999999999</v>
      </c>
      <c r="V1088">
        <v>1.4</v>
      </c>
      <c r="W1088">
        <v>0</v>
      </c>
      <c r="X1088">
        <v>3</v>
      </c>
      <c r="Y1088">
        <v>1.4</v>
      </c>
      <c r="Z1088">
        <v>28.8</v>
      </c>
      <c r="AA1088">
        <v>54</v>
      </c>
      <c r="AB1088">
        <v>278</v>
      </c>
      <c r="AC1088">
        <v>65</v>
      </c>
      <c r="AD1088">
        <v>34.9</v>
      </c>
      <c r="AE1088">
        <v>17.7</v>
      </c>
      <c r="AF1088">
        <v>42.628</v>
      </c>
      <c r="AG1088">
        <v>0.73699999999999999</v>
      </c>
      <c r="AH1088">
        <v>56.835000000000001</v>
      </c>
      <c r="AI1088">
        <v>31.67</v>
      </c>
      <c r="AJ1088">
        <v>28.181000000000001</v>
      </c>
      <c r="AK1088">
        <v>56.28</v>
      </c>
      <c r="AL1088">
        <v>-2.0990000000000002</v>
      </c>
      <c r="AM1088">
        <v>56.835000000000001</v>
      </c>
      <c r="AN1088">
        <v>0.73699999999999999</v>
      </c>
      <c r="AO1088">
        <v>42.628</v>
      </c>
      <c r="AP1088">
        <v>2.0990000000000002</v>
      </c>
      <c r="AQ1088">
        <v>71.819000000000003</v>
      </c>
      <c r="AR1088">
        <v>68.33</v>
      </c>
      <c r="AS1088">
        <v>43.72</v>
      </c>
    </row>
    <row r="1089" spans="1:45" x14ac:dyDescent="0.25">
      <c r="A1089">
        <v>46</v>
      </c>
      <c r="B1089">
        <v>12</v>
      </c>
      <c r="C1089">
        <v>1</v>
      </c>
      <c r="D1089">
        <v>2022</v>
      </c>
      <c r="E1089">
        <v>3</v>
      </c>
      <c r="F1089" t="str">
        <f>IFERROR(VLOOKUP(G1089, Map!$A$1:$B$33, 2, FALSE),"WAS")</f>
        <v>CLE</v>
      </c>
      <c r="G1089" t="s">
        <v>162</v>
      </c>
      <c r="H1089" t="str">
        <f>IFERROR(VLOOKUP(I1089, Map!$A$1:$B$33, 2, FALSE),"WAS")</f>
        <v>PIT</v>
      </c>
      <c r="I1089" t="s">
        <v>145</v>
      </c>
      <c r="J1089" t="s">
        <v>171</v>
      </c>
      <c r="K1089" t="s">
        <v>170</v>
      </c>
      <c r="L1089">
        <v>1</v>
      </c>
      <c r="M1089">
        <v>0</v>
      </c>
      <c r="N1089">
        <v>36.117647058823501</v>
      </c>
      <c r="O1089">
        <v>-4.2941176470588198</v>
      </c>
      <c r="P1089">
        <v>-3.5</v>
      </c>
      <c r="Q1089">
        <v>37.5</v>
      </c>
      <c r="R1089">
        <v>13.3</v>
      </c>
      <c r="S1089">
        <v>15.3</v>
      </c>
      <c r="T1089">
        <v>12.2</v>
      </c>
      <c r="U1089">
        <v>9.5</v>
      </c>
      <c r="V1089">
        <v>0</v>
      </c>
      <c r="W1089">
        <v>0</v>
      </c>
      <c r="X1089">
        <v>0</v>
      </c>
      <c r="Y1089">
        <v>0</v>
      </c>
      <c r="Z1089">
        <v>29.3</v>
      </c>
      <c r="AA1089">
        <v>47.9</v>
      </c>
      <c r="AB1089">
        <v>356</v>
      </c>
      <c r="AC1089">
        <v>61</v>
      </c>
      <c r="AD1089">
        <v>33.9</v>
      </c>
      <c r="AE1089">
        <v>19</v>
      </c>
      <c r="AF1089">
        <v>57.898000000000003</v>
      </c>
      <c r="AG1089">
        <v>0.27</v>
      </c>
      <c r="AH1089">
        <v>41.564999999999998</v>
      </c>
      <c r="AI1089">
        <v>43.972000000000001</v>
      </c>
      <c r="AJ1089">
        <v>75.602999999999994</v>
      </c>
      <c r="AK1089">
        <v>71.385000000000005</v>
      </c>
      <c r="AL1089">
        <v>2.262</v>
      </c>
      <c r="AM1089">
        <v>41.564999999999998</v>
      </c>
      <c r="AN1089">
        <v>0.27</v>
      </c>
      <c r="AO1089">
        <v>57.898000000000003</v>
      </c>
      <c r="AP1089">
        <v>-2.262</v>
      </c>
      <c r="AQ1089">
        <v>24.396999999999998</v>
      </c>
      <c r="AR1089">
        <v>56.027999999999999</v>
      </c>
      <c r="AS1089">
        <v>28.614999999999998</v>
      </c>
    </row>
    <row r="1090" spans="1:45" x14ac:dyDescent="0.25">
      <c r="A1090">
        <v>72</v>
      </c>
      <c r="B1090">
        <v>-10</v>
      </c>
      <c r="C1090">
        <v>0</v>
      </c>
      <c r="D1090">
        <v>2022</v>
      </c>
      <c r="E1090">
        <v>4</v>
      </c>
      <c r="F1090" t="str">
        <f>IFERROR(VLOOKUP(G1090, Map!$A$1:$B$33, 2, FALSE),"WAS")</f>
        <v>TB</v>
      </c>
      <c r="G1090" t="s">
        <v>141</v>
      </c>
      <c r="H1090" t="str">
        <f>IFERROR(VLOOKUP(I1090, Map!$A$1:$B$33, 2, FALSE),"WAS")</f>
        <v>KC</v>
      </c>
      <c r="I1090" t="s">
        <v>158</v>
      </c>
      <c r="J1090" t="s">
        <v>186</v>
      </c>
      <c r="K1090" t="s">
        <v>202</v>
      </c>
      <c r="L1090">
        <v>0</v>
      </c>
      <c r="M1090">
        <v>0</v>
      </c>
      <c r="N1090">
        <v>45.7</v>
      </c>
      <c r="O1090">
        <v>-0.8</v>
      </c>
      <c r="P1090">
        <v>-1.5</v>
      </c>
      <c r="Q1090">
        <v>44.5</v>
      </c>
      <c r="R1090">
        <v>21.9</v>
      </c>
      <c r="S1090">
        <v>26.7</v>
      </c>
      <c r="T1090">
        <v>18</v>
      </c>
      <c r="U1090">
        <v>23.5</v>
      </c>
      <c r="V1090">
        <v>0</v>
      </c>
      <c r="W1090">
        <v>0</v>
      </c>
      <c r="X1090">
        <v>0</v>
      </c>
      <c r="Y1090">
        <v>0</v>
      </c>
      <c r="Z1090">
        <v>15.6</v>
      </c>
      <c r="AA1090">
        <v>26.6</v>
      </c>
      <c r="AB1090">
        <v>359</v>
      </c>
      <c r="AC1090">
        <v>79</v>
      </c>
      <c r="AD1090">
        <v>18.399999999999999</v>
      </c>
      <c r="AE1090">
        <v>10.199999999999999</v>
      </c>
      <c r="AF1090">
        <v>64.602999999999994</v>
      </c>
      <c r="AG1090">
        <v>96.126000000000005</v>
      </c>
      <c r="AH1090">
        <v>34.991999999999997</v>
      </c>
      <c r="AI1090">
        <v>14.651999999999999</v>
      </c>
      <c r="AJ1090">
        <v>62.598999999999997</v>
      </c>
      <c r="AK1090">
        <v>13.635</v>
      </c>
      <c r="AL1090">
        <v>4.3109999999999999</v>
      </c>
      <c r="AM1090">
        <v>34.991999999999997</v>
      </c>
      <c r="AN1090">
        <v>96.126000000000005</v>
      </c>
      <c r="AO1090">
        <v>64.602999999999994</v>
      </c>
      <c r="AP1090">
        <v>-4.3109999999999999</v>
      </c>
      <c r="AQ1090">
        <v>37.401000000000003</v>
      </c>
      <c r="AR1090">
        <v>85.347999999999999</v>
      </c>
      <c r="AS1090">
        <v>86.364999999999995</v>
      </c>
    </row>
    <row r="1091" spans="1:45" x14ac:dyDescent="0.25">
      <c r="A1091">
        <v>43</v>
      </c>
      <c r="B1091">
        <v>-3</v>
      </c>
      <c r="C1091">
        <v>0</v>
      </c>
      <c r="D1091">
        <v>2022</v>
      </c>
      <c r="E1091">
        <v>4</v>
      </c>
      <c r="F1091" t="str">
        <f>IFERROR(VLOOKUP(G1091, Map!$A$1:$B$33, 2, FALSE),"WAS")</f>
        <v>BAL</v>
      </c>
      <c r="G1091" t="s">
        <v>146</v>
      </c>
      <c r="H1091" t="str">
        <f>IFERROR(VLOOKUP(I1091, Map!$A$1:$B$33, 2, FALSE),"WAS")</f>
        <v>BUF</v>
      </c>
      <c r="I1091" t="s">
        <v>165</v>
      </c>
      <c r="J1091" t="s">
        <v>181</v>
      </c>
      <c r="K1091" t="s">
        <v>180</v>
      </c>
      <c r="L1091">
        <v>0</v>
      </c>
      <c r="M1091">
        <v>0</v>
      </c>
      <c r="N1091">
        <v>46.933333333333302</v>
      </c>
      <c r="O1091">
        <v>3</v>
      </c>
      <c r="P1091">
        <v>2.5</v>
      </c>
      <c r="Q1091">
        <v>44.5</v>
      </c>
      <c r="R1091">
        <v>14.2</v>
      </c>
      <c r="S1091">
        <v>15.5</v>
      </c>
      <c r="T1091">
        <v>12.2</v>
      </c>
      <c r="U1091">
        <v>12.3</v>
      </c>
      <c r="V1091">
        <v>32.9</v>
      </c>
      <c r="W1091">
        <v>0</v>
      </c>
      <c r="X1091">
        <v>23</v>
      </c>
      <c r="Y1091">
        <v>32.9</v>
      </c>
      <c r="Z1091">
        <v>25.2</v>
      </c>
      <c r="AA1091">
        <v>43.9</v>
      </c>
      <c r="AB1091">
        <v>26</v>
      </c>
      <c r="AC1091">
        <v>91</v>
      </c>
      <c r="AD1091">
        <v>34.1</v>
      </c>
      <c r="AE1091">
        <v>19</v>
      </c>
      <c r="AF1091">
        <v>54.11</v>
      </c>
      <c r="AG1091">
        <v>92.968999999999994</v>
      </c>
      <c r="AH1091">
        <v>45.292999999999999</v>
      </c>
      <c r="AI1091">
        <v>56.215000000000003</v>
      </c>
      <c r="AJ1091">
        <v>31.341999999999999</v>
      </c>
      <c r="AK1091">
        <v>39.4</v>
      </c>
      <c r="AL1091">
        <v>1.181</v>
      </c>
      <c r="AM1091">
        <v>45.292999999999999</v>
      </c>
      <c r="AN1091">
        <v>92.968999999999994</v>
      </c>
      <c r="AO1091">
        <v>54.11</v>
      </c>
      <c r="AP1091">
        <v>-1.181</v>
      </c>
      <c r="AQ1091">
        <v>68.658000000000001</v>
      </c>
      <c r="AR1091">
        <v>43.784999999999997</v>
      </c>
      <c r="AS1091">
        <v>60.6</v>
      </c>
    </row>
    <row r="1092" spans="1:45" x14ac:dyDescent="0.25">
      <c r="A1092">
        <v>32</v>
      </c>
      <c r="B1092">
        <v>8</v>
      </c>
      <c r="C1092">
        <v>1</v>
      </c>
      <c r="D1092">
        <v>2022</v>
      </c>
      <c r="E1092">
        <v>4</v>
      </c>
      <c r="F1092" t="str">
        <f>IFERROR(VLOOKUP(G1092, Map!$A$1:$B$33, 2, FALSE),"WAS")</f>
        <v>NYG</v>
      </c>
      <c r="G1092" t="s">
        <v>149</v>
      </c>
      <c r="H1092" t="str">
        <f>IFERROR(VLOOKUP(I1092, Map!$A$1:$B$33, 2, FALSE),"WAS")</f>
        <v>CHI</v>
      </c>
      <c r="I1092" t="s">
        <v>163</v>
      </c>
      <c r="J1092" t="s">
        <v>219</v>
      </c>
      <c r="K1092" t="s">
        <v>216</v>
      </c>
      <c r="L1092">
        <v>1</v>
      </c>
      <c r="M1092">
        <v>0</v>
      </c>
      <c r="N1092">
        <v>36.40625</v>
      </c>
      <c r="O1092">
        <v>-3.09375</v>
      </c>
      <c r="P1092">
        <v>-2.5</v>
      </c>
      <c r="Q1092">
        <v>33.5</v>
      </c>
      <c r="R1092">
        <v>13.6</v>
      </c>
      <c r="S1092">
        <v>14.9</v>
      </c>
      <c r="T1092">
        <v>11.9</v>
      </c>
      <c r="U1092">
        <v>10</v>
      </c>
      <c r="V1092">
        <v>7.7</v>
      </c>
      <c r="W1092">
        <v>0</v>
      </c>
      <c r="X1092">
        <v>11</v>
      </c>
      <c r="Y1092">
        <v>7.7</v>
      </c>
      <c r="Z1092">
        <v>27.2</v>
      </c>
      <c r="AA1092">
        <v>54</v>
      </c>
      <c r="AB1092">
        <v>33</v>
      </c>
      <c r="AC1092">
        <v>70</v>
      </c>
      <c r="AD1092">
        <v>41.7</v>
      </c>
      <c r="AE1092">
        <v>21.9</v>
      </c>
      <c r="AF1092">
        <v>67.86</v>
      </c>
      <c r="AG1092">
        <v>8.6229999999999993</v>
      </c>
      <c r="AH1092">
        <v>31.783000000000001</v>
      </c>
      <c r="AI1092">
        <v>76.667000000000002</v>
      </c>
      <c r="AJ1092">
        <v>64.974000000000004</v>
      </c>
      <c r="AK1092">
        <v>71.019000000000005</v>
      </c>
      <c r="AL1092">
        <v>5.3070000000000004</v>
      </c>
      <c r="AM1092">
        <v>31.783000000000001</v>
      </c>
      <c r="AN1092">
        <v>8.6229999999999993</v>
      </c>
      <c r="AO1092">
        <v>67.86</v>
      </c>
      <c r="AP1092">
        <v>-5.3070000000000004</v>
      </c>
      <c r="AQ1092">
        <v>35.026000000000003</v>
      </c>
      <c r="AR1092">
        <v>23.332999999999998</v>
      </c>
      <c r="AS1092">
        <v>28.981000000000002</v>
      </c>
    </row>
    <row r="1093" spans="1:45" x14ac:dyDescent="0.25">
      <c r="A1093">
        <v>58</v>
      </c>
      <c r="B1093">
        <v>-10</v>
      </c>
      <c r="C1093">
        <v>0</v>
      </c>
      <c r="D1093">
        <v>2022</v>
      </c>
      <c r="E1093">
        <v>4</v>
      </c>
      <c r="F1093" t="str">
        <f>IFERROR(VLOOKUP(G1093, Map!$A$1:$B$33, 2, FALSE),"WAS")</f>
        <v>HOU</v>
      </c>
      <c r="G1093" t="s">
        <v>137</v>
      </c>
      <c r="H1093" t="str">
        <f>IFERROR(VLOOKUP(I1093, Map!$A$1:$B$33, 2, FALSE),"WAS")</f>
        <v>LAC</v>
      </c>
      <c r="I1093" t="s">
        <v>160</v>
      </c>
      <c r="J1093" t="s">
        <v>209</v>
      </c>
      <c r="K1093" t="s">
        <v>210</v>
      </c>
      <c r="L1093">
        <v>0</v>
      </c>
      <c r="M1093">
        <v>0</v>
      </c>
      <c r="N1093">
        <v>43.4375</v>
      </c>
      <c r="O1093">
        <v>5.40625</v>
      </c>
      <c r="P1093">
        <v>4.5</v>
      </c>
      <c r="Q1093">
        <v>44.5</v>
      </c>
      <c r="R1093">
        <v>21.6</v>
      </c>
      <c r="S1093">
        <v>28.9</v>
      </c>
      <c r="T1093">
        <v>14.5</v>
      </c>
      <c r="U1093">
        <v>20.9</v>
      </c>
      <c r="V1093">
        <v>0</v>
      </c>
      <c r="W1093">
        <v>0</v>
      </c>
      <c r="X1093">
        <v>0</v>
      </c>
      <c r="Y1093">
        <v>0</v>
      </c>
      <c r="Z1093">
        <v>9.1999999999999993</v>
      </c>
      <c r="AA1093">
        <v>21.6</v>
      </c>
      <c r="AB1093">
        <v>50</v>
      </c>
      <c r="AC1093">
        <v>51</v>
      </c>
      <c r="AD1093">
        <v>13.2</v>
      </c>
      <c r="AE1093">
        <v>6.9</v>
      </c>
      <c r="AF1093">
        <v>32.003999999999998</v>
      </c>
      <c r="AG1093">
        <v>39.082000000000001</v>
      </c>
      <c r="AH1093">
        <v>67.644000000000005</v>
      </c>
      <c r="AI1093">
        <v>11.971</v>
      </c>
      <c r="AJ1093">
        <v>29.283000000000001</v>
      </c>
      <c r="AK1093">
        <v>17.843</v>
      </c>
      <c r="AL1093">
        <v>-5.3550000000000004</v>
      </c>
      <c r="AM1093">
        <v>67.644000000000005</v>
      </c>
      <c r="AN1093">
        <v>39.082000000000001</v>
      </c>
      <c r="AO1093">
        <v>32.003999999999998</v>
      </c>
      <c r="AP1093">
        <v>5.3550000000000004</v>
      </c>
      <c r="AQ1093">
        <v>70.716999999999999</v>
      </c>
      <c r="AR1093">
        <v>88.028999999999996</v>
      </c>
      <c r="AS1093">
        <v>82.156999999999996</v>
      </c>
    </row>
    <row r="1094" spans="1:45" x14ac:dyDescent="0.25">
      <c r="A1094">
        <v>93</v>
      </c>
      <c r="B1094">
        <v>-3</v>
      </c>
      <c r="C1094">
        <v>0</v>
      </c>
      <c r="D1094">
        <v>2022</v>
      </c>
      <c r="E1094">
        <v>4</v>
      </c>
      <c r="F1094" t="str">
        <f>IFERROR(VLOOKUP(G1094, Map!$A$1:$B$33, 2, FALSE),"WAS")</f>
        <v>DET</v>
      </c>
      <c r="G1094" t="s">
        <v>164</v>
      </c>
      <c r="H1094" t="str">
        <f>IFERROR(VLOOKUP(I1094, Map!$A$1:$B$33, 2, FALSE),"WAS")</f>
        <v>SEA</v>
      </c>
      <c r="I1094" t="s">
        <v>144</v>
      </c>
      <c r="J1094" t="s">
        <v>173</v>
      </c>
      <c r="K1094" t="s">
        <v>182</v>
      </c>
      <c r="L1094">
        <v>0</v>
      </c>
      <c r="M1094">
        <v>0</v>
      </c>
      <c r="N1094">
        <v>48.125</v>
      </c>
      <c r="O1094">
        <v>-2.625</v>
      </c>
      <c r="P1094">
        <v>-3</v>
      </c>
      <c r="Q1094">
        <v>47.5</v>
      </c>
      <c r="R1094">
        <v>13.9</v>
      </c>
      <c r="S1094">
        <v>16.399999999999999</v>
      </c>
      <c r="T1094">
        <v>11.2</v>
      </c>
      <c r="U1094">
        <v>10.1</v>
      </c>
      <c r="V1094">
        <v>0</v>
      </c>
      <c r="W1094">
        <v>0</v>
      </c>
      <c r="X1094">
        <v>0</v>
      </c>
      <c r="Y1094">
        <v>0</v>
      </c>
      <c r="Z1094">
        <v>25.8</v>
      </c>
      <c r="AA1094">
        <v>44.3</v>
      </c>
      <c r="AB1094">
        <v>29</v>
      </c>
      <c r="AC1094">
        <v>71</v>
      </c>
      <c r="AD1094">
        <v>38.9</v>
      </c>
      <c r="AE1094">
        <v>23.4</v>
      </c>
      <c r="AF1094">
        <v>63.901000000000003</v>
      </c>
      <c r="AG1094">
        <v>7.1239999999999997</v>
      </c>
      <c r="AH1094">
        <v>35.677</v>
      </c>
      <c r="AI1094">
        <v>2.4060000000000001</v>
      </c>
      <c r="AJ1094">
        <v>63.072000000000003</v>
      </c>
      <c r="AK1094">
        <v>16.710999999999999</v>
      </c>
      <c r="AL1094">
        <v>4.0549999999999997</v>
      </c>
      <c r="AM1094">
        <v>35.677</v>
      </c>
      <c r="AN1094">
        <v>7.1239999999999997</v>
      </c>
      <c r="AO1094">
        <v>63.901000000000003</v>
      </c>
      <c r="AP1094">
        <v>-4.0549999999999997</v>
      </c>
      <c r="AQ1094">
        <v>36.927999999999997</v>
      </c>
      <c r="AR1094">
        <v>97.593999999999994</v>
      </c>
      <c r="AS1094">
        <v>83.289000000000001</v>
      </c>
    </row>
    <row r="1095" spans="1:45" x14ac:dyDescent="0.25">
      <c r="A1095">
        <v>41</v>
      </c>
      <c r="B1095">
        <v>-7</v>
      </c>
      <c r="C1095">
        <v>0</v>
      </c>
      <c r="D1095">
        <v>2022</v>
      </c>
      <c r="E1095">
        <v>4</v>
      </c>
      <c r="F1095" t="str">
        <f>IFERROR(VLOOKUP(G1095, Map!$A$1:$B$33, 2, FALSE),"WAS")</f>
        <v>IND</v>
      </c>
      <c r="G1095" t="s">
        <v>138</v>
      </c>
      <c r="H1095" t="str">
        <f>IFERROR(VLOOKUP(I1095, Map!$A$1:$B$33, 2, FALSE),"WAS")</f>
        <v>TEN</v>
      </c>
      <c r="I1095" t="s">
        <v>140</v>
      </c>
      <c r="J1095" t="s">
        <v>177</v>
      </c>
      <c r="K1095" t="s">
        <v>174</v>
      </c>
      <c r="L1095">
        <v>0</v>
      </c>
      <c r="M1095">
        <v>0</v>
      </c>
      <c r="N1095">
        <v>40.28125</v>
      </c>
      <c r="O1095">
        <v>-3.15625</v>
      </c>
      <c r="P1095">
        <v>-3.5</v>
      </c>
      <c r="Q1095">
        <v>42.5</v>
      </c>
      <c r="R1095">
        <v>15.9</v>
      </c>
      <c r="S1095">
        <v>20.8</v>
      </c>
      <c r="T1095">
        <v>11</v>
      </c>
      <c r="U1095">
        <v>13.2</v>
      </c>
      <c r="V1095">
        <v>0</v>
      </c>
      <c r="W1095">
        <v>0</v>
      </c>
      <c r="X1095">
        <v>0</v>
      </c>
      <c r="Y1095">
        <v>0</v>
      </c>
      <c r="Z1095">
        <v>21.6</v>
      </c>
      <c r="AA1095">
        <v>43.2</v>
      </c>
      <c r="AB1095">
        <v>25</v>
      </c>
      <c r="AC1095">
        <v>63</v>
      </c>
      <c r="AD1095">
        <v>31.6</v>
      </c>
      <c r="AE1095">
        <v>16.399999999999999</v>
      </c>
      <c r="AF1095">
        <v>62.561</v>
      </c>
      <c r="AG1095">
        <v>49.137999999999998</v>
      </c>
      <c r="AH1095">
        <v>36.99</v>
      </c>
      <c r="AI1095">
        <v>49.000999999999998</v>
      </c>
      <c r="AJ1095">
        <v>30.4</v>
      </c>
      <c r="AK1095">
        <v>31.276</v>
      </c>
      <c r="AL1095">
        <v>3.65</v>
      </c>
      <c r="AM1095">
        <v>36.99</v>
      </c>
      <c r="AN1095">
        <v>49.137999999999998</v>
      </c>
      <c r="AO1095">
        <v>62.561</v>
      </c>
      <c r="AP1095">
        <v>-3.65</v>
      </c>
      <c r="AQ1095">
        <v>69.599999999999994</v>
      </c>
      <c r="AR1095">
        <v>50.999000000000002</v>
      </c>
      <c r="AS1095">
        <v>68.724000000000004</v>
      </c>
    </row>
    <row r="1096" spans="1:45" x14ac:dyDescent="0.25">
      <c r="A1096">
        <v>55</v>
      </c>
      <c r="B1096">
        <v>9</v>
      </c>
      <c r="C1096">
        <v>1</v>
      </c>
      <c r="D1096">
        <v>2022</v>
      </c>
      <c r="E1096">
        <v>4</v>
      </c>
      <c r="F1096" t="str">
        <f>IFERROR(VLOOKUP(G1096, Map!$A$1:$B$33, 2, FALSE),"WAS")</f>
        <v>LV</v>
      </c>
      <c r="G1096" t="s">
        <v>157</v>
      </c>
      <c r="H1096" t="str">
        <f>IFERROR(VLOOKUP(I1096, Map!$A$1:$B$33, 2, FALSE),"WAS")</f>
        <v>DEN</v>
      </c>
      <c r="I1096" t="s">
        <v>159</v>
      </c>
      <c r="J1096" t="s">
        <v>179</v>
      </c>
      <c r="K1096" t="s">
        <v>183</v>
      </c>
      <c r="L1096">
        <v>1</v>
      </c>
      <c r="M1096">
        <v>0</v>
      </c>
      <c r="N1096">
        <v>46.266666666666701</v>
      </c>
      <c r="O1096">
        <v>-2.93333333333333</v>
      </c>
      <c r="P1096">
        <v>-2.5</v>
      </c>
      <c r="Q1096">
        <v>45.5</v>
      </c>
      <c r="R1096">
        <v>28.4</v>
      </c>
      <c r="S1096">
        <v>34.299999999999997</v>
      </c>
      <c r="T1096">
        <v>23.3</v>
      </c>
      <c r="U1096">
        <v>26.3</v>
      </c>
      <c r="V1096">
        <v>0</v>
      </c>
      <c r="W1096">
        <v>0</v>
      </c>
      <c r="X1096">
        <v>0</v>
      </c>
      <c r="Y1096">
        <v>0</v>
      </c>
      <c r="Z1096">
        <v>25.3</v>
      </c>
      <c r="AA1096">
        <v>38.9</v>
      </c>
      <c r="AB1096">
        <v>222</v>
      </c>
      <c r="AC1096">
        <v>27</v>
      </c>
      <c r="AD1096">
        <v>19.8</v>
      </c>
      <c r="AE1096">
        <v>9.9</v>
      </c>
      <c r="AF1096">
        <v>59.343000000000004</v>
      </c>
      <c r="AG1096">
        <v>71.105999999999995</v>
      </c>
      <c r="AH1096">
        <v>40.152000000000001</v>
      </c>
      <c r="AI1096">
        <v>76.963999999999999</v>
      </c>
      <c r="AJ1096">
        <v>63.518999999999998</v>
      </c>
      <c r="AK1096">
        <v>67.688000000000002</v>
      </c>
      <c r="AL1096">
        <v>2.6949999999999998</v>
      </c>
      <c r="AM1096">
        <v>40.152000000000001</v>
      </c>
      <c r="AN1096">
        <v>71.105999999999995</v>
      </c>
      <c r="AO1096">
        <v>59.343000000000004</v>
      </c>
      <c r="AP1096">
        <v>-2.6949999999999998</v>
      </c>
      <c r="AQ1096">
        <v>36.481000000000002</v>
      </c>
      <c r="AR1096">
        <v>23.036000000000001</v>
      </c>
      <c r="AS1096">
        <v>32.311999999999998</v>
      </c>
    </row>
    <row r="1097" spans="1:45" x14ac:dyDescent="0.25">
      <c r="A1097">
        <v>44</v>
      </c>
      <c r="B1097">
        <v>-4</v>
      </c>
      <c r="C1097">
        <v>0</v>
      </c>
      <c r="D1097">
        <v>2022</v>
      </c>
      <c r="E1097">
        <v>4</v>
      </c>
      <c r="F1097" t="str">
        <f>IFERROR(VLOOKUP(G1097, Map!$A$1:$B$33, 2, FALSE),"WAS")</f>
        <v>PIT</v>
      </c>
      <c r="G1097" t="s">
        <v>145</v>
      </c>
      <c r="H1097" t="str">
        <f>IFERROR(VLOOKUP(I1097, Map!$A$1:$B$33, 2, FALSE),"WAS")</f>
        <v>NYJ</v>
      </c>
      <c r="I1097" t="s">
        <v>166</v>
      </c>
      <c r="J1097" t="s">
        <v>170</v>
      </c>
      <c r="K1097" t="s">
        <v>172</v>
      </c>
      <c r="L1097">
        <v>0</v>
      </c>
      <c r="M1097">
        <v>0</v>
      </c>
      <c r="N1097">
        <v>38.625</v>
      </c>
      <c r="O1097">
        <v>-2.875</v>
      </c>
      <c r="P1097">
        <v>-2.5</v>
      </c>
      <c r="Q1097">
        <v>40.5</v>
      </c>
      <c r="R1097">
        <v>13.4</v>
      </c>
      <c r="S1097">
        <v>17.7</v>
      </c>
      <c r="T1097">
        <v>11.5</v>
      </c>
      <c r="U1097">
        <v>11.2</v>
      </c>
      <c r="V1097">
        <v>6.9</v>
      </c>
      <c r="W1097">
        <v>0</v>
      </c>
      <c r="X1097">
        <v>10</v>
      </c>
      <c r="Y1097">
        <v>6.9</v>
      </c>
      <c r="Z1097">
        <v>19.2</v>
      </c>
      <c r="AA1097">
        <v>41</v>
      </c>
      <c r="AB1097">
        <v>28</v>
      </c>
      <c r="AC1097">
        <v>81</v>
      </c>
      <c r="AD1097">
        <v>32.6</v>
      </c>
      <c r="AE1097">
        <v>15.3</v>
      </c>
      <c r="AF1097">
        <v>64.869</v>
      </c>
      <c r="AG1097">
        <v>20.760999999999999</v>
      </c>
      <c r="AH1097">
        <v>34.722999999999999</v>
      </c>
      <c r="AI1097">
        <v>57.776000000000003</v>
      </c>
      <c r="AJ1097">
        <v>25.314</v>
      </c>
      <c r="AK1097">
        <v>44.679000000000002</v>
      </c>
      <c r="AL1097">
        <v>4.3540000000000001</v>
      </c>
      <c r="AM1097">
        <v>34.722999999999999</v>
      </c>
      <c r="AN1097">
        <v>20.760999999999999</v>
      </c>
      <c r="AO1097">
        <v>64.869</v>
      </c>
      <c r="AP1097">
        <v>-4.3540000000000001</v>
      </c>
      <c r="AQ1097">
        <v>74.686000000000007</v>
      </c>
      <c r="AR1097">
        <v>42.223999999999997</v>
      </c>
      <c r="AS1097">
        <v>55.320999999999998</v>
      </c>
    </row>
    <row r="1098" spans="1:45" x14ac:dyDescent="0.25">
      <c r="A1098">
        <v>42</v>
      </c>
      <c r="B1098">
        <v>12</v>
      </c>
      <c r="C1098">
        <v>1</v>
      </c>
      <c r="D1098">
        <v>2022</v>
      </c>
      <c r="E1098">
        <v>4</v>
      </c>
      <c r="F1098" t="str">
        <f>IFERROR(VLOOKUP(G1098, Map!$A$1:$B$33, 2, FALSE),"WAS")</f>
        <v>CIN</v>
      </c>
      <c r="G1098" t="s">
        <v>161</v>
      </c>
      <c r="H1098" t="str">
        <f>IFERROR(VLOOKUP(I1098, Map!$A$1:$B$33, 2, FALSE),"WAS")</f>
        <v>MIA</v>
      </c>
      <c r="I1098" t="s">
        <v>152</v>
      </c>
      <c r="J1098" t="s">
        <v>176</v>
      </c>
      <c r="K1098" t="s">
        <v>175</v>
      </c>
      <c r="L1098">
        <v>1</v>
      </c>
      <c r="M1098">
        <v>0</v>
      </c>
      <c r="N1098">
        <v>45.2</v>
      </c>
      <c r="O1098">
        <v>-4.2333333333333298</v>
      </c>
      <c r="P1098">
        <v>-3.5</v>
      </c>
      <c r="Q1098">
        <v>43.5</v>
      </c>
      <c r="R1098">
        <v>13.5</v>
      </c>
      <c r="S1098">
        <v>21.1</v>
      </c>
      <c r="T1098">
        <v>7.7</v>
      </c>
      <c r="U1098">
        <v>11.2</v>
      </c>
      <c r="V1098">
        <v>0</v>
      </c>
      <c r="W1098">
        <v>0</v>
      </c>
      <c r="X1098">
        <v>0</v>
      </c>
      <c r="Y1098">
        <v>0</v>
      </c>
      <c r="Z1098">
        <v>17.2</v>
      </c>
      <c r="AA1098">
        <v>35.6</v>
      </c>
      <c r="AB1098">
        <v>47</v>
      </c>
      <c r="AC1098">
        <v>68</v>
      </c>
      <c r="AD1098">
        <v>24.7</v>
      </c>
      <c r="AE1098">
        <v>11.9</v>
      </c>
      <c r="AF1098">
        <v>71.804000000000002</v>
      </c>
      <c r="AG1098">
        <v>0.78600000000000003</v>
      </c>
      <c r="AH1098">
        <v>27.902000000000001</v>
      </c>
      <c r="AI1098">
        <v>56.091000000000001</v>
      </c>
      <c r="AJ1098">
        <v>58.262</v>
      </c>
      <c r="AK1098">
        <v>69.974000000000004</v>
      </c>
      <c r="AL1098">
        <v>6.6529999999999996</v>
      </c>
      <c r="AM1098">
        <v>27.902000000000001</v>
      </c>
      <c r="AN1098">
        <v>0.78600000000000003</v>
      </c>
      <c r="AO1098">
        <v>71.804000000000002</v>
      </c>
      <c r="AP1098">
        <v>-6.6529999999999996</v>
      </c>
      <c r="AQ1098">
        <v>41.738</v>
      </c>
      <c r="AR1098">
        <v>43.908999999999999</v>
      </c>
      <c r="AS1098">
        <v>30.026</v>
      </c>
    </row>
    <row r="1099" spans="1:45" x14ac:dyDescent="0.25">
      <c r="A1099">
        <v>42</v>
      </c>
      <c r="B1099">
        <v>-10</v>
      </c>
      <c r="C1099">
        <v>0</v>
      </c>
      <c r="D1099">
        <v>2022</v>
      </c>
      <c r="E1099">
        <v>4</v>
      </c>
      <c r="F1099" t="str">
        <f>IFERROR(VLOOKUP(G1099, Map!$A$1:$B$33, 2, FALSE),"WAS")</f>
        <v>CAR</v>
      </c>
      <c r="G1099" t="s">
        <v>142</v>
      </c>
      <c r="H1099" t="str">
        <f>IFERROR(VLOOKUP(I1099, Map!$A$1:$B$33, 2, FALSE),"WAS")</f>
        <v>ARI</v>
      </c>
      <c r="I1099" t="s">
        <v>156</v>
      </c>
      <c r="J1099" t="s">
        <v>185</v>
      </c>
      <c r="K1099" t="s">
        <v>190</v>
      </c>
      <c r="L1099">
        <v>0</v>
      </c>
      <c r="M1099">
        <v>0</v>
      </c>
      <c r="N1099">
        <v>41.3125</v>
      </c>
      <c r="O1099">
        <v>-0.25</v>
      </c>
      <c r="P1099">
        <v>-0.5</v>
      </c>
      <c r="Q1099">
        <v>43.5</v>
      </c>
      <c r="R1099">
        <v>14.9</v>
      </c>
      <c r="S1099">
        <v>19.100000000000001</v>
      </c>
      <c r="T1099">
        <v>10.6</v>
      </c>
      <c r="U1099">
        <v>13.4</v>
      </c>
      <c r="V1099">
        <v>0</v>
      </c>
      <c r="W1099">
        <v>0</v>
      </c>
      <c r="X1099">
        <v>0</v>
      </c>
      <c r="Y1099">
        <v>0</v>
      </c>
      <c r="Z1099">
        <v>21.8</v>
      </c>
      <c r="AA1099">
        <v>41</v>
      </c>
      <c r="AB1099">
        <v>351</v>
      </c>
      <c r="AC1099">
        <v>75</v>
      </c>
      <c r="AD1099">
        <v>20.9</v>
      </c>
      <c r="AE1099">
        <v>11.1</v>
      </c>
      <c r="AF1099">
        <v>54.39</v>
      </c>
      <c r="AG1099">
        <v>49.31</v>
      </c>
      <c r="AH1099">
        <v>45.015000000000001</v>
      </c>
      <c r="AI1099">
        <v>79.52</v>
      </c>
      <c r="AJ1099">
        <v>0.81299999999999994</v>
      </c>
      <c r="AK1099">
        <v>26.635000000000002</v>
      </c>
      <c r="AL1099">
        <v>1.262</v>
      </c>
      <c r="AM1099">
        <v>45.015000000000001</v>
      </c>
      <c r="AN1099">
        <v>49.31</v>
      </c>
      <c r="AO1099">
        <v>54.39</v>
      </c>
      <c r="AP1099">
        <v>-1.262</v>
      </c>
      <c r="AQ1099">
        <v>99.186999999999998</v>
      </c>
      <c r="AR1099">
        <v>20.48</v>
      </c>
      <c r="AS1099">
        <v>73.364999999999995</v>
      </c>
    </row>
    <row r="1100" spans="1:45" x14ac:dyDescent="0.25">
      <c r="A1100">
        <v>43</v>
      </c>
      <c r="B1100">
        <v>3</v>
      </c>
      <c r="C1100">
        <v>1</v>
      </c>
      <c r="D1100">
        <v>2022</v>
      </c>
      <c r="E1100">
        <v>4</v>
      </c>
      <c r="F1100" t="str">
        <f>IFERROR(VLOOKUP(G1100, Map!$A$1:$B$33, 2, FALSE),"WAS")</f>
        <v>ATL</v>
      </c>
      <c r="G1100" t="s">
        <v>167</v>
      </c>
      <c r="H1100" t="str">
        <f>IFERROR(VLOOKUP(I1100, Map!$A$1:$B$33, 2, FALSE),"WAS")</f>
        <v>CLE</v>
      </c>
      <c r="I1100" t="s">
        <v>162</v>
      </c>
      <c r="J1100" t="s">
        <v>188</v>
      </c>
      <c r="K1100" t="s">
        <v>171</v>
      </c>
      <c r="L1100">
        <v>1</v>
      </c>
      <c r="M1100">
        <v>0</v>
      </c>
      <c r="N1100">
        <v>45.5</v>
      </c>
      <c r="O1100">
        <v>0.875</v>
      </c>
      <c r="P1100">
        <v>1</v>
      </c>
      <c r="Q1100">
        <v>47.5</v>
      </c>
      <c r="R1100">
        <v>17.8</v>
      </c>
      <c r="S1100">
        <v>25</v>
      </c>
      <c r="T1100">
        <v>12.5</v>
      </c>
      <c r="U1100">
        <v>15.2</v>
      </c>
      <c r="V1100">
        <v>0</v>
      </c>
      <c r="W1100">
        <v>0</v>
      </c>
      <c r="X1100">
        <v>0</v>
      </c>
      <c r="Y1100">
        <v>0</v>
      </c>
      <c r="Z1100">
        <v>21.7</v>
      </c>
      <c r="AA1100">
        <v>42.8</v>
      </c>
      <c r="AB1100">
        <v>339</v>
      </c>
      <c r="AC1100">
        <v>55</v>
      </c>
      <c r="AD1100">
        <v>31.3</v>
      </c>
      <c r="AE1100">
        <v>16.7</v>
      </c>
      <c r="AF1100">
        <v>48.774999999999999</v>
      </c>
      <c r="AG1100">
        <v>24.038</v>
      </c>
      <c r="AH1100">
        <v>50.595999999999997</v>
      </c>
      <c r="AI1100">
        <v>53.54</v>
      </c>
      <c r="AJ1100">
        <v>58.406999999999996</v>
      </c>
      <c r="AK1100">
        <v>55.756</v>
      </c>
      <c r="AL1100">
        <v>-0.34799999999999998</v>
      </c>
      <c r="AM1100">
        <v>50.595999999999997</v>
      </c>
      <c r="AN1100">
        <v>24.038</v>
      </c>
      <c r="AO1100">
        <v>48.774999999999999</v>
      </c>
      <c r="AP1100">
        <v>0.34799999999999998</v>
      </c>
      <c r="AQ1100">
        <v>41.593000000000004</v>
      </c>
      <c r="AR1100">
        <v>46.46</v>
      </c>
      <c r="AS1100">
        <v>44.244</v>
      </c>
    </row>
    <row r="1101" spans="1:45" x14ac:dyDescent="0.25">
      <c r="A1101">
        <v>51</v>
      </c>
      <c r="B1101">
        <v>3</v>
      </c>
      <c r="C1101">
        <v>1</v>
      </c>
      <c r="D1101">
        <v>2022</v>
      </c>
      <c r="E1101">
        <v>4</v>
      </c>
      <c r="F1101" t="str">
        <f>IFERROR(VLOOKUP(G1101, Map!$A$1:$B$33, 2, FALSE),"WAS")</f>
        <v>GB</v>
      </c>
      <c r="G1101" t="s">
        <v>154</v>
      </c>
      <c r="H1101" t="str">
        <f>IFERROR(VLOOKUP(I1101, Map!$A$1:$B$33, 2, FALSE),"WAS")</f>
        <v>NE</v>
      </c>
      <c r="I1101" t="s">
        <v>151</v>
      </c>
      <c r="J1101" t="s">
        <v>200</v>
      </c>
      <c r="K1101" t="s">
        <v>187</v>
      </c>
      <c r="L1101">
        <v>1</v>
      </c>
      <c r="M1101">
        <v>0</v>
      </c>
      <c r="N1101">
        <v>38.25</v>
      </c>
      <c r="O1101">
        <v>-8.53125</v>
      </c>
      <c r="P1101">
        <v>-2.5</v>
      </c>
      <c r="Q1101">
        <v>39.5</v>
      </c>
      <c r="R1101">
        <v>13.9</v>
      </c>
      <c r="S1101">
        <v>17.2</v>
      </c>
      <c r="T1101">
        <v>11.1</v>
      </c>
      <c r="U1101">
        <v>12.4</v>
      </c>
      <c r="V1101">
        <v>0</v>
      </c>
      <c r="W1101">
        <v>0</v>
      </c>
      <c r="X1101">
        <v>0</v>
      </c>
      <c r="Y1101">
        <v>0</v>
      </c>
      <c r="Z1101">
        <v>14.4</v>
      </c>
      <c r="AA1101">
        <v>32</v>
      </c>
      <c r="AB1101">
        <v>43</v>
      </c>
      <c r="AC1101">
        <v>80</v>
      </c>
      <c r="AD1101">
        <v>22.6</v>
      </c>
      <c r="AE1101">
        <v>10.9</v>
      </c>
      <c r="AF1101">
        <v>89.507999999999996</v>
      </c>
      <c r="AG1101">
        <v>68.028999999999996</v>
      </c>
      <c r="AH1101">
        <v>10.401</v>
      </c>
      <c r="AI1101">
        <v>61.180999999999997</v>
      </c>
      <c r="AJ1101">
        <v>49.427</v>
      </c>
      <c r="AK1101">
        <v>54.744</v>
      </c>
      <c r="AL1101">
        <v>15.228999999999999</v>
      </c>
      <c r="AM1101">
        <v>10.401</v>
      </c>
      <c r="AN1101">
        <v>68.028999999999996</v>
      </c>
      <c r="AO1101">
        <v>89.507999999999996</v>
      </c>
      <c r="AP1101">
        <v>-15.228999999999999</v>
      </c>
      <c r="AQ1101">
        <v>50.573</v>
      </c>
      <c r="AR1101">
        <v>38.819000000000003</v>
      </c>
      <c r="AS1101">
        <v>45.256</v>
      </c>
    </row>
    <row r="1102" spans="1:45" x14ac:dyDescent="0.25">
      <c r="A1102">
        <v>35</v>
      </c>
      <c r="B1102">
        <v>15</v>
      </c>
      <c r="C1102">
        <v>1</v>
      </c>
      <c r="D1102">
        <v>2022</v>
      </c>
      <c r="E1102">
        <v>4</v>
      </c>
      <c r="F1102" t="str">
        <f>IFERROR(VLOOKUP(G1102, Map!$A$1:$B$33, 2, FALSE),"WAS")</f>
        <v>DAL</v>
      </c>
      <c r="G1102" t="s">
        <v>150</v>
      </c>
      <c r="H1102" t="str">
        <f>IFERROR(VLOOKUP(I1102, Map!$A$1:$B$33, 2, FALSE),"WAS")</f>
        <v>WAS</v>
      </c>
      <c r="I1102" t="s">
        <v>148</v>
      </c>
      <c r="J1102" t="s">
        <v>184</v>
      </c>
      <c r="K1102" t="s">
        <v>205</v>
      </c>
      <c r="L1102">
        <v>1</v>
      </c>
      <c r="M1102">
        <v>0</v>
      </c>
      <c r="N1102">
        <v>40.799999999999997</v>
      </c>
      <c r="O1102">
        <v>-3.8333333333333299</v>
      </c>
      <c r="P1102">
        <v>-3</v>
      </c>
      <c r="Q1102">
        <v>36.5</v>
      </c>
      <c r="R1102">
        <v>20.5</v>
      </c>
      <c r="S1102">
        <v>28.2</v>
      </c>
      <c r="T1102">
        <v>12.8</v>
      </c>
      <c r="U1102">
        <v>18.8</v>
      </c>
      <c r="V1102">
        <v>0</v>
      </c>
      <c r="W1102">
        <v>0</v>
      </c>
      <c r="X1102">
        <v>0</v>
      </c>
      <c r="Y1102">
        <v>0</v>
      </c>
      <c r="Z1102">
        <v>13.9</v>
      </c>
      <c r="AA1102">
        <v>27</v>
      </c>
      <c r="AB1102">
        <v>98</v>
      </c>
      <c r="AC1102">
        <v>45</v>
      </c>
      <c r="AD1102">
        <v>15.5</v>
      </c>
      <c r="AE1102">
        <v>8.1999999999999993</v>
      </c>
      <c r="AF1102">
        <v>45.414999999999999</v>
      </c>
      <c r="AG1102">
        <v>39.533000000000001</v>
      </c>
      <c r="AH1102">
        <v>54.137</v>
      </c>
      <c r="AI1102">
        <v>81.760000000000005</v>
      </c>
      <c r="AJ1102">
        <v>61.893999999999998</v>
      </c>
      <c r="AK1102">
        <v>77.239999999999995</v>
      </c>
      <c r="AL1102">
        <v>-1.302</v>
      </c>
      <c r="AM1102">
        <v>54.137</v>
      </c>
      <c r="AN1102">
        <v>39.533000000000001</v>
      </c>
      <c r="AO1102">
        <v>45.414999999999999</v>
      </c>
      <c r="AP1102">
        <v>1.302</v>
      </c>
      <c r="AQ1102">
        <v>38.106000000000002</v>
      </c>
      <c r="AR1102">
        <v>18.239999999999998</v>
      </c>
      <c r="AS1102">
        <v>22.76</v>
      </c>
    </row>
    <row r="1103" spans="1:45" x14ac:dyDescent="0.25">
      <c r="A1103">
        <v>33</v>
      </c>
      <c r="B1103">
        <v>15</v>
      </c>
      <c r="C1103">
        <v>1</v>
      </c>
      <c r="D1103">
        <v>2022</v>
      </c>
      <c r="E1103">
        <v>4</v>
      </c>
      <c r="F1103" t="str">
        <f>IFERROR(VLOOKUP(G1103, Map!$A$1:$B$33, 2, FALSE),"WAS")</f>
        <v>SF</v>
      </c>
      <c r="G1103" t="s">
        <v>143</v>
      </c>
      <c r="H1103" t="str">
        <f>IFERROR(VLOOKUP(I1103, Map!$A$1:$B$33, 2, FALSE),"WAS")</f>
        <v>LA</v>
      </c>
      <c r="I1103" t="s">
        <v>155</v>
      </c>
      <c r="J1103" t="s">
        <v>197</v>
      </c>
      <c r="K1103" t="s">
        <v>178</v>
      </c>
      <c r="L1103">
        <v>1</v>
      </c>
      <c r="M1103">
        <v>0</v>
      </c>
      <c r="N1103">
        <v>38.700000000000003</v>
      </c>
      <c r="O1103">
        <v>-2.6333333333333302</v>
      </c>
      <c r="P1103">
        <v>-1.5</v>
      </c>
      <c r="Q1103">
        <v>34.5</v>
      </c>
      <c r="R1103">
        <v>16.399999999999999</v>
      </c>
      <c r="S1103">
        <v>23.2</v>
      </c>
      <c r="T1103">
        <v>12.2</v>
      </c>
      <c r="U1103">
        <v>16</v>
      </c>
      <c r="V1103">
        <v>0.5</v>
      </c>
      <c r="W1103">
        <v>0</v>
      </c>
      <c r="X1103">
        <v>4</v>
      </c>
      <c r="Y1103">
        <v>0.5</v>
      </c>
      <c r="Z1103">
        <v>17.399999999999999</v>
      </c>
      <c r="AA1103">
        <v>38.9</v>
      </c>
      <c r="AB1103">
        <v>336</v>
      </c>
      <c r="AC1103">
        <v>79</v>
      </c>
      <c r="AD1103">
        <v>18.2</v>
      </c>
      <c r="AE1103">
        <v>9.1</v>
      </c>
      <c r="AF1103">
        <v>37.372999999999998</v>
      </c>
      <c r="AG1103">
        <v>49.521999999999998</v>
      </c>
      <c r="AH1103">
        <v>62.186</v>
      </c>
      <c r="AI1103">
        <v>86.665999999999997</v>
      </c>
      <c r="AJ1103">
        <v>81.072000000000003</v>
      </c>
      <c r="AK1103">
        <v>83.408000000000001</v>
      </c>
      <c r="AL1103">
        <v>-3.6739999999999999</v>
      </c>
      <c r="AM1103">
        <v>62.186</v>
      </c>
      <c r="AN1103">
        <v>49.521999999999998</v>
      </c>
      <c r="AO1103">
        <v>37.372999999999998</v>
      </c>
      <c r="AP1103">
        <v>3.6739999999999999</v>
      </c>
      <c r="AQ1103">
        <v>18.928000000000001</v>
      </c>
      <c r="AR1103">
        <v>13.334</v>
      </c>
      <c r="AS1103">
        <v>16.591999999999999</v>
      </c>
    </row>
    <row r="1104" spans="1:45" x14ac:dyDescent="0.25">
      <c r="A1104">
        <v>53</v>
      </c>
      <c r="B1104">
        <v>-3</v>
      </c>
      <c r="C1104">
        <v>0</v>
      </c>
      <c r="D1104">
        <v>2022</v>
      </c>
      <c r="E1104">
        <v>4</v>
      </c>
      <c r="F1104" t="str">
        <f>IFERROR(VLOOKUP(G1104, Map!$A$1:$B$33, 2, FALSE),"WAS")</f>
        <v>NO</v>
      </c>
      <c r="G1104" t="s">
        <v>168</v>
      </c>
      <c r="H1104" t="str">
        <f>IFERROR(VLOOKUP(I1104, Map!$A$1:$B$33, 2, FALSE),"WAS")</f>
        <v>MIN</v>
      </c>
      <c r="I1104" t="s">
        <v>153</v>
      </c>
      <c r="J1104" t="s">
        <v>192</v>
      </c>
      <c r="K1104" t="s">
        <v>214</v>
      </c>
      <c r="L1104">
        <v>0</v>
      </c>
      <c r="M1104">
        <v>0</v>
      </c>
      <c r="N1104">
        <v>40.6875</v>
      </c>
      <c r="O1104">
        <v>3.5</v>
      </c>
      <c r="P1104">
        <v>2.5</v>
      </c>
      <c r="Q1104">
        <v>41.5</v>
      </c>
      <c r="R1104">
        <v>13.9</v>
      </c>
      <c r="S1104">
        <v>18</v>
      </c>
      <c r="T1104">
        <v>9.9</v>
      </c>
      <c r="U1104">
        <v>12.4</v>
      </c>
      <c r="V1104">
        <v>0.4</v>
      </c>
      <c r="W1104">
        <v>0</v>
      </c>
      <c r="X1104">
        <v>2</v>
      </c>
      <c r="Y1104">
        <v>0.4</v>
      </c>
      <c r="Z1104">
        <v>14.4</v>
      </c>
      <c r="AA1104">
        <v>25.6</v>
      </c>
      <c r="AB1104">
        <v>304</v>
      </c>
      <c r="AC1104">
        <v>78</v>
      </c>
      <c r="AD1104">
        <v>18.100000000000001</v>
      </c>
      <c r="AE1104">
        <v>10.199999999999999</v>
      </c>
      <c r="AF1104">
        <v>42.95</v>
      </c>
      <c r="AG1104">
        <v>45.104999999999997</v>
      </c>
      <c r="AH1104">
        <v>56.499000000000002</v>
      </c>
      <c r="AI1104">
        <v>52.067</v>
      </c>
      <c r="AJ1104">
        <v>65.707999999999998</v>
      </c>
      <c r="AK1104">
        <v>42.301000000000002</v>
      </c>
      <c r="AL1104">
        <v>-2.016</v>
      </c>
      <c r="AM1104">
        <v>56.499000000000002</v>
      </c>
      <c r="AN1104">
        <v>45.104999999999997</v>
      </c>
      <c r="AO1104">
        <v>42.95</v>
      </c>
      <c r="AP1104">
        <v>2.016</v>
      </c>
      <c r="AQ1104">
        <v>34.292000000000002</v>
      </c>
      <c r="AR1104">
        <v>47.933</v>
      </c>
      <c r="AS1104">
        <v>57.698999999999998</v>
      </c>
    </row>
    <row r="1105" spans="1:45" x14ac:dyDescent="0.25">
      <c r="A1105">
        <v>50</v>
      </c>
      <c r="B1105">
        <v>8</v>
      </c>
      <c r="C1105">
        <v>1</v>
      </c>
      <c r="D1105">
        <v>2022</v>
      </c>
      <c r="E1105">
        <v>4</v>
      </c>
      <c r="F1105" t="str">
        <f>IFERROR(VLOOKUP(G1105, Map!$A$1:$B$33, 2, FALSE),"WAS")</f>
        <v>PHI</v>
      </c>
      <c r="G1105" t="s">
        <v>147</v>
      </c>
      <c r="H1105" t="str">
        <f>IFERROR(VLOOKUP(I1105, Map!$A$1:$B$33, 2, FALSE),"WAS")</f>
        <v>JAX</v>
      </c>
      <c r="I1105" t="s">
        <v>139</v>
      </c>
      <c r="J1105" t="s">
        <v>206</v>
      </c>
      <c r="K1105" t="s">
        <v>220</v>
      </c>
      <c r="L1105">
        <v>1</v>
      </c>
      <c r="M1105">
        <v>0</v>
      </c>
      <c r="N1105">
        <v>42.28125</v>
      </c>
      <c r="O1105">
        <v>-6.125</v>
      </c>
      <c r="P1105">
        <v>-6</v>
      </c>
      <c r="Q1105">
        <v>43.5</v>
      </c>
      <c r="R1105">
        <v>14</v>
      </c>
      <c r="S1105">
        <v>16</v>
      </c>
      <c r="T1105">
        <v>10.199999999999999</v>
      </c>
      <c r="U1105">
        <v>10.9</v>
      </c>
      <c r="V1105">
        <v>39.200000000000003</v>
      </c>
      <c r="W1105">
        <v>0</v>
      </c>
      <c r="X1105">
        <v>13</v>
      </c>
      <c r="Y1105">
        <v>39.200000000000003</v>
      </c>
      <c r="Z1105">
        <v>29.1</v>
      </c>
      <c r="AA1105">
        <v>51.5</v>
      </c>
      <c r="AB1105">
        <v>41</v>
      </c>
      <c r="AC1105">
        <v>81</v>
      </c>
      <c r="AD1105">
        <v>41</v>
      </c>
      <c r="AE1105">
        <v>22.8</v>
      </c>
      <c r="AF1105">
        <v>66.260000000000005</v>
      </c>
      <c r="AG1105">
        <v>65.415000000000006</v>
      </c>
      <c r="AH1105">
        <v>33.356999999999999</v>
      </c>
      <c r="AI1105">
        <v>97.022999999999996</v>
      </c>
      <c r="AJ1105">
        <v>44.92</v>
      </c>
      <c r="AK1105">
        <v>79.742000000000004</v>
      </c>
      <c r="AL1105">
        <v>4.8010000000000002</v>
      </c>
      <c r="AM1105">
        <v>33.356999999999999</v>
      </c>
      <c r="AN1105">
        <v>65.415000000000006</v>
      </c>
      <c r="AO1105">
        <v>66.260000000000005</v>
      </c>
      <c r="AP1105">
        <v>-4.8010000000000002</v>
      </c>
      <c r="AQ1105">
        <v>55.08</v>
      </c>
      <c r="AR1105">
        <v>2.9769999999999999</v>
      </c>
      <c r="AS1105">
        <v>20.257999999999999</v>
      </c>
    </row>
    <row r="1106" spans="1:45" x14ac:dyDescent="0.25">
      <c r="A1106">
        <v>36</v>
      </c>
      <c r="B1106">
        <v>2</v>
      </c>
      <c r="C1106">
        <v>1</v>
      </c>
      <c r="D1106">
        <v>2022</v>
      </c>
      <c r="E1106">
        <v>5</v>
      </c>
      <c r="F1106" t="str">
        <f>IFERROR(VLOOKUP(G1106, Map!$A$1:$B$33, 2, FALSE),"WAS")</f>
        <v>BAL</v>
      </c>
      <c r="G1106" t="s">
        <v>146</v>
      </c>
      <c r="H1106" t="str">
        <f>IFERROR(VLOOKUP(I1106, Map!$A$1:$B$33, 2, FALSE),"WAS")</f>
        <v>CIN</v>
      </c>
      <c r="I1106" t="s">
        <v>161</v>
      </c>
      <c r="J1106" t="s">
        <v>181</v>
      </c>
      <c r="K1106" t="s">
        <v>176</v>
      </c>
      <c r="L1106">
        <v>1</v>
      </c>
      <c r="M1106">
        <v>0</v>
      </c>
      <c r="N1106">
        <v>44.323529411764703</v>
      </c>
      <c r="O1106">
        <v>-2.7941176470588198</v>
      </c>
      <c r="P1106">
        <v>-2.5</v>
      </c>
      <c r="Q1106">
        <v>37.5</v>
      </c>
      <c r="R1106">
        <v>11.9</v>
      </c>
      <c r="S1106">
        <v>19.3</v>
      </c>
      <c r="T1106">
        <v>6.6</v>
      </c>
      <c r="U1106">
        <v>9.8000000000000007</v>
      </c>
      <c r="V1106">
        <v>0</v>
      </c>
      <c r="W1106">
        <v>0</v>
      </c>
      <c r="X1106">
        <v>0</v>
      </c>
      <c r="Y1106">
        <v>0</v>
      </c>
      <c r="Z1106">
        <v>11.9</v>
      </c>
      <c r="AA1106">
        <v>18.7</v>
      </c>
      <c r="AB1106">
        <v>271</v>
      </c>
      <c r="AC1106">
        <v>67</v>
      </c>
      <c r="AD1106">
        <v>15.3</v>
      </c>
      <c r="AE1106">
        <v>8.1999999999999993</v>
      </c>
      <c r="AF1106">
        <v>50.631</v>
      </c>
      <c r="AG1106">
        <v>91.828000000000003</v>
      </c>
      <c r="AH1106">
        <v>48.741999999999997</v>
      </c>
      <c r="AI1106">
        <v>51.203000000000003</v>
      </c>
      <c r="AJ1106">
        <v>42.381</v>
      </c>
      <c r="AK1106">
        <v>53.506</v>
      </c>
      <c r="AL1106">
        <v>0.19</v>
      </c>
      <c r="AM1106">
        <v>48.741999999999997</v>
      </c>
      <c r="AN1106">
        <v>91.828000000000003</v>
      </c>
      <c r="AO1106">
        <v>50.631</v>
      </c>
      <c r="AP1106">
        <v>-0.19</v>
      </c>
      <c r="AQ1106">
        <v>57.619</v>
      </c>
      <c r="AR1106">
        <v>48.796999999999997</v>
      </c>
      <c r="AS1106">
        <v>46.494</v>
      </c>
    </row>
    <row r="1107" spans="1:45" x14ac:dyDescent="0.25">
      <c r="A1107">
        <v>19</v>
      </c>
      <c r="B1107">
        <v>-7</v>
      </c>
      <c r="C1107">
        <v>0</v>
      </c>
      <c r="D1107">
        <v>2022</v>
      </c>
      <c r="E1107">
        <v>5</v>
      </c>
      <c r="F1107" t="str">
        <f>IFERROR(VLOOKUP(G1107, Map!$A$1:$B$33, 2, FALSE),"WAS")</f>
        <v>JAX</v>
      </c>
      <c r="G1107" t="s">
        <v>139</v>
      </c>
      <c r="H1107" t="str">
        <f>IFERROR(VLOOKUP(I1107, Map!$A$1:$B$33, 2, FALSE),"WAS")</f>
        <v>HOU</v>
      </c>
      <c r="I1107" t="s">
        <v>137</v>
      </c>
      <c r="J1107" t="s">
        <v>220</v>
      </c>
      <c r="K1107" t="s">
        <v>209</v>
      </c>
      <c r="L1107">
        <v>0</v>
      </c>
      <c r="M1107">
        <v>0</v>
      </c>
      <c r="N1107">
        <v>39.735294117647101</v>
      </c>
      <c r="O1107">
        <v>-5.7941176470588198</v>
      </c>
      <c r="P1107">
        <v>-6.5</v>
      </c>
      <c r="Q1107">
        <v>20.5</v>
      </c>
      <c r="R1107">
        <v>21.9</v>
      </c>
      <c r="S1107">
        <v>27.6</v>
      </c>
      <c r="T1107">
        <v>17.2</v>
      </c>
      <c r="U1107">
        <v>23.8</v>
      </c>
      <c r="V1107">
        <v>0</v>
      </c>
      <c r="W1107">
        <v>0</v>
      </c>
      <c r="X1107">
        <v>0</v>
      </c>
      <c r="Y1107">
        <v>0</v>
      </c>
      <c r="Z1107">
        <v>14.1</v>
      </c>
      <c r="AA1107">
        <v>24.1</v>
      </c>
      <c r="AB1107">
        <v>49</v>
      </c>
      <c r="AC1107">
        <v>81</v>
      </c>
      <c r="AD1107">
        <v>15.3</v>
      </c>
      <c r="AE1107">
        <v>8.1999999999999993</v>
      </c>
      <c r="AF1107">
        <v>72.763000000000005</v>
      </c>
      <c r="AG1107">
        <v>20.841000000000001</v>
      </c>
      <c r="AH1107">
        <v>26.952999999999999</v>
      </c>
      <c r="AI1107">
        <v>54.936</v>
      </c>
      <c r="AJ1107">
        <v>25.574999999999999</v>
      </c>
      <c r="AK1107">
        <v>33.603000000000002</v>
      </c>
      <c r="AL1107">
        <v>6.976</v>
      </c>
      <c r="AM1107">
        <v>26.952999999999999</v>
      </c>
      <c r="AN1107">
        <v>20.841000000000001</v>
      </c>
      <c r="AO1107">
        <v>72.763000000000005</v>
      </c>
      <c r="AP1107">
        <v>-6.976</v>
      </c>
      <c r="AQ1107">
        <v>74.424999999999997</v>
      </c>
      <c r="AR1107">
        <v>45.064</v>
      </c>
      <c r="AS1107">
        <v>66.397000000000006</v>
      </c>
    </row>
    <row r="1108" spans="1:45" x14ac:dyDescent="0.25">
      <c r="A1108">
        <v>71</v>
      </c>
      <c r="B1108">
        <v>7</v>
      </c>
      <c r="C1108">
        <v>1</v>
      </c>
      <c r="D1108">
        <v>2022</v>
      </c>
      <c r="E1108">
        <v>5</v>
      </c>
      <c r="F1108" t="str">
        <f>IFERROR(VLOOKUP(G1108, Map!$A$1:$B$33, 2, FALSE),"WAS")</f>
        <v>NO</v>
      </c>
      <c r="G1108" t="s">
        <v>168</v>
      </c>
      <c r="H1108" t="str">
        <f>IFERROR(VLOOKUP(I1108, Map!$A$1:$B$33, 2, FALSE),"WAS")</f>
        <v>SEA</v>
      </c>
      <c r="I1108" t="s">
        <v>144</v>
      </c>
      <c r="J1108" t="s">
        <v>192</v>
      </c>
      <c r="K1108" t="s">
        <v>182</v>
      </c>
      <c r="L1108">
        <v>1</v>
      </c>
      <c r="M1108">
        <v>0</v>
      </c>
      <c r="N1108">
        <v>44.117647058823501</v>
      </c>
      <c r="O1108">
        <v>-5.2058823529411802</v>
      </c>
      <c r="P1108">
        <v>-5</v>
      </c>
      <c r="Q1108">
        <v>45</v>
      </c>
      <c r="R1108">
        <v>22.1</v>
      </c>
      <c r="S1108">
        <v>25.5</v>
      </c>
      <c r="T1108">
        <v>18.5</v>
      </c>
      <c r="U1108">
        <v>20.6</v>
      </c>
      <c r="V1108">
        <v>0</v>
      </c>
      <c r="W1108">
        <v>0</v>
      </c>
      <c r="X1108">
        <v>0</v>
      </c>
      <c r="Y1108">
        <v>0</v>
      </c>
      <c r="Z1108">
        <v>18.7</v>
      </c>
      <c r="AA1108">
        <v>33.799999999999997</v>
      </c>
      <c r="AB1108">
        <v>41</v>
      </c>
      <c r="AC1108">
        <v>50</v>
      </c>
      <c r="AD1108">
        <v>26.8</v>
      </c>
      <c r="AE1108">
        <v>14.1</v>
      </c>
      <c r="AF1108">
        <v>72.775999999999996</v>
      </c>
      <c r="AG1108">
        <v>18.440000000000001</v>
      </c>
      <c r="AH1108">
        <v>26.940999999999999</v>
      </c>
      <c r="AI1108">
        <v>32.307000000000002</v>
      </c>
      <c r="AJ1108">
        <v>72.087999999999994</v>
      </c>
      <c r="AK1108">
        <v>67.364000000000004</v>
      </c>
      <c r="AL1108">
        <v>6.976</v>
      </c>
      <c r="AM1108">
        <v>26.940999999999999</v>
      </c>
      <c r="AN1108">
        <v>18.440000000000001</v>
      </c>
      <c r="AO1108">
        <v>72.775999999999996</v>
      </c>
      <c r="AP1108">
        <v>-6.976</v>
      </c>
      <c r="AQ1108">
        <v>27.911999999999999</v>
      </c>
      <c r="AR1108">
        <v>67.692999999999998</v>
      </c>
      <c r="AS1108">
        <v>32.636000000000003</v>
      </c>
    </row>
    <row r="1109" spans="1:45" x14ac:dyDescent="0.25">
      <c r="A1109">
        <v>49</v>
      </c>
      <c r="B1109">
        <v>-5</v>
      </c>
      <c r="C1109">
        <v>0</v>
      </c>
      <c r="D1109">
        <v>2022</v>
      </c>
      <c r="E1109">
        <v>5</v>
      </c>
      <c r="F1109" t="str">
        <f>IFERROR(VLOOKUP(G1109, Map!$A$1:$B$33, 2, FALSE),"WAS")</f>
        <v>GB</v>
      </c>
      <c r="G1109" t="s">
        <v>154</v>
      </c>
      <c r="H1109" t="str">
        <f>IFERROR(VLOOKUP(I1109, Map!$A$1:$B$33, 2, FALSE),"WAS")</f>
        <v>NYG</v>
      </c>
      <c r="I1109" t="s">
        <v>149</v>
      </c>
      <c r="J1109" t="s">
        <v>200</v>
      </c>
      <c r="K1109" t="s">
        <v>219</v>
      </c>
      <c r="L1109">
        <v>0</v>
      </c>
      <c r="M1109">
        <v>0</v>
      </c>
      <c r="N1109">
        <v>39.941176470588204</v>
      </c>
      <c r="O1109">
        <v>-7.3529411764705896</v>
      </c>
      <c r="P1109">
        <v>5</v>
      </c>
      <c r="Q1109">
        <v>41.5</v>
      </c>
      <c r="R1109">
        <v>11.6</v>
      </c>
      <c r="S1109">
        <v>17.5</v>
      </c>
      <c r="T1109">
        <v>5.6</v>
      </c>
      <c r="U1109">
        <v>9.1</v>
      </c>
      <c r="V1109">
        <v>0</v>
      </c>
      <c r="W1109">
        <v>0</v>
      </c>
      <c r="X1109">
        <v>0</v>
      </c>
      <c r="Y1109">
        <v>0</v>
      </c>
      <c r="Z1109">
        <v>19.600000000000001</v>
      </c>
      <c r="AA1109">
        <v>34.200000000000003</v>
      </c>
      <c r="AB1109">
        <v>172</v>
      </c>
      <c r="AC1109">
        <v>76</v>
      </c>
      <c r="AD1109">
        <v>20</v>
      </c>
      <c r="AE1109">
        <v>12</v>
      </c>
      <c r="AF1109">
        <v>87.882000000000005</v>
      </c>
      <c r="AG1109">
        <v>67.352000000000004</v>
      </c>
      <c r="AH1109">
        <v>12.010999999999999</v>
      </c>
      <c r="AI1109">
        <v>17.946999999999999</v>
      </c>
      <c r="AJ1109">
        <v>63.287999999999997</v>
      </c>
      <c r="AK1109">
        <v>37.36</v>
      </c>
      <c r="AL1109">
        <v>14.08</v>
      </c>
      <c r="AM1109">
        <v>12.010999999999999</v>
      </c>
      <c r="AN1109">
        <v>67.352000000000004</v>
      </c>
      <c r="AO1109">
        <v>87.882000000000005</v>
      </c>
      <c r="AP1109">
        <v>-14.08</v>
      </c>
      <c r="AQ1109">
        <v>36.712000000000003</v>
      </c>
      <c r="AR1109">
        <v>82.052999999999997</v>
      </c>
      <c r="AS1109">
        <v>62.64</v>
      </c>
    </row>
    <row r="1110" spans="1:45" x14ac:dyDescent="0.25">
      <c r="A1110">
        <v>38</v>
      </c>
      <c r="B1110">
        <v>-4</v>
      </c>
      <c r="C1110">
        <v>0</v>
      </c>
      <c r="D1110">
        <v>2022</v>
      </c>
      <c r="E1110">
        <v>5</v>
      </c>
      <c r="F1110" t="str">
        <f>IFERROR(VLOOKUP(G1110, Map!$A$1:$B$33, 2, FALSE),"WAS")</f>
        <v>WAS</v>
      </c>
      <c r="G1110" t="s">
        <v>148</v>
      </c>
      <c r="H1110" t="str">
        <f>IFERROR(VLOOKUP(I1110, Map!$A$1:$B$33, 2, FALSE),"WAS")</f>
        <v>TEN</v>
      </c>
      <c r="I1110" t="s">
        <v>140</v>
      </c>
      <c r="J1110" t="s">
        <v>205</v>
      </c>
      <c r="K1110" t="s">
        <v>174</v>
      </c>
      <c r="L1110">
        <v>0</v>
      </c>
      <c r="M1110">
        <v>0</v>
      </c>
      <c r="N1110">
        <v>42.6875</v>
      </c>
      <c r="O1110">
        <v>0.75</v>
      </c>
      <c r="P1110">
        <v>0</v>
      </c>
      <c r="Q1110">
        <v>39.5</v>
      </c>
      <c r="R1110">
        <v>10.199999999999999</v>
      </c>
      <c r="S1110">
        <v>16.8</v>
      </c>
      <c r="T1110">
        <v>4.4000000000000004</v>
      </c>
      <c r="U1110">
        <v>7.5</v>
      </c>
      <c r="V1110">
        <v>0</v>
      </c>
      <c r="W1110">
        <v>0</v>
      </c>
      <c r="X1110">
        <v>0</v>
      </c>
      <c r="Y1110">
        <v>0</v>
      </c>
      <c r="Z1110">
        <v>11.6</v>
      </c>
      <c r="AA1110">
        <v>26.3</v>
      </c>
      <c r="AB1110">
        <v>258</v>
      </c>
      <c r="AC1110">
        <v>64</v>
      </c>
      <c r="AD1110">
        <v>17</v>
      </c>
      <c r="AE1110">
        <v>8.6999999999999993</v>
      </c>
      <c r="AF1110">
        <v>64.674999999999997</v>
      </c>
      <c r="AG1110">
        <v>34.956000000000003</v>
      </c>
      <c r="AH1110">
        <v>34.914000000000001</v>
      </c>
      <c r="AI1110">
        <v>53.509</v>
      </c>
      <c r="AJ1110">
        <v>39.073999999999998</v>
      </c>
      <c r="AK1110">
        <v>41.045999999999999</v>
      </c>
      <c r="AL1110">
        <v>4.2939999999999996</v>
      </c>
      <c r="AM1110">
        <v>34.914000000000001</v>
      </c>
      <c r="AN1110">
        <v>34.956000000000003</v>
      </c>
      <c r="AO1110">
        <v>64.674999999999997</v>
      </c>
      <c r="AP1110">
        <v>-4.2939999999999996</v>
      </c>
      <c r="AQ1110">
        <v>60.926000000000002</v>
      </c>
      <c r="AR1110">
        <v>46.491</v>
      </c>
      <c r="AS1110">
        <v>58.954000000000001</v>
      </c>
    </row>
    <row r="1111" spans="1:45" x14ac:dyDescent="0.25">
      <c r="A1111">
        <v>57</v>
      </c>
      <c r="B1111">
        <v>23</v>
      </c>
      <c r="C1111">
        <v>1</v>
      </c>
      <c r="D1111">
        <v>2022</v>
      </c>
      <c r="E1111">
        <v>5</v>
      </c>
      <c r="F1111" t="str">
        <f>IFERROR(VLOOKUP(G1111, Map!$A$1:$B$33, 2, FALSE),"WAS")</f>
        <v>NYJ</v>
      </c>
      <c r="G1111" t="s">
        <v>166</v>
      </c>
      <c r="H1111" t="str">
        <f>IFERROR(VLOOKUP(I1111, Map!$A$1:$B$33, 2, FALSE),"WAS")</f>
        <v>MIA</v>
      </c>
      <c r="I1111" t="s">
        <v>152</v>
      </c>
      <c r="J1111" t="s">
        <v>172</v>
      </c>
      <c r="K1111" t="s">
        <v>175</v>
      </c>
      <c r="L1111">
        <v>1</v>
      </c>
      <c r="M1111">
        <v>0</v>
      </c>
      <c r="N1111">
        <v>43.882352941176499</v>
      </c>
      <c r="O1111">
        <v>1.4411764705882399</v>
      </c>
      <c r="P1111">
        <v>3</v>
      </c>
      <c r="Q1111">
        <v>44.5</v>
      </c>
      <c r="R1111">
        <v>10</v>
      </c>
      <c r="S1111">
        <v>16.3</v>
      </c>
      <c r="T1111">
        <v>5.2</v>
      </c>
      <c r="U1111">
        <v>6.9</v>
      </c>
      <c r="V1111">
        <v>0</v>
      </c>
      <c r="W1111">
        <v>0</v>
      </c>
      <c r="X1111">
        <v>0</v>
      </c>
      <c r="Y1111">
        <v>0</v>
      </c>
      <c r="Z1111">
        <v>18.399999999999999</v>
      </c>
      <c r="AA1111">
        <v>37.4</v>
      </c>
      <c r="AB1111">
        <v>264</v>
      </c>
      <c r="AC1111">
        <v>63</v>
      </c>
      <c r="AD1111">
        <v>22.2</v>
      </c>
      <c r="AE1111">
        <v>11.1</v>
      </c>
      <c r="AF1111">
        <v>42.851999999999997</v>
      </c>
      <c r="AG1111">
        <v>30.047999999999998</v>
      </c>
      <c r="AH1111">
        <v>56.597999999999999</v>
      </c>
      <c r="AI1111">
        <v>72.819000000000003</v>
      </c>
      <c r="AJ1111">
        <v>71.224999999999994</v>
      </c>
      <c r="AK1111">
        <v>82.54</v>
      </c>
      <c r="AL1111">
        <v>-2.044</v>
      </c>
      <c r="AM1111">
        <v>56.597999999999999</v>
      </c>
      <c r="AN1111">
        <v>30.047999999999998</v>
      </c>
      <c r="AO1111">
        <v>42.851999999999997</v>
      </c>
      <c r="AP1111">
        <v>2.044</v>
      </c>
      <c r="AQ1111">
        <v>28.774999999999999</v>
      </c>
      <c r="AR1111">
        <v>27.181000000000001</v>
      </c>
      <c r="AS1111">
        <v>17.46</v>
      </c>
    </row>
    <row r="1112" spans="1:45" x14ac:dyDescent="0.25">
      <c r="A1112">
        <v>51</v>
      </c>
      <c r="B1112">
        <v>7</v>
      </c>
      <c r="C1112">
        <v>1</v>
      </c>
      <c r="D1112">
        <v>2022</v>
      </c>
      <c r="E1112">
        <v>5</v>
      </c>
      <c r="F1112" t="str">
        <f>IFERROR(VLOOKUP(G1112, Map!$A$1:$B$33, 2, FALSE),"WAS")</f>
        <v>MIN</v>
      </c>
      <c r="G1112" t="s">
        <v>153</v>
      </c>
      <c r="H1112" t="str">
        <f>IFERROR(VLOOKUP(I1112, Map!$A$1:$B$33, 2, FALSE),"WAS")</f>
        <v>CHI</v>
      </c>
      <c r="I1112" t="s">
        <v>163</v>
      </c>
      <c r="J1112" t="s">
        <v>214</v>
      </c>
      <c r="K1112" t="s">
        <v>216</v>
      </c>
      <c r="L1112">
        <v>1</v>
      </c>
      <c r="M1112">
        <v>0</v>
      </c>
      <c r="N1112">
        <v>41.735294117647101</v>
      </c>
      <c r="O1112">
        <v>-7.7352941176470598</v>
      </c>
      <c r="P1112">
        <v>-6.5</v>
      </c>
      <c r="Q1112">
        <v>42.5</v>
      </c>
      <c r="R1112">
        <v>11.9</v>
      </c>
      <c r="S1112">
        <v>18.899999999999999</v>
      </c>
      <c r="T1112">
        <v>5.8</v>
      </c>
      <c r="U1112">
        <v>9.3000000000000007</v>
      </c>
      <c r="V1112">
        <v>0</v>
      </c>
      <c r="W1112">
        <v>0</v>
      </c>
      <c r="X1112">
        <v>0</v>
      </c>
      <c r="Y1112">
        <v>0</v>
      </c>
      <c r="Z1112">
        <v>12.2</v>
      </c>
      <c r="AA1112">
        <v>22.7</v>
      </c>
      <c r="AB1112">
        <v>241</v>
      </c>
      <c r="AC1112">
        <v>56</v>
      </c>
      <c r="AD1112">
        <v>15</v>
      </c>
      <c r="AE1112">
        <v>7.2</v>
      </c>
      <c r="AF1112">
        <v>75.037000000000006</v>
      </c>
      <c r="AG1112">
        <v>26.425999999999998</v>
      </c>
      <c r="AH1112">
        <v>24.71</v>
      </c>
      <c r="AI1112">
        <v>47.936</v>
      </c>
      <c r="AJ1112">
        <v>81.713999999999999</v>
      </c>
      <c r="AK1112">
        <v>68.924000000000007</v>
      </c>
      <c r="AL1112">
        <v>7.8129999999999997</v>
      </c>
      <c r="AM1112">
        <v>24.71</v>
      </c>
      <c r="AN1112">
        <v>26.425999999999998</v>
      </c>
      <c r="AO1112">
        <v>75.037000000000006</v>
      </c>
      <c r="AP1112">
        <v>-7.8129999999999997</v>
      </c>
      <c r="AQ1112">
        <v>18.286000000000001</v>
      </c>
      <c r="AR1112">
        <v>52.064</v>
      </c>
      <c r="AS1112">
        <v>31.076000000000001</v>
      </c>
    </row>
    <row r="1113" spans="1:45" x14ac:dyDescent="0.25">
      <c r="A1113">
        <v>32</v>
      </c>
      <c r="B1113">
        <v>-12</v>
      </c>
      <c r="C1113">
        <v>0</v>
      </c>
      <c r="D1113">
        <v>2022</v>
      </c>
      <c r="E1113">
        <v>5</v>
      </c>
      <c r="F1113" t="str">
        <f>IFERROR(VLOOKUP(G1113, Map!$A$1:$B$33, 2, FALSE),"WAS")</f>
        <v>LA</v>
      </c>
      <c r="G1113" t="s">
        <v>155</v>
      </c>
      <c r="H1113" t="str">
        <f>IFERROR(VLOOKUP(I1113, Map!$A$1:$B$33, 2, FALSE),"WAS")</f>
        <v>DAL</v>
      </c>
      <c r="I1113" t="s">
        <v>150</v>
      </c>
      <c r="J1113" t="s">
        <v>178</v>
      </c>
      <c r="K1113" t="s">
        <v>184</v>
      </c>
      <c r="L1113">
        <v>0</v>
      </c>
      <c r="M1113">
        <v>0</v>
      </c>
      <c r="N1113">
        <v>39.352941176470601</v>
      </c>
      <c r="O1113">
        <v>-4.1764705882352899</v>
      </c>
      <c r="P1113">
        <v>-4.5</v>
      </c>
      <c r="Q1113">
        <v>37.5</v>
      </c>
      <c r="R1113">
        <v>20.7</v>
      </c>
      <c r="S1113">
        <v>26.7</v>
      </c>
      <c r="T1113">
        <v>16.7</v>
      </c>
      <c r="U1113">
        <v>22.1</v>
      </c>
      <c r="V1113">
        <v>0</v>
      </c>
      <c r="W1113">
        <v>0</v>
      </c>
      <c r="X1113">
        <v>0</v>
      </c>
      <c r="Y1113">
        <v>0</v>
      </c>
      <c r="Z1113">
        <v>19.8</v>
      </c>
      <c r="AA1113">
        <v>34.9</v>
      </c>
      <c r="AB1113">
        <v>245</v>
      </c>
      <c r="AC1113">
        <v>81</v>
      </c>
      <c r="AD1113">
        <v>16.5</v>
      </c>
      <c r="AE1113">
        <v>8.3000000000000007</v>
      </c>
      <c r="AF1113">
        <v>77.680999999999997</v>
      </c>
      <c r="AG1113">
        <v>24.728000000000002</v>
      </c>
      <c r="AH1113">
        <v>22.1</v>
      </c>
      <c r="AI1113">
        <v>66.328999999999994</v>
      </c>
      <c r="AJ1113">
        <v>12.913</v>
      </c>
      <c r="AK1113">
        <v>22.742000000000001</v>
      </c>
      <c r="AL1113">
        <v>8.8580000000000005</v>
      </c>
      <c r="AM1113">
        <v>22.1</v>
      </c>
      <c r="AN1113">
        <v>24.728000000000002</v>
      </c>
      <c r="AO1113">
        <v>77.680999999999997</v>
      </c>
      <c r="AP1113">
        <v>-8.8580000000000005</v>
      </c>
      <c r="AQ1113">
        <v>87.087000000000003</v>
      </c>
      <c r="AR1113">
        <v>33.670999999999999</v>
      </c>
      <c r="AS1113">
        <v>77.257999999999996</v>
      </c>
    </row>
    <row r="1114" spans="1:45" x14ac:dyDescent="0.25">
      <c r="A1114">
        <v>59</v>
      </c>
      <c r="B1114">
        <v>1</v>
      </c>
      <c r="C1114">
        <v>1</v>
      </c>
      <c r="D1114">
        <v>2022</v>
      </c>
      <c r="E1114">
        <v>5</v>
      </c>
      <c r="F1114" t="str">
        <f>IFERROR(VLOOKUP(G1114, Map!$A$1:$B$33, 2, FALSE),"WAS")</f>
        <v>KC</v>
      </c>
      <c r="G1114" t="s">
        <v>158</v>
      </c>
      <c r="H1114" t="str">
        <f>IFERROR(VLOOKUP(I1114, Map!$A$1:$B$33, 2, FALSE),"WAS")</f>
        <v>LV</v>
      </c>
      <c r="I1114" t="s">
        <v>157</v>
      </c>
      <c r="J1114" t="s">
        <v>202</v>
      </c>
      <c r="K1114" t="s">
        <v>179</v>
      </c>
      <c r="L1114">
        <v>1</v>
      </c>
      <c r="M1114">
        <v>0</v>
      </c>
      <c r="N1114">
        <v>52.1666666666667</v>
      </c>
      <c r="O1114">
        <v>-6.56666666666667</v>
      </c>
      <c r="P1114">
        <v>-0.5</v>
      </c>
      <c r="Q1114">
        <v>50.5</v>
      </c>
      <c r="R1114">
        <v>20.399999999999999</v>
      </c>
      <c r="S1114">
        <v>24.9</v>
      </c>
      <c r="T1114">
        <v>17.2</v>
      </c>
      <c r="U1114">
        <v>18.899999999999999</v>
      </c>
      <c r="V1114">
        <v>5.5</v>
      </c>
      <c r="W1114">
        <v>0</v>
      </c>
      <c r="X1114">
        <v>6</v>
      </c>
      <c r="Y1114">
        <v>5.5</v>
      </c>
      <c r="Z1114">
        <v>31.6</v>
      </c>
      <c r="AA1114">
        <v>57.2</v>
      </c>
      <c r="AB1114">
        <v>197</v>
      </c>
      <c r="AC1114">
        <v>69</v>
      </c>
      <c r="AD1114">
        <v>37.4</v>
      </c>
      <c r="AE1114">
        <v>20</v>
      </c>
      <c r="AF1114">
        <v>71.784999999999997</v>
      </c>
      <c r="AG1114">
        <v>49.575000000000003</v>
      </c>
      <c r="AH1114">
        <v>27.923999999999999</v>
      </c>
      <c r="AI1114">
        <v>25.405000000000001</v>
      </c>
      <c r="AJ1114">
        <v>74.95</v>
      </c>
      <c r="AK1114">
        <v>50.764000000000003</v>
      </c>
      <c r="AL1114">
        <v>6.6669999999999998</v>
      </c>
      <c r="AM1114">
        <v>27.923999999999999</v>
      </c>
      <c r="AN1114">
        <v>49.575000000000003</v>
      </c>
      <c r="AO1114">
        <v>71.784999999999997</v>
      </c>
      <c r="AP1114">
        <v>-6.6669999999999998</v>
      </c>
      <c r="AQ1114">
        <v>25.05</v>
      </c>
      <c r="AR1114">
        <v>74.594999999999999</v>
      </c>
      <c r="AS1114">
        <v>49.235999999999997</v>
      </c>
    </row>
    <row r="1115" spans="1:45" x14ac:dyDescent="0.25">
      <c r="A1115">
        <v>58</v>
      </c>
      <c r="B1115">
        <v>-2</v>
      </c>
      <c r="C1115">
        <v>0</v>
      </c>
      <c r="D1115">
        <v>2022</v>
      </c>
      <c r="E1115">
        <v>5</v>
      </c>
      <c r="F1115" t="str">
        <f>IFERROR(VLOOKUP(G1115, Map!$A$1:$B$33, 2, FALSE),"WAS")</f>
        <v>CLE</v>
      </c>
      <c r="G1115" t="s">
        <v>162</v>
      </c>
      <c r="H1115" t="str">
        <f>IFERROR(VLOOKUP(I1115, Map!$A$1:$B$33, 2, FALSE),"WAS")</f>
        <v>LAC</v>
      </c>
      <c r="I1115" t="s">
        <v>160</v>
      </c>
      <c r="J1115" t="s">
        <v>171</v>
      </c>
      <c r="K1115" t="s">
        <v>210</v>
      </c>
      <c r="L1115">
        <v>0</v>
      </c>
      <c r="M1115">
        <v>0</v>
      </c>
      <c r="N1115">
        <v>45.147058823529399</v>
      </c>
      <c r="O1115">
        <v>1.3823529411764699</v>
      </c>
      <c r="P1115">
        <v>-0.5</v>
      </c>
      <c r="Q1115">
        <v>46.5</v>
      </c>
      <c r="R1115">
        <v>10.5</v>
      </c>
      <c r="S1115">
        <v>16</v>
      </c>
      <c r="T1115">
        <v>6.8</v>
      </c>
      <c r="U1115">
        <v>6.3</v>
      </c>
      <c r="V1115">
        <v>0</v>
      </c>
      <c r="W1115">
        <v>0</v>
      </c>
      <c r="X1115">
        <v>0</v>
      </c>
      <c r="Y1115">
        <v>0</v>
      </c>
      <c r="Z1115">
        <v>22.8</v>
      </c>
      <c r="AA1115">
        <v>36.700000000000003</v>
      </c>
      <c r="AB1115">
        <v>235</v>
      </c>
      <c r="AC1115">
        <v>60</v>
      </c>
      <c r="AD1115">
        <v>30</v>
      </c>
      <c r="AE1115">
        <v>18.3</v>
      </c>
      <c r="AF1115">
        <v>51.896999999999998</v>
      </c>
      <c r="AG1115">
        <v>72.352999999999994</v>
      </c>
      <c r="AH1115">
        <v>47.478999999999999</v>
      </c>
      <c r="AI1115">
        <v>23.097000000000001</v>
      </c>
      <c r="AJ1115">
        <v>76.738</v>
      </c>
      <c r="AK1115">
        <v>46.920999999999999</v>
      </c>
      <c r="AL1115">
        <v>0.54600000000000004</v>
      </c>
      <c r="AM1115">
        <v>47.478999999999999</v>
      </c>
      <c r="AN1115">
        <v>72.352999999999994</v>
      </c>
      <c r="AO1115">
        <v>51.896999999999998</v>
      </c>
      <c r="AP1115">
        <v>-0.54600000000000004</v>
      </c>
      <c r="AQ1115">
        <v>23.262</v>
      </c>
      <c r="AR1115">
        <v>76.903000000000006</v>
      </c>
      <c r="AS1115">
        <v>53.079000000000001</v>
      </c>
    </row>
    <row r="1116" spans="1:45" x14ac:dyDescent="0.25">
      <c r="A1116">
        <v>36</v>
      </c>
      <c r="B1116">
        <v>6</v>
      </c>
      <c r="C1116">
        <v>1</v>
      </c>
      <c r="D1116">
        <v>2022</v>
      </c>
      <c r="E1116">
        <v>5</v>
      </c>
      <c r="F1116" t="str">
        <f>IFERROR(VLOOKUP(G1116, Map!$A$1:$B$33, 2, FALSE),"WAS")</f>
        <v>TB</v>
      </c>
      <c r="G1116" t="s">
        <v>141</v>
      </c>
      <c r="H1116" t="str">
        <f>IFERROR(VLOOKUP(I1116, Map!$A$1:$B$33, 2, FALSE),"WAS")</f>
        <v>ATL</v>
      </c>
      <c r="I1116" t="s">
        <v>167</v>
      </c>
      <c r="J1116" t="s">
        <v>186</v>
      </c>
      <c r="K1116" t="s">
        <v>188</v>
      </c>
      <c r="L1116">
        <v>1</v>
      </c>
      <c r="M1116">
        <v>0</v>
      </c>
      <c r="N1116">
        <v>43.147058823529399</v>
      </c>
      <c r="O1116">
        <v>-9.3529411764705905</v>
      </c>
      <c r="P1116">
        <v>-8.5</v>
      </c>
      <c r="Q1116">
        <v>40.5</v>
      </c>
      <c r="R1116">
        <v>23.6</v>
      </c>
      <c r="S1116">
        <v>29.9</v>
      </c>
      <c r="T1116">
        <v>18.7</v>
      </c>
      <c r="U1116">
        <v>25.3</v>
      </c>
      <c r="V1116">
        <v>0</v>
      </c>
      <c r="W1116">
        <v>0</v>
      </c>
      <c r="X1116">
        <v>0</v>
      </c>
      <c r="Y1116">
        <v>0</v>
      </c>
      <c r="Z1116">
        <v>18.5</v>
      </c>
      <c r="AA1116">
        <v>30.6</v>
      </c>
      <c r="AB1116">
        <v>49</v>
      </c>
      <c r="AC1116">
        <v>75</v>
      </c>
      <c r="AD1116">
        <v>21.2</v>
      </c>
      <c r="AE1116">
        <v>12</v>
      </c>
      <c r="AF1116">
        <v>87.239000000000004</v>
      </c>
      <c r="AG1116">
        <v>72.433000000000007</v>
      </c>
      <c r="AH1116">
        <v>12.647</v>
      </c>
      <c r="AI1116">
        <v>54.95</v>
      </c>
      <c r="AJ1116">
        <v>71.853999999999999</v>
      </c>
      <c r="AK1116">
        <v>78.004999999999995</v>
      </c>
      <c r="AL1116">
        <v>13.669</v>
      </c>
      <c r="AM1116">
        <v>12.647</v>
      </c>
      <c r="AN1116">
        <v>72.433000000000007</v>
      </c>
      <c r="AO1116">
        <v>87.239000000000004</v>
      </c>
      <c r="AP1116">
        <v>-13.669</v>
      </c>
      <c r="AQ1116">
        <v>28.146000000000001</v>
      </c>
      <c r="AR1116">
        <v>45.05</v>
      </c>
      <c r="AS1116">
        <v>21.995000000000001</v>
      </c>
    </row>
    <row r="1117" spans="1:45" x14ac:dyDescent="0.25">
      <c r="A1117">
        <v>21</v>
      </c>
      <c r="B1117">
        <v>-3</v>
      </c>
      <c r="C1117">
        <v>0</v>
      </c>
      <c r="D1117">
        <v>2022</v>
      </c>
      <c r="E1117">
        <v>5</v>
      </c>
      <c r="F1117" t="str">
        <f>IFERROR(VLOOKUP(G1117, Map!$A$1:$B$33, 2, FALSE),"WAS")</f>
        <v>DEN</v>
      </c>
      <c r="G1117" t="s">
        <v>159</v>
      </c>
      <c r="H1117" t="str">
        <f>IFERROR(VLOOKUP(I1117, Map!$A$1:$B$33, 2, FALSE),"WAS")</f>
        <v>IND</v>
      </c>
      <c r="I1117" t="s">
        <v>138</v>
      </c>
      <c r="J1117" t="s">
        <v>183</v>
      </c>
      <c r="K1117" t="s">
        <v>177</v>
      </c>
      <c r="L1117">
        <v>0</v>
      </c>
      <c r="M1117">
        <v>0</v>
      </c>
      <c r="N1117">
        <v>38.411764705882298</v>
      </c>
      <c r="O1117">
        <v>-2.97058823529412</v>
      </c>
      <c r="P1117">
        <v>-2.5</v>
      </c>
      <c r="Q1117">
        <v>21.5</v>
      </c>
      <c r="R1117">
        <v>10.9</v>
      </c>
      <c r="S1117">
        <v>20.100000000000001</v>
      </c>
      <c r="T1117">
        <v>6.5</v>
      </c>
      <c r="U1117">
        <v>8</v>
      </c>
      <c r="V1117">
        <v>0</v>
      </c>
      <c r="W1117">
        <v>0</v>
      </c>
      <c r="X1117">
        <v>0</v>
      </c>
      <c r="Y1117">
        <v>0</v>
      </c>
      <c r="Z1117">
        <v>23.5</v>
      </c>
      <c r="AA1117">
        <v>39.6</v>
      </c>
      <c r="AB1117">
        <v>10</v>
      </c>
      <c r="AC1117">
        <v>65</v>
      </c>
      <c r="AD1117">
        <v>21.6</v>
      </c>
      <c r="AE1117">
        <v>10.4</v>
      </c>
      <c r="AF1117">
        <v>59.9</v>
      </c>
      <c r="AG1117">
        <v>36.866999999999997</v>
      </c>
      <c r="AH1117">
        <v>39.606000000000002</v>
      </c>
      <c r="AI1117">
        <v>87.21</v>
      </c>
      <c r="AJ1117">
        <v>18.158000000000001</v>
      </c>
      <c r="AK1117">
        <v>48.314</v>
      </c>
      <c r="AL1117">
        <v>2.851</v>
      </c>
      <c r="AM1117">
        <v>39.606000000000002</v>
      </c>
      <c r="AN1117">
        <v>36.866999999999997</v>
      </c>
      <c r="AO1117">
        <v>59.9</v>
      </c>
      <c r="AP1117">
        <v>-2.851</v>
      </c>
      <c r="AQ1117">
        <v>81.841999999999999</v>
      </c>
      <c r="AR1117">
        <v>12.79</v>
      </c>
      <c r="AS1117">
        <v>51.686</v>
      </c>
    </row>
    <row r="1118" spans="1:45" x14ac:dyDescent="0.25">
      <c r="A1118">
        <v>52</v>
      </c>
      <c r="B1118">
        <v>-22</v>
      </c>
      <c r="C1118">
        <v>0</v>
      </c>
      <c r="D1118">
        <v>2022</v>
      </c>
      <c r="E1118">
        <v>5</v>
      </c>
      <c r="F1118" t="str">
        <f>IFERROR(VLOOKUP(G1118, Map!$A$1:$B$33, 2, FALSE),"WAS")</f>
        <v>CAR</v>
      </c>
      <c r="G1118" t="s">
        <v>142</v>
      </c>
      <c r="H1118" t="str">
        <f>IFERROR(VLOOKUP(I1118, Map!$A$1:$B$33, 2, FALSE),"WAS")</f>
        <v>SF</v>
      </c>
      <c r="I1118" t="s">
        <v>143</v>
      </c>
      <c r="J1118" t="s">
        <v>185</v>
      </c>
      <c r="K1118" t="s">
        <v>197</v>
      </c>
      <c r="L1118">
        <v>0</v>
      </c>
      <c r="M1118">
        <v>0</v>
      </c>
      <c r="N1118">
        <v>37.852941176470601</v>
      </c>
      <c r="O1118">
        <v>6.2352941176470598</v>
      </c>
      <c r="P1118">
        <v>6</v>
      </c>
      <c r="Q1118">
        <v>39.5</v>
      </c>
      <c r="R1118">
        <v>13.9</v>
      </c>
      <c r="S1118">
        <v>19.2</v>
      </c>
      <c r="T1118">
        <v>9</v>
      </c>
      <c r="U1118">
        <v>11.7</v>
      </c>
      <c r="V1118">
        <v>0</v>
      </c>
      <c r="W1118">
        <v>0</v>
      </c>
      <c r="X1118">
        <v>0</v>
      </c>
      <c r="Y1118">
        <v>0</v>
      </c>
      <c r="Z1118">
        <v>14.1</v>
      </c>
      <c r="AA1118">
        <v>24.8</v>
      </c>
      <c r="AB1118">
        <v>68</v>
      </c>
      <c r="AC1118">
        <v>61</v>
      </c>
      <c r="AD1118">
        <v>18.399999999999999</v>
      </c>
      <c r="AE1118">
        <v>9.1</v>
      </c>
      <c r="AF1118">
        <v>49.607999999999997</v>
      </c>
      <c r="AG1118">
        <v>41.112000000000002</v>
      </c>
      <c r="AH1118">
        <v>49.761000000000003</v>
      </c>
      <c r="AI1118">
        <v>21.513000000000002</v>
      </c>
      <c r="AJ1118">
        <v>13.911</v>
      </c>
      <c r="AK1118">
        <v>10.134</v>
      </c>
      <c r="AL1118">
        <v>-0.11</v>
      </c>
      <c r="AM1118">
        <v>49.761000000000003</v>
      </c>
      <c r="AN1118">
        <v>41.112000000000002</v>
      </c>
      <c r="AO1118">
        <v>49.607999999999997</v>
      </c>
      <c r="AP1118">
        <v>0.11</v>
      </c>
      <c r="AQ1118">
        <v>86.088999999999999</v>
      </c>
      <c r="AR1118">
        <v>78.486999999999995</v>
      </c>
      <c r="AS1118">
        <v>89.866</v>
      </c>
    </row>
    <row r="1119" spans="1:45" x14ac:dyDescent="0.25">
      <c r="A1119">
        <v>41</v>
      </c>
      <c r="B1119">
        <v>35</v>
      </c>
      <c r="C1119">
        <v>1</v>
      </c>
      <c r="D1119">
        <v>2022</v>
      </c>
      <c r="E1119">
        <v>5</v>
      </c>
      <c r="F1119" t="str">
        <f>IFERROR(VLOOKUP(G1119, Map!$A$1:$B$33, 2, FALSE),"WAS")</f>
        <v>BUF</v>
      </c>
      <c r="G1119" t="s">
        <v>165</v>
      </c>
      <c r="H1119" t="str">
        <f>IFERROR(VLOOKUP(I1119, Map!$A$1:$B$33, 2, FALSE),"WAS")</f>
        <v>PIT</v>
      </c>
      <c r="I1119" t="s">
        <v>145</v>
      </c>
      <c r="J1119" t="s">
        <v>180</v>
      </c>
      <c r="K1119" t="s">
        <v>170</v>
      </c>
      <c r="L1119">
        <v>1</v>
      </c>
      <c r="M1119">
        <v>0</v>
      </c>
      <c r="N1119">
        <v>41.911764705882298</v>
      </c>
      <c r="O1119">
        <v>-14.352941176470599</v>
      </c>
      <c r="P1119">
        <v>-13.5</v>
      </c>
      <c r="Q1119">
        <v>42.5</v>
      </c>
      <c r="R1119">
        <v>13.8</v>
      </c>
      <c r="S1119">
        <v>19.100000000000001</v>
      </c>
      <c r="T1119">
        <v>8.9</v>
      </c>
      <c r="U1119">
        <v>11.8</v>
      </c>
      <c r="V1119">
        <v>0</v>
      </c>
      <c r="W1119">
        <v>0</v>
      </c>
      <c r="X1119">
        <v>0</v>
      </c>
      <c r="Y1119">
        <v>0</v>
      </c>
      <c r="Z1119">
        <v>13.3</v>
      </c>
      <c r="AA1119">
        <v>23.8</v>
      </c>
      <c r="AB1119">
        <v>67</v>
      </c>
      <c r="AC1119">
        <v>62</v>
      </c>
      <c r="AD1119">
        <v>17.2</v>
      </c>
      <c r="AE1119">
        <v>8.3000000000000007</v>
      </c>
      <c r="AF1119">
        <v>84.114999999999995</v>
      </c>
      <c r="AG1119">
        <v>66.489999999999995</v>
      </c>
      <c r="AH1119">
        <v>15.739000000000001</v>
      </c>
      <c r="AI1119">
        <v>81.905000000000001</v>
      </c>
      <c r="AJ1119">
        <v>97.42</v>
      </c>
      <c r="AK1119">
        <v>98.804000000000002</v>
      </c>
      <c r="AL1119">
        <v>11.852</v>
      </c>
      <c r="AM1119">
        <v>15.739000000000001</v>
      </c>
      <c r="AN1119">
        <v>66.489999999999995</v>
      </c>
      <c r="AO1119">
        <v>84.114999999999995</v>
      </c>
      <c r="AP1119">
        <v>-11.852</v>
      </c>
      <c r="AQ1119">
        <v>2.58</v>
      </c>
      <c r="AR1119">
        <v>18.094999999999999</v>
      </c>
      <c r="AS1119">
        <v>1.196</v>
      </c>
    </row>
    <row r="1120" spans="1:45" x14ac:dyDescent="0.25">
      <c r="A1120">
        <v>37</v>
      </c>
      <c r="B1120">
        <v>-3</v>
      </c>
      <c r="C1120">
        <v>0</v>
      </c>
      <c r="D1120">
        <v>2022</v>
      </c>
      <c r="E1120">
        <v>5</v>
      </c>
      <c r="F1120" t="str">
        <f>IFERROR(VLOOKUP(G1120, Map!$A$1:$B$33, 2, FALSE),"WAS")</f>
        <v>ARI</v>
      </c>
      <c r="G1120" t="s">
        <v>156</v>
      </c>
      <c r="H1120" t="str">
        <f>IFERROR(VLOOKUP(I1120, Map!$A$1:$B$33, 2, FALSE),"WAS")</f>
        <v>PHI</v>
      </c>
      <c r="I1120" t="s">
        <v>147</v>
      </c>
      <c r="J1120" t="s">
        <v>190</v>
      </c>
      <c r="K1120" t="s">
        <v>206</v>
      </c>
      <c r="L1120">
        <v>0</v>
      </c>
      <c r="M1120">
        <v>0</v>
      </c>
      <c r="N1120">
        <v>45.352941176470601</v>
      </c>
      <c r="O1120">
        <v>4.9117647058823497</v>
      </c>
      <c r="P1120">
        <v>2.5</v>
      </c>
      <c r="Q1120">
        <v>42.5</v>
      </c>
      <c r="R1120">
        <v>21.5</v>
      </c>
      <c r="S1120">
        <v>28.8</v>
      </c>
      <c r="T1120">
        <v>16.600000000000001</v>
      </c>
      <c r="U1120">
        <v>23</v>
      </c>
      <c r="V1120">
        <v>0</v>
      </c>
      <c r="W1120">
        <v>0</v>
      </c>
      <c r="X1120">
        <v>0</v>
      </c>
      <c r="Y1120">
        <v>0</v>
      </c>
      <c r="Z1120">
        <v>11.3</v>
      </c>
      <c r="AA1120">
        <v>27.7</v>
      </c>
      <c r="AB1120">
        <v>186</v>
      </c>
      <c r="AC1120">
        <v>74</v>
      </c>
      <c r="AD1120">
        <v>12.9</v>
      </c>
      <c r="AE1120">
        <v>4.7</v>
      </c>
      <c r="AF1120">
        <v>47.414000000000001</v>
      </c>
      <c r="AG1120">
        <v>59.618000000000002</v>
      </c>
      <c r="AH1120">
        <v>51.966999999999999</v>
      </c>
      <c r="AI1120">
        <v>35.588999999999999</v>
      </c>
      <c r="AJ1120">
        <v>60.139000000000003</v>
      </c>
      <c r="AK1120">
        <v>45.332999999999998</v>
      </c>
      <c r="AL1120">
        <v>-0.74299999999999999</v>
      </c>
      <c r="AM1120">
        <v>51.966999999999999</v>
      </c>
      <c r="AN1120">
        <v>59.618000000000002</v>
      </c>
      <c r="AO1120">
        <v>47.414000000000001</v>
      </c>
      <c r="AP1120">
        <v>0.74299999999999999</v>
      </c>
      <c r="AQ1120">
        <v>39.860999999999997</v>
      </c>
      <c r="AR1120">
        <v>64.411000000000001</v>
      </c>
      <c r="AS1120">
        <v>54.667000000000002</v>
      </c>
    </row>
    <row r="1121" spans="1:45" x14ac:dyDescent="0.25">
      <c r="A1121">
        <v>29</v>
      </c>
      <c r="B1121">
        <v>29</v>
      </c>
      <c r="C1121">
        <v>1</v>
      </c>
      <c r="D1121">
        <v>2022</v>
      </c>
      <c r="E1121">
        <v>5</v>
      </c>
      <c r="F1121" t="str">
        <f>IFERROR(VLOOKUP(G1121, Map!$A$1:$B$33, 2, FALSE),"WAS")</f>
        <v>NE</v>
      </c>
      <c r="G1121" t="s">
        <v>151</v>
      </c>
      <c r="H1121" t="str">
        <f>IFERROR(VLOOKUP(I1121, Map!$A$1:$B$33, 2, FALSE),"WAS")</f>
        <v>DET</v>
      </c>
      <c r="I1121" t="s">
        <v>164</v>
      </c>
      <c r="J1121" t="s">
        <v>187</v>
      </c>
      <c r="K1121" t="s">
        <v>173</v>
      </c>
      <c r="L1121">
        <v>1</v>
      </c>
      <c r="M1121">
        <v>0</v>
      </c>
      <c r="N1121">
        <v>43.352941176470601</v>
      </c>
      <c r="O1121">
        <v>-4.2941176470588198</v>
      </c>
      <c r="P1121">
        <v>-2.5</v>
      </c>
      <c r="Q1121">
        <v>33.5</v>
      </c>
      <c r="R1121">
        <v>9.1999999999999993</v>
      </c>
      <c r="S1121">
        <v>15.5</v>
      </c>
      <c r="T1121">
        <v>4.0999999999999996</v>
      </c>
      <c r="U1121">
        <v>5.6</v>
      </c>
      <c r="V1121">
        <v>0</v>
      </c>
      <c r="W1121">
        <v>0</v>
      </c>
      <c r="X1121">
        <v>0</v>
      </c>
      <c r="Y1121">
        <v>0</v>
      </c>
      <c r="Z1121">
        <v>18.3</v>
      </c>
      <c r="AA1121">
        <v>43.2</v>
      </c>
      <c r="AB1121">
        <v>264</v>
      </c>
      <c r="AC1121">
        <v>61</v>
      </c>
      <c r="AD1121">
        <v>28</v>
      </c>
      <c r="AE1121">
        <v>12.9</v>
      </c>
      <c r="AF1121">
        <v>54.006999999999998</v>
      </c>
      <c r="AG1121">
        <v>14.036</v>
      </c>
      <c r="AH1121">
        <v>45.387999999999998</v>
      </c>
      <c r="AI1121">
        <v>99.245999999999995</v>
      </c>
      <c r="AJ1121">
        <v>60.015999999999998</v>
      </c>
      <c r="AK1121">
        <v>96.957999999999998</v>
      </c>
      <c r="AL1121">
        <v>1.1459999999999999</v>
      </c>
      <c r="AM1121">
        <v>45.387999999999998</v>
      </c>
      <c r="AN1121">
        <v>14.036</v>
      </c>
      <c r="AO1121">
        <v>54.006999999999998</v>
      </c>
      <c r="AP1121">
        <v>-1.1459999999999999</v>
      </c>
      <c r="AQ1121">
        <v>39.984000000000002</v>
      </c>
      <c r="AR1121">
        <v>0.754</v>
      </c>
      <c r="AS1121">
        <v>3.0419999999999998</v>
      </c>
    </row>
    <row r="1122" spans="1:45" x14ac:dyDescent="0.25">
      <c r="A1122">
        <v>61</v>
      </c>
      <c r="B1122">
        <v>7</v>
      </c>
      <c r="C1122">
        <v>1</v>
      </c>
      <c r="D1122">
        <v>2022</v>
      </c>
      <c r="E1122">
        <v>6</v>
      </c>
      <c r="F1122" t="str">
        <f>IFERROR(VLOOKUP(G1122, Map!$A$1:$B$33, 2, FALSE),"WAS")</f>
        <v>IND</v>
      </c>
      <c r="G1122" t="s">
        <v>138</v>
      </c>
      <c r="H1122" t="str">
        <f>IFERROR(VLOOKUP(I1122, Map!$A$1:$B$33, 2, FALSE),"WAS")</f>
        <v>JAX</v>
      </c>
      <c r="I1122" t="s">
        <v>139</v>
      </c>
      <c r="J1122" t="s">
        <v>177</v>
      </c>
      <c r="K1122" t="s">
        <v>220</v>
      </c>
      <c r="L1122">
        <v>1</v>
      </c>
      <c r="M1122">
        <v>0</v>
      </c>
      <c r="N1122">
        <v>39.617647058823501</v>
      </c>
      <c r="O1122">
        <v>-1.52941176470588</v>
      </c>
      <c r="P1122">
        <v>-1</v>
      </c>
      <c r="Q1122">
        <v>40.5</v>
      </c>
      <c r="R1122">
        <v>11.2</v>
      </c>
      <c r="S1122">
        <v>18.7</v>
      </c>
      <c r="T1122">
        <v>5.4</v>
      </c>
      <c r="U1122">
        <v>7.9</v>
      </c>
      <c r="V1122">
        <v>0</v>
      </c>
      <c r="W1122">
        <v>0</v>
      </c>
      <c r="X1122">
        <v>0</v>
      </c>
      <c r="Y1122">
        <v>0</v>
      </c>
      <c r="Z1122">
        <v>19.100000000000001</v>
      </c>
      <c r="AA1122">
        <v>37.799999999999997</v>
      </c>
      <c r="AB1122">
        <v>250</v>
      </c>
      <c r="AC1122">
        <v>54</v>
      </c>
      <c r="AD1122">
        <v>20.5</v>
      </c>
      <c r="AE1122">
        <v>11</v>
      </c>
      <c r="AF1122">
        <v>40.015999999999998</v>
      </c>
      <c r="AG1122">
        <v>17.193000000000001</v>
      </c>
      <c r="AH1122">
        <v>59.491</v>
      </c>
      <c r="AI1122">
        <v>16.337</v>
      </c>
      <c r="AJ1122">
        <v>86.293000000000006</v>
      </c>
      <c r="AK1122">
        <v>61.2</v>
      </c>
      <c r="AL1122">
        <v>-2.8740000000000001</v>
      </c>
      <c r="AM1122">
        <v>59.491</v>
      </c>
      <c r="AN1122">
        <v>17.193000000000001</v>
      </c>
      <c r="AO1122">
        <v>40.015999999999998</v>
      </c>
      <c r="AP1122">
        <v>2.8740000000000001</v>
      </c>
      <c r="AQ1122">
        <v>13.707000000000001</v>
      </c>
      <c r="AR1122">
        <v>83.662999999999997</v>
      </c>
      <c r="AS1122">
        <v>38.799999999999997</v>
      </c>
    </row>
    <row r="1123" spans="1:45" x14ac:dyDescent="0.25">
      <c r="A1123">
        <v>37</v>
      </c>
      <c r="B1123">
        <v>-17</v>
      </c>
      <c r="C1123">
        <v>0</v>
      </c>
      <c r="D1123">
        <v>2022</v>
      </c>
      <c r="E1123">
        <v>6</v>
      </c>
      <c r="F1123" t="str">
        <f>IFERROR(VLOOKUP(G1123, Map!$A$1:$B$33, 2, FALSE),"WAS")</f>
        <v>GB</v>
      </c>
      <c r="G1123" t="s">
        <v>154</v>
      </c>
      <c r="H1123" t="str">
        <f>IFERROR(VLOOKUP(I1123, Map!$A$1:$B$33, 2, FALSE),"WAS")</f>
        <v>NYJ</v>
      </c>
      <c r="I1123" t="s">
        <v>166</v>
      </c>
      <c r="J1123" t="s">
        <v>200</v>
      </c>
      <c r="K1123" t="s">
        <v>172</v>
      </c>
      <c r="L1123">
        <v>0</v>
      </c>
      <c r="M1123">
        <v>0</v>
      </c>
      <c r="N1123">
        <v>42.147058823529399</v>
      </c>
      <c r="O1123">
        <v>-5.8235294117647101</v>
      </c>
      <c r="P1123">
        <v>-7.5</v>
      </c>
      <c r="Q1123">
        <v>42.5</v>
      </c>
      <c r="R1123">
        <v>6.7</v>
      </c>
      <c r="S1123">
        <v>9.6</v>
      </c>
      <c r="T1123">
        <v>4.2</v>
      </c>
      <c r="U1123">
        <v>2.9</v>
      </c>
      <c r="V1123">
        <v>1.6</v>
      </c>
      <c r="W1123">
        <v>0</v>
      </c>
      <c r="X1123">
        <v>4</v>
      </c>
      <c r="Y1123">
        <v>1.6</v>
      </c>
      <c r="Z1123">
        <v>18.899999999999999</v>
      </c>
      <c r="AA1123">
        <v>38.5</v>
      </c>
      <c r="AB1123">
        <v>277</v>
      </c>
      <c r="AC1123">
        <v>72</v>
      </c>
      <c r="AD1123">
        <v>25.6</v>
      </c>
      <c r="AE1123">
        <v>13.2</v>
      </c>
      <c r="AF1123">
        <v>82.528999999999996</v>
      </c>
      <c r="AG1123">
        <v>66.503</v>
      </c>
      <c r="AH1123">
        <v>17.308</v>
      </c>
      <c r="AI1123">
        <v>60.968000000000004</v>
      </c>
      <c r="AJ1123">
        <v>12.539</v>
      </c>
      <c r="AK1123">
        <v>15.871</v>
      </c>
      <c r="AL1123">
        <v>11.034000000000001</v>
      </c>
      <c r="AM1123">
        <v>17.308</v>
      </c>
      <c r="AN1123">
        <v>66.503</v>
      </c>
      <c r="AO1123">
        <v>82.528999999999996</v>
      </c>
      <c r="AP1123">
        <v>-11.034000000000001</v>
      </c>
      <c r="AQ1123">
        <v>87.460999999999999</v>
      </c>
      <c r="AR1123">
        <v>39.031999999999996</v>
      </c>
      <c r="AS1123">
        <v>84.129000000000005</v>
      </c>
    </row>
    <row r="1124" spans="1:45" x14ac:dyDescent="0.25">
      <c r="A1124">
        <v>19</v>
      </c>
      <c r="B1124">
        <v>-5</v>
      </c>
      <c r="C1124">
        <v>0</v>
      </c>
      <c r="D1124">
        <v>2022</v>
      </c>
      <c r="E1124">
        <v>6</v>
      </c>
      <c r="F1124" t="str">
        <f>IFERROR(VLOOKUP(G1124, Map!$A$1:$B$33, 2, FALSE),"WAS")</f>
        <v>CHI</v>
      </c>
      <c r="G1124" t="s">
        <v>163</v>
      </c>
      <c r="H1124" t="str">
        <f>IFERROR(VLOOKUP(I1124, Map!$A$1:$B$33, 2, FALSE),"WAS")</f>
        <v>WAS</v>
      </c>
      <c r="I1124" t="s">
        <v>148</v>
      </c>
      <c r="J1124" t="s">
        <v>216</v>
      </c>
      <c r="K1124" t="s">
        <v>205</v>
      </c>
      <c r="L1124">
        <v>0</v>
      </c>
      <c r="M1124">
        <v>0</v>
      </c>
      <c r="N1124">
        <v>37.299999999999997</v>
      </c>
      <c r="O1124">
        <v>1</v>
      </c>
      <c r="P1124">
        <v>1</v>
      </c>
      <c r="Q1124">
        <v>20.5</v>
      </c>
      <c r="R1124">
        <v>7.2</v>
      </c>
      <c r="S1124">
        <v>14.8</v>
      </c>
      <c r="T1124">
        <v>2.7</v>
      </c>
      <c r="U1124">
        <v>1.9</v>
      </c>
      <c r="V1124">
        <v>0</v>
      </c>
      <c r="W1124">
        <v>0</v>
      </c>
      <c r="X1124">
        <v>0</v>
      </c>
      <c r="Y1124">
        <v>0</v>
      </c>
      <c r="Z1124">
        <v>38.799999999999997</v>
      </c>
      <c r="AA1124">
        <v>56.5</v>
      </c>
      <c r="AB1124">
        <v>225</v>
      </c>
      <c r="AC1124">
        <v>56</v>
      </c>
      <c r="AD1124">
        <v>31.2</v>
      </c>
      <c r="AE1124">
        <v>19.7</v>
      </c>
      <c r="AF1124">
        <v>47.975999999999999</v>
      </c>
      <c r="AG1124">
        <v>19.382000000000001</v>
      </c>
      <c r="AH1124">
        <v>51.396999999999998</v>
      </c>
      <c r="AI1124">
        <v>70.507000000000005</v>
      </c>
      <c r="AJ1124">
        <v>29.81</v>
      </c>
      <c r="AK1124">
        <v>37.432000000000002</v>
      </c>
      <c r="AL1124">
        <v>-0.57599999999999996</v>
      </c>
      <c r="AM1124">
        <v>51.396999999999998</v>
      </c>
      <c r="AN1124">
        <v>19.382000000000001</v>
      </c>
      <c r="AO1124">
        <v>47.975999999999999</v>
      </c>
      <c r="AP1124">
        <v>0.57599999999999996</v>
      </c>
      <c r="AQ1124">
        <v>70.19</v>
      </c>
      <c r="AR1124">
        <v>29.492999999999999</v>
      </c>
      <c r="AS1124">
        <v>62.567999999999998</v>
      </c>
    </row>
    <row r="1125" spans="1:45" x14ac:dyDescent="0.25">
      <c r="A1125">
        <v>44</v>
      </c>
      <c r="B1125">
        <v>-4</v>
      </c>
      <c r="C1125">
        <v>0</v>
      </c>
      <c r="D1125">
        <v>2022</v>
      </c>
      <c r="E1125">
        <v>6</v>
      </c>
      <c r="F1125" t="str">
        <f>IFERROR(VLOOKUP(G1125, Map!$A$1:$B$33, 2, FALSE),"WAS")</f>
        <v>KC</v>
      </c>
      <c r="G1125" t="s">
        <v>158</v>
      </c>
      <c r="H1125" t="str">
        <f>IFERROR(VLOOKUP(I1125, Map!$A$1:$B$33, 2, FALSE),"WAS")</f>
        <v>BUF</v>
      </c>
      <c r="I1125" t="s">
        <v>165</v>
      </c>
      <c r="J1125" t="s">
        <v>202</v>
      </c>
      <c r="K1125" t="s">
        <v>180</v>
      </c>
      <c r="L1125">
        <v>0</v>
      </c>
      <c r="M1125">
        <v>0</v>
      </c>
      <c r="N1125">
        <v>50.647058823529399</v>
      </c>
      <c r="O1125">
        <v>2.4117647058823501</v>
      </c>
      <c r="P1125">
        <v>2.5</v>
      </c>
      <c r="Q1125">
        <v>50.5</v>
      </c>
      <c r="R1125">
        <v>14.1</v>
      </c>
      <c r="S1125">
        <v>17.899999999999999</v>
      </c>
      <c r="T1125">
        <v>7.8</v>
      </c>
      <c r="U1125">
        <v>10.8</v>
      </c>
      <c r="V1125">
        <v>0</v>
      </c>
      <c r="W1125">
        <v>0</v>
      </c>
      <c r="X1125">
        <v>0</v>
      </c>
      <c r="Y1125">
        <v>0</v>
      </c>
      <c r="Z1125">
        <v>24.4</v>
      </c>
      <c r="AA1125">
        <v>46.1</v>
      </c>
      <c r="AB1125">
        <v>314</v>
      </c>
      <c r="AC1125">
        <v>50</v>
      </c>
      <c r="AD1125">
        <v>23.8</v>
      </c>
      <c r="AE1125">
        <v>12.5</v>
      </c>
      <c r="AF1125">
        <v>58.308999999999997</v>
      </c>
      <c r="AG1125">
        <v>97.200999999999993</v>
      </c>
      <c r="AH1125">
        <v>41.170999999999999</v>
      </c>
      <c r="AI1125">
        <v>32.134999999999998</v>
      </c>
      <c r="AJ1125">
        <v>55.776000000000003</v>
      </c>
      <c r="AK1125">
        <v>39.317999999999998</v>
      </c>
      <c r="AL1125">
        <v>2.3860000000000001</v>
      </c>
      <c r="AM1125">
        <v>41.170999999999999</v>
      </c>
      <c r="AN1125">
        <v>97.200999999999993</v>
      </c>
      <c r="AO1125">
        <v>58.308999999999997</v>
      </c>
      <c r="AP1125">
        <v>-2.3860000000000001</v>
      </c>
      <c r="AQ1125">
        <v>44.223999999999997</v>
      </c>
      <c r="AR1125">
        <v>67.864999999999995</v>
      </c>
      <c r="AS1125">
        <v>60.682000000000002</v>
      </c>
    </row>
    <row r="1126" spans="1:45" x14ac:dyDescent="0.25">
      <c r="A1126">
        <v>53</v>
      </c>
      <c r="B1126">
        <v>-23</v>
      </c>
      <c r="C1126">
        <v>0</v>
      </c>
      <c r="D1126">
        <v>2022</v>
      </c>
      <c r="E1126">
        <v>6</v>
      </c>
      <c r="F1126" t="str">
        <f>IFERROR(VLOOKUP(G1126, Map!$A$1:$B$33, 2, FALSE),"WAS")</f>
        <v>CLE</v>
      </c>
      <c r="G1126" t="s">
        <v>162</v>
      </c>
      <c r="H1126" t="str">
        <f>IFERROR(VLOOKUP(I1126, Map!$A$1:$B$33, 2, FALSE),"WAS")</f>
        <v>NE</v>
      </c>
      <c r="I1126" t="s">
        <v>151</v>
      </c>
      <c r="J1126" t="s">
        <v>171</v>
      </c>
      <c r="K1126" t="s">
        <v>187</v>
      </c>
      <c r="L1126">
        <v>0</v>
      </c>
      <c r="M1126">
        <v>0</v>
      </c>
      <c r="N1126">
        <v>41.382352941176499</v>
      </c>
      <c r="O1126">
        <v>-0.91176470588235303</v>
      </c>
      <c r="P1126">
        <v>-2.5</v>
      </c>
      <c r="Q1126">
        <v>42.5</v>
      </c>
      <c r="R1126">
        <v>11</v>
      </c>
      <c r="S1126">
        <v>16.899999999999999</v>
      </c>
      <c r="T1126">
        <v>7.1</v>
      </c>
      <c r="U1126">
        <v>7.8</v>
      </c>
      <c r="V1126">
        <v>0</v>
      </c>
      <c r="W1126">
        <v>0</v>
      </c>
      <c r="X1126">
        <v>0</v>
      </c>
      <c r="Y1126">
        <v>0</v>
      </c>
      <c r="Z1126">
        <v>19.899999999999999</v>
      </c>
      <c r="AA1126">
        <v>32.799999999999997</v>
      </c>
      <c r="AB1126">
        <v>216</v>
      </c>
      <c r="AC1126">
        <v>62</v>
      </c>
      <c r="AD1126">
        <v>20.9</v>
      </c>
      <c r="AE1126">
        <v>12.2</v>
      </c>
      <c r="AF1126">
        <v>76.162000000000006</v>
      </c>
      <c r="AG1126">
        <v>38.948999999999998</v>
      </c>
      <c r="AH1126">
        <v>23.599</v>
      </c>
      <c r="AI1126">
        <v>29.16</v>
      </c>
      <c r="AJ1126">
        <v>10.571999999999999</v>
      </c>
      <c r="AK1126">
        <v>12.439</v>
      </c>
      <c r="AL1126">
        <v>8.2479999999999993</v>
      </c>
      <c r="AM1126">
        <v>23.599</v>
      </c>
      <c r="AN1126">
        <v>38.948999999999998</v>
      </c>
      <c r="AO1126">
        <v>76.162000000000006</v>
      </c>
      <c r="AP1126">
        <v>-8.2479999999999993</v>
      </c>
      <c r="AQ1126">
        <v>89.427999999999997</v>
      </c>
      <c r="AR1126">
        <v>70.84</v>
      </c>
      <c r="AS1126">
        <v>87.561000000000007</v>
      </c>
    </row>
    <row r="1127" spans="1:45" x14ac:dyDescent="0.25">
      <c r="A1127">
        <v>40</v>
      </c>
      <c r="B1127">
        <v>-8</v>
      </c>
      <c r="C1127">
        <v>0</v>
      </c>
      <c r="D1127">
        <v>2022</v>
      </c>
      <c r="E1127">
        <v>6</v>
      </c>
      <c r="F1127" t="str">
        <f>IFERROR(VLOOKUP(G1127, Map!$A$1:$B$33, 2, FALSE),"WAS")</f>
        <v>MIA</v>
      </c>
      <c r="G1127" t="s">
        <v>152</v>
      </c>
      <c r="H1127" t="str">
        <f>IFERROR(VLOOKUP(I1127, Map!$A$1:$B$33, 2, FALSE),"WAS")</f>
        <v>MIN</v>
      </c>
      <c r="I1127" t="s">
        <v>153</v>
      </c>
      <c r="J1127" t="s">
        <v>175</v>
      </c>
      <c r="K1127" t="s">
        <v>214</v>
      </c>
      <c r="L1127">
        <v>0</v>
      </c>
      <c r="M1127">
        <v>0</v>
      </c>
      <c r="N1127">
        <v>42.176470588235297</v>
      </c>
      <c r="O1127">
        <v>3.3235294117647101</v>
      </c>
      <c r="P1127">
        <v>3</v>
      </c>
      <c r="Q1127">
        <v>40.5</v>
      </c>
      <c r="R1127">
        <v>25.3</v>
      </c>
      <c r="S1127">
        <v>28.7</v>
      </c>
      <c r="T1127">
        <v>22.6</v>
      </c>
      <c r="U1127">
        <v>28.8</v>
      </c>
      <c r="V1127">
        <v>0.7</v>
      </c>
      <c r="W1127">
        <v>0</v>
      </c>
      <c r="X1127">
        <v>6</v>
      </c>
      <c r="Y1127">
        <v>0.7</v>
      </c>
      <c r="Z1127">
        <v>17.7</v>
      </c>
      <c r="AA1127">
        <v>35.6</v>
      </c>
      <c r="AB1127">
        <v>65</v>
      </c>
      <c r="AC1127">
        <v>82</v>
      </c>
      <c r="AD1127">
        <v>20.399999999999999</v>
      </c>
      <c r="AE1127">
        <v>10</v>
      </c>
      <c r="AF1127">
        <v>35.853999999999999</v>
      </c>
      <c r="AG1127">
        <v>32.316000000000003</v>
      </c>
      <c r="AH1127">
        <v>63.728999999999999</v>
      </c>
      <c r="AI1127">
        <v>61.963000000000001</v>
      </c>
      <c r="AJ1127">
        <v>22.297000000000001</v>
      </c>
      <c r="AK1127">
        <v>24.870999999999999</v>
      </c>
      <c r="AL1127">
        <v>-4.1280000000000001</v>
      </c>
      <c r="AM1127">
        <v>63.728999999999999</v>
      </c>
      <c r="AN1127">
        <v>32.316000000000003</v>
      </c>
      <c r="AO1127">
        <v>35.853999999999999</v>
      </c>
      <c r="AP1127">
        <v>4.1280000000000001</v>
      </c>
      <c r="AQ1127">
        <v>77.703000000000003</v>
      </c>
      <c r="AR1127">
        <v>38.036999999999999</v>
      </c>
      <c r="AS1127">
        <v>75.129000000000005</v>
      </c>
    </row>
    <row r="1128" spans="1:45" x14ac:dyDescent="0.25">
      <c r="A1128">
        <v>42</v>
      </c>
      <c r="B1128">
        <v>14</v>
      </c>
      <c r="C1128">
        <v>1</v>
      </c>
      <c r="D1128">
        <v>2022</v>
      </c>
      <c r="E1128">
        <v>6</v>
      </c>
      <c r="F1128" t="str">
        <f>IFERROR(VLOOKUP(G1128, Map!$A$1:$B$33, 2, FALSE),"WAS")</f>
        <v>ATL</v>
      </c>
      <c r="G1128" t="s">
        <v>167</v>
      </c>
      <c r="H1128" t="str">
        <f>IFERROR(VLOOKUP(I1128, Map!$A$1:$B$33, 2, FALSE),"WAS")</f>
        <v>SF</v>
      </c>
      <c r="I1128" t="s">
        <v>143</v>
      </c>
      <c r="J1128" t="s">
        <v>188</v>
      </c>
      <c r="K1128" t="s">
        <v>197</v>
      </c>
      <c r="L1128">
        <v>1</v>
      </c>
      <c r="M1128">
        <v>0</v>
      </c>
      <c r="N1128">
        <v>42.764705882352899</v>
      </c>
      <c r="O1128">
        <v>2.9117647058823501</v>
      </c>
      <c r="P1128">
        <v>3.5</v>
      </c>
      <c r="Q1128">
        <v>42.5</v>
      </c>
      <c r="R1128">
        <v>17.899999999999999</v>
      </c>
      <c r="S1128">
        <v>26.1</v>
      </c>
      <c r="T1128">
        <v>11.4</v>
      </c>
      <c r="U1128">
        <v>16.600000000000001</v>
      </c>
      <c r="V1128">
        <v>0</v>
      </c>
      <c r="W1128">
        <v>0</v>
      </c>
      <c r="X1128">
        <v>0</v>
      </c>
      <c r="Y1128">
        <v>0</v>
      </c>
      <c r="Z1128">
        <v>12.1</v>
      </c>
      <c r="AA1128">
        <v>24.8</v>
      </c>
      <c r="AB1128">
        <v>231</v>
      </c>
      <c r="AC1128">
        <v>62</v>
      </c>
      <c r="AD1128">
        <v>16.7</v>
      </c>
      <c r="AE1128">
        <v>9.6999999999999993</v>
      </c>
      <c r="AF1128">
        <v>47.985999999999997</v>
      </c>
      <c r="AG1128">
        <v>32.29</v>
      </c>
      <c r="AH1128">
        <v>51.39</v>
      </c>
      <c r="AI1128">
        <v>81.710999999999999</v>
      </c>
      <c r="AJ1128">
        <v>82.849000000000004</v>
      </c>
      <c r="AK1128">
        <v>88.031999999999996</v>
      </c>
      <c r="AL1128">
        <v>-0.57099999999999995</v>
      </c>
      <c r="AM1128">
        <v>51.39</v>
      </c>
      <c r="AN1128">
        <v>32.29</v>
      </c>
      <c r="AO1128">
        <v>47.985999999999997</v>
      </c>
      <c r="AP1128">
        <v>0.57099999999999995</v>
      </c>
      <c r="AQ1128">
        <v>17.151</v>
      </c>
      <c r="AR1128">
        <v>18.289000000000001</v>
      </c>
      <c r="AS1128">
        <v>11.968</v>
      </c>
    </row>
    <row r="1129" spans="1:45" x14ac:dyDescent="0.25">
      <c r="A1129">
        <v>56</v>
      </c>
      <c r="B1129">
        <v>-4</v>
      </c>
      <c r="C1129">
        <v>0</v>
      </c>
      <c r="D1129">
        <v>2022</v>
      </c>
      <c r="E1129">
        <v>6</v>
      </c>
      <c r="F1129" t="str">
        <f>IFERROR(VLOOKUP(G1129, Map!$A$1:$B$33, 2, FALSE),"WAS")</f>
        <v>NO</v>
      </c>
      <c r="G1129" t="s">
        <v>168</v>
      </c>
      <c r="H1129" t="str">
        <f>IFERROR(VLOOKUP(I1129, Map!$A$1:$B$33, 2, FALSE),"WAS")</f>
        <v>CIN</v>
      </c>
      <c r="I1129" t="s">
        <v>161</v>
      </c>
      <c r="J1129" t="s">
        <v>192</v>
      </c>
      <c r="K1129" t="s">
        <v>176</v>
      </c>
      <c r="L1129">
        <v>0</v>
      </c>
      <c r="M1129">
        <v>0</v>
      </c>
      <c r="N1129">
        <v>41.205882352941202</v>
      </c>
      <c r="O1129">
        <v>2.6470588235294099</v>
      </c>
      <c r="P1129">
        <v>1</v>
      </c>
      <c r="Q1129">
        <v>42.5</v>
      </c>
      <c r="R1129">
        <v>22.7</v>
      </c>
      <c r="S1129">
        <v>28.1</v>
      </c>
      <c r="T1129">
        <v>18.100000000000001</v>
      </c>
      <c r="U1129">
        <v>25</v>
      </c>
      <c r="V1129">
        <v>0.5</v>
      </c>
      <c r="W1129">
        <v>0</v>
      </c>
      <c r="X1129">
        <v>4</v>
      </c>
      <c r="Y1129">
        <v>0.5</v>
      </c>
      <c r="Z1129">
        <v>11.1</v>
      </c>
      <c r="AA1129">
        <v>24.1</v>
      </c>
      <c r="AB1129">
        <v>103</v>
      </c>
      <c r="AC1129">
        <v>81</v>
      </c>
      <c r="AD1129">
        <v>16.100000000000001</v>
      </c>
      <c r="AE1129">
        <v>8.6</v>
      </c>
      <c r="AF1129">
        <v>39.25</v>
      </c>
      <c r="AG1129">
        <v>78.947000000000003</v>
      </c>
      <c r="AH1129">
        <v>60.276000000000003</v>
      </c>
      <c r="AI1129">
        <v>9.8640000000000008</v>
      </c>
      <c r="AJ1129">
        <v>65.292000000000002</v>
      </c>
      <c r="AK1129">
        <v>39.67</v>
      </c>
      <c r="AL1129">
        <v>-3.101</v>
      </c>
      <c r="AM1129">
        <v>60.276000000000003</v>
      </c>
      <c r="AN1129">
        <v>78.947000000000003</v>
      </c>
      <c r="AO1129">
        <v>39.25</v>
      </c>
      <c r="AP1129">
        <v>3.101</v>
      </c>
      <c r="AQ1129">
        <v>34.707999999999998</v>
      </c>
      <c r="AR1129">
        <v>90.135999999999996</v>
      </c>
      <c r="AS1129">
        <v>60.33</v>
      </c>
    </row>
    <row r="1130" spans="1:45" x14ac:dyDescent="0.25">
      <c r="A1130">
        <v>34</v>
      </c>
      <c r="B1130">
        <v>14</v>
      </c>
      <c r="C1130">
        <v>1</v>
      </c>
      <c r="D1130">
        <v>2022</v>
      </c>
      <c r="E1130">
        <v>6</v>
      </c>
      <c r="F1130" t="str">
        <f>IFERROR(VLOOKUP(G1130, Map!$A$1:$B$33, 2, FALSE),"WAS")</f>
        <v>LA</v>
      </c>
      <c r="G1130" t="s">
        <v>155</v>
      </c>
      <c r="H1130" t="str">
        <f>IFERROR(VLOOKUP(I1130, Map!$A$1:$B$33, 2, FALSE),"WAS")</f>
        <v>CAR</v>
      </c>
      <c r="I1130" t="s">
        <v>142</v>
      </c>
      <c r="J1130" t="s">
        <v>178</v>
      </c>
      <c r="K1130" t="s">
        <v>185</v>
      </c>
      <c r="L1130">
        <v>1</v>
      </c>
      <c r="M1130">
        <v>0</v>
      </c>
      <c r="N1130">
        <v>38.588235294117602</v>
      </c>
      <c r="O1130">
        <v>-9.5588235294117592</v>
      </c>
      <c r="P1130">
        <v>-9.5</v>
      </c>
      <c r="Q1130">
        <v>40.5</v>
      </c>
      <c r="R1130">
        <v>19</v>
      </c>
      <c r="S1130">
        <v>22.9</v>
      </c>
      <c r="T1130">
        <v>15.7</v>
      </c>
      <c r="U1130">
        <v>19.3</v>
      </c>
      <c r="V1130">
        <v>0.3</v>
      </c>
      <c r="W1130">
        <v>0</v>
      </c>
      <c r="X1130">
        <v>3</v>
      </c>
      <c r="Y1130">
        <v>0.3</v>
      </c>
      <c r="Z1130">
        <v>20.3</v>
      </c>
      <c r="AA1130">
        <v>34.200000000000003</v>
      </c>
      <c r="AB1130">
        <v>247</v>
      </c>
      <c r="AC1130">
        <v>79</v>
      </c>
      <c r="AD1130">
        <v>18.100000000000001</v>
      </c>
      <c r="AE1130">
        <v>9.5</v>
      </c>
      <c r="AF1130">
        <v>75.75</v>
      </c>
      <c r="AG1130">
        <v>14.487</v>
      </c>
      <c r="AH1130">
        <v>24.006</v>
      </c>
      <c r="AI1130">
        <v>92.427999999999997</v>
      </c>
      <c r="AJ1130">
        <v>50.707999999999998</v>
      </c>
      <c r="AK1130">
        <v>80.442999999999998</v>
      </c>
      <c r="AL1130">
        <v>8.0850000000000009</v>
      </c>
      <c r="AM1130">
        <v>24.006</v>
      </c>
      <c r="AN1130">
        <v>14.487</v>
      </c>
      <c r="AO1130">
        <v>75.75</v>
      </c>
      <c r="AP1130">
        <v>-8.0850000000000009</v>
      </c>
      <c r="AQ1130">
        <v>49.292000000000002</v>
      </c>
      <c r="AR1130">
        <v>7.5720000000000001</v>
      </c>
      <c r="AS1130">
        <v>19.556999999999999</v>
      </c>
    </row>
    <row r="1131" spans="1:45" x14ac:dyDescent="0.25">
      <c r="A1131">
        <v>44</v>
      </c>
      <c r="B1131">
        <v>4</v>
      </c>
      <c r="C1131">
        <v>1</v>
      </c>
      <c r="D1131">
        <v>2022</v>
      </c>
      <c r="E1131">
        <v>6</v>
      </c>
      <c r="F1131" t="str">
        <f>IFERROR(VLOOKUP(G1131, Map!$A$1:$B$33, 2, FALSE),"WAS")</f>
        <v>NYG</v>
      </c>
      <c r="G1131" t="s">
        <v>149</v>
      </c>
      <c r="H1131" t="str">
        <f>IFERROR(VLOOKUP(I1131, Map!$A$1:$B$33, 2, FALSE),"WAS")</f>
        <v>BAL</v>
      </c>
      <c r="I1131" t="s">
        <v>146</v>
      </c>
      <c r="J1131" t="s">
        <v>219</v>
      </c>
      <c r="K1131" t="s">
        <v>181</v>
      </c>
      <c r="L1131">
        <v>1</v>
      </c>
      <c r="M1131">
        <v>0</v>
      </c>
      <c r="N1131">
        <v>42.794117647058798</v>
      </c>
      <c r="O1131">
        <v>4.6176470588235299</v>
      </c>
      <c r="P1131">
        <v>-4</v>
      </c>
      <c r="Q1131">
        <v>44.5</v>
      </c>
      <c r="R1131">
        <v>13.3</v>
      </c>
      <c r="S1131">
        <v>18.3</v>
      </c>
      <c r="T1131">
        <v>8.9</v>
      </c>
      <c r="U1131">
        <v>11.8</v>
      </c>
      <c r="V1131">
        <v>0</v>
      </c>
      <c r="W1131">
        <v>0</v>
      </c>
      <c r="X1131">
        <v>0</v>
      </c>
      <c r="Y1131">
        <v>0</v>
      </c>
      <c r="Z1131">
        <v>16.3</v>
      </c>
      <c r="AA1131">
        <v>31</v>
      </c>
      <c r="AB1131">
        <v>264</v>
      </c>
      <c r="AC1131">
        <v>72</v>
      </c>
      <c r="AD1131">
        <v>16.2</v>
      </c>
      <c r="AE1131">
        <v>7.3</v>
      </c>
      <c r="AF1131">
        <v>36.640999999999998</v>
      </c>
      <c r="AG1131">
        <v>68.001999999999995</v>
      </c>
      <c r="AH1131">
        <v>62.929000000000002</v>
      </c>
      <c r="AI1131">
        <v>45.576000000000001</v>
      </c>
      <c r="AJ1131">
        <v>63.182000000000002</v>
      </c>
      <c r="AK1131">
        <v>62.078000000000003</v>
      </c>
      <c r="AL1131">
        <v>-3.8879999999999999</v>
      </c>
      <c r="AM1131">
        <v>62.929000000000002</v>
      </c>
      <c r="AN1131">
        <v>68.001999999999995</v>
      </c>
      <c r="AO1131">
        <v>36.640999999999998</v>
      </c>
      <c r="AP1131">
        <v>3.8879999999999999</v>
      </c>
      <c r="AQ1131">
        <v>36.817999999999998</v>
      </c>
      <c r="AR1131">
        <v>54.423999999999999</v>
      </c>
      <c r="AS1131">
        <v>37.921999999999997</v>
      </c>
    </row>
    <row r="1132" spans="1:45" x14ac:dyDescent="0.25">
      <c r="A1132">
        <v>43</v>
      </c>
      <c r="B1132">
        <v>9</v>
      </c>
      <c r="C1132">
        <v>1</v>
      </c>
      <c r="D1132">
        <v>2022</v>
      </c>
      <c r="E1132">
        <v>6</v>
      </c>
      <c r="F1132" t="str">
        <f>IFERROR(VLOOKUP(G1132, Map!$A$1:$B$33, 2, FALSE),"WAS")</f>
        <v>PHI</v>
      </c>
      <c r="G1132" t="s">
        <v>147</v>
      </c>
      <c r="H1132" t="str">
        <f>IFERROR(VLOOKUP(I1132, Map!$A$1:$B$33, 2, FALSE),"WAS")</f>
        <v>DAL</v>
      </c>
      <c r="I1132" t="s">
        <v>150</v>
      </c>
      <c r="J1132" t="s">
        <v>206</v>
      </c>
      <c r="K1132" t="s">
        <v>184</v>
      </c>
      <c r="L1132">
        <v>1</v>
      </c>
      <c r="M1132">
        <v>0</v>
      </c>
      <c r="N1132">
        <v>40.088235294117602</v>
      </c>
      <c r="O1132">
        <v>-6.4117647058823497</v>
      </c>
      <c r="P1132">
        <v>-5.5</v>
      </c>
      <c r="Q1132">
        <v>42</v>
      </c>
      <c r="R1132">
        <v>15.2</v>
      </c>
      <c r="S1132">
        <v>19.3</v>
      </c>
      <c r="T1132">
        <v>12.7</v>
      </c>
      <c r="U1132">
        <v>14</v>
      </c>
      <c r="V1132">
        <v>3.5</v>
      </c>
      <c r="W1132">
        <v>0</v>
      </c>
      <c r="X1132">
        <v>11</v>
      </c>
      <c r="Y1132">
        <v>3.5</v>
      </c>
      <c r="Z1132">
        <v>19.100000000000001</v>
      </c>
      <c r="AA1132">
        <v>37.1</v>
      </c>
      <c r="AB1132">
        <v>210</v>
      </c>
      <c r="AC1132">
        <v>78</v>
      </c>
      <c r="AD1132">
        <v>21.9</v>
      </c>
      <c r="AE1132">
        <v>11</v>
      </c>
      <c r="AF1132">
        <v>75.481999999999999</v>
      </c>
      <c r="AG1132">
        <v>47.731000000000002</v>
      </c>
      <c r="AH1132">
        <v>24.263999999999999</v>
      </c>
      <c r="AI1132">
        <v>66.995999999999995</v>
      </c>
      <c r="AJ1132">
        <v>70.36</v>
      </c>
      <c r="AK1132">
        <v>77.334999999999994</v>
      </c>
      <c r="AL1132">
        <v>8.1039999999999992</v>
      </c>
      <c r="AM1132">
        <v>24.263999999999999</v>
      </c>
      <c r="AN1132">
        <v>47.731000000000002</v>
      </c>
      <c r="AO1132">
        <v>75.481999999999999</v>
      </c>
      <c r="AP1132">
        <v>-8.1039999999999992</v>
      </c>
      <c r="AQ1132">
        <v>29.64</v>
      </c>
      <c r="AR1132">
        <v>33.003999999999998</v>
      </c>
      <c r="AS1132">
        <v>22.664999999999999</v>
      </c>
    </row>
    <row r="1133" spans="1:45" x14ac:dyDescent="0.25">
      <c r="A1133">
        <v>38</v>
      </c>
      <c r="B1133">
        <v>2</v>
      </c>
      <c r="C1133">
        <v>1</v>
      </c>
      <c r="D1133">
        <v>2022</v>
      </c>
      <c r="E1133">
        <v>6</v>
      </c>
      <c r="F1133" t="str">
        <f>IFERROR(VLOOKUP(G1133, Map!$A$1:$B$33, 2, FALSE),"WAS")</f>
        <v>PIT</v>
      </c>
      <c r="G1133" t="s">
        <v>145</v>
      </c>
      <c r="H1133" t="str">
        <f>IFERROR(VLOOKUP(I1133, Map!$A$1:$B$33, 2, FALSE),"WAS")</f>
        <v>TB</v>
      </c>
      <c r="I1133" t="s">
        <v>141</v>
      </c>
      <c r="J1133" t="s">
        <v>170</v>
      </c>
      <c r="K1133" t="s">
        <v>186</v>
      </c>
      <c r="L1133">
        <v>1</v>
      </c>
      <c r="M1133">
        <v>0</v>
      </c>
      <c r="N1133">
        <v>42.970588235294102</v>
      </c>
      <c r="O1133">
        <v>7.9411764705882399</v>
      </c>
      <c r="P1133">
        <v>-1.5</v>
      </c>
      <c r="Q1133">
        <v>39.5</v>
      </c>
      <c r="R1133">
        <v>10.9</v>
      </c>
      <c r="S1133">
        <v>18.7</v>
      </c>
      <c r="T1133">
        <v>5.2</v>
      </c>
      <c r="U1133">
        <v>8</v>
      </c>
      <c r="V1133">
        <v>0</v>
      </c>
      <c r="W1133">
        <v>0</v>
      </c>
      <c r="X1133">
        <v>0</v>
      </c>
      <c r="Y1133">
        <v>0</v>
      </c>
      <c r="Z1133">
        <v>16.100000000000001</v>
      </c>
      <c r="AA1133">
        <v>34.200000000000003</v>
      </c>
      <c r="AB1133">
        <v>221</v>
      </c>
      <c r="AC1133">
        <v>61</v>
      </c>
      <c r="AD1133">
        <v>19.100000000000001</v>
      </c>
      <c r="AE1133">
        <v>9.1</v>
      </c>
      <c r="AF1133">
        <v>17.170000000000002</v>
      </c>
      <c r="AG1133">
        <v>52.6</v>
      </c>
      <c r="AH1133">
        <v>82.67</v>
      </c>
      <c r="AI1133">
        <v>53.973999999999997</v>
      </c>
      <c r="AJ1133">
        <v>44.418999999999997</v>
      </c>
      <c r="AK1133">
        <v>56.003</v>
      </c>
      <c r="AL1133">
        <v>-11.185</v>
      </c>
      <c r="AM1133">
        <v>82.67</v>
      </c>
      <c r="AN1133">
        <v>52.6</v>
      </c>
      <c r="AO1133">
        <v>17.170000000000002</v>
      </c>
      <c r="AP1133">
        <v>11.185</v>
      </c>
      <c r="AQ1133">
        <v>55.581000000000003</v>
      </c>
      <c r="AR1133">
        <v>46.026000000000003</v>
      </c>
      <c r="AS1133">
        <v>43.997</v>
      </c>
    </row>
    <row r="1134" spans="1:45" x14ac:dyDescent="0.25">
      <c r="A1134">
        <v>35</v>
      </c>
      <c r="B1134">
        <v>3</v>
      </c>
      <c r="C1134">
        <v>1</v>
      </c>
      <c r="D1134">
        <v>2022</v>
      </c>
      <c r="E1134">
        <v>6</v>
      </c>
      <c r="F1134" t="str">
        <f>IFERROR(VLOOKUP(G1134, Map!$A$1:$B$33, 2, FALSE),"WAS")</f>
        <v>LAC</v>
      </c>
      <c r="G1134" t="s">
        <v>160</v>
      </c>
      <c r="H1134" t="str">
        <f>IFERROR(VLOOKUP(I1134, Map!$A$1:$B$33, 2, FALSE),"WAS")</f>
        <v>DEN</v>
      </c>
      <c r="I1134" t="s">
        <v>159</v>
      </c>
      <c r="J1134" t="s">
        <v>210</v>
      </c>
      <c r="K1134" t="s">
        <v>183</v>
      </c>
      <c r="L1134">
        <v>1</v>
      </c>
      <c r="M1134">
        <v>0</v>
      </c>
      <c r="N1134">
        <v>42.264705882352899</v>
      </c>
      <c r="O1134">
        <v>-3.7352941176470602</v>
      </c>
      <c r="P1134">
        <v>-2.5</v>
      </c>
      <c r="Q1134">
        <v>36.5</v>
      </c>
      <c r="R1134">
        <v>20.6</v>
      </c>
      <c r="S1134">
        <v>30.4</v>
      </c>
      <c r="T1134">
        <v>14.3</v>
      </c>
      <c r="U1134">
        <v>21</v>
      </c>
      <c r="V1134">
        <v>0</v>
      </c>
      <c r="W1134">
        <v>0</v>
      </c>
      <c r="X1134">
        <v>0</v>
      </c>
      <c r="Y1134">
        <v>0</v>
      </c>
      <c r="Z1134">
        <v>21</v>
      </c>
      <c r="AA1134">
        <v>35.299999999999997</v>
      </c>
      <c r="AB1134">
        <v>256</v>
      </c>
      <c r="AC1134">
        <v>74</v>
      </c>
      <c r="AD1134">
        <v>15.7</v>
      </c>
      <c r="AE1134">
        <v>8.1</v>
      </c>
      <c r="AF1134">
        <v>75.876999999999995</v>
      </c>
      <c r="AG1134">
        <v>49.521999999999998</v>
      </c>
      <c r="AH1134">
        <v>23.882000000000001</v>
      </c>
      <c r="AI1134">
        <v>66.673000000000002</v>
      </c>
      <c r="AJ1134">
        <v>32.442999999999998</v>
      </c>
      <c r="AK1134">
        <v>56.953000000000003</v>
      </c>
      <c r="AL1134">
        <v>8.1560000000000006</v>
      </c>
      <c r="AM1134">
        <v>23.882000000000001</v>
      </c>
      <c r="AN1134">
        <v>49.521999999999998</v>
      </c>
      <c r="AO1134">
        <v>75.876999999999995</v>
      </c>
      <c r="AP1134">
        <v>-8.1560000000000006</v>
      </c>
      <c r="AQ1134">
        <v>67.557000000000002</v>
      </c>
      <c r="AR1134">
        <v>33.326999999999998</v>
      </c>
      <c r="AS1134">
        <v>43.046999999999997</v>
      </c>
    </row>
    <row r="1135" spans="1:45" x14ac:dyDescent="0.25">
      <c r="A1135">
        <v>28</v>
      </c>
      <c r="B1135">
        <v>10</v>
      </c>
      <c r="C1135">
        <v>1</v>
      </c>
      <c r="D1135">
        <v>2022</v>
      </c>
      <c r="E1135">
        <v>6</v>
      </c>
      <c r="F1135" t="str">
        <f>IFERROR(VLOOKUP(G1135, Map!$A$1:$B$33, 2, FALSE),"WAS")</f>
        <v>SEA</v>
      </c>
      <c r="G1135" t="s">
        <v>144</v>
      </c>
      <c r="H1135" t="str">
        <f>IFERROR(VLOOKUP(I1135, Map!$A$1:$B$33, 2, FALSE),"WAS")</f>
        <v>ARI</v>
      </c>
      <c r="I1135" t="s">
        <v>156</v>
      </c>
      <c r="J1135" t="s">
        <v>182</v>
      </c>
      <c r="K1135" t="s">
        <v>190</v>
      </c>
      <c r="L1135">
        <v>1</v>
      </c>
      <c r="M1135">
        <v>0</v>
      </c>
      <c r="N1135">
        <v>47.176470588235297</v>
      </c>
      <c r="O1135">
        <v>1.9117647058823499</v>
      </c>
      <c r="P1135">
        <v>2</v>
      </c>
      <c r="Q1135">
        <v>40.5</v>
      </c>
      <c r="R1135">
        <v>18</v>
      </c>
      <c r="S1135">
        <v>27.4</v>
      </c>
      <c r="T1135">
        <v>11.1</v>
      </c>
      <c r="U1135">
        <v>16</v>
      </c>
      <c r="V1135">
        <v>0</v>
      </c>
      <c r="W1135">
        <v>0</v>
      </c>
      <c r="X1135">
        <v>0</v>
      </c>
      <c r="Y1135">
        <v>0</v>
      </c>
      <c r="Z1135">
        <v>17.7</v>
      </c>
      <c r="AA1135">
        <v>34.6</v>
      </c>
      <c r="AB1135">
        <v>8</v>
      </c>
      <c r="AC1135">
        <v>55</v>
      </c>
      <c r="AD1135">
        <v>18.8</v>
      </c>
      <c r="AE1135">
        <v>10.3</v>
      </c>
      <c r="AF1135">
        <v>35.131999999999998</v>
      </c>
      <c r="AG1135">
        <v>20.164000000000001</v>
      </c>
      <c r="AH1135">
        <v>64.463999999999999</v>
      </c>
      <c r="AI1135">
        <v>88.998000000000005</v>
      </c>
      <c r="AJ1135">
        <v>43.771999999999998</v>
      </c>
      <c r="AK1135">
        <v>72.010999999999996</v>
      </c>
      <c r="AL1135">
        <v>-4.3540000000000001</v>
      </c>
      <c r="AM1135">
        <v>64.463999999999999</v>
      </c>
      <c r="AN1135">
        <v>20.164000000000001</v>
      </c>
      <c r="AO1135">
        <v>35.131999999999998</v>
      </c>
      <c r="AP1135">
        <v>4.3540000000000001</v>
      </c>
      <c r="AQ1135">
        <v>56.228000000000002</v>
      </c>
      <c r="AR1135">
        <v>11.002000000000001</v>
      </c>
      <c r="AS1135">
        <v>27.989000000000001</v>
      </c>
    </row>
    <row r="1136" spans="1:45" x14ac:dyDescent="0.25">
      <c r="A1136">
        <v>52</v>
      </c>
      <c r="B1136">
        <v>18</v>
      </c>
      <c r="C1136">
        <v>1</v>
      </c>
      <c r="D1136">
        <v>2022</v>
      </c>
      <c r="E1136">
        <v>7</v>
      </c>
      <c r="F1136" t="str">
        <f>IFERROR(VLOOKUP(G1136, Map!$A$1:$B$33, 2, FALSE),"WAS")</f>
        <v>CIN</v>
      </c>
      <c r="G1136" t="s">
        <v>161</v>
      </c>
      <c r="H1136" t="str">
        <f>IFERROR(VLOOKUP(I1136, Map!$A$1:$B$33, 2, FALSE),"WAS")</f>
        <v>ATL</v>
      </c>
      <c r="I1136" t="s">
        <v>167</v>
      </c>
      <c r="J1136" t="s">
        <v>176</v>
      </c>
      <c r="K1136" t="s">
        <v>188</v>
      </c>
      <c r="L1136">
        <v>1</v>
      </c>
      <c r="M1136">
        <v>0</v>
      </c>
      <c r="N1136">
        <v>45.647058823529399</v>
      </c>
      <c r="O1136">
        <v>-6.5882352941176503</v>
      </c>
      <c r="P1136">
        <v>-6</v>
      </c>
      <c r="Q1136">
        <v>44.5</v>
      </c>
      <c r="R1136">
        <v>18.399999999999999</v>
      </c>
      <c r="S1136">
        <v>24.7</v>
      </c>
      <c r="T1136">
        <v>13</v>
      </c>
      <c r="U1136">
        <v>16.600000000000001</v>
      </c>
      <c r="V1136">
        <v>0</v>
      </c>
      <c r="W1136">
        <v>0</v>
      </c>
      <c r="X1136">
        <v>0</v>
      </c>
      <c r="Y1136">
        <v>0</v>
      </c>
      <c r="Z1136">
        <v>14.9</v>
      </c>
      <c r="AA1136">
        <v>32.4</v>
      </c>
      <c r="AB1136">
        <v>170</v>
      </c>
      <c r="AC1136">
        <v>58</v>
      </c>
      <c r="AD1136">
        <v>24.3</v>
      </c>
      <c r="AE1136">
        <v>11.8</v>
      </c>
      <c r="AF1136">
        <v>75.472999999999999</v>
      </c>
      <c r="AG1136">
        <v>59.512</v>
      </c>
      <c r="AH1136">
        <v>24.283000000000001</v>
      </c>
      <c r="AI1136">
        <v>57.792000000000002</v>
      </c>
      <c r="AJ1136">
        <v>97.004999999999995</v>
      </c>
      <c r="AK1136">
        <v>94.436999999999998</v>
      </c>
      <c r="AL1136">
        <v>8.0009999999999994</v>
      </c>
      <c r="AM1136">
        <v>24.283000000000001</v>
      </c>
      <c r="AN1136">
        <v>59.512</v>
      </c>
      <c r="AO1136">
        <v>75.472999999999999</v>
      </c>
      <c r="AP1136">
        <v>-8.0009999999999994</v>
      </c>
      <c r="AQ1136">
        <v>2.9950000000000001</v>
      </c>
      <c r="AR1136">
        <v>42.207999999999998</v>
      </c>
      <c r="AS1136">
        <v>5.5629999999999997</v>
      </c>
    </row>
    <row r="1137" spans="1:45" x14ac:dyDescent="0.25">
      <c r="A1137">
        <v>25</v>
      </c>
      <c r="B1137">
        <v>-7</v>
      </c>
      <c r="C1137">
        <v>0</v>
      </c>
      <c r="D1137">
        <v>2022</v>
      </c>
      <c r="E1137">
        <v>7</v>
      </c>
      <c r="F1137" t="str">
        <f>IFERROR(VLOOKUP(G1137, Map!$A$1:$B$33, 2, FALSE),"WAS")</f>
        <v>DEN</v>
      </c>
      <c r="G1137" t="s">
        <v>159</v>
      </c>
      <c r="H1137" t="str">
        <f>IFERROR(VLOOKUP(I1137, Map!$A$1:$B$33, 2, FALSE),"WAS")</f>
        <v>NYJ</v>
      </c>
      <c r="I1137" t="s">
        <v>166</v>
      </c>
      <c r="J1137" t="s">
        <v>183</v>
      </c>
      <c r="K1137" t="s">
        <v>172</v>
      </c>
      <c r="L1137">
        <v>0</v>
      </c>
      <c r="M1137">
        <v>0</v>
      </c>
      <c r="N1137">
        <v>35.03125</v>
      </c>
      <c r="O1137">
        <v>1.25</v>
      </c>
      <c r="P1137">
        <v>-1</v>
      </c>
      <c r="Q1137">
        <v>36.5</v>
      </c>
      <c r="R1137">
        <v>14.3</v>
      </c>
      <c r="S1137">
        <v>20.399999999999999</v>
      </c>
      <c r="T1137">
        <v>9.4</v>
      </c>
      <c r="U1137">
        <v>9.4</v>
      </c>
      <c r="V1137">
        <v>0</v>
      </c>
      <c r="W1137">
        <v>0</v>
      </c>
      <c r="X1137">
        <v>0</v>
      </c>
      <c r="Y1137">
        <v>0</v>
      </c>
      <c r="Z1137">
        <v>31.3</v>
      </c>
      <c r="AA1137">
        <v>55.4</v>
      </c>
      <c r="AB1137">
        <v>206</v>
      </c>
      <c r="AC1137">
        <v>29</v>
      </c>
      <c r="AD1137">
        <v>29.5</v>
      </c>
      <c r="AE1137">
        <v>15.9</v>
      </c>
      <c r="AF1137">
        <v>28.459</v>
      </c>
      <c r="AG1137">
        <v>2.0830000000000002</v>
      </c>
      <c r="AH1137">
        <v>71.239999999999995</v>
      </c>
      <c r="AI1137">
        <v>71.491</v>
      </c>
      <c r="AJ1137">
        <v>25.355</v>
      </c>
      <c r="AK1137">
        <v>34.595999999999997</v>
      </c>
      <c r="AL1137">
        <v>-6.5350000000000001</v>
      </c>
      <c r="AM1137">
        <v>71.239999999999995</v>
      </c>
      <c r="AN1137">
        <v>2.0830000000000002</v>
      </c>
      <c r="AO1137">
        <v>28.459</v>
      </c>
      <c r="AP1137">
        <v>6.5350000000000001</v>
      </c>
      <c r="AQ1137">
        <v>74.644999999999996</v>
      </c>
      <c r="AR1137">
        <v>28.509</v>
      </c>
      <c r="AS1137">
        <v>65.403999999999996</v>
      </c>
    </row>
    <row r="1138" spans="1:45" x14ac:dyDescent="0.25">
      <c r="A1138">
        <v>30</v>
      </c>
      <c r="B1138">
        <v>18</v>
      </c>
      <c r="C1138">
        <v>1</v>
      </c>
      <c r="D1138">
        <v>2022</v>
      </c>
      <c r="E1138">
        <v>7</v>
      </c>
      <c r="F1138" t="str">
        <f>IFERROR(VLOOKUP(G1138, Map!$A$1:$B$33, 2, FALSE),"WAS")</f>
        <v>DAL</v>
      </c>
      <c r="G1138" t="s">
        <v>150</v>
      </c>
      <c r="H1138" t="str">
        <f>IFERROR(VLOOKUP(I1138, Map!$A$1:$B$33, 2, FALSE),"WAS")</f>
        <v>DET</v>
      </c>
      <c r="I1138" t="s">
        <v>164</v>
      </c>
      <c r="J1138" t="s">
        <v>184</v>
      </c>
      <c r="K1138" t="s">
        <v>173</v>
      </c>
      <c r="L1138">
        <v>1</v>
      </c>
      <c r="M1138">
        <v>0</v>
      </c>
      <c r="N1138">
        <v>45.176470588235297</v>
      </c>
      <c r="O1138">
        <v>-6.3235294117647101</v>
      </c>
      <c r="P1138">
        <v>-2.5</v>
      </c>
      <c r="Q1138">
        <v>33</v>
      </c>
      <c r="R1138">
        <v>24.7</v>
      </c>
      <c r="S1138">
        <v>29.9</v>
      </c>
      <c r="T1138">
        <v>19.899999999999999</v>
      </c>
      <c r="U1138">
        <v>22.1</v>
      </c>
      <c r="V1138">
        <v>0</v>
      </c>
      <c r="W1138">
        <v>0</v>
      </c>
      <c r="X1138">
        <v>0</v>
      </c>
      <c r="Y1138">
        <v>0</v>
      </c>
      <c r="Z1138">
        <v>40.200000000000003</v>
      </c>
      <c r="AA1138">
        <v>67</v>
      </c>
      <c r="AB1138">
        <v>180</v>
      </c>
      <c r="AC1138">
        <v>59</v>
      </c>
      <c r="AD1138">
        <v>52.4</v>
      </c>
      <c r="AE1138">
        <v>31.3</v>
      </c>
      <c r="AF1138">
        <v>82.444000000000003</v>
      </c>
      <c r="AG1138">
        <v>69.474999999999994</v>
      </c>
      <c r="AH1138">
        <v>17.385999999999999</v>
      </c>
      <c r="AI1138">
        <v>86.893000000000001</v>
      </c>
      <c r="AJ1138">
        <v>50.454000000000001</v>
      </c>
      <c r="AK1138">
        <v>76.802000000000007</v>
      </c>
      <c r="AL1138">
        <v>11.29</v>
      </c>
      <c r="AM1138">
        <v>17.385999999999999</v>
      </c>
      <c r="AN1138">
        <v>69.474999999999994</v>
      </c>
      <c r="AO1138">
        <v>82.444000000000003</v>
      </c>
      <c r="AP1138">
        <v>-11.29</v>
      </c>
      <c r="AQ1138">
        <v>49.545999999999999</v>
      </c>
      <c r="AR1138">
        <v>13.106999999999999</v>
      </c>
      <c r="AS1138">
        <v>23.198</v>
      </c>
    </row>
    <row r="1139" spans="1:45" x14ac:dyDescent="0.25">
      <c r="A1139">
        <v>67</v>
      </c>
      <c r="B1139">
        <v>-21</v>
      </c>
      <c r="C1139">
        <v>0</v>
      </c>
      <c r="D1139">
        <v>2022</v>
      </c>
      <c r="E1139">
        <v>7</v>
      </c>
      <c r="F1139" t="str">
        <f>IFERROR(VLOOKUP(G1139, Map!$A$1:$B$33, 2, FALSE),"WAS")</f>
        <v>SF</v>
      </c>
      <c r="G1139" t="s">
        <v>143</v>
      </c>
      <c r="H1139" t="str">
        <f>IFERROR(VLOOKUP(I1139, Map!$A$1:$B$33, 2, FALSE),"WAS")</f>
        <v>KC</v>
      </c>
      <c r="I1139" t="s">
        <v>158</v>
      </c>
      <c r="J1139" t="s">
        <v>197</v>
      </c>
      <c r="K1139" t="s">
        <v>202</v>
      </c>
      <c r="L1139">
        <v>0</v>
      </c>
      <c r="M1139">
        <v>0</v>
      </c>
      <c r="N1139">
        <v>45.466666666666697</v>
      </c>
      <c r="O1139">
        <v>0.96666666666666701</v>
      </c>
      <c r="P1139">
        <v>0</v>
      </c>
      <c r="Q1139">
        <v>47.5</v>
      </c>
      <c r="R1139">
        <v>14.3</v>
      </c>
      <c r="S1139">
        <v>21.3</v>
      </c>
      <c r="T1139">
        <v>9.5</v>
      </c>
      <c r="U1139">
        <v>11.6</v>
      </c>
      <c r="V1139">
        <v>0</v>
      </c>
      <c r="W1139">
        <v>0</v>
      </c>
      <c r="X1139">
        <v>0</v>
      </c>
      <c r="Y1139">
        <v>0</v>
      </c>
      <c r="Z1139">
        <v>24.5</v>
      </c>
      <c r="AA1139">
        <v>40.700000000000003</v>
      </c>
      <c r="AB1139">
        <v>294</v>
      </c>
      <c r="AC1139">
        <v>57</v>
      </c>
      <c r="AD1139">
        <v>20.100000000000001</v>
      </c>
      <c r="AE1139">
        <v>11.3</v>
      </c>
      <c r="AF1139">
        <v>34.959000000000003</v>
      </c>
      <c r="AG1139">
        <v>90.236000000000004</v>
      </c>
      <c r="AH1139">
        <v>64.646000000000001</v>
      </c>
      <c r="AI1139">
        <v>2.5249999999999999</v>
      </c>
      <c r="AJ1139">
        <v>54.627000000000002</v>
      </c>
      <c r="AK1139">
        <v>17.827000000000002</v>
      </c>
      <c r="AL1139">
        <v>-4.4080000000000004</v>
      </c>
      <c r="AM1139">
        <v>64.646000000000001</v>
      </c>
      <c r="AN1139">
        <v>90.236000000000004</v>
      </c>
      <c r="AO1139">
        <v>34.959000000000003</v>
      </c>
      <c r="AP1139">
        <v>4.4080000000000004</v>
      </c>
      <c r="AQ1139">
        <v>45.372999999999998</v>
      </c>
      <c r="AR1139">
        <v>97.474999999999994</v>
      </c>
      <c r="AS1139">
        <v>82.173000000000002</v>
      </c>
    </row>
    <row r="1140" spans="1:45" x14ac:dyDescent="0.25">
      <c r="A1140">
        <v>43</v>
      </c>
      <c r="B1140">
        <v>3</v>
      </c>
      <c r="C1140">
        <v>1</v>
      </c>
      <c r="D1140">
        <v>2022</v>
      </c>
      <c r="E1140">
        <v>7</v>
      </c>
      <c r="F1140" t="str">
        <f>IFERROR(VLOOKUP(G1140, Map!$A$1:$B$33, 2, FALSE),"WAS")</f>
        <v>BAL</v>
      </c>
      <c r="G1140" t="s">
        <v>146</v>
      </c>
      <c r="H1140" t="str">
        <f>IFERROR(VLOOKUP(I1140, Map!$A$1:$B$33, 2, FALSE),"WAS")</f>
        <v>CLE</v>
      </c>
      <c r="I1140" t="s">
        <v>162</v>
      </c>
      <c r="J1140" t="s">
        <v>181</v>
      </c>
      <c r="K1140" t="s">
        <v>171</v>
      </c>
      <c r="L1140">
        <v>1</v>
      </c>
      <c r="M1140">
        <v>0</v>
      </c>
      <c r="N1140">
        <v>43.676470588235297</v>
      </c>
      <c r="O1140">
        <v>-6.0294117647058796</v>
      </c>
      <c r="P1140">
        <v>-5.5</v>
      </c>
      <c r="Q1140">
        <v>45.5</v>
      </c>
      <c r="R1140">
        <v>12</v>
      </c>
      <c r="S1140">
        <v>17</v>
      </c>
      <c r="T1140">
        <v>7.7</v>
      </c>
      <c r="U1140">
        <v>10.1</v>
      </c>
      <c r="V1140">
        <v>2.1</v>
      </c>
      <c r="W1140">
        <v>0</v>
      </c>
      <c r="X1140">
        <v>7</v>
      </c>
      <c r="Y1140">
        <v>2.1</v>
      </c>
      <c r="Z1140">
        <v>14.4</v>
      </c>
      <c r="AA1140">
        <v>24.1</v>
      </c>
      <c r="AB1140">
        <v>10</v>
      </c>
      <c r="AC1140">
        <v>80</v>
      </c>
      <c r="AD1140">
        <v>17.5</v>
      </c>
      <c r="AE1140">
        <v>10.4</v>
      </c>
      <c r="AF1140">
        <v>62.523000000000003</v>
      </c>
      <c r="AG1140">
        <v>82.131</v>
      </c>
      <c r="AH1140">
        <v>37.031999999999996</v>
      </c>
      <c r="AI1140">
        <v>48.673999999999999</v>
      </c>
      <c r="AJ1140">
        <v>46.481000000000002</v>
      </c>
      <c r="AK1140">
        <v>58.607999999999997</v>
      </c>
      <c r="AL1140">
        <v>3.6360000000000001</v>
      </c>
      <c r="AM1140">
        <v>37.031999999999996</v>
      </c>
      <c r="AN1140">
        <v>82.131</v>
      </c>
      <c r="AO1140">
        <v>62.523000000000003</v>
      </c>
      <c r="AP1140">
        <v>-3.6360000000000001</v>
      </c>
      <c r="AQ1140">
        <v>53.518999999999998</v>
      </c>
      <c r="AR1140">
        <v>51.326000000000001</v>
      </c>
      <c r="AS1140">
        <v>41.392000000000003</v>
      </c>
    </row>
    <row r="1141" spans="1:45" x14ac:dyDescent="0.25">
      <c r="A1141">
        <v>44</v>
      </c>
      <c r="B1141">
        <v>2</v>
      </c>
      <c r="C1141">
        <v>1</v>
      </c>
      <c r="D1141">
        <v>2022</v>
      </c>
      <c r="E1141">
        <v>7</v>
      </c>
      <c r="F1141" t="str">
        <f>IFERROR(VLOOKUP(G1141, Map!$A$1:$B$33, 2, FALSE),"WAS")</f>
        <v>WAS</v>
      </c>
      <c r="G1141" t="s">
        <v>148</v>
      </c>
      <c r="H1141" t="str">
        <f>IFERROR(VLOOKUP(I1141, Map!$A$1:$B$33, 2, FALSE),"WAS")</f>
        <v>GB</v>
      </c>
      <c r="I1141" t="s">
        <v>154</v>
      </c>
      <c r="J1141" t="s">
        <v>205</v>
      </c>
      <c r="K1141" t="s">
        <v>200</v>
      </c>
      <c r="L1141">
        <v>1</v>
      </c>
      <c r="M1141">
        <v>0</v>
      </c>
      <c r="N1141">
        <v>42.1</v>
      </c>
      <c r="O1141">
        <v>4.2666666666666702</v>
      </c>
      <c r="P1141">
        <v>3.5</v>
      </c>
      <c r="Q1141">
        <v>41.5</v>
      </c>
      <c r="R1141">
        <v>11.7</v>
      </c>
      <c r="S1141">
        <v>16.8</v>
      </c>
      <c r="T1141">
        <v>7</v>
      </c>
      <c r="U1141">
        <v>9.8000000000000007</v>
      </c>
      <c r="V1141">
        <v>2.1</v>
      </c>
      <c r="W1141">
        <v>0</v>
      </c>
      <c r="X1141">
        <v>3</v>
      </c>
      <c r="Y1141">
        <v>2.1</v>
      </c>
      <c r="Z1141">
        <v>13.8</v>
      </c>
      <c r="AA1141">
        <v>25.6</v>
      </c>
      <c r="AB1141">
        <v>18</v>
      </c>
      <c r="AC1141">
        <v>79</v>
      </c>
      <c r="AD1141">
        <v>17.5</v>
      </c>
      <c r="AE1141">
        <v>10</v>
      </c>
      <c r="AF1141">
        <v>31.484999999999999</v>
      </c>
      <c r="AG1141">
        <v>85.659000000000006</v>
      </c>
      <c r="AH1141">
        <v>68.171000000000006</v>
      </c>
      <c r="AI1141">
        <v>68.533000000000001</v>
      </c>
      <c r="AJ1141">
        <v>43.171999999999997</v>
      </c>
      <c r="AK1141">
        <v>59.286000000000001</v>
      </c>
      <c r="AL1141">
        <v>-5.5170000000000003</v>
      </c>
      <c r="AM1141">
        <v>68.171000000000006</v>
      </c>
      <c r="AN1141">
        <v>85.659000000000006</v>
      </c>
      <c r="AO1141">
        <v>31.484999999999999</v>
      </c>
      <c r="AP1141">
        <v>5.5170000000000003</v>
      </c>
      <c r="AQ1141">
        <v>56.828000000000003</v>
      </c>
      <c r="AR1141">
        <v>31.466999999999999</v>
      </c>
      <c r="AS1141">
        <v>40.713999999999999</v>
      </c>
    </row>
    <row r="1142" spans="1:45" x14ac:dyDescent="0.25">
      <c r="A1142">
        <v>76</v>
      </c>
      <c r="B1142">
        <v>8</v>
      </c>
      <c r="C1142">
        <v>1</v>
      </c>
      <c r="D1142">
        <v>2022</v>
      </c>
      <c r="E1142">
        <v>7</v>
      </c>
      <c r="F1142" t="str">
        <f>IFERROR(VLOOKUP(G1142, Map!$A$1:$B$33, 2, FALSE),"WAS")</f>
        <v>ARI</v>
      </c>
      <c r="G1142" t="s">
        <v>156</v>
      </c>
      <c r="H1142" t="str">
        <f>IFERROR(VLOOKUP(I1142, Map!$A$1:$B$33, 2, FALSE),"WAS")</f>
        <v>NO</v>
      </c>
      <c r="I1142" t="s">
        <v>168</v>
      </c>
      <c r="J1142" t="s">
        <v>190</v>
      </c>
      <c r="K1142" t="s">
        <v>192</v>
      </c>
      <c r="L1142">
        <v>1</v>
      </c>
      <c r="M1142">
        <v>0</v>
      </c>
      <c r="N1142">
        <v>43.235294117647101</v>
      </c>
      <c r="O1142">
        <v>-2.4411764705882399</v>
      </c>
      <c r="P1142">
        <v>-1</v>
      </c>
      <c r="Q1142">
        <v>42.5</v>
      </c>
      <c r="R1142">
        <v>21.8</v>
      </c>
      <c r="S1142">
        <v>28.6</v>
      </c>
      <c r="T1142">
        <v>15.6</v>
      </c>
      <c r="U1142">
        <v>21.1</v>
      </c>
      <c r="V1142">
        <v>0</v>
      </c>
      <c r="W1142">
        <v>0</v>
      </c>
      <c r="X1142">
        <v>0</v>
      </c>
      <c r="Y1142">
        <v>0</v>
      </c>
      <c r="Z1142">
        <v>12.1</v>
      </c>
      <c r="AA1142">
        <v>29.5</v>
      </c>
      <c r="AB1142">
        <v>139</v>
      </c>
      <c r="AC1142">
        <v>51</v>
      </c>
      <c r="AD1142">
        <v>16.399999999999999</v>
      </c>
      <c r="AE1142">
        <v>7</v>
      </c>
      <c r="AF1142">
        <v>63.685000000000002</v>
      </c>
      <c r="AG1142">
        <v>40.926000000000002</v>
      </c>
      <c r="AH1142">
        <v>35.889000000000003</v>
      </c>
      <c r="AI1142">
        <v>76.063000000000002</v>
      </c>
      <c r="AJ1142">
        <v>78.290999999999997</v>
      </c>
      <c r="AK1142">
        <v>81.016000000000005</v>
      </c>
      <c r="AL1142">
        <v>3.9980000000000002</v>
      </c>
      <c r="AM1142">
        <v>35.889000000000003</v>
      </c>
      <c r="AN1142">
        <v>40.926000000000002</v>
      </c>
      <c r="AO1142">
        <v>63.685000000000002</v>
      </c>
      <c r="AP1142">
        <v>-3.9980000000000002</v>
      </c>
      <c r="AQ1142">
        <v>21.709</v>
      </c>
      <c r="AR1142">
        <v>23.937000000000001</v>
      </c>
      <c r="AS1142">
        <v>18.984000000000002</v>
      </c>
    </row>
    <row r="1143" spans="1:45" x14ac:dyDescent="0.25">
      <c r="A1143">
        <v>29</v>
      </c>
      <c r="B1143">
        <v>9</v>
      </c>
      <c r="C1143">
        <v>1</v>
      </c>
      <c r="D1143">
        <v>2022</v>
      </c>
      <c r="E1143">
        <v>7</v>
      </c>
      <c r="F1143" t="str">
        <f>IFERROR(VLOOKUP(G1143, Map!$A$1:$B$33, 2, FALSE),"WAS")</f>
        <v>TEN</v>
      </c>
      <c r="G1143" t="s">
        <v>140</v>
      </c>
      <c r="H1143" t="str">
        <f>IFERROR(VLOOKUP(I1143, Map!$A$1:$B$33, 2, FALSE),"WAS")</f>
        <v>IND</v>
      </c>
      <c r="I1143" t="s">
        <v>138</v>
      </c>
      <c r="J1143" t="s">
        <v>174</v>
      </c>
      <c r="K1143" t="s">
        <v>177</v>
      </c>
      <c r="L1143">
        <v>1</v>
      </c>
      <c r="M1143">
        <v>0</v>
      </c>
      <c r="N1143">
        <v>39.794117647058798</v>
      </c>
      <c r="O1143">
        <v>-2.7941176470588198</v>
      </c>
      <c r="P1143">
        <v>-2</v>
      </c>
      <c r="Q1143">
        <v>34</v>
      </c>
      <c r="R1143">
        <v>19</v>
      </c>
      <c r="S1143">
        <v>25.1</v>
      </c>
      <c r="T1143">
        <v>13.7</v>
      </c>
      <c r="U1143">
        <v>17</v>
      </c>
      <c r="V1143">
        <v>0</v>
      </c>
      <c r="W1143">
        <v>0</v>
      </c>
      <c r="X1143">
        <v>0</v>
      </c>
      <c r="Y1143">
        <v>0</v>
      </c>
      <c r="Z1143">
        <v>18.100000000000001</v>
      </c>
      <c r="AA1143">
        <v>36.700000000000003</v>
      </c>
      <c r="AB1143">
        <v>172</v>
      </c>
      <c r="AC1143">
        <v>55</v>
      </c>
      <c r="AD1143">
        <v>24.2</v>
      </c>
      <c r="AE1143">
        <v>12.6</v>
      </c>
      <c r="AF1143">
        <v>49.948</v>
      </c>
      <c r="AG1143">
        <v>47.572000000000003</v>
      </c>
      <c r="AH1143">
        <v>49.417000000000002</v>
      </c>
      <c r="AI1143">
        <v>90</v>
      </c>
      <c r="AJ1143">
        <v>32.298000000000002</v>
      </c>
      <c r="AK1143">
        <v>76.805999999999997</v>
      </c>
      <c r="AL1143">
        <v>-1.4E-2</v>
      </c>
      <c r="AM1143">
        <v>49.417000000000002</v>
      </c>
      <c r="AN1143">
        <v>47.572000000000003</v>
      </c>
      <c r="AO1143">
        <v>49.948</v>
      </c>
      <c r="AP1143">
        <v>1.4E-2</v>
      </c>
      <c r="AQ1143">
        <v>67.701999999999998</v>
      </c>
      <c r="AR1143">
        <v>10</v>
      </c>
      <c r="AS1143">
        <v>23.193999999999999</v>
      </c>
    </row>
    <row r="1144" spans="1:45" x14ac:dyDescent="0.25">
      <c r="A1144">
        <v>47</v>
      </c>
      <c r="B1144">
        <v>-19</v>
      </c>
      <c r="C1144">
        <v>0</v>
      </c>
      <c r="D1144">
        <v>2022</v>
      </c>
      <c r="E1144">
        <v>7</v>
      </c>
      <c r="F1144" t="str">
        <f>IFERROR(VLOOKUP(G1144, Map!$A$1:$B$33, 2, FALSE),"WAS")</f>
        <v>NE</v>
      </c>
      <c r="G1144" t="s">
        <v>151</v>
      </c>
      <c r="H1144" t="str">
        <f>IFERROR(VLOOKUP(I1144, Map!$A$1:$B$33, 2, FALSE),"WAS")</f>
        <v>CHI</v>
      </c>
      <c r="I1144" t="s">
        <v>163</v>
      </c>
      <c r="J1144" t="s">
        <v>187</v>
      </c>
      <c r="K1144" t="s">
        <v>216</v>
      </c>
      <c r="L1144">
        <v>0</v>
      </c>
      <c r="M1144">
        <v>0</v>
      </c>
      <c r="N1144">
        <v>38.1</v>
      </c>
      <c r="O1144">
        <v>-6.1666666666666696</v>
      </c>
      <c r="P1144">
        <v>-7.5</v>
      </c>
      <c r="Q1144">
        <v>39.5</v>
      </c>
      <c r="R1144">
        <v>16.100000000000001</v>
      </c>
      <c r="S1144">
        <v>20.9</v>
      </c>
      <c r="T1144">
        <v>13.6</v>
      </c>
      <c r="U1144">
        <v>17.100000000000001</v>
      </c>
      <c r="V1144">
        <v>1.2</v>
      </c>
      <c r="W1144">
        <v>0</v>
      </c>
      <c r="X1144">
        <v>3</v>
      </c>
      <c r="Y1144">
        <v>1.2</v>
      </c>
      <c r="Z1144">
        <v>9.6999999999999993</v>
      </c>
      <c r="AA1144">
        <v>23</v>
      </c>
      <c r="AB1144">
        <v>73</v>
      </c>
      <c r="AC1144">
        <v>96</v>
      </c>
      <c r="AD1144">
        <v>15.1</v>
      </c>
      <c r="AE1144">
        <v>6.9</v>
      </c>
      <c r="AF1144">
        <v>82.084999999999994</v>
      </c>
      <c r="AG1144">
        <v>49.521999999999998</v>
      </c>
      <c r="AH1144">
        <v>17.748000000000001</v>
      </c>
      <c r="AI1144">
        <v>34.156999999999996</v>
      </c>
      <c r="AJ1144">
        <v>19.132999999999999</v>
      </c>
      <c r="AK1144">
        <v>14.724</v>
      </c>
      <c r="AL1144">
        <v>10.786</v>
      </c>
      <c r="AM1144">
        <v>17.748000000000001</v>
      </c>
      <c r="AN1144">
        <v>49.521999999999998</v>
      </c>
      <c r="AO1144">
        <v>82.084999999999994</v>
      </c>
      <c r="AP1144">
        <v>-10.786</v>
      </c>
      <c r="AQ1144">
        <v>80.867000000000004</v>
      </c>
      <c r="AR1144">
        <v>65.843000000000004</v>
      </c>
      <c r="AS1144">
        <v>85.275999999999996</v>
      </c>
    </row>
    <row r="1145" spans="1:45" x14ac:dyDescent="0.25">
      <c r="A1145">
        <v>24</v>
      </c>
      <c r="B1145">
        <v>18</v>
      </c>
      <c r="C1145">
        <v>1</v>
      </c>
      <c r="D1145">
        <v>2022</v>
      </c>
      <c r="E1145">
        <v>7</v>
      </c>
      <c r="F1145" t="str">
        <f>IFERROR(VLOOKUP(G1145, Map!$A$1:$B$33, 2, FALSE),"WAS")</f>
        <v>CAR</v>
      </c>
      <c r="G1145" t="s">
        <v>142</v>
      </c>
      <c r="H1145" t="str">
        <f>IFERROR(VLOOKUP(I1145, Map!$A$1:$B$33, 2, FALSE),"WAS")</f>
        <v>TB</v>
      </c>
      <c r="I1145" t="s">
        <v>141</v>
      </c>
      <c r="J1145" t="s">
        <v>185</v>
      </c>
      <c r="K1145" t="s">
        <v>186</v>
      </c>
      <c r="L1145">
        <v>1</v>
      </c>
      <c r="M1145">
        <v>0</v>
      </c>
      <c r="N1145">
        <v>35.84375</v>
      </c>
      <c r="O1145">
        <v>11.0625</v>
      </c>
      <c r="P1145">
        <v>2.5</v>
      </c>
      <c r="Q1145">
        <v>26.5</v>
      </c>
      <c r="R1145">
        <v>13.1</v>
      </c>
      <c r="S1145">
        <v>21.3</v>
      </c>
      <c r="T1145">
        <v>6.6</v>
      </c>
      <c r="U1145">
        <v>11</v>
      </c>
      <c r="V1145">
        <v>0</v>
      </c>
      <c r="W1145">
        <v>0</v>
      </c>
      <c r="X1145">
        <v>0</v>
      </c>
      <c r="Y1145">
        <v>0</v>
      </c>
      <c r="Z1145">
        <v>10.7</v>
      </c>
      <c r="AA1145">
        <v>21.2</v>
      </c>
      <c r="AB1145">
        <v>26</v>
      </c>
      <c r="AC1145">
        <v>64</v>
      </c>
      <c r="AD1145">
        <v>15.2</v>
      </c>
      <c r="AE1145">
        <v>8.1</v>
      </c>
      <c r="AF1145">
        <v>11.577999999999999</v>
      </c>
      <c r="AG1145">
        <v>50.530999999999999</v>
      </c>
      <c r="AH1145">
        <v>88.32</v>
      </c>
      <c r="AI1145">
        <v>81.960999999999999</v>
      </c>
      <c r="AJ1145">
        <v>74.055000000000007</v>
      </c>
      <c r="AK1145">
        <v>84.760999999999996</v>
      </c>
      <c r="AL1145">
        <v>-14.439</v>
      </c>
      <c r="AM1145">
        <v>88.32</v>
      </c>
      <c r="AN1145">
        <v>50.530999999999999</v>
      </c>
      <c r="AO1145">
        <v>11.577999999999999</v>
      </c>
      <c r="AP1145">
        <v>14.439</v>
      </c>
      <c r="AQ1145">
        <v>25.945</v>
      </c>
      <c r="AR1145">
        <v>18.039000000000001</v>
      </c>
      <c r="AS1145">
        <v>15.239000000000001</v>
      </c>
    </row>
    <row r="1146" spans="1:45" x14ac:dyDescent="0.25">
      <c r="A1146">
        <v>26</v>
      </c>
      <c r="B1146">
        <v>6</v>
      </c>
      <c r="C1146">
        <v>1</v>
      </c>
      <c r="D1146">
        <v>2022</v>
      </c>
      <c r="E1146">
        <v>7</v>
      </c>
      <c r="F1146" t="str">
        <f>IFERROR(VLOOKUP(G1146, Map!$A$1:$B$33, 2, FALSE),"WAS")</f>
        <v>MIA</v>
      </c>
      <c r="G1146" t="s">
        <v>152</v>
      </c>
      <c r="H1146" t="str">
        <f>IFERROR(VLOOKUP(I1146, Map!$A$1:$B$33, 2, FALSE),"WAS")</f>
        <v>PIT</v>
      </c>
      <c r="I1146" t="s">
        <v>145</v>
      </c>
      <c r="J1146" t="s">
        <v>175</v>
      </c>
      <c r="K1146" t="s">
        <v>170</v>
      </c>
      <c r="L1146">
        <v>1</v>
      </c>
      <c r="M1146">
        <v>0</v>
      </c>
      <c r="N1146">
        <v>40.705882352941202</v>
      </c>
      <c r="O1146">
        <v>-6.6470588235294104</v>
      </c>
      <c r="P1146">
        <v>-5.5</v>
      </c>
      <c r="Q1146">
        <v>27.5</v>
      </c>
      <c r="R1146">
        <v>23.3</v>
      </c>
      <c r="S1146">
        <v>27.8</v>
      </c>
      <c r="T1146">
        <v>20.100000000000001</v>
      </c>
      <c r="U1146">
        <v>25.6</v>
      </c>
      <c r="V1146">
        <v>0.8</v>
      </c>
      <c r="W1146">
        <v>0</v>
      </c>
      <c r="X1146">
        <v>3</v>
      </c>
      <c r="Y1146">
        <v>0.8</v>
      </c>
      <c r="Z1146">
        <v>17.899999999999999</v>
      </c>
      <c r="AA1146">
        <v>35.299999999999997</v>
      </c>
      <c r="AB1146">
        <v>32</v>
      </c>
      <c r="AC1146">
        <v>81</v>
      </c>
      <c r="AD1146">
        <v>20.3</v>
      </c>
      <c r="AE1146">
        <v>10.1</v>
      </c>
      <c r="AF1146">
        <v>72.480999999999995</v>
      </c>
      <c r="AG1146">
        <v>41.668999999999997</v>
      </c>
      <c r="AH1146">
        <v>27.231999999999999</v>
      </c>
      <c r="AI1146">
        <v>76.162000000000006</v>
      </c>
      <c r="AJ1146">
        <v>39.06</v>
      </c>
      <c r="AK1146">
        <v>63.584000000000003</v>
      </c>
      <c r="AL1146">
        <v>6.8780000000000001</v>
      </c>
      <c r="AM1146">
        <v>27.231999999999999</v>
      </c>
      <c r="AN1146">
        <v>41.668999999999997</v>
      </c>
      <c r="AO1146">
        <v>72.480999999999995</v>
      </c>
      <c r="AP1146">
        <v>-6.8780000000000001</v>
      </c>
      <c r="AQ1146">
        <v>60.94</v>
      </c>
      <c r="AR1146">
        <v>23.838000000000001</v>
      </c>
      <c r="AS1146">
        <v>36.415999999999997</v>
      </c>
    </row>
    <row r="1147" spans="1:45" x14ac:dyDescent="0.25">
      <c r="A1147">
        <v>40</v>
      </c>
      <c r="B1147">
        <v>-6</v>
      </c>
      <c r="C1147">
        <v>0</v>
      </c>
      <c r="D1147">
        <v>2022</v>
      </c>
      <c r="E1147">
        <v>7</v>
      </c>
      <c r="F1147" t="str">
        <f>IFERROR(VLOOKUP(G1147, Map!$A$1:$B$33, 2, FALSE),"WAS")</f>
        <v>JAX</v>
      </c>
      <c r="G1147" t="s">
        <v>139</v>
      </c>
      <c r="H1147" t="str">
        <f>IFERROR(VLOOKUP(I1147, Map!$A$1:$B$33, 2, FALSE),"WAS")</f>
        <v>NYG</v>
      </c>
      <c r="I1147" t="s">
        <v>149</v>
      </c>
      <c r="J1147" t="s">
        <v>220</v>
      </c>
      <c r="K1147" t="s">
        <v>219</v>
      </c>
      <c r="L1147">
        <v>0</v>
      </c>
      <c r="M1147">
        <v>0</v>
      </c>
      <c r="N1147">
        <v>41.088235294117602</v>
      </c>
      <c r="O1147">
        <v>-2.7352941176470602</v>
      </c>
      <c r="P1147">
        <v>-1.5</v>
      </c>
      <c r="Q1147">
        <v>42</v>
      </c>
      <c r="R1147">
        <v>17.2</v>
      </c>
      <c r="S1147">
        <v>24.1</v>
      </c>
      <c r="T1147">
        <v>12.2</v>
      </c>
      <c r="U1147">
        <v>16.899999999999999</v>
      </c>
      <c r="V1147">
        <v>0</v>
      </c>
      <c r="W1147">
        <v>0</v>
      </c>
      <c r="X1147">
        <v>0</v>
      </c>
      <c r="Y1147">
        <v>0</v>
      </c>
      <c r="Z1147">
        <v>17.2</v>
      </c>
      <c r="AA1147">
        <v>30.2</v>
      </c>
      <c r="AB1147">
        <v>18</v>
      </c>
      <c r="AC1147">
        <v>80</v>
      </c>
      <c r="AD1147">
        <v>19.2</v>
      </c>
      <c r="AE1147">
        <v>10.7</v>
      </c>
      <c r="AF1147">
        <v>72.798000000000002</v>
      </c>
      <c r="AG1147">
        <v>37.436999999999998</v>
      </c>
      <c r="AH1147">
        <v>26.919</v>
      </c>
      <c r="AI1147">
        <v>26.311</v>
      </c>
      <c r="AJ1147">
        <v>53.52</v>
      </c>
      <c r="AK1147">
        <v>30.652999999999999</v>
      </c>
      <c r="AL1147">
        <v>6.9859999999999998</v>
      </c>
      <c r="AM1147">
        <v>26.919</v>
      </c>
      <c r="AN1147">
        <v>37.436999999999998</v>
      </c>
      <c r="AO1147">
        <v>72.798000000000002</v>
      </c>
      <c r="AP1147">
        <v>-6.9859999999999998</v>
      </c>
      <c r="AQ1147">
        <v>46.48</v>
      </c>
      <c r="AR1147">
        <v>73.688999999999993</v>
      </c>
      <c r="AS1147">
        <v>69.346999999999994</v>
      </c>
    </row>
    <row r="1148" spans="1:45" x14ac:dyDescent="0.25">
      <c r="A1148">
        <v>58</v>
      </c>
      <c r="B1148">
        <v>18</v>
      </c>
      <c r="C1148">
        <v>1</v>
      </c>
      <c r="D1148">
        <v>2022</v>
      </c>
      <c r="E1148">
        <v>7</v>
      </c>
      <c r="F1148" t="str">
        <f>IFERROR(VLOOKUP(G1148, Map!$A$1:$B$33, 2, FALSE),"WAS")</f>
        <v>LV</v>
      </c>
      <c r="G1148" t="s">
        <v>157</v>
      </c>
      <c r="H1148" t="str">
        <f>IFERROR(VLOOKUP(I1148, Map!$A$1:$B$33, 2, FALSE),"WAS")</f>
        <v>HOU</v>
      </c>
      <c r="I1148" t="s">
        <v>137</v>
      </c>
      <c r="J1148" t="s">
        <v>179</v>
      </c>
      <c r="K1148" t="s">
        <v>209</v>
      </c>
      <c r="L1148">
        <v>1</v>
      </c>
      <c r="M1148">
        <v>0</v>
      </c>
      <c r="N1148">
        <v>45.6666666666667</v>
      </c>
      <c r="O1148">
        <v>-7.06666666666667</v>
      </c>
      <c r="P1148">
        <v>-6.5</v>
      </c>
      <c r="Q1148">
        <v>44</v>
      </c>
      <c r="R1148">
        <v>16.8</v>
      </c>
      <c r="S1148">
        <v>25.5</v>
      </c>
      <c r="T1148">
        <v>12</v>
      </c>
      <c r="U1148">
        <v>10.3</v>
      </c>
      <c r="V1148">
        <v>0.4</v>
      </c>
      <c r="W1148">
        <v>0</v>
      </c>
      <c r="X1148">
        <v>1</v>
      </c>
      <c r="Y1148">
        <v>0.4</v>
      </c>
      <c r="Z1148">
        <v>45.4</v>
      </c>
      <c r="AA1148">
        <v>81.400000000000006</v>
      </c>
      <c r="AB1148">
        <v>297</v>
      </c>
      <c r="AC1148">
        <v>31</v>
      </c>
      <c r="AD1148">
        <v>51.1</v>
      </c>
      <c r="AE1148">
        <v>30.4</v>
      </c>
      <c r="AF1148">
        <v>81.591999999999999</v>
      </c>
      <c r="AG1148">
        <v>29.902000000000001</v>
      </c>
      <c r="AH1148">
        <v>18.234999999999999</v>
      </c>
      <c r="AI1148">
        <v>32.500999999999998</v>
      </c>
      <c r="AJ1148">
        <v>94.915000000000006</v>
      </c>
      <c r="AK1148">
        <v>80.507999999999996</v>
      </c>
      <c r="AL1148">
        <v>10.574999999999999</v>
      </c>
      <c r="AM1148">
        <v>18.234999999999999</v>
      </c>
      <c r="AN1148">
        <v>29.902000000000001</v>
      </c>
      <c r="AO1148">
        <v>81.591999999999999</v>
      </c>
      <c r="AP1148">
        <v>-10.574999999999999</v>
      </c>
      <c r="AQ1148">
        <v>5.085</v>
      </c>
      <c r="AR1148">
        <v>67.498999999999995</v>
      </c>
      <c r="AS1148">
        <v>19.492000000000001</v>
      </c>
    </row>
    <row r="1149" spans="1:45" x14ac:dyDescent="0.25">
      <c r="A1149">
        <v>60</v>
      </c>
      <c r="B1149">
        <v>-14</v>
      </c>
      <c r="C1149">
        <v>0</v>
      </c>
      <c r="D1149">
        <v>2022</v>
      </c>
      <c r="E1149">
        <v>7</v>
      </c>
      <c r="F1149" t="str">
        <f>IFERROR(VLOOKUP(G1149, Map!$A$1:$B$33, 2, FALSE),"WAS")</f>
        <v>LAC</v>
      </c>
      <c r="G1149" t="s">
        <v>160</v>
      </c>
      <c r="H1149" t="str">
        <f>IFERROR(VLOOKUP(I1149, Map!$A$1:$B$33, 2, FALSE),"WAS")</f>
        <v>SEA</v>
      </c>
      <c r="I1149" t="s">
        <v>144</v>
      </c>
      <c r="J1149" t="s">
        <v>210</v>
      </c>
      <c r="K1149" t="s">
        <v>182</v>
      </c>
      <c r="L1149">
        <v>0</v>
      </c>
      <c r="M1149">
        <v>0</v>
      </c>
      <c r="N1149">
        <v>48.0625</v>
      </c>
      <c r="O1149">
        <v>-4.625</v>
      </c>
      <c r="P1149">
        <v>-3.5</v>
      </c>
      <c r="Q1149">
        <v>51</v>
      </c>
      <c r="R1149">
        <v>18</v>
      </c>
      <c r="S1149">
        <v>25.1</v>
      </c>
      <c r="T1149">
        <v>14</v>
      </c>
      <c r="U1149">
        <v>16.8</v>
      </c>
      <c r="V1149">
        <v>0.4</v>
      </c>
      <c r="W1149">
        <v>0</v>
      </c>
      <c r="X1149">
        <v>4</v>
      </c>
      <c r="Y1149">
        <v>0.4</v>
      </c>
      <c r="Z1149">
        <v>27.1</v>
      </c>
      <c r="AA1149">
        <v>47.5</v>
      </c>
      <c r="AB1149">
        <v>242</v>
      </c>
      <c r="AC1149">
        <v>68</v>
      </c>
      <c r="AD1149">
        <v>21.1</v>
      </c>
      <c r="AE1149">
        <v>11.5</v>
      </c>
      <c r="AF1149">
        <v>74.174999999999997</v>
      </c>
      <c r="AG1149">
        <v>37.409999999999997</v>
      </c>
      <c r="AH1149">
        <v>25.561</v>
      </c>
      <c r="AI1149">
        <v>38.262999999999998</v>
      </c>
      <c r="AJ1149">
        <v>12.066000000000001</v>
      </c>
      <c r="AK1149">
        <v>15.497</v>
      </c>
      <c r="AL1149">
        <v>7.4980000000000002</v>
      </c>
      <c r="AM1149">
        <v>25.561</v>
      </c>
      <c r="AN1149">
        <v>37.409999999999997</v>
      </c>
      <c r="AO1149">
        <v>74.174999999999997</v>
      </c>
      <c r="AP1149">
        <v>-7.4980000000000002</v>
      </c>
      <c r="AQ1149">
        <v>87.933999999999997</v>
      </c>
      <c r="AR1149">
        <v>61.737000000000002</v>
      </c>
      <c r="AS1149">
        <v>84.503</v>
      </c>
    </row>
    <row r="1150" spans="1:45" x14ac:dyDescent="0.25">
      <c r="A1150">
        <v>48</v>
      </c>
      <c r="B1150">
        <v>22</v>
      </c>
      <c r="C1150">
        <v>1</v>
      </c>
      <c r="D1150">
        <v>2022</v>
      </c>
      <c r="E1150">
        <v>8</v>
      </c>
      <c r="F1150" t="str">
        <f>IFERROR(VLOOKUP(G1150, Map!$A$1:$B$33, 2, FALSE),"WAS")</f>
        <v>PHI</v>
      </c>
      <c r="G1150" t="s">
        <v>147</v>
      </c>
      <c r="H1150" t="str">
        <f>IFERROR(VLOOKUP(I1150, Map!$A$1:$B$33, 2, FALSE),"WAS")</f>
        <v>PIT</v>
      </c>
      <c r="I1150" t="s">
        <v>145</v>
      </c>
      <c r="J1150" t="s">
        <v>206</v>
      </c>
      <c r="K1150" t="s">
        <v>170</v>
      </c>
      <c r="L1150">
        <v>1</v>
      </c>
      <c r="M1150">
        <v>0</v>
      </c>
      <c r="N1150">
        <v>40.84375</v>
      </c>
      <c r="O1150">
        <v>-10.875</v>
      </c>
      <c r="P1150">
        <v>-10.5</v>
      </c>
      <c r="Q1150">
        <v>42.5</v>
      </c>
      <c r="R1150">
        <v>10.1</v>
      </c>
      <c r="S1150">
        <v>16.8</v>
      </c>
      <c r="T1150">
        <v>4.7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9.3000000000000007</v>
      </c>
      <c r="AA1150">
        <v>13.3</v>
      </c>
      <c r="AB1150">
        <v>20</v>
      </c>
      <c r="AC1150">
        <v>68</v>
      </c>
      <c r="AD1150">
        <v>10.5</v>
      </c>
      <c r="AE1150">
        <v>4.8</v>
      </c>
      <c r="AF1150">
        <v>86.212000000000003</v>
      </c>
      <c r="AG1150">
        <v>75.191999999999993</v>
      </c>
      <c r="AH1150">
        <v>13.664999999999999</v>
      </c>
      <c r="AI1150">
        <v>72.051000000000002</v>
      </c>
      <c r="AJ1150">
        <v>95.915999999999997</v>
      </c>
      <c r="AK1150">
        <v>91.438999999999993</v>
      </c>
      <c r="AL1150">
        <v>12.991</v>
      </c>
      <c r="AM1150">
        <v>13.664999999999999</v>
      </c>
      <c r="AN1150">
        <v>75.191999999999993</v>
      </c>
      <c r="AO1150">
        <v>86.212000000000003</v>
      </c>
      <c r="AP1150">
        <v>-12.991</v>
      </c>
      <c r="AQ1150">
        <v>4.0839999999999996</v>
      </c>
      <c r="AR1150">
        <v>27.949000000000002</v>
      </c>
      <c r="AS1150">
        <v>8.5609999999999999</v>
      </c>
    </row>
    <row r="1151" spans="1:45" x14ac:dyDescent="0.25">
      <c r="A1151">
        <v>58</v>
      </c>
      <c r="B1151">
        <v>-4</v>
      </c>
      <c r="C1151">
        <v>0</v>
      </c>
      <c r="D1151">
        <v>2022</v>
      </c>
      <c r="E1151">
        <v>8</v>
      </c>
      <c r="F1151" t="str">
        <f>IFERROR(VLOOKUP(G1151, Map!$A$1:$B$33, 2, FALSE),"WAS")</f>
        <v>DET</v>
      </c>
      <c r="G1151" t="s">
        <v>164</v>
      </c>
      <c r="H1151" t="str">
        <f>IFERROR(VLOOKUP(I1151, Map!$A$1:$B$33, 2, FALSE),"WAS")</f>
        <v>MIA</v>
      </c>
      <c r="I1151" t="s">
        <v>152</v>
      </c>
      <c r="J1151" t="s">
        <v>173</v>
      </c>
      <c r="K1151" t="s">
        <v>175</v>
      </c>
      <c r="L1151">
        <v>0</v>
      </c>
      <c r="M1151">
        <v>0</v>
      </c>
      <c r="N1151">
        <v>49.8125</v>
      </c>
      <c r="O1151">
        <v>2.90625</v>
      </c>
      <c r="P1151">
        <v>3</v>
      </c>
      <c r="Q1151">
        <v>50.5</v>
      </c>
      <c r="R1151">
        <v>9</v>
      </c>
      <c r="S1151">
        <v>14.1</v>
      </c>
      <c r="T1151">
        <v>5.2</v>
      </c>
      <c r="U1151">
        <v>7.2</v>
      </c>
      <c r="V1151">
        <v>0</v>
      </c>
      <c r="W1151">
        <v>0</v>
      </c>
      <c r="X1151">
        <v>0</v>
      </c>
      <c r="Y1151">
        <v>0</v>
      </c>
      <c r="Z1151">
        <v>10.8</v>
      </c>
      <c r="AA1151">
        <v>17.600000000000001</v>
      </c>
      <c r="AB1151">
        <v>102</v>
      </c>
      <c r="AC1151">
        <v>88</v>
      </c>
      <c r="AD1151">
        <v>12.5</v>
      </c>
      <c r="AE1151">
        <v>6.9</v>
      </c>
      <c r="AF1151">
        <v>32.731000000000002</v>
      </c>
      <c r="AG1151">
        <v>37.409999999999997</v>
      </c>
      <c r="AH1151">
        <v>66.903999999999996</v>
      </c>
      <c r="AI1151">
        <v>12.199</v>
      </c>
      <c r="AJ1151">
        <v>72.572000000000003</v>
      </c>
      <c r="AK1151">
        <v>37.576000000000001</v>
      </c>
      <c r="AL1151">
        <v>-5.1180000000000003</v>
      </c>
      <c r="AM1151">
        <v>66.903999999999996</v>
      </c>
      <c r="AN1151">
        <v>37.409999999999997</v>
      </c>
      <c r="AO1151">
        <v>32.731000000000002</v>
      </c>
      <c r="AP1151">
        <v>5.1180000000000003</v>
      </c>
      <c r="AQ1151">
        <v>27.428000000000001</v>
      </c>
      <c r="AR1151">
        <v>87.801000000000002</v>
      </c>
      <c r="AS1151">
        <v>62.423999999999999</v>
      </c>
    </row>
    <row r="1152" spans="1:45" x14ac:dyDescent="0.25">
      <c r="A1152">
        <v>38</v>
      </c>
      <c r="B1152">
        <v>-4</v>
      </c>
      <c r="C1152">
        <v>0</v>
      </c>
      <c r="D1152">
        <v>2022</v>
      </c>
      <c r="E1152">
        <v>8</v>
      </c>
      <c r="F1152" t="str">
        <f>IFERROR(VLOOKUP(G1152, Map!$A$1:$B$33, 2, FALSE),"WAS")</f>
        <v>JAX</v>
      </c>
      <c r="G1152" t="s">
        <v>139</v>
      </c>
      <c r="H1152" t="str">
        <f>IFERROR(VLOOKUP(I1152, Map!$A$1:$B$33, 2, FALSE),"WAS")</f>
        <v>DEN</v>
      </c>
      <c r="I1152" t="s">
        <v>159</v>
      </c>
      <c r="J1152" t="s">
        <v>220</v>
      </c>
      <c r="K1152" t="s">
        <v>183</v>
      </c>
      <c r="L1152">
        <v>0</v>
      </c>
      <c r="M1152">
        <v>0</v>
      </c>
      <c r="N1152">
        <v>37.9375</v>
      </c>
      <c r="O1152">
        <v>-0.75</v>
      </c>
      <c r="P1152">
        <v>-1</v>
      </c>
      <c r="Q1152">
        <v>39.5</v>
      </c>
      <c r="R1152">
        <v>14.2</v>
      </c>
      <c r="S1152">
        <v>15.7</v>
      </c>
      <c r="T1152">
        <v>11.8</v>
      </c>
      <c r="U1152">
        <v>12.5</v>
      </c>
      <c r="V1152">
        <v>1.3</v>
      </c>
      <c r="W1152">
        <v>0</v>
      </c>
      <c r="X1152">
        <v>6</v>
      </c>
      <c r="Y1152">
        <v>1.3</v>
      </c>
      <c r="Z1152">
        <v>24.3</v>
      </c>
      <c r="AA1152">
        <v>39.6</v>
      </c>
      <c r="AB1152">
        <v>200</v>
      </c>
      <c r="AC1152">
        <v>86</v>
      </c>
      <c r="AD1152">
        <v>26.5</v>
      </c>
      <c r="AE1152">
        <v>15.7</v>
      </c>
      <c r="AF1152">
        <v>49.195</v>
      </c>
      <c r="AG1152">
        <v>41.496000000000002</v>
      </c>
      <c r="AH1152">
        <v>50.171999999999997</v>
      </c>
      <c r="AI1152">
        <v>47.34</v>
      </c>
      <c r="AJ1152">
        <v>33.784999999999997</v>
      </c>
      <c r="AK1152">
        <v>37.957999999999998</v>
      </c>
      <c r="AL1152">
        <v>-0.23100000000000001</v>
      </c>
      <c r="AM1152">
        <v>50.171999999999997</v>
      </c>
      <c r="AN1152">
        <v>41.496000000000002</v>
      </c>
      <c r="AO1152">
        <v>49.195</v>
      </c>
      <c r="AP1152">
        <v>0.23100000000000001</v>
      </c>
      <c r="AQ1152">
        <v>66.215000000000003</v>
      </c>
      <c r="AR1152">
        <v>52.66</v>
      </c>
      <c r="AS1152">
        <v>62.042000000000002</v>
      </c>
    </row>
    <row r="1153" spans="1:45" x14ac:dyDescent="0.25">
      <c r="A1153">
        <v>45</v>
      </c>
      <c r="B1153">
        <v>-17</v>
      </c>
      <c r="C1153">
        <v>0</v>
      </c>
      <c r="D1153">
        <v>2022</v>
      </c>
      <c r="E1153">
        <v>8</v>
      </c>
      <c r="F1153" t="str">
        <f>IFERROR(VLOOKUP(G1153, Map!$A$1:$B$33, 2, FALSE),"WAS")</f>
        <v>LA</v>
      </c>
      <c r="G1153" t="s">
        <v>155</v>
      </c>
      <c r="H1153" t="str">
        <f>IFERROR(VLOOKUP(I1153, Map!$A$1:$B$33, 2, FALSE),"WAS")</f>
        <v>SF</v>
      </c>
      <c r="I1153" t="s">
        <v>143</v>
      </c>
      <c r="J1153" t="s">
        <v>178</v>
      </c>
      <c r="K1153" t="s">
        <v>197</v>
      </c>
      <c r="L1153">
        <v>0</v>
      </c>
      <c r="M1153">
        <v>0</v>
      </c>
      <c r="N1153">
        <v>39.233333333333299</v>
      </c>
      <c r="O1153">
        <v>-0.2</v>
      </c>
      <c r="P1153">
        <v>0</v>
      </c>
      <c r="Q1153">
        <v>41.5</v>
      </c>
      <c r="R1153">
        <v>17.399999999999999</v>
      </c>
      <c r="S1153">
        <v>26.4</v>
      </c>
      <c r="T1153">
        <v>11.4</v>
      </c>
      <c r="U1153">
        <v>14.9</v>
      </c>
      <c r="V1153">
        <v>0</v>
      </c>
      <c r="W1153">
        <v>0</v>
      </c>
      <c r="X1153">
        <v>0</v>
      </c>
      <c r="Y1153">
        <v>0</v>
      </c>
      <c r="Z1153">
        <v>19.8</v>
      </c>
      <c r="AA1153">
        <v>33.799999999999997</v>
      </c>
      <c r="AB1153">
        <v>331</v>
      </c>
      <c r="AC1153">
        <v>43</v>
      </c>
      <c r="AD1153">
        <v>15.7</v>
      </c>
      <c r="AE1153">
        <v>8.8000000000000007</v>
      </c>
      <c r="AF1153">
        <v>52.664000000000001</v>
      </c>
      <c r="AG1153">
        <v>46.616999999999997</v>
      </c>
      <c r="AH1153">
        <v>46.715000000000003</v>
      </c>
      <c r="AI1153">
        <v>7.516</v>
      </c>
      <c r="AJ1153">
        <v>60.354999999999997</v>
      </c>
      <c r="AK1153">
        <v>19.103000000000002</v>
      </c>
      <c r="AL1153">
        <v>0.75700000000000001</v>
      </c>
      <c r="AM1153">
        <v>46.715000000000003</v>
      </c>
      <c r="AN1153">
        <v>46.616999999999997</v>
      </c>
      <c r="AO1153">
        <v>52.664000000000001</v>
      </c>
      <c r="AP1153">
        <v>-0.75700000000000001</v>
      </c>
      <c r="AQ1153">
        <v>39.645000000000003</v>
      </c>
      <c r="AR1153">
        <v>92.483999999999995</v>
      </c>
      <c r="AS1153">
        <v>80.897000000000006</v>
      </c>
    </row>
    <row r="1154" spans="1:45" x14ac:dyDescent="0.25">
      <c r="A1154">
        <v>60</v>
      </c>
      <c r="B1154">
        <v>8</v>
      </c>
      <c r="C1154">
        <v>1</v>
      </c>
      <c r="D1154">
        <v>2022</v>
      </c>
      <c r="E1154">
        <v>8</v>
      </c>
      <c r="F1154" t="str">
        <f>IFERROR(VLOOKUP(G1154, Map!$A$1:$B$33, 2, FALSE),"WAS")</f>
        <v>MIN</v>
      </c>
      <c r="G1154" t="s">
        <v>153</v>
      </c>
      <c r="H1154" t="str">
        <f>IFERROR(VLOOKUP(I1154, Map!$A$1:$B$33, 2, FALSE),"WAS")</f>
        <v>ARI</v>
      </c>
      <c r="I1154" t="s">
        <v>156</v>
      </c>
      <c r="J1154" t="s">
        <v>214</v>
      </c>
      <c r="K1154" t="s">
        <v>190</v>
      </c>
      <c r="L1154">
        <v>1</v>
      </c>
      <c r="M1154">
        <v>0</v>
      </c>
      <c r="N1154">
        <v>45.375</v>
      </c>
      <c r="O1154">
        <v>-3.78125</v>
      </c>
      <c r="P1154">
        <v>-3.5</v>
      </c>
      <c r="Q1154">
        <v>47.5</v>
      </c>
      <c r="R1154">
        <v>10.4</v>
      </c>
      <c r="S1154">
        <v>16.899999999999999</v>
      </c>
      <c r="T1154">
        <v>4.5999999999999996</v>
      </c>
      <c r="U1154">
        <v>7.8</v>
      </c>
      <c r="V1154">
        <v>0</v>
      </c>
      <c r="W1154">
        <v>0</v>
      </c>
      <c r="X1154">
        <v>0</v>
      </c>
      <c r="Y1154">
        <v>0</v>
      </c>
      <c r="Z1154">
        <v>13.1</v>
      </c>
      <c r="AA1154">
        <v>22.3</v>
      </c>
      <c r="AB1154">
        <v>212</v>
      </c>
      <c r="AC1154">
        <v>65</v>
      </c>
      <c r="AD1154">
        <v>14.8</v>
      </c>
      <c r="AE1154">
        <v>8</v>
      </c>
      <c r="AF1154">
        <v>58.86</v>
      </c>
      <c r="AG1154">
        <v>58.026000000000003</v>
      </c>
      <c r="AH1154">
        <v>40.622999999999998</v>
      </c>
      <c r="AI1154">
        <v>59.652000000000001</v>
      </c>
      <c r="AJ1154">
        <v>65.004999999999995</v>
      </c>
      <c r="AK1154">
        <v>69.040000000000006</v>
      </c>
      <c r="AL1154">
        <v>2.548</v>
      </c>
      <c r="AM1154">
        <v>40.622999999999998</v>
      </c>
      <c r="AN1154">
        <v>58.026000000000003</v>
      </c>
      <c r="AO1154">
        <v>58.86</v>
      </c>
      <c r="AP1154">
        <v>-2.548</v>
      </c>
      <c r="AQ1154">
        <v>34.994999999999997</v>
      </c>
      <c r="AR1154">
        <v>40.347999999999999</v>
      </c>
      <c r="AS1154">
        <v>30.96</v>
      </c>
    </row>
    <row r="1155" spans="1:45" x14ac:dyDescent="0.25">
      <c r="A1155">
        <v>49</v>
      </c>
      <c r="B1155">
        <v>-5</v>
      </c>
      <c r="C1155">
        <v>0</v>
      </c>
      <c r="D1155">
        <v>2022</v>
      </c>
      <c r="E1155">
        <v>8</v>
      </c>
      <c r="F1155" t="str">
        <f>IFERROR(VLOOKUP(G1155, Map!$A$1:$B$33, 2, FALSE),"WAS")</f>
        <v>TB</v>
      </c>
      <c r="G1155" t="s">
        <v>141</v>
      </c>
      <c r="H1155" t="str">
        <f>IFERROR(VLOOKUP(I1155, Map!$A$1:$B$33, 2, FALSE),"WAS")</f>
        <v>BAL</v>
      </c>
      <c r="I1155" t="s">
        <v>146</v>
      </c>
      <c r="J1155" t="s">
        <v>186</v>
      </c>
      <c r="K1155" t="s">
        <v>181</v>
      </c>
      <c r="L1155">
        <v>0</v>
      </c>
      <c r="M1155">
        <v>0</v>
      </c>
      <c r="N1155">
        <v>42.866666666666703</v>
      </c>
      <c r="O1155">
        <v>-0.66666666666666696</v>
      </c>
      <c r="P1155">
        <v>-1.5</v>
      </c>
      <c r="Q1155">
        <v>43.5</v>
      </c>
      <c r="R1155">
        <v>24</v>
      </c>
      <c r="S1155">
        <v>28.8</v>
      </c>
      <c r="T1155">
        <v>20.399999999999999</v>
      </c>
      <c r="U1155">
        <v>26.9</v>
      </c>
      <c r="V1155">
        <v>1.4</v>
      </c>
      <c r="W1155">
        <v>0</v>
      </c>
      <c r="X1155">
        <v>5</v>
      </c>
      <c r="Y1155">
        <v>1.4</v>
      </c>
      <c r="Z1155">
        <v>15</v>
      </c>
      <c r="AA1155">
        <v>24.8</v>
      </c>
      <c r="AB1155">
        <v>67</v>
      </c>
      <c r="AC1155">
        <v>83</v>
      </c>
      <c r="AD1155">
        <v>18.2</v>
      </c>
      <c r="AE1155">
        <v>9.1999999999999993</v>
      </c>
      <c r="AF1155">
        <v>54.628</v>
      </c>
      <c r="AG1155">
        <v>73.772999999999996</v>
      </c>
      <c r="AH1155">
        <v>44.780999999999999</v>
      </c>
      <c r="AI1155">
        <v>33.904000000000003</v>
      </c>
      <c r="AJ1155">
        <v>51.747</v>
      </c>
      <c r="AK1155">
        <v>29.488</v>
      </c>
      <c r="AL1155">
        <v>1.3160000000000001</v>
      </c>
      <c r="AM1155">
        <v>44.780999999999999</v>
      </c>
      <c r="AN1155">
        <v>73.772999999999996</v>
      </c>
      <c r="AO1155">
        <v>54.628</v>
      </c>
      <c r="AP1155">
        <v>-1.3160000000000001</v>
      </c>
      <c r="AQ1155">
        <v>48.253</v>
      </c>
      <c r="AR1155">
        <v>66.096000000000004</v>
      </c>
      <c r="AS1155">
        <v>70.512</v>
      </c>
    </row>
    <row r="1156" spans="1:45" x14ac:dyDescent="0.25">
      <c r="A1156">
        <v>45</v>
      </c>
      <c r="B1156">
        <v>19</v>
      </c>
      <c r="C1156">
        <v>1</v>
      </c>
      <c r="D1156">
        <v>2022</v>
      </c>
      <c r="E1156">
        <v>8</v>
      </c>
      <c r="F1156" t="str">
        <f>IFERROR(VLOOKUP(G1156, Map!$A$1:$B$33, 2, FALSE),"WAS")</f>
        <v>CLE</v>
      </c>
      <c r="G1156" t="s">
        <v>162</v>
      </c>
      <c r="H1156" t="str">
        <f>IFERROR(VLOOKUP(I1156, Map!$A$1:$B$33, 2, FALSE),"WAS")</f>
        <v>CIN</v>
      </c>
      <c r="I1156" t="s">
        <v>161</v>
      </c>
      <c r="J1156" t="s">
        <v>171</v>
      </c>
      <c r="K1156" t="s">
        <v>176</v>
      </c>
      <c r="L1156">
        <v>1</v>
      </c>
      <c r="M1156">
        <v>0</v>
      </c>
      <c r="N1156">
        <v>42.53125</v>
      </c>
      <c r="O1156">
        <v>1.5</v>
      </c>
      <c r="P1156">
        <v>3</v>
      </c>
      <c r="Q1156">
        <v>44.5</v>
      </c>
      <c r="R1156">
        <v>13.7</v>
      </c>
      <c r="S1156">
        <v>14.8</v>
      </c>
      <c r="T1156">
        <v>11.3</v>
      </c>
      <c r="U1156">
        <v>12.4</v>
      </c>
      <c r="V1156">
        <v>7.6</v>
      </c>
      <c r="W1156">
        <v>0</v>
      </c>
      <c r="X1156">
        <v>7</v>
      </c>
      <c r="Y1156">
        <v>7.6</v>
      </c>
      <c r="Z1156">
        <v>21</v>
      </c>
      <c r="AA1156">
        <v>34.6</v>
      </c>
      <c r="AB1156">
        <v>248</v>
      </c>
      <c r="AC1156">
        <v>91</v>
      </c>
      <c r="AD1156">
        <v>23.1</v>
      </c>
      <c r="AE1156">
        <v>13.8</v>
      </c>
      <c r="AF1156">
        <v>30.058</v>
      </c>
      <c r="AG1156">
        <v>49.575000000000003</v>
      </c>
      <c r="AH1156">
        <v>69.623999999999995</v>
      </c>
      <c r="AI1156">
        <v>89.96</v>
      </c>
      <c r="AJ1156">
        <v>65.412999999999997</v>
      </c>
      <c r="AK1156">
        <v>90.167000000000002</v>
      </c>
      <c r="AL1156">
        <v>-6.0039999999999996</v>
      </c>
      <c r="AM1156">
        <v>69.623999999999995</v>
      </c>
      <c r="AN1156">
        <v>49.575000000000003</v>
      </c>
      <c r="AO1156">
        <v>30.058</v>
      </c>
      <c r="AP1156">
        <v>6.0039999999999996</v>
      </c>
      <c r="AQ1156">
        <v>34.587000000000003</v>
      </c>
      <c r="AR1156">
        <v>10.039999999999999</v>
      </c>
      <c r="AS1156">
        <v>9.8330000000000002</v>
      </c>
    </row>
    <row r="1157" spans="1:45" x14ac:dyDescent="0.25">
      <c r="A1157">
        <v>27</v>
      </c>
      <c r="B1157">
        <v>-7</v>
      </c>
      <c r="C1157">
        <v>0</v>
      </c>
      <c r="D1157">
        <v>2022</v>
      </c>
      <c r="E1157">
        <v>8</v>
      </c>
      <c r="F1157" t="str">
        <f>IFERROR(VLOOKUP(G1157, Map!$A$1:$B$33, 2, FALSE),"WAS")</f>
        <v>HOU</v>
      </c>
      <c r="G1157" t="s">
        <v>137</v>
      </c>
      <c r="H1157" t="str">
        <f>IFERROR(VLOOKUP(I1157, Map!$A$1:$B$33, 2, FALSE),"WAS")</f>
        <v>TEN</v>
      </c>
      <c r="I1157" t="s">
        <v>140</v>
      </c>
      <c r="J1157" t="s">
        <v>209</v>
      </c>
      <c r="K1157" t="s">
        <v>174</v>
      </c>
      <c r="L1157">
        <v>0</v>
      </c>
      <c r="M1157">
        <v>0</v>
      </c>
      <c r="N1157">
        <v>37</v>
      </c>
      <c r="O1157">
        <v>1.2</v>
      </c>
      <c r="P1157">
        <v>1</v>
      </c>
      <c r="Q1157">
        <v>39.5</v>
      </c>
      <c r="R1157">
        <v>17.3</v>
      </c>
      <c r="S1157">
        <v>23.1</v>
      </c>
      <c r="T1157">
        <v>12.7</v>
      </c>
      <c r="U1157">
        <v>16.7</v>
      </c>
      <c r="V1157">
        <v>0</v>
      </c>
      <c r="W1157">
        <v>0</v>
      </c>
      <c r="X1157">
        <v>0</v>
      </c>
      <c r="Y1157">
        <v>0</v>
      </c>
      <c r="Z1157">
        <v>17.899999999999999</v>
      </c>
      <c r="AA1157">
        <v>32</v>
      </c>
      <c r="AB1157">
        <v>286</v>
      </c>
      <c r="AC1157">
        <v>75</v>
      </c>
      <c r="AD1157">
        <v>19.2</v>
      </c>
      <c r="AE1157">
        <v>10.4</v>
      </c>
      <c r="AF1157">
        <v>58.616</v>
      </c>
      <c r="AG1157">
        <v>6.1159999999999997</v>
      </c>
      <c r="AH1157">
        <v>40.859000000000002</v>
      </c>
      <c r="AI1157">
        <v>52.002000000000002</v>
      </c>
      <c r="AJ1157">
        <v>1.637</v>
      </c>
      <c r="AK1157">
        <v>19.395</v>
      </c>
      <c r="AL1157">
        <v>2.4710000000000001</v>
      </c>
      <c r="AM1157">
        <v>40.859000000000002</v>
      </c>
      <c r="AN1157">
        <v>6.1159999999999997</v>
      </c>
      <c r="AO1157">
        <v>58.616</v>
      </c>
      <c r="AP1157">
        <v>-2.4710000000000001</v>
      </c>
      <c r="AQ1157">
        <v>98.363</v>
      </c>
      <c r="AR1157">
        <v>47.997999999999998</v>
      </c>
      <c r="AS1157">
        <v>80.605000000000004</v>
      </c>
    </row>
    <row r="1158" spans="1:45" x14ac:dyDescent="0.25">
      <c r="A1158">
        <v>78</v>
      </c>
      <c r="B1158">
        <v>20</v>
      </c>
      <c r="C1158">
        <v>1</v>
      </c>
      <c r="D1158">
        <v>2022</v>
      </c>
      <c r="E1158">
        <v>8</v>
      </c>
      <c r="F1158" t="str">
        <f>IFERROR(VLOOKUP(G1158, Map!$A$1:$B$33, 2, FALSE),"WAS")</f>
        <v>DAL</v>
      </c>
      <c r="G1158" t="s">
        <v>150</v>
      </c>
      <c r="H1158" t="str">
        <f>IFERROR(VLOOKUP(I1158, Map!$A$1:$B$33, 2, FALSE),"WAS")</f>
        <v>CHI</v>
      </c>
      <c r="I1158" t="s">
        <v>163</v>
      </c>
      <c r="J1158" t="s">
        <v>184</v>
      </c>
      <c r="K1158" t="s">
        <v>216</v>
      </c>
      <c r="L1158">
        <v>1</v>
      </c>
      <c r="M1158">
        <v>0</v>
      </c>
      <c r="N1158">
        <v>41.5625</v>
      </c>
      <c r="O1158">
        <v>-9.28125</v>
      </c>
      <c r="P1158">
        <v>-9.5</v>
      </c>
      <c r="Q1158">
        <v>42</v>
      </c>
      <c r="R1158">
        <v>16.2</v>
      </c>
      <c r="S1158">
        <v>22.1</v>
      </c>
      <c r="T1158">
        <v>12</v>
      </c>
      <c r="U1158">
        <v>14.8</v>
      </c>
      <c r="V1158">
        <v>0.2</v>
      </c>
      <c r="W1158">
        <v>0</v>
      </c>
      <c r="X1158">
        <v>2</v>
      </c>
      <c r="Y1158">
        <v>0.2</v>
      </c>
      <c r="Z1158">
        <v>17.600000000000001</v>
      </c>
      <c r="AA1158">
        <v>29.9</v>
      </c>
      <c r="AB1158">
        <v>297</v>
      </c>
      <c r="AC1158">
        <v>76</v>
      </c>
      <c r="AD1158">
        <v>24.3</v>
      </c>
      <c r="AE1158">
        <v>13.6</v>
      </c>
      <c r="AF1158">
        <v>85.216999999999999</v>
      </c>
      <c r="AG1158">
        <v>38.883000000000003</v>
      </c>
      <c r="AH1158">
        <v>14.648999999999999</v>
      </c>
      <c r="AI1158">
        <v>48.593000000000004</v>
      </c>
      <c r="AJ1158">
        <v>98.204999999999998</v>
      </c>
      <c r="AK1158">
        <v>89.278000000000006</v>
      </c>
      <c r="AL1158">
        <v>12.438000000000001</v>
      </c>
      <c r="AM1158">
        <v>14.648999999999999</v>
      </c>
      <c r="AN1158">
        <v>38.883000000000003</v>
      </c>
      <c r="AO1158">
        <v>85.216999999999999</v>
      </c>
      <c r="AP1158">
        <v>-12.438000000000001</v>
      </c>
      <c r="AQ1158">
        <v>1.7949999999999999</v>
      </c>
      <c r="AR1158">
        <v>51.406999999999996</v>
      </c>
      <c r="AS1158">
        <v>10.722</v>
      </c>
    </row>
    <row r="1159" spans="1:45" x14ac:dyDescent="0.25">
      <c r="A1159">
        <v>39</v>
      </c>
      <c r="B1159">
        <v>-5</v>
      </c>
      <c r="C1159">
        <v>0</v>
      </c>
      <c r="D1159">
        <v>2022</v>
      </c>
      <c r="E1159">
        <v>8</v>
      </c>
      <c r="F1159" t="str">
        <f>IFERROR(VLOOKUP(G1159, Map!$A$1:$B$33, 2, FALSE),"WAS")</f>
        <v>NYJ</v>
      </c>
      <c r="G1159" t="s">
        <v>166</v>
      </c>
      <c r="H1159" t="str">
        <f>IFERROR(VLOOKUP(I1159, Map!$A$1:$B$33, 2, FALSE),"WAS")</f>
        <v>NE</v>
      </c>
      <c r="I1159" t="s">
        <v>151</v>
      </c>
      <c r="J1159" t="s">
        <v>172</v>
      </c>
      <c r="K1159" t="s">
        <v>187</v>
      </c>
      <c r="L1159">
        <v>0</v>
      </c>
      <c r="M1159">
        <v>0</v>
      </c>
      <c r="N1159">
        <v>37.46875</v>
      </c>
      <c r="O1159">
        <v>2.46875</v>
      </c>
      <c r="P1159">
        <v>1.5</v>
      </c>
      <c r="Q1159">
        <v>39.5</v>
      </c>
      <c r="R1159">
        <v>8.6999999999999993</v>
      </c>
      <c r="S1159">
        <v>16.600000000000001</v>
      </c>
      <c r="T1159">
        <v>2.5</v>
      </c>
      <c r="U1159">
        <v>6.1</v>
      </c>
      <c r="V1159">
        <v>0</v>
      </c>
      <c r="W1159">
        <v>0</v>
      </c>
      <c r="X1159">
        <v>0</v>
      </c>
      <c r="Y1159">
        <v>0</v>
      </c>
      <c r="Z1159">
        <v>9.1</v>
      </c>
      <c r="AA1159">
        <v>18</v>
      </c>
      <c r="AB1159">
        <v>353</v>
      </c>
      <c r="AC1159">
        <v>67</v>
      </c>
      <c r="AD1159">
        <v>12</v>
      </c>
      <c r="AE1159">
        <v>5.9</v>
      </c>
      <c r="AF1159">
        <v>51.771999999999998</v>
      </c>
      <c r="AG1159">
        <v>38.512</v>
      </c>
      <c r="AH1159">
        <v>47.595999999999997</v>
      </c>
      <c r="AI1159">
        <v>70.653000000000006</v>
      </c>
      <c r="AJ1159">
        <v>19.632999999999999</v>
      </c>
      <c r="AK1159">
        <v>27.132999999999999</v>
      </c>
      <c r="AL1159">
        <v>0.501</v>
      </c>
      <c r="AM1159">
        <v>47.595999999999997</v>
      </c>
      <c r="AN1159">
        <v>38.512</v>
      </c>
      <c r="AO1159">
        <v>51.771999999999998</v>
      </c>
      <c r="AP1159">
        <v>-0.501</v>
      </c>
      <c r="AQ1159">
        <v>80.367000000000004</v>
      </c>
      <c r="AR1159">
        <v>29.347000000000001</v>
      </c>
      <c r="AS1159">
        <v>72.867000000000004</v>
      </c>
    </row>
    <row r="1160" spans="1:45" x14ac:dyDescent="0.25">
      <c r="A1160">
        <v>40</v>
      </c>
      <c r="B1160">
        <v>14</v>
      </c>
      <c r="C1160">
        <v>1</v>
      </c>
      <c r="D1160">
        <v>2022</v>
      </c>
      <c r="E1160">
        <v>8</v>
      </c>
      <c r="F1160" t="str">
        <f>IFERROR(VLOOKUP(G1160, Map!$A$1:$B$33, 2, FALSE),"WAS")</f>
        <v>SEA</v>
      </c>
      <c r="G1160" t="s">
        <v>144</v>
      </c>
      <c r="H1160" t="str">
        <f>IFERROR(VLOOKUP(I1160, Map!$A$1:$B$33, 2, FALSE),"WAS")</f>
        <v>NYG</v>
      </c>
      <c r="I1160" t="s">
        <v>149</v>
      </c>
      <c r="J1160" t="s">
        <v>182</v>
      </c>
      <c r="K1160" t="s">
        <v>219</v>
      </c>
      <c r="L1160">
        <v>1</v>
      </c>
      <c r="M1160">
        <v>0</v>
      </c>
      <c r="N1160">
        <v>41.533333333333303</v>
      </c>
      <c r="O1160">
        <v>-2.93333333333333</v>
      </c>
      <c r="P1160">
        <v>-3</v>
      </c>
      <c r="Q1160">
        <v>44</v>
      </c>
      <c r="R1160">
        <v>11</v>
      </c>
      <c r="S1160">
        <v>13.1</v>
      </c>
      <c r="T1160">
        <v>9.8000000000000007</v>
      </c>
      <c r="U1160">
        <v>7.1</v>
      </c>
      <c r="V1160">
        <v>3.7</v>
      </c>
      <c r="W1160">
        <v>0</v>
      </c>
      <c r="X1160">
        <v>13</v>
      </c>
      <c r="Y1160">
        <v>3.7</v>
      </c>
      <c r="Z1160">
        <v>30.3</v>
      </c>
      <c r="AA1160">
        <v>52.2</v>
      </c>
      <c r="AB1160">
        <v>188</v>
      </c>
      <c r="AC1160">
        <v>77</v>
      </c>
      <c r="AD1160">
        <v>37.1</v>
      </c>
      <c r="AE1160">
        <v>21.4</v>
      </c>
      <c r="AF1160">
        <v>59.042000000000002</v>
      </c>
      <c r="AG1160">
        <v>13.85</v>
      </c>
      <c r="AH1160">
        <v>40.441000000000003</v>
      </c>
      <c r="AI1160">
        <v>74.227999999999994</v>
      </c>
      <c r="AJ1160">
        <v>34.674999999999997</v>
      </c>
      <c r="AK1160">
        <v>76.018000000000001</v>
      </c>
      <c r="AL1160">
        <v>2.593</v>
      </c>
      <c r="AM1160">
        <v>40.441000000000003</v>
      </c>
      <c r="AN1160">
        <v>13.85</v>
      </c>
      <c r="AO1160">
        <v>59.042000000000002</v>
      </c>
      <c r="AP1160">
        <v>-2.593</v>
      </c>
      <c r="AQ1160">
        <v>65.325000000000003</v>
      </c>
      <c r="AR1160">
        <v>25.771999999999998</v>
      </c>
      <c r="AS1160">
        <v>23.981999999999999</v>
      </c>
    </row>
    <row r="1161" spans="1:45" x14ac:dyDescent="0.25">
      <c r="A1161">
        <v>71</v>
      </c>
      <c r="B1161">
        <v>3</v>
      </c>
      <c r="C1161">
        <v>1</v>
      </c>
      <c r="D1161">
        <v>2022</v>
      </c>
      <c r="E1161">
        <v>8</v>
      </c>
      <c r="F1161" t="str">
        <f>IFERROR(VLOOKUP(G1161, Map!$A$1:$B$33, 2, FALSE),"WAS")</f>
        <v>ATL</v>
      </c>
      <c r="G1161" t="s">
        <v>167</v>
      </c>
      <c r="H1161" t="str">
        <f>IFERROR(VLOOKUP(I1161, Map!$A$1:$B$33, 2, FALSE),"WAS")</f>
        <v>CAR</v>
      </c>
      <c r="I1161" t="s">
        <v>142</v>
      </c>
      <c r="J1161" t="s">
        <v>188</v>
      </c>
      <c r="K1161" t="s">
        <v>185</v>
      </c>
      <c r="L1161">
        <v>1</v>
      </c>
      <c r="M1161">
        <v>0</v>
      </c>
      <c r="N1161">
        <v>38.84375</v>
      </c>
      <c r="O1161">
        <v>-3.875</v>
      </c>
      <c r="P1161">
        <v>-4</v>
      </c>
      <c r="Q1161">
        <v>41</v>
      </c>
      <c r="R1161">
        <v>14.3</v>
      </c>
      <c r="S1161">
        <v>16.399999999999999</v>
      </c>
      <c r="T1161">
        <v>12.6</v>
      </c>
      <c r="U1161">
        <v>11.9</v>
      </c>
      <c r="V1161">
        <v>3.2</v>
      </c>
      <c r="W1161">
        <v>0</v>
      </c>
      <c r="X1161">
        <v>4</v>
      </c>
      <c r="Y1161">
        <v>3.2</v>
      </c>
      <c r="Z1161">
        <v>23.5</v>
      </c>
      <c r="AA1161">
        <v>43.2</v>
      </c>
      <c r="AB1161">
        <v>99</v>
      </c>
      <c r="AC1161">
        <v>84</v>
      </c>
      <c r="AD1161">
        <v>34.700000000000003</v>
      </c>
      <c r="AE1161">
        <v>19.399999999999999</v>
      </c>
      <c r="AF1161">
        <v>68.283000000000001</v>
      </c>
      <c r="AG1161">
        <v>14.180999999999999</v>
      </c>
      <c r="AH1161">
        <v>31.367000000000001</v>
      </c>
      <c r="AI1161">
        <v>49.875</v>
      </c>
      <c r="AJ1161">
        <v>63.383000000000003</v>
      </c>
      <c r="AK1161">
        <v>58.249000000000002</v>
      </c>
      <c r="AL1161">
        <v>5.4370000000000003</v>
      </c>
      <c r="AM1161">
        <v>31.367000000000001</v>
      </c>
      <c r="AN1161">
        <v>14.180999999999999</v>
      </c>
      <c r="AO1161">
        <v>68.283000000000001</v>
      </c>
      <c r="AP1161">
        <v>-5.4370000000000003</v>
      </c>
      <c r="AQ1161">
        <v>36.616999999999997</v>
      </c>
      <c r="AR1161">
        <v>50.125</v>
      </c>
      <c r="AS1161">
        <v>41.750999999999998</v>
      </c>
    </row>
    <row r="1162" spans="1:45" x14ac:dyDescent="0.25">
      <c r="A1162">
        <v>33</v>
      </c>
      <c r="B1162">
        <v>-1</v>
      </c>
      <c r="C1162">
        <v>0</v>
      </c>
      <c r="D1162">
        <v>2022</v>
      </c>
      <c r="E1162">
        <v>8</v>
      </c>
      <c r="F1162" t="str">
        <f>IFERROR(VLOOKUP(G1162, Map!$A$1:$B$33, 2, FALSE),"WAS")</f>
        <v>IND</v>
      </c>
      <c r="G1162" t="s">
        <v>138</v>
      </c>
      <c r="H1162" t="str">
        <f>IFERROR(VLOOKUP(I1162, Map!$A$1:$B$33, 2, FALSE),"WAS")</f>
        <v>WAS</v>
      </c>
      <c r="I1162" t="s">
        <v>148</v>
      </c>
      <c r="J1162" t="s">
        <v>177</v>
      </c>
      <c r="K1162" t="s">
        <v>205</v>
      </c>
      <c r="L1162">
        <v>0</v>
      </c>
      <c r="M1162">
        <v>0</v>
      </c>
      <c r="N1162">
        <v>40.035714285714299</v>
      </c>
      <c r="O1162">
        <v>-2.96428571428571</v>
      </c>
      <c r="P1162">
        <v>-2.5</v>
      </c>
      <c r="Q1162">
        <v>39.5</v>
      </c>
      <c r="R1162">
        <v>12.9</v>
      </c>
      <c r="S1162">
        <v>17.399999999999999</v>
      </c>
      <c r="T1162">
        <v>8.9</v>
      </c>
      <c r="U1162">
        <v>10.8</v>
      </c>
      <c r="V1162">
        <v>0.4</v>
      </c>
      <c r="W1162">
        <v>0</v>
      </c>
      <c r="X1162">
        <v>3</v>
      </c>
      <c r="Y1162">
        <v>0.4</v>
      </c>
      <c r="Z1162">
        <v>14.9</v>
      </c>
      <c r="AA1162">
        <v>29.5</v>
      </c>
      <c r="AB1162">
        <v>125</v>
      </c>
      <c r="AC1162">
        <v>69</v>
      </c>
      <c r="AD1162">
        <v>18.7</v>
      </c>
      <c r="AE1162">
        <v>10.1</v>
      </c>
      <c r="AF1162">
        <v>48.484000000000002</v>
      </c>
      <c r="AG1162">
        <v>18.452999999999999</v>
      </c>
      <c r="AH1162">
        <v>50.883000000000003</v>
      </c>
      <c r="AI1162">
        <v>63.76</v>
      </c>
      <c r="AJ1162">
        <v>32.929000000000002</v>
      </c>
      <c r="AK1162">
        <v>51.707999999999998</v>
      </c>
      <c r="AL1162">
        <v>-0.43</v>
      </c>
      <c r="AM1162">
        <v>50.883000000000003</v>
      </c>
      <c r="AN1162">
        <v>18.452999999999999</v>
      </c>
      <c r="AO1162">
        <v>48.484000000000002</v>
      </c>
      <c r="AP1162">
        <v>0.43</v>
      </c>
      <c r="AQ1162">
        <v>67.070999999999998</v>
      </c>
      <c r="AR1162">
        <v>36.24</v>
      </c>
      <c r="AS1162">
        <v>48.292000000000002</v>
      </c>
    </row>
    <row r="1163" spans="1:45" x14ac:dyDescent="0.25">
      <c r="A1163">
        <v>24</v>
      </c>
      <c r="B1163">
        <v>24</v>
      </c>
      <c r="C1163">
        <v>1</v>
      </c>
      <c r="D1163">
        <v>2022</v>
      </c>
      <c r="E1163">
        <v>8</v>
      </c>
      <c r="F1163" t="str">
        <f>IFERROR(VLOOKUP(G1163, Map!$A$1:$B$33, 2, FALSE),"WAS")</f>
        <v>NO</v>
      </c>
      <c r="G1163" t="s">
        <v>168</v>
      </c>
      <c r="H1163" t="str">
        <f>IFERROR(VLOOKUP(I1163, Map!$A$1:$B$33, 2, FALSE),"WAS")</f>
        <v>LV</v>
      </c>
      <c r="I1163" t="s">
        <v>157</v>
      </c>
      <c r="J1163" t="s">
        <v>192</v>
      </c>
      <c r="K1163" t="s">
        <v>179</v>
      </c>
      <c r="L1163">
        <v>1</v>
      </c>
      <c r="M1163">
        <v>0</v>
      </c>
      <c r="N1163">
        <v>47.8333333333333</v>
      </c>
      <c r="O1163">
        <v>3.3333333333333298E-2</v>
      </c>
      <c r="P1163">
        <v>0.5</v>
      </c>
      <c r="Q1163">
        <v>38.5</v>
      </c>
      <c r="R1163">
        <v>18.7</v>
      </c>
      <c r="S1163">
        <v>22.5</v>
      </c>
      <c r="T1163">
        <v>14.8</v>
      </c>
      <c r="U1163">
        <v>18.2</v>
      </c>
      <c r="V1163">
        <v>0</v>
      </c>
      <c r="W1163">
        <v>0</v>
      </c>
      <c r="X1163">
        <v>0</v>
      </c>
      <c r="Y1163">
        <v>0</v>
      </c>
      <c r="Z1163">
        <v>19.2</v>
      </c>
      <c r="AA1163">
        <v>33.799999999999997</v>
      </c>
      <c r="AB1163">
        <v>261</v>
      </c>
      <c r="AC1163">
        <v>75</v>
      </c>
      <c r="AD1163">
        <v>23.4</v>
      </c>
      <c r="AE1163">
        <v>12.1</v>
      </c>
      <c r="AF1163">
        <v>39.353999999999999</v>
      </c>
      <c r="AG1163">
        <v>78.481999999999999</v>
      </c>
      <c r="AH1163">
        <v>60.17</v>
      </c>
      <c r="AI1163">
        <v>92.536000000000001</v>
      </c>
      <c r="AJ1163">
        <v>86.281000000000006</v>
      </c>
      <c r="AK1163">
        <v>97.375</v>
      </c>
      <c r="AL1163">
        <v>-3.0630000000000002</v>
      </c>
      <c r="AM1163">
        <v>60.17</v>
      </c>
      <c r="AN1163">
        <v>78.481999999999999</v>
      </c>
      <c r="AO1163">
        <v>39.353999999999999</v>
      </c>
      <c r="AP1163">
        <v>3.0630000000000002</v>
      </c>
      <c r="AQ1163">
        <v>13.718999999999999</v>
      </c>
      <c r="AR1163">
        <v>7.4640000000000004</v>
      </c>
      <c r="AS1163">
        <v>2.625</v>
      </c>
    </row>
    <row r="1164" spans="1:45" x14ac:dyDescent="0.25">
      <c r="A1164">
        <v>44</v>
      </c>
      <c r="B1164">
        <v>10</v>
      </c>
      <c r="C1164">
        <v>1</v>
      </c>
      <c r="D1164">
        <v>2022</v>
      </c>
      <c r="E1164">
        <v>8</v>
      </c>
      <c r="F1164" t="str">
        <f>IFERROR(VLOOKUP(G1164, Map!$A$1:$B$33, 2, FALSE),"WAS")</f>
        <v>BUF</v>
      </c>
      <c r="G1164" t="s">
        <v>165</v>
      </c>
      <c r="H1164" t="str">
        <f>IFERROR(VLOOKUP(I1164, Map!$A$1:$B$33, 2, FALSE),"WAS")</f>
        <v>GB</v>
      </c>
      <c r="I1164" t="s">
        <v>154</v>
      </c>
      <c r="J1164" t="s">
        <v>180</v>
      </c>
      <c r="K1164" t="s">
        <v>200</v>
      </c>
      <c r="L1164">
        <v>1</v>
      </c>
      <c r="M1164">
        <v>0</v>
      </c>
      <c r="N1164">
        <v>44.03125</v>
      </c>
      <c r="O1164">
        <v>-9.75</v>
      </c>
      <c r="P1164">
        <v>-9.5</v>
      </c>
      <c r="Q1164">
        <v>46.5</v>
      </c>
      <c r="R1164">
        <v>15.1</v>
      </c>
      <c r="S1164">
        <v>20.8</v>
      </c>
      <c r="T1164">
        <v>11.7</v>
      </c>
      <c r="U1164">
        <v>15.2</v>
      </c>
      <c r="V1164">
        <v>11.1</v>
      </c>
      <c r="W1164">
        <v>0</v>
      </c>
      <c r="X1164">
        <v>14</v>
      </c>
      <c r="Y1164">
        <v>11.1</v>
      </c>
      <c r="Z1164">
        <v>13.2</v>
      </c>
      <c r="AA1164">
        <v>31.7</v>
      </c>
      <c r="AB1164">
        <v>129</v>
      </c>
      <c r="AC1164">
        <v>92</v>
      </c>
      <c r="AD1164">
        <v>18</v>
      </c>
      <c r="AE1164">
        <v>8.6999999999999993</v>
      </c>
      <c r="AF1164">
        <v>83.031999999999996</v>
      </c>
      <c r="AG1164">
        <v>99.734999999999999</v>
      </c>
      <c r="AH1164">
        <v>16.809999999999999</v>
      </c>
      <c r="AI1164">
        <v>62.439</v>
      </c>
      <c r="AJ1164">
        <v>92.521000000000001</v>
      </c>
      <c r="AK1164">
        <v>90.298000000000002</v>
      </c>
      <c r="AL1164">
        <v>11.317</v>
      </c>
      <c r="AM1164">
        <v>16.809999999999999</v>
      </c>
      <c r="AN1164">
        <v>99.734999999999999</v>
      </c>
      <c r="AO1164">
        <v>83.031999999999996</v>
      </c>
      <c r="AP1164">
        <v>-11.317</v>
      </c>
      <c r="AQ1164">
        <v>7.4790000000000001</v>
      </c>
      <c r="AR1164">
        <v>37.561</v>
      </c>
      <c r="AS1164">
        <v>9.702</v>
      </c>
    </row>
    <row r="1165" spans="1:45" x14ac:dyDescent="0.25">
      <c r="A1165">
        <v>40</v>
      </c>
      <c r="B1165">
        <v>-14</v>
      </c>
      <c r="C1165">
        <v>0</v>
      </c>
      <c r="D1165">
        <v>2022</v>
      </c>
      <c r="E1165">
        <v>9</v>
      </c>
      <c r="F1165" t="str">
        <f>IFERROR(VLOOKUP(G1165, Map!$A$1:$B$33, 2, FALSE),"WAS")</f>
        <v>NO</v>
      </c>
      <c r="G1165" t="s">
        <v>168</v>
      </c>
      <c r="H1165" t="str">
        <f>IFERROR(VLOOKUP(I1165, Map!$A$1:$B$33, 2, FALSE),"WAS")</f>
        <v>BAL</v>
      </c>
      <c r="I1165" t="s">
        <v>146</v>
      </c>
      <c r="J1165" t="s">
        <v>192</v>
      </c>
      <c r="K1165" t="s">
        <v>181</v>
      </c>
      <c r="L1165">
        <v>0</v>
      </c>
      <c r="M1165">
        <v>0</v>
      </c>
      <c r="N1165">
        <v>42.766666666666701</v>
      </c>
      <c r="O1165">
        <v>2.5</v>
      </c>
      <c r="P1165">
        <v>1.5</v>
      </c>
      <c r="Q1165">
        <v>41.5</v>
      </c>
      <c r="R1165">
        <v>23.7</v>
      </c>
      <c r="S1165">
        <v>27.1</v>
      </c>
      <c r="T1165">
        <v>21.2</v>
      </c>
      <c r="U1165">
        <v>26.6</v>
      </c>
      <c r="V1165">
        <v>0</v>
      </c>
      <c r="W1165">
        <v>0</v>
      </c>
      <c r="X1165">
        <v>0</v>
      </c>
      <c r="Y1165">
        <v>0</v>
      </c>
      <c r="Z1165">
        <v>18.399999999999999</v>
      </c>
      <c r="AA1165">
        <v>34.9</v>
      </c>
      <c r="AB1165">
        <v>69</v>
      </c>
      <c r="AC1165">
        <v>86</v>
      </c>
      <c r="AD1165">
        <v>20.7</v>
      </c>
      <c r="AE1165">
        <v>10.7</v>
      </c>
      <c r="AF1165">
        <v>45.673999999999999</v>
      </c>
      <c r="AG1165">
        <v>49.575000000000003</v>
      </c>
      <c r="AH1165">
        <v>53.726999999999997</v>
      </c>
      <c r="AI1165">
        <v>26.321000000000002</v>
      </c>
      <c r="AJ1165">
        <v>17.959</v>
      </c>
      <c r="AK1165">
        <v>13.426</v>
      </c>
      <c r="AL1165">
        <v>-1.228</v>
      </c>
      <c r="AM1165">
        <v>53.726999999999997</v>
      </c>
      <c r="AN1165">
        <v>49.575000000000003</v>
      </c>
      <c r="AO1165">
        <v>45.673999999999999</v>
      </c>
      <c r="AP1165">
        <v>1.228</v>
      </c>
      <c r="AQ1165">
        <v>82.040999999999997</v>
      </c>
      <c r="AR1165">
        <v>73.679000000000002</v>
      </c>
      <c r="AS1165">
        <v>86.573999999999998</v>
      </c>
    </row>
    <row r="1166" spans="1:45" x14ac:dyDescent="0.25">
      <c r="A1166">
        <v>37</v>
      </c>
      <c r="B1166">
        <v>-3</v>
      </c>
      <c r="C1166">
        <v>0</v>
      </c>
      <c r="D1166">
        <v>2022</v>
      </c>
      <c r="E1166">
        <v>9</v>
      </c>
      <c r="F1166" t="str">
        <f>IFERROR(VLOOKUP(G1166, Map!$A$1:$B$33, 2, FALSE),"WAS")</f>
        <v>ATL</v>
      </c>
      <c r="G1166" t="s">
        <v>167</v>
      </c>
      <c r="H1166" t="str">
        <f>IFERROR(VLOOKUP(I1166, Map!$A$1:$B$33, 2, FALSE),"WAS")</f>
        <v>LAC</v>
      </c>
      <c r="I1166" t="s">
        <v>160</v>
      </c>
      <c r="J1166" t="s">
        <v>188</v>
      </c>
      <c r="K1166" t="s">
        <v>210</v>
      </c>
      <c r="L1166">
        <v>0</v>
      </c>
      <c r="M1166">
        <v>0</v>
      </c>
      <c r="N1166">
        <v>45.53125</v>
      </c>
      <c r="O1166">
        <v>2.46875</v>
      </c>
      <c r="P1166">
        <v>2.5</v>
      </c>
      <c r="Q1166">
        <v>38.5</v>
      </c>
      <c r="R1166">
        <v>21.2</v>
      </c>
      <c r="S1166">
        <v>26.3</v>
      </c>
      <c r="T1166">
        <v>17.2</v>
      </c>
      <c r="U1166">
        <v>22.6</v>
      </c>
      <c r="V1166">
        <v>0.2</v>
      </c>
      <c r="W1166">
        <v>0</v>
      </c>
      <c r="X1166">
        <v>2</v>
      </c>
      <c r="Y1166">
        <v>0.2</v>
      </c>
      <c r="Z1166">
        <v>29.1</v>
      </c>
      <c r="AA1166">
        <v>49</v>
      </c>
      <c r="AB1166">
        <v>140</v>
      </c>
      <c r="AC1166">
        <v>83</v>
      </c>
      <c r="AD1166">
        <v>21.5</v>
      </c>
      <c r="AE1166">
        <v>10.1</v>
      </c>
      <c r="AF1166">
        <v>56.835000000000001</v>
      </c>
      <c r="AG1166">
        <v>48.819000000000003</v>
      </c>
      <c r="AH1166">
        <v>42.606000000000002</v>
      </c>
      <c r="AI1166">
        <v>49.244</v>
      </c>
      <c r="AJ1166">
        <v>47.454000000000001</v>
      </c>
      <c r="AK1166">
        <v>42.045999999999999</v>
      </c>
      <c r="AL1166">
        <v>1.962</v>
      </c>
      <c r="AM1166">
        <v>42.606000000000002</v>
      </c>
      <c r="AN1166">
        <v>48.819000000000003</v>
      </c>
      <c r="AO1166">
        <v>56.835000000000001</v>
      </c>
      <c r="AP1166">
        <v>-1.962</v>
      </c>
      <c r="AQ1166">
        <v>52.545999999999999</v>
      </c>
      <c r="AR1166">
        <v>50.756</v>
      </c>
      <c r="AS1166">
        <v>57.954000000000001</v>
      </c>
    </row>
    <row r="1167" spans="1:45" x14ac:dyDescent="0.25">
      <c r="A1167">
        <v>37</v>
      </c>
      <c r="B1167">
        <v>3</v>
      </c>
      <c r="C1167">
        <v>1</v>
      </c>
      <c r="D1167">
        <v>2022</v>
      </c>
      <c r="E1167">
        <v>9</v>
      </c>
      <c r="F1167" t="str">
        <f>IFERROR(VLOOKUP(G1167, Map!$A$1:$B$33, 2, FALSE),"WAS")</f>
        <v>NYJ</v>
      </c>
      <c r="G1167" t="s">
        <v>166</v>
      </c>
      <c r="H1167" t="str">
        <f>IFERROR(VLOOKUP(I1167, Map!$A$1:$B$33, 2, FALSE),"WAS")</f>
        <v>BUF</v>
      </c>
      <c r="I1167" t="s">
        <v>165</v>
      </c>
      <c r="J1167" t="s">
        <v>172</v>
      </c>
      <c r="K1167" t="s">
        <v>180</v>
      </c>
      <c r="L1167">
        <v>1</v>
      </c>
      <c r="M1167">
        <v>0</v>
      </c>
      <c r="N1167">
        <v>43.03125</v>
      </c>
      <c r="O1167">
        <v>9.21875</v>
      </c>
      <c r="P1167">
        <v>-2.5</v>
      </c>
      <c r="Q1167">
        <v>42.5</v>
      </c>
      <c r="R1167">
        <v>19.8</v>
      </c>
      <c r="S1167">
        <v>22.9</v>
      </c>
      <c r="T1167">
        <v>17.7</v>
      </c>
      <c r="U1167">
        <v>19.7</v>
      </c>
      <c r="V1167">
        <v>3.2</v>
      </c>
      <c r="W1167">
        <v>0</v>
      </c>
      <c r="X1167">
        <v>4</v>
      </c>
      <c r="Y1167">
        <v>3.2</v>
      </c>
      <c r="Z1167">
        <v>21.4</v>
      </c>
      <c r="AA1167">
        <v>42.8</v>
      </c>
      <c r="AB1167">
        <v>193</v>
      </c>
      <c r="AC1167">
        <v>82</v>
      </c>
      <c r="AD1167">
        <v>32.1</v>
      </c>
      <c r="AE1167">
        <v>16.600000000000001</v>
      </c>
      <c r="AF1167">
        <v>17.771000000000001</v>
      </c>
      <c r="AG1167">
        <v>69.09</v>
      </c>
      <c r="AH1167">
        <v>82.063000000000002</v>
      </c>
      <c r="AI1167">
        <v>53.710999999999999</v>
      </c>
      <c r="AJ1167">
        <v>51.262</v>
      </c>
      <c r="AK1167">
        <v>56.198999999999998</v>
      </c>
      <c r="AL1167">
        <v>-10.895</v>
      </c>
      <c r="AM1167">
        <v>82.063000000000002</v>
      </c>
      <c r="AN1167">
        <v>69.09</v>
      </c>
      <c r="AO1167">
        <v>17.771000000000001</v>
      </c>
      <c r="AP1167">
        <v>10.895</v>
      </c>
      <c r="AQ1167">
        <v>48.738</v>
      </c>
      <c r="AR1167">
        <v>46.289000000000001</v>
      </c>
      <c r="AS1167">
        <v>43.801000000000002</v>
      </c>
    </row>
    <row r="1168" spans="1:45" x14ac:dyDescent="0.25">
      <c r="A1168">
        <v>29</v>
      </c>
      <c r="B1168">
        <v>23</v>
      </c>
      <c r="C1168">
        <v>1</v>
      </c>
      <c r="D1168">
        <v>2022</v>
      </c>
      <c r="E1168">
        <v>9</v>
      </c>
      <c r="F1168" t="str">
        <f>IFERROR(VLOOKUP(G1168, Map!$A$1:$B$33, 2, FALSE),"WAS")</f>
        <v>NE</v>
      </c>
      <c r="G1168" t="s">
        <v>151</v>
      </c>
      <c r="H1168" t="str">
        <f>IFERROR(VLOOKUP(I1168, Map!$A$1:$B$33, 2, FALSE),"WAS")</f>
        <v>IND</v>
      </c>
      <c r="I1168" t="s">
        <v>138</v>
      </c>
      <c r="J1168" t="s">
        <v>187</v>
      </c>
      <c r="K1168" t="s">
        <v>177</v>
      </c>
      <c r="L1168">
        <v>1</v>
      </c>
      <c r="M1168">
        <v>0</v>
      </c>
      <c r="N1168">
        <v>36.9375</v>
      </c>
      <c r="O1168">
        <v>-5.625</v>
      </c>
      <c r="P1168">
        <v>-4.5</v>
      </c>
      <c r="Q1168">
        <v>30.5</v>
      </c>
      <c r="R1168">
        <v>19.7</v>
      </c>
      <c r="S1168">
        <v>23.6</v>
      </c>
      <c r="T1168">
        <v>17.100000000000001</v>
      </c>
      <c r="U1168">
        <v>19</v>
      </c>
      <c r="V1168">
        <v>0</v>
      </c>
      <c r="W1168">
        <v>0</v>
      </c>
      <c r="X1168">
        <v>0</v>
      </c>
      <c r="Y1168">
        <v>0</v>
      </c>
      <c r="Z1168">
        <v>24.1</v>
      </c>
      <c r="AA1168">
        <v>53.6</v>
      </c>
      <c r="AB1168">
        <v>200</v>
      </c>
      <c r="AC1168">
        <v>78</v>
      </c>
      <c r="AD1168">
        <v>39.799999999999997</v>
      </c>
      <c r="AE1168">
        <v>18.3</v>
      </c>
      <c r="AF1168">
        <v>77.814999999999998</v>
      </c>
      <c r="AG1168">
        <v>23.68</v>
      </c>
      <c r="AH1168">
        <v>21.968</v>
      </c>
      <c r="AI1168">
        <v>97.99</v>
      </c>
      <c r="AJ1168">
        <v>12.180999999999999</v>
      </c>
      <c r="AK1168">
        <v>88.903999999999996</v>
      </c>
      <c r="AL1168">
        <v>8.89</v>
      </c>
      <c r="AM1168">
        <v>21.968</v>
      </c>
      <c r="AN1168">
        <v>23.68</v>
      </c>
      <c r="AO1168">
        <v>77.814999999999998</v>
      </c>
      <c r="AP1168">
        <v>-8.89</v>
      </c>
      <c r="AQ1168">
        <v>87.819000000000003</v>
      </c>
      <c r="AR1168">
        <v>2.0099999999999998</v>
      </c>
      <c r="AS1168">
        <v>11.096</v>
      </c>
    </row>
    <row r="1169" spans="1:45" x14ac:dyDescent="0.25">
      <c r="A1169">
        <v>24</v>
      </c>
      <c r="B1169">
        <v>6</v>
      </c>
      <c r="C1169">
        <v>1</v>
      </c>
      <c r="D1169">
        <v>2022</v>
      </c>
      <c r="E1169">
        <v>9</v>
      </c>
      <c r="F1169" t="str">
        <f>IFERROR(VLOOKUP(G1169, Map!$A$1:$B$33, 2, FALSE),"WAS")</f>
        <v>DET</v>
      </c>
      <c r="G1169" t="s">
        <v>164</v>
      </c>
      <c r="H1169" t="str">
        <f>IFERROR(VLOOKUP(I1169, Map!$A$1:$B$33, 2, FALSE),"WAS")</f>
        <v>GB</v>
      </c>
      <c r="I1169" t="s">
        <v>154</v>
      </c>
      <c r="J1169" t="s">
        <v>173</v>
      </c>
      <c r="K1169" t="s">
        <v>200</v>
      </c>
      <c r="L1169">
        <v>1</v>
      </c>
      <c r="M1169">
        <v>0</v>
      </c>
      <c r="N1169">
        <v>44.6</v>
      </c>
      <c r="O1169">
        <v>3</v>
      </c>
      <c r="P1169">
        <v>3.5</v>
      </c>
      <c r="Q1169">
        <v>25.5</v>
      </c>
      <c r="R1169">
        <v>14</v>
      </c>
      <c r="S1169">
        <v>21</v>
      </c>
      <c r="T1169">
        <v>8.4</v>
      </c>
      <c r="U1169">
        <v>9.6999999999999993</v>
      </c>
      <c r="V1169">
        <v>0</v>
      </c>
      <c r="W1169">
        <v>0</v>
      </c>
      <c r="X1169">
        <v>0</v>
      </c>
      <c r="Y1169">
        <v>0</v>
      </c>
      <c r="Z1169">
        <v>39</v>
      </c>
      <c r="AA1169">
        <v>71.3</v>
      </c>
      <c r="AB1169">
        <v>221</v>
      </c>
      <c r="AC1169">
        <v>60</v>
      </c>
      <c r="AD1169">
        <v>40.299999999999997</v>
      </c>
      <c r="AE1169">
        <v>23.3</v>
      </c>
      <c r="AF1169">
        <v>27.15</v>
      </c>
      <c r="AG1169">
        <v>58.371000000000002</v>
      </c>
      <c r="AH1169">
        <v>72.569000000000003</v>
      </c>
      <c r="AI1169">
        <v>73.197000000000003</v>
      </c>
      <c r="AJ1169">
        <v>42.191000000000003</v>
      </c>
      <c r="AK1169">
        <v>62.210999999999999</v>
      </c>
      <c r="AL1169">
        <v>-7.016</v>
      </c>
      <c r="AM1169">
        <v>72.569000000000003</v>
      </c>
      <c r="AN1169">
        <v>58.371000000000002</v>
      </c>
      <c r="AO1169">
        <v>27.15</v>
      </c>
      <c r="AP1169">
        <v>7.016</v>
      </c>
      <c r="AQ1169">
        <v>57.808999999999997</v>
      </c>
      <c r="AR1169">
        <v>26.803000000000001</v>
      </c>
      <c r="AS1169">
        <v>37.789000000000001</v>
      </c>
    </row>
    <row r="1170" spans="1:45" x14ac:dyDescent="0.25">
      <c r="A1170">
        <v>47</v>
      </c>
      <c r="B1170">
        <v>7</v>
      </c>
      <c r="C1170">
        <v>1</v>
      </c>
      <c r="D1170">
        <v>2022</v>
      </c>
      <c r="E1170">
        <v>9</v>
      </c>
      <c r="F1170" t="str">
        <f>IFERROR(VLOOKUP(G1170, Map!$A$1:$B$33, 2, FALSE),"WAS")</f>
        <v>JAX</v>
      </c>
      <c r="G1170" t="s">
        <v>139</v>
      </c>
      <c r="H1170" t="str">
        <f>IFERROR(VLOOKUP(I1170, Map!$A$1:$B$33, 2, FALSE),"WAS")</f>
        <v>LV</v>
      </c>
      <c r="I1170" t="s">
        <v>157</v>
      </c>
      <c r="J1170" t="s">
        <v>220</v>
      </c>
      <c r="K1170" t="s">
        <v>179</v>
      </c>
      <c r="L1170">
        <v>1</v>
      </c>
      <c r="M1170">
        <v>0</v>
      </c>
      <c r="N1170">
        <v>47.933333333333302</v>
      </c>
      <c r="O1170">
        <v>1.7</v>
      </c>
      <c r="P1170">
        <v>1.5</v>
      </c>
      <c r="Q1170">
        <v>47.5</v>
      </c>
      <c r="R1170">
        <v>23.7</v>
      </c>
      <c r="S1170">
        <v>27</v>
      </c>
      <c r="T1170">
        <v>21.7</v>
      </c>
      <c r="U1170">
        <v>26.6</v>
      </c>
      <c r="V1170">
        <v>2.6</v>
      </c>
      <c r="W1170">
        <v>0</v>
      </c>
      <c r="X1170">
        <v>10</v>
      </c>
      <c r="Y1170">
        <v>2.6</v>
      </c>
      <c r="Z1170">
        <v>19.2</v>
      </c>
      <c r="AA1170">
        <v>34.6</v>
      </c>
      <c r="AB1170">
        <v>91</v>
      </c>
      <c r="AC1170">
        <v>87</v>
      </c>
      <c r="AD1170">
        <v>20.3</v>
      </c>
      <c r="AE1170">
        <v>10.9</v>
      </c>
      <c r="AF1170">
        <v>49.28</v>
      </c>
      <c r="AG1170">
        <v>80.180000000000007</v>
      </c>
      <c r="AH1170">
        <v>50.087000000000003</v>
      </c>
      <c r="AI1170">
        <v>51.637</v>
      </c>
      <c r="AJ1170">
        <v>73.801000000000002</v>
      </c>
      <c r="AK1170">
        <v>65.852000000000004</v>
      </c>
      <c r="AL1170">
        <v>-0.19800000000000001</v>
      </c>
      <c r="AM1170">
        <v>50.087000000000003</v>
      </c>
      <c r="AN1170">
        <v>80.180000000000007</v>
      </c>
      <c r="AO1170">
        <v>49.28</v>
      </c>
      <c r="AP1170">
        <v>0.19800000000000001</v>
      </c>
      <c r="AQ1170">
        <v>26.199000000000002</v>
      </c>
      <c r="AR1170">
        <v>48.363</v>
      </c>
      <c r="AS1170">
        <v>34.148000000000003</v>
      </c>
    </row>
    <row r="1171" spans="1:45" x14ac:dyDescent="0.25">
      <c r="A1171">
        <v>52</v>
      </c>
      <c r="B1171">
        <v>-10</v>
      </c>
      <c r="C1171">
        <v>0</v>
      </c>
      <c r="D1171">
        <v>2022</v>
      </c>
      <c r="E1171">
        <v>9</v>
      </c>
      <c r="F1171" t="str">
        <f>IFERROR(VLOOKUP(G1171, Map!$A$1:$B$33, 2, FALSE),"WAS")</f>
        <v>ARI</v>
      </c>
      <c r="G1171" t="s">
        <v>156</v>
      </c>
      <c r="H1171" t="str">
        <f>IFERROR(VLOOKUP(I1171, Map!$A$1:$B$33, 2, FALSE),"WAS")</f>
        <v>SEA</v>
      </c>
      <c r="I1171" t="s">
        <v>144</v>
      </c>
      <c r="J1171" t="s">
        <v>190</v>
      </c>
      <c r="K1171" t="s">
        <v>182</v>
      </c>
      <c r="L1171">
        <v>0</v>
      </c>
      <c r="M1171">
        <v>0</v>
      </c>
      <c r="N1171">
        <v>45.90625</v>
      </c>
      <c r="O1171">
        <v>-1.4375</v>
      </c>
      <c r="P1171">
        <v>-1.5</v>
      </c>
      <c r="Q1171">
        <v>47.5</v>
      </c>
      <c r="R1171">
        <v>15.1</v>
      </c>
      <c r="S1171">
        <v>20.7</v>
      </c>
      <c r="T1171">
        <v>10.6</v>
      </c>
      <c r="U1171">
        <v>13.3</v>
      </c>
      <c r="V1171">
        <v>0</v>
      </c>
      <c r="W1171">
        <v>0</v>
      </c>
      <c r="X1171">
        <v>0</v>
      </c>
      <c r="Y1171">
        <v>0</v>
      </c>
      <c r="Z1171">
        <v>8.9</v>
      </c>
      <c r="AA1171">
        <v>24.8</v>
      </c>
      <c r="AB1171">
        <v>157</v>
      </c>
      <c r="AC1171">
        <v>52</v>
      </c>
      <c r="AD1171">
        <v>11.9</v>
      </c>
      <c r="AE1171">
        <v>4.5999999999999996</v>
      </c>
      <c r="AF1171">
        <v>62.639000000000003</v>
      </c>
      <c r="AG1171">
        <v>9.0079999999999991</v>
      </c>
      <c r="AH1171">
        <v>36.917999999999999</v>
      </c>
      <c r="AI1171">
        <v>51.841999999999999</v>
      </c>
      <c r="AJ1171">
        <v>36.039000000000001</v>
      </c>
      <c r="AK1171">
        <v>33.356000000000002</v>
      </c>
      <c r="AL1171">
        <v>3.6640000000000001</v>
      </c>
      <c r="AM1171">
        <v>36.917999999999999</v>
      </c>
      <c r="AN1171">
        <v>9.0079999999999991</v>
      </c>
      <c r="AO1171">
        <v>62.639000000000003</v>
      </c>
      <c r="AP1171">
        <v>-3.6640000000000001</v>
      </c>
      <c r="AQ1171">
        <v>63.960999999999999</v>
      </c>
      <c r="AR1171">
        <v>48.158000000000001</v>
      </c>
      <c r="AS1171">
        <v>66.644000000000005</v>
      </c>
    </row>
    <row r="1172" spans="1:45" x14ac:dyDescent="0.25">
      <c r="A1172">
        <v>63</v>
      </c>
      <c r="B1172">
        <v>21</v>
      </c>
      <c r="C1172">
        <v>1</v>
      </c>
      <c r="D1172">
        <v>2022</v>
      </c>
      <c r="E1172">
        <v>9</v>
      </c>
      <c r="F1172" t="str">
        <f>IFERROR(VLOOKUP(G1172, Map!$A$1:$B$33, 2, FALSE),"WAS")</f>
        <v>CIN</v>
      </c>
      <c r="G1172" t="s">
        <v>161</v>
      </c>
      <c r="H1172" t="str">
        <f>IFERROR(VLOOKUP(I1172, Map!$A$1:$B$33, 2, FALSE),"WAS")</f>
        <v>CAR</v>
      </c>
      <c r="I1172" t="s">
        <v>142</v>
      </c>
      <c r="J1172" t="s">
        <v>176</v>
      </c>
      <c r="K1172" t="s">
        <v>185</v>
      </c>
      <c r="L1172">
        <v>1</v>
      </c>
      <c r="M1172">
        <v>0</v>
      </c>
      <c r="N1172">
        <v>40.90625</v>
      </c>
      <c r="O1172">
        <v>-7.90625</v>
      </c>
      <c r="P1172">
        <v>-7</v>
      </c>
      <c r="Q1172">
        <v>42.5</v>
      </c>
      <c r="R1172">
        <v>17.600000000000001</v>
      </c>
      <c r="S1172">
        <v>21.7</v>
      </c>
      <c r="T1172">
        <v>12.7</v>
      </c>
      <c r="U1172">
        <v>15.9</v>
      </c>
      <c r="V1172">
        <v>0.5</v>
      </c>
      <c r="W1172">
        <v>0</v>
      </c>
      <c r="X1172">
        <v>5</v>
      </c>
      <c r="Y1172">
        <v>0.5</v>
      </c>
      <c r="Z1172">
        <v>24.7</v>
      </c>
      <c r="AA1172">
        <v>49</v>
      </c>
      <c r="AB1172">
        <v>227</v>
      </c>
      <c r="AC1172">
        <v>67</v>
      </c>
      <c r="AD1172">
        <v>30.3</v>
      </c>
      <c r="AE1172">
        <v>14</v>
      </c>
      <c r="AF1172">
        <v>79.748000000000005</v>
      </c>
      <c r="AG1172">
        <v>31.693000000000001</v>
      </c>
      <c r="AH1172">
        <v>20.059999999999999</v>
      </c>
      <c r="AI1172">
        <v>88.619</v>
      </c>
      <c r="AJ1172">
        <v>96.057000000000002</v>
      </c>
      <c r="AK1172">
        <v>97.575999999999993</v>
      </c>
      <c r="AL1172">
        <v>9.7560000000000002</v>
      </c>
      <c r="AM1172">
        <v>20.059999999999999</v>
      </c>
      <c r="AN1172">
        <v>31.693000000000001</v>
      </c>
      <c r="AO1172">
        <v>79.748000000000005</v>
      </c>
      <c r="AP1172">
        <v>-9.7560000000000002</v>
      </c>
      <c r="AQ1172">
        <v>3.9430000000000001</v>
      </c>
      <c r="AR1172">
        <v>11.381</v>
      </c>
      <c r="AS1172">
        <v>2.4239999999999999</v>
      </c>
    </row>
    <row r="1173" spans="1:45" x14ac:dyDescent="0.25">
      <c r="A1173">
        <v>37</v>
      </c>
      <c r="B1173">
        <v>-3</v>
      </c>
      <c r="C1173">
        <v>0</v>
      </c>
      <c r="D1173">
        <v>2022</v>
      </c>
      <c r="E1173">
        <v>9</v>
      </c>
      <c r="F1173" t="str">
        <f>IFERROR(VLOOKUP(G1173, Map!$A$1:$B$33, 2, FALSE),"WAS")</f>
        <v>WAS</v>
      </c>
      <c r="G1173" t="s">
        <v>148</v>
      </c>
      <c r="H1173" t="str">
        <f>IFERROR(VLOOKUP(I1173, Map!$A$1:$B$33, 2, FALSE),"WAS")</f>
        <v>MIN</v>
      </c>
      <c r="I1173" t="s">
        <v>153</v>
      </c>
      <c r="J1173" t="s">
        <v>205</v>
      </c>
      <c r="K1173" t="s">
        <v>214</v>
      </c>
      <c r="L1173">
        <v>0</v>
      </c>
      <c r="M1173">
        <v>0</v>
      </c>
      <c r="N1173">
        <v>43</v>
      </c>
      <c r="O1173">
        <v>3.1</v>
      </c>
      <c r="P1173">
        <v>3</v>
      </c>
      <c r="Q1173">
        <v>37.5</v>
      </c>
      <c r="R1173">
        <v>20.8</v>
      </c>
      <c r="S1173">
        <v>24.5</v>
      </c>
      <c r="T1173">
        <v>18.399999999999999</v>
      </c>
      <c r="U1173">
        <v>21.2</v>
      </c>
      <c r="V1173">
        <v>16.2</v>
      </c>
      <c r="W1173">
        <v>0</v>
      </c>
      <c r="X1173">
        <v>8</v>
      </c>
      <c r="Y1173">
        <v>16.2</v>
      </c>
      <c r="Z1173">
        <v>21.3</v>
      </c>
      <c r="AA1173">
        <v>40.299999999999997</v>
      </c>
      <c r="AB1173">
        <v>182</v>
      </c>
      <c r="AC1173">
        <v>84</v>
      </c>
      <c r="AD1173">
        <v>32.5</v>
      </c>
      <c r="AE1173">
        <v>16.8</v>
      </c>
      <c r="AF1173">
        <v>42.206000000000003</v>
      </c>
      <c r="AG1173">
        <v>31.812000000000001</v>
      </c>
      <c r="AH1173">
        <v>57.256999999999998</v>
      </c>
      <c r="AI1173">
        <v>63.54</v>
      </c>
      <c r="AJ1173">
        <v>31.946999999999999</v>
      </c>
      <c r="AK1173">
        <v>45.776000000000003</v>
      </c>
      <c r="AL1173">
        <v>-2.2280000000000002</v>
      </c>
      <c r="AM1173">
        <v>57.256999999999998</v>
      </c>
      <c r="AN1173">
        <v>31.812000000000001</v>
      </c>
      <c r="AO1173">
        <v>42.206000000000003</v>
      </c>
      <c r="AP1173">
        <v>2.2280000000000002</v>
      </c>
      <c r="AQ1173">
        <v>68.052999999999997</v>
      </c>
      <c r="AR1173">
        <v>36.46</v>
      </c>
      <c r="AS1173">
        <v>54.223999999999997</v>
      </c>
    </row>
    <row r="1174" spans="1:45" x14ac:dyDescent="0.25">
      <c r="A1174">
        <v>67</v>
      </c>
      <c r="B1174">
        <v>-3</v>
      </c>
      <c r="C1174">
        <v>0</v>
      </c>
      <c r="D1174">
        <v>2022</v>
      </c>
      <c r="E1174">
        <v>9</v>
      </c>
      <c r="F1174" t="str">
        <f>IFERROR(VLOOKUP(G1174, Map!$A$1:$B$33, 2, FALSE),"WAS")</f>
        <v>CHI</v>
      </c>
      <c r="G1174" t="s">
        <v>163</v>
      </c>
      <c r="H1174" t="str">
        <f>IFERROR(VLOOKUP(I1174, Map!$A$1:$B$33, 2, FALSE),"WAS")</f>
        <v>MIA</v>
      </c>
      <c r="I1174" t="s">
        <v>152</v>
      </c>
      <c r="J1174" t="s">
        <v>216</v>
      </c>
      <c r="K1174" t="s">
        <v>175</v>
      </c>
      <c r="L1174">
        <v>0</v>
      </c>
      <c r="M1174">
        <v>0</v>
      </c>
      <c r="N1174">
        <v>44.59375</v>
      </c>
      <c r="O1174">
        <v>3.65625</v>
      </c>
      <c r="P1174">
        <v>2.5</v>
      </c>
      <c r="Q1174">
        <v>44.5</v>
      </c>
      <c r="R1174">
        <v>10.1</v>
      </c>
      <c r="S1174">
        <v>15.6</v>
      </c>
      <c r="T1174">
        <v>6.8</v>
      </c>
      <c r="U1174">
        <v>4.9000000000000004</v>
      </c>
      <c r="V1174">
        <v>0</v>
      </c>
      <c r="W1174">
        <v>0</v>
      </c>
      <c r="X1174">
        <v>0</v>
      </c>
      <c r="Y1174">
        <v>0</v>
      </c>
      <c r="Z1174">
        <v>37.4</v>
      </c>
      <c r="AA1174">
        <v>64.400000000000006</v>
      </c>
      <c r="AB1174">
        <v>213</v>
      </c>
      <c r="AC1174">
        <v>67</v>
      </c>
      <c r="AD1174">
        <v>39.799999999999997</v>
      </c>
      <c r="AE1174">
        <v>26</v>
      </c>
      <c r="AF1174">
        <v>33.006</v>
      </c>
      <c r="AG1174">
        <v>40.82</v>
      </c>
      <c r="AH1174">
        <v>66.623999999999995</v>
      </c>
      <c r="AI1174">
        <v>8.4120000000000008</v>
      </c>
      <c r="AJ1174">
        <v>80.909000000000006</v>
      </c>
      <c r="AK1174">
        <v>37.561999999999998</v>
      </c>
      <c r="AL1174">
        <v>-5.0250000000000004</v>
      </c>
      <c r="AM1174">
        <v>66.623999999999995</v>
      </c>
      <c r="AN1174">
        <v>40.82</v>
      </c>
      <c r="AO1174">
        <v>33.006</v>
      </c>
      <c r="AP1174">
        <v>5.0250000000000004</v>
      </c>
      <c r="AQ1174">
        <v>19.091000000000001</v>
      </c>
      <c r="AR1174">
        <v>91.587999999999994</v>
      </c>
      <c r="AS1174">
        <v>62.438000000000002</v>
      </c>
    </row>
    <row r="1175" spans="1:45" x14ac:dyDescent="0.25">
      <c r="A1175">
        <v>29</v>
      </c>
      <c r="B1175">
        <v>3</v>
      </c>
      <c r="C1175">
        <v>1</v>
      </c>
      <c r="D1175">
        <v>2022</v>
      </c>
      <c r="E1175">
        <v>9</v>
      </c>
      <c r="F1175" t="str">
        <f>IFERROR(VLOOKUP(G1175, Map!$A$1:$B$33, 2, FALSE),"WAS")</f>
        <v>TB</v>
      </c>
      <c r="G1175" t="s">
        <v>141</v>
      </c>
      <c r="H1175" t="str">
        <f>IFERROR(VLOOKUP(I1175, Map!$A$1:$B$33, 2, FALSE),"WAS")</f>
        <v>LA</v>
      </c>
      <c r="I1175" t="s">
        <v>155</v>
      </c>
      <c r="J1175" t="s">
        <v>186</v>
      </c>
      <c r="K1175" t="s">
        <v>178</v>
      </c>
      <c r="L1175">
        <v>1</v>
      </c>
      <c r="M1175">
        <v>0</v>
      </c>
      <c r="N1175">
        <v>39.0625</v>
      </c>
      <c r="O1175">
        <v>-2.3125</v>
      </c>
      <c r="P1175">
        <v>-2.5</v>
      </c>
      <c r="Q1175">
        <v>28.5</v>
      </c>
      <c r="R1175">
        <v>24.7</v>
      </c>
      <c r="S1175">
        <v>30.5</v>
      </c>
      <c r="T1175">
        <v>21.5</v>
      </c>
      <c r="U1175">
        <v>27.3</v>
      </c>
      <c r="V1175">
        <v>0.8</v>
      </c>
      <c r="W1175">
        <v>0</v>
      </c>
      <c r="X1175">
        <v>4</v>
      </c>
      <c r="Y1175">
        <v>0.8</v>
      </c>
      <c r="Z1175">
        <v>23.2</v>
      </c>
      <c r="AA1175">
        <v>39.6</v>
      </c>
      <c r="AB1175">
        <v>64</v>
      </c>
      <c r="AC1175">
        <v>82</v>
      </c>
      <c r="AD1175">
        <v>23.6</v>
      </c>
      <c r="AE1175">
        <v>13</v>
      </c>
      <c r="AF1175">
        <v>65.31</v>
      </c>
      <c r="AG1175">
        <v>77.858999999999995</v>
      </c>
      <c r="AH1175">
        <v>34.296999999999997</v>
      </c>
      <c r="AI1175">
        <v>80.706999999999994</v>
      </c>
      <c r="AJ1175">
        <v>26.402000000000001</v>
      </c>
      <c r="AK1175">
        <v>53.363999999999997</v>
      </c>
      <c r="AL1175">
        <v>4.4989999999999997</v>
      </c>
      <c r="AM1175">
        <v>34.296999999999997</v>
      </c>
      <c r="AN1175">
        <v>77.858999999999995</v>
      </c>
      <c r="AO1175">
        <v>65.31</v>
      </c>
      <c r="AP1175">
        <v>-4.4989999999999997</v>
      </c>
      <c r="AQ1175">
        <v>73.597999999999999</v>
      </c>
      <c r="AR1175">
        <v>19.292999999999999</v>
      </c>
      <c r="AS1175">
        <v>46.636000000000003</v>
      </c>
    </row>
    <row r="1176" spans="1:45" x14ac:dyDescent="0.25">
      <c r="A1176">
        <v>46</v>
      </c>
      <c r="B1176">
        <v>-12</v>
      </c>
      <c r="C1176">
        <v>0</v>
      </c>
      <c r="D1176">
        <v>2022</v>
      </c>
      <c r="E1176">
        <v>9</v>
      </c>
      <c r="F1176" t="str">
        <f>IFERROR(VLOOKUP(G1176, Map!$A$1:$B$33, 2, FALSE),"WAS")</f>
        <v>HOU</v>
      </c>
      <c r="G1176" t="s">
        <v>137</v>
      </c>
      <c r="H1176" t="str">
        <f>IFERROR(VLOOKUP(I1176, Map!$A$1:$B$33, 2, FALSE),"WAS")</f>
        <v>PHI</v>
      </c>
      <c r="I1176" t="s">
        <v>147</v>
      </c>
      <c r="J1176" t="s">
        <v>209</v>
      </c>
      <c r="K1176" t="s">
        <v>206</v>
      </c>
      <c r="L1176">
        <v>0</v>
      </c>
      <c r="M1176">
        <v>0</v>
      </c>
      <c r="N1176">
        <v>42.3125</v>
      </c>
      <c r="O1176">
        <v>12.84375</v>
      </c>
      <c r="P1176">
        <v>11.5</v>
      </c>
      <c r="Q1176">
        <v>43.5</v>
      </c>
      <c r="R1176">
        <v>24.3</v>
      </c>
      <c r="S1176">
        <v>28.3</v>
      </c>
      <c r="T1176">
        <v>22</v>
      </c>
      <c r="U1176">
        <v>26.1</v>
      </c>
      <c r="V1176">
        <v>2.2000000000000002</v>
      </c>
      <c r="W1176">
        <v>0</v>
      </c>
      <c r="X1176">
        <v>11</v>
      </c>
      <c r="Y1176">
        <v>2.2000000000000002</v>
      </c>
      <c r="Z1176">
        <v>32.9</v>
      </c>
      <c r="AA1176">
        <v>56.2</v>
      </c>
      <c r="AB1176">
        <v>154</v>
      </c>
      <c r="AC1176">
        <v>88</v>
      </c>
      <c r="AD1176">
        <v>37.799999999999997</v>
      </c>
      <c r="AE1176">
        <v>22.5</v>
      </c>
      <c r="AF1176">
        <v>15.747</v>
      </c>
      <c r="AG1176">
        <v>26.89</v>
      </c>
      <c r="AH1176">
        <v>84.11</v>
      </c>
      <c r="AI1176">
        <v>16.684999999999999</v>
      </c>
      <c r="AJ1176">
        <v>45.661999999999999</v>
      </c>
      <c r="AK1176">
        <v>25.016999999999999</v>
      </c>
      <c r="AL1176">
        <v>-11.885</v>
      </c>
      <c r="AM1176">
        <v>84.11</v>
      </c>
      <c r="AN1176">
        <v>26.89</v>
      </c>
      <c r="AO1176">
        <v>15.747</v>
      </c>
      <c r="AP1176">
        <v>11.885</v>
      </c>
      <c r="AQ1176">
        <v>54.338000000000001</v>
      </c>
      <c r="AR1176">
        <v>83.314999999999998</v>
      </c>
      <c r="AS1176">
        <v>74.983000000000004</v>
      </c>
    </row>
    <row r="1177" spans="1:45" x14ac:dyDescent="0.25">
      <c r="A1177">
        <v>37</v>
      </c>
      <c r="B1177">
        <v>3</v>
      </c>
      <c r="C1177">
        <v>1</v>
      </c>
      <c r="D1177">
        <v>2022</v>
      </c>
      <c r="E1177">
        <v>9</v>
      </c>
      <c r="F1177" t="str">
        <f>IFERROR(VLOOKUP(G1177, Map!$A$1:$B$33, 2, FALSE),"WAS")</f>
        <v>KC</v>
      </c>
      <c r="G1177" t="s">
        <v>158</v>
      </c>
      <c r="H1177" t="str">
        <f>IFERROR(VLOOKUP(I1177, Map!$A$1:$B$33, 2, FALSE),"WAS")</f>
        <v>TEN</v>
      </c>
      <c r="I1177" t="s">
        <v>140</v>
      </c>
      <c r="J1177" t="s">
        <v>202</v>
      </c>
      <c r="K1177" t="s">
        <v>174</v>
      </c>
      <c r="L1177">
        <v>1</v>
      </c>
      <c r="M1177">
        <v>0</v>
      </c>
      <c r="N1177">
        <v>41.84375</v>
      </c>
      <c r="O1177">
        <v>-12.1875</v>
      </c>
      <c r="P1177">
        <v>-3</v>
      </c>
      <c r="Q1177">
        <v>38.5</v>
      </c>
      <c r="R1177">
        <v>9.1999999999999993</v>
      </c>
      <c r="S1177">
        <v>12.7</v>
      </c>
      <c r="T1177">
        <v>5.5</v>
      </c>
      <c r="U1177">
        <v>4.8</v>
      </c>
      <c r="V1177">
        <v>0</v>
      </c>
      <c r="W1177">
        <v>0</v>
      </c>
      <c r="X1177">
        <v>0</v>
      </c>
      <c r="Y1177">
        <v>0</v>
      </c>
      <c r="Z1177">
        <v>18.399999999999999</v>
      </c>
      <c r="AA1177">
        <v>36.700000000000003</v>
      </c>
      <c r="AB1177">
        <v>56</v>
      </c>
      <c r="AC1177">
        <v>48</v>
      </c>
      <c r="AD1177">
        <v>26.6</v>
      </c>
      <c r="AE1177">
        <v>14.3</v>
      </c>
      <c r="AF1177">
        <v>92.009</v>
      </c>
      <c r="AG1177">
        <v>71.212999999999994</v>
      </c>
      <c r="AH1177">
        <v>7.9219999999999997</v>
      </c>
      <c r="AI1177">
        <v>67.018000000000001</v>
      </c>
      <c r="AJ1177">
        <v>45.253999999999998</v>
      </c>
      <c r="AK1177">
        <v>49.844999999999999</v>
      </c>
      <c r="AL1177">
        <v>18.02</v>
      </c>
      <c r="AM1177">
        <v>7.9219999999999997</v>
      </c>
      <c r="AN1177">
        <v>71.212999999999994</v>
      </c>
      <c r="AO1177">
        <v>92.009</v>
      </c>
      <c r="AP1177">
        <v>-18.02</v>
      </c>
      <c r="AQ1177">
        <v>54.746000000000002</v>
      </c>
      <c r="AR1177">
        <v>32.981999999999999</v>
      </c>
      <c r="AS1177">
        <v>50.155000000000001</v>
      </c>
    </row>
    <row r="1178" spans="1:45" x14ac:dyDescent="0.25">
      <c r="A1178">
        <v>45</v>
      </c>
      <c r="B1178">
        <v>-5</v>
      </c>
      <c r="C1178">
        <v>0</v>
      </c>
      <c r="D1178">
        <v>2022</v>
      </c>
      <c r="E1178">
        <v>10</v>
      </c>
      <c r="F1178" t="str">
        <f>IFERROR(VLOOKUP(G1178, Map!$A$1:$B$33, 2, FALSE),"WAS")</f>
        <v>LV</v>
      </c>
      <c r="G1178" t="s">
        <v>157</v>
      </c>
      <c r="H1178" t="str">
        <f>IFERROR(VLOOKUP(I1178, Map!$A$1:$B$33, 2, FALSE),"WAS")</f>
        <v>IND</v>
      </c>
      <c r="I1178" t="s">
        <v>138</v>
      </c>
      <c r="J1178" t="s">
        <v>179</v>
      </c>
      <c r="K1178" t="s">
        <v>177</v>
      </c>
      <c r="L1178">
        <v>0</v>
      </c>
      <c r="M1178">
        <v>0</v>
      </c>
      <c r="N1178">
        <v>41.8333333333333</v>
      </c>
      <c r="O1178">
        <v>-3.9</v>
      </c>
      <c r="P1178">
        <v>-4</v>
      </c>
      <c r="Q1178">
        <v>40.5</v>
      </c>
      <c r="R1178">
        <v>8.9</v>
      </c>
      <c r="S1178">
        <v>14.2</v>
      </c>
      <c r="T1178">
        <v>2.2000000000000002</v>
      </c>
      <c r="U1178">
        <v>4.5999999999999996</v>
      </c>
      <c r="V1178">
        <v>0</v>
      </c>
      <c r="W1178">
        <v>0</v>
      </c>
      <c r="X1178">
        <v>0</v>
      </c>
      <c r="Y1178">
        <v>0</v>
      </c>
      <c r="Z1178">
        <v>32.799999999999997</v>
      </c>
      <c r="AA1178">
        <v>52.2</v>
      </c>
      <c r="AB1178">
        <v>326</v>
      </c>
      <c r="AC1178">
        <v>42</v>
      </c>
      <c r="AD1178">
        <v>18.899999999999999</v>
      </c>
      <c r="AE1178">
        <v>11.2</v>
      </c>
      <c r="AF1178">
        <v>86.290999999999997</v>
      </c>
      <c r="AG1178">
        <v>27.196000000000002</v>
      </c>
      <c r="AH1178">
        <v>13.586</v>
      </c>
      <c r="AI1178">
        <v>26.259</v>
      </c>
      <c r="AJ1178">
        <v>41.996000000000002</v>
      </c>
      <c r="AK1178">
        <v>40.091000000000001</v>
      </c>
      <c r="AL1178">
        <v>13.077999999999999</v>
      </c>
      <c r="AM1178">
        <v>13.586</v>
      </c>
      <c r="AN1178">
        <v>27.196000000000002</v>
      </c>
      <c r="AO1178">
        <v>86.290999999999997</v>
      </c>
      <c r="AP1178">
        <v>-13.077999999999999</v>
      </c>
      <c r="AQ1178">
        <v>58.003999999999998</v>
      </c>
      <c r="AR1178">
        <v>73.741</v>
      </c>
      <c r="AS1178">
        <v>59.908999999999999</v>
      </c>
    </row>
    <row r="1179" spans="1:45" x14ac:dyDescent="0.25">
      <c r="A1179">
        <v>40</v>
      </c>
      <c r="B1179">
        <v>8</v>
      </c>
      <c r="C1179">
        <v>1</v>
      </c>
      <c r="D1179">
        <v>2022</v>
      </c>
      <c r="E1179">
        <v>10</v>
      </c>
      <c r="F1179" t="str">
        <f>IFERROR(VLOOKUP(G1179, Map!$A$1:$B$33, 2, FALSE),"WAS")</f>
        <v>NYG</v>
      </c>
      <c r="G1179" t="s">
        <v>149</v>
      </c>
      <c r="H1179" t="str">
        <f>IFERROR(VLOOKUP(I1179, Map!$A$1:$B$33, 2, FALSE),"WAS")</f>
        <v>HOU</v>
      </c>
      <c r="I1179" t="s">
        <v>137</v>
      </c>
      <c r="J1179" t="s">
        <v>219</v>
      </c>
      <c r="K1179" t="s">
        <v>209</v>
      </c>
      <c r="L1179">
        <v>1</v>
      </c>
      <c r="M1179">
        <v>0</v>
      </c>
      <c r="N1179">
        <v>38.633333333333297</v>
      </c>
      <c r="O1179">
        <v>-4.8333333333333304</v>
      </c>
      <c r="P1179">
        <v>-4.5</v>
      </c>
      <c r="Q1179">
        <v>40.5</v>
      </c>
      <c r="R1179">
        <v>11.7</v>
      </c>
      <c r="S1179">
        <v>15.7</v>
      </c>
      <c r="T1179">
        <v>8.1</v>
      </c>
      <c r="U1179">
        <v>9</v>
      </c>
      <c r="V1179">
        <v>4.0999999999999996</v>
      </c>
      <c r="W1179">
        <v>0</v>
      </c>
      <c r="X1179">
        <v>8</v>
      </c>
      <c r="Y1179">
        <v>4.0999999999999996</v>
      </c>
      <c r="Z1179">
        <v>23.4</v>
      </c>
      <c r="AA1179">
        <v>47.9</v>
      </c>
      <c r="AB1179">
        <v>320</v>
      </c>
      <c r="AC1179">
        <v>73</v>
      </c>
      <c r="AD1179">
        <v>27</v>
      </c>
      <c r="AE1179">
        <v>13.3</v>
      </c>
      <c r="AF1179">
        <v>67.882999999999996</v>
      </c>
      <c r="AG1179">
        <v>9.14</v>
      </c>
      <c r="AH1179">
        <v>31.760999999999999</v>
      </c>
      <c r="AI1179">
        <v>70.722999999999999</v>
      </c>
      <c r="AJ1179">
        <v>77.132000000000005</v>
      </c>
      <c r="AK1179">
        <v>75.433999999999997</v>
      </c>
      <c r="AL1179">
        <v>5.3010000000000002</v>
      </c>
      <c r="AM1179">
        <v>31.760999999999999</v>
      </c>
      <c r="AN1179">
        <v>9.14</v>
      </c>
      <c r="AO1179">
        <v>67.882999999999996</v>
      </c>
      <c r="AP1179">
        <v>-5.3010000000000002</v>
      </c>
      <c r="AQ1179">
        <v>22.867999999999999</v>
      </c>
      <c r="AR1179">
        <v>29.277000000000001</v>
      </c>
      <c r="AS1179">
        <v>24.565999999999999</v>
      </c>
    </row>
    <row r="1180" spans="1:45" x14ac:dyDescent="0.25">
      <c r="A1180">
        <v>38</v>
      </c>
      <c r="B1180">
        <v>6</v>
      </c>
      <c r="C1180">
        <v>1</v>
      </c>
      <c r="D1180">
        <v>2022</v>
      </c>
      <c r="E1180">
        <v>10</v>
      </c>
      <c r="F1180" t="str">
        <f>IFERROR(VLOOKUP(G1180, Map!$A$1:$B$33, 2, FALSE),"WAS")</f>
        <v>SF</v>
      </c>
      <c r="G1180" t="s">
        <v>143</v>
      </c>
      <c r="H1180" t="str">
        <f>IFERROR(VLOOKUP(I1180, Map!$A$1:$B$33, 2, FALSE),"WAS")</f>
        <v>LAC</v>
      </c>
      <c r="I1180" t="s">
        <v>160</v>
      </c>
      <c r="J1180" t="s">
        <v>197</v>
      </c>
      <c r="K1180" t="s">
        <v>210</v>
      </c>
      <c r="L1180">
        <v>1</v>
      </c>
      <c r="M1180">
        <v>0</v>
      </c>
      <c r="N1180">
        <v>42.133333333333297</v>
      </c>
      <c r="O1180">
        <v>-7.2</v>
      </c>
      <c r="P1180">
        <v>-6</v>
      </c>
      <c r="Q1180">
        <v>39.5</v>
      </c>
      <c r="R1180">
        <v>9</v>
      </c>
      <c r="S1180">
        <v>14.5</v>
      </c>
      <c r="T1180">
        <v>2.2000000000000002</v>
      </c>
      <c r="U1180">
        <v>6.5</v>
      </c>
      <c r="V1180">
        <v>0</v>
      </c>
      <c r="W1180">
        <v>0</v>
      </c>
      <c r="X1180">
        <v>0</v>
      </c>
      <c r="Y1180">
        <v>0</v>
      </c>
      <c r="Z1180">
        <v>10.4</v>
      </c>
      <c r="AA1180">
        <v>23.8</v>
      </c>
      <c r="AB1180">
        <v>323</v>
      </c>
      <c r="AC1180">
        <v>64</v>
      </c>
      <c r="AD1180">
        <v>11.4</v>
      </c>
      <c r="AE1180">
        <v>6.1</v>
      </c>
      <c r="AF1180">
        <v>75.331000000000003</v>
      </c>
      <c r="AG1180">
        <v>78.748000000000005</v>
      </c>
      <c r="AH1180">
        <v>24.42</v>
      </c>
      <c r="AI1180">
        <v>68.831999999999994</v>
      </c>
      <c r="AJ1180">
        <v>56.725999999999999</v>
      </c>
      <c r="AK1180">
        <v>61.143999999999998</v>
      </c>
      <c r="AL1180">
        <v>7.9379999999999997</v>
      </c>
      <c r="AM1180">
        <v>24.42</v>
      </c>
      <c r="AN1180">
        <v>78.748000000000005</v>
      </c>
      <c r="AO1180">
        <v>75.331000000000003</v>
      </c>
      <c r="AP1180">
        <v>-7.9379999999999997</v>
      </c>
      <c r="AQ1180">
        <v>43.274000000000001</v>
      </c>
      <c r="AR1180">
        <v>31.167999999999999</v>
      </c>
      <c r="AS1180">
        <v>38.856000000000002</v>
      </c>
    </row>
    <row r="1181" spans="1:45" x14ac:dyDescent="0.25">
      <c r="A1181">
        <v>40</v>
      </c>
      <c r="B1181">
        <v>10</v>
      </c>
      <c r="C1181">
        <v>1</v>
      </c>
      <c r="D1181">
        <v>2022</v>
      </c>
      <c r="E1181">
        <v>10</v>
      </c>
      <c r="F1181" t="str">
        <f>IFERROR(VLOOKUP(G1181, Map!$A$1:$B$33, 2, FALSE),"WAS")</f>
        <v>CAR</v>
      </c>
      <c r="G1181" t="s">
        <v>142</v>
      </c>
      <c r="H1181" t="str">
        <f>IFERROR(VLOOKUP(I1181, Map!$A$1:$B$33, 2, FALSE),"WAS")</f>
        <v>ATL</v>
      </c>
      <c r="I1181" t="s">
        <v>167</v>
      </c>
      <c r="J1181" t="s">
        <v>185</v>
      </c>
      <c r="K1181" t="s">
        <v>188</v>
      </c>
      <c r="L1181">
        <v>1</v>
      </c>
      <c r="M1181">
        <v>0</v>
      </c>
      <c r="N1181">
        <v>38.78125</v>
      </c>
      <c r="O1181">
        <v>1.875</v>
      </c>
      <c r="P1181">
        <v>2.5</v>
      </c>
      <c r="Q1181">
        <v>38.5</v>
      </c>
      <c r="R1181">
        <v>18.399999999999999</v>
      </c>
      <c r="S1181">
        <v>22.6</v>
      </c>
      <c r="T1181">
        <v>14.6</v>
      </c>
      <c r="U1181">
        <v>17.8</v>
      </c>
      <c r="V1181">
        <v>19.8</v>
      </c>
      <c r="W1181">
        <v>0</v>
      </c>
      <c r="X1181">
        <v>24</v>
      </c>
      <c r="Y1181">
        <v>19.8</v>
      </c>
      <c r="Z1181">
        <v>30.3</v>
      </c>
      <c r="AA1181">
        <v>60.1</v>
      </c>
      <c r="AB1181">
        <v>125</v>
      </c>
      <c r="AC1181">
        <v>95</v>
      </c>
      <c r="AD1181">
        <v>43.7</v>
      </c>
      <c r="AE1181">
        <v>23.2</v>
      </c>
      <c r="AF1181">
        <v>34.402000000000001</v>
      </c>
      <c r="AG1181">
        <v>6.2220000000000004</v>
      </c>
      <c r="AH1181">
        <v>65.203999999999994</v>
      </c>
      <c r="AI1181">
        <v>75.197999999999993</v>
      </c>
      <c r="AJ1181">
        <v>58.121000000000002</v>
      </c>
      <c r="AK1181">
        <v>77.337000000000003</v>
      </c>
      <c r="AL1181">
        <v>-4.5739999999999998</v>
      </c>
      <c r="AM1181">
        <v>65.203999999999994</v>
      </c>
      <c r="AN1181">
        <v>6.2220000000000004</v>
      </c>
      <c r="AO1181">
        <v>34.402000000000001</v>
      </c>
      <c r="AP1181">
        <v>4.5739999999999998</v>
      </c>
      <c r="AQ1181">
        <v>41.878999999999998</v>
      </c>
      <c r="AR1181">
        <v>24.802</v>
      </c>
      <c r="AS1181">
        <v>22.663</v>
      </c>
    </row>
    <row r="1182" spans="1:45" x14ac:dyDescent="0.25">
      <c r="A1182">
        <v>27</v>
      </c>
      <c r="B1182">
        <v>7</v>
      </c>
      <c r="C1182">
        <v>1</v>
      </c>
      <c r="D1182">
        <v>2022</v>
      </c>
      <c r="E1182">
        <v>10</v>
      </c>
      <c r="F1182" t="str">
        <f>IFERROR(VLOOKUP(G1182, Map!$A$1:$B$33, 2, FALSE),"WAS")</f>
        <v>TEN</v>
      </c>
      <c r="G1182" t="s">
        <v>140</v>
      </c>
      <c r="H1182" t="str">
        <f>IFERROR(VLOOKUP(I1182, Map!$A$1:$B$33, 2, FALSE),"WAS")</f>
        <v>DEN</v>
      </c>
      <c r="I1182" t="s">
        <v>159</v>
      </c>
      <c r="J1182" t="s">
        <v>174</v>
      </c>
      <c r="K1182" t="s">
        <v>183</v>
      </c>
      <c r="L1182">
        <v>1</v>
      </c>
      <c r="M1182">
        <v>0</v>
      </c>
      <c r="N1182">
        <v>36.200000000000003</v>
      </c>
      <c r="O1182">
        <v>-2.6666666666666701</v>
      </c>
      <c r="P1182">
        <v>-2.5</v>
      </c>
      <c r="Q1182">
        <v>29.5</v>
      </c>
      <c r="R1182">
        <v>1.6</v>
      </c>
      <c r="S1182">
        <v>5.0999999999999996</v>
      </c>
      <c r="T1182">
        <v>-0.8</v>
      </c>
      <c r="U1182">
        <v>-3.1</v>
      </c>
      <c r="V1182">
        <v>0</v>
      </c>
      <c r="W1182">
        <v>0</v>
      </c>
      <c r="X1182">
        <v>0</v>
      </c>
      <c r="Y1182">
        <v>0</v>
      </c>
      <c r="Z1182">
        <v>15.7</v>
      </c>
      <c r="AA1182">
        <v>29.5</v>
      </c>
      <c r="AB1182">
        <v>343</v>
      </c>
      <c r="AC1182">
        <v>56</v>
      </c>
      <c r="AD1182">
        <v>25.5</v>
      </c>
      <c r="AE1182">
        <v>12.4</v>
      </c>
      <c r="AF1182">
        <v>60.43</v>
      </c>
      <c r="AG1182">
        <v>47.148000000000003</v>
      </c>
      <c r="AH1182">
        <v>39.082999999999998</v>
      </c>
      <c r="AI1182">
        <v>68.180000000000007</v>
      </c>
      <c r="AJ1182">
        <v>36.844999999999999</v>
      </c>
      <c r="AK1182">
        <v>63.883000000000003</v>
      </c>
      <c r="AL1182">
        <v>3.008</v>
      </c>
      <c r="AM1182">
        <v>39.082999999999998</v>
      </c>
      <c r="AN1182">
        <v>47.148000000000003</v>
      </c>
      <c r="AO1182">
        <v>60.43</v>
      </c>
      <c r="AP1182">
        <v>-3.008</v>
      </c>
      <c r="AQ1182">
        <v>63.155000000000001</v>
      </c>
      <c r="AR1182">
        <v>31.82</v>
      </c>
      <c r="AS1182">
        <v>36.116999999999997</v>
      </c>
    </row>
    <row r="1183" spans="1:45" x14ac:dyDescent="0.25">
      <c r="A1183">
        <v>59</v>
      </c>
      <c r="B1183">
        <v>3</v>
      </c>
      <c r="C1183">
        <v>1</v>
      </c>
      <c r="D1183">
        <v>2022</v>
      </c>
      <c r="E1183">
        <v>10</v>
      </c>
      <c r="F1183" t="str">
        <f>IFERROR(VLOOKUP(G1183, Map!$A$1:$B$33, 2, FALSE),"WAS")</f>
        <v>GB</v>
      </c>
      <c r="G1183" t="s">
        <v>154</v>
      </c>
      <c r="H1183" t="str">
        <f>IFERROR(VLOOKUP(I1183, Map!$A$1:$B$33, 2, FALSE),"WAS")</f>
        <v>DAL</v>
      </c>
      <c r="I1183" t="s">
        <v>150</v>
      </c>
      <c r="J1183" t="s">
        <v>200</v>
      </c>
      <c r="K1183" t="s">
        <v>184</v>
      </c>
      <c r="L1183">
        <v>1</v>
      </c>
      <c r="M1183">
        <v>0</v>
      </c>
      <c r="N1183">
        <v>42.0625</v>
      </c>
      <c r="O1183">
        <v>3.96875</v>
      </c>
      <c r="P1183">
        <v>3.5</v>
      </c>
      <c r="Q1183">
        <v>43.5</v>
      </c>
      <c r="R1183">
        <v>-1.2</v>
      </c>
      <c r="S1183">
        <v>1.8</v>
      </c>
      <c r="T1183">
        <v>-3.4</v>
      </c>
      <c r="U1183">
        <v>-6.2</v>
      </c>
      <c r="V1183">
        <v>0</v>
      </c>
      <c r="W1183">
        <v>0</v>
      </c>
      <c r="X1183">
        <v>0</v>
      </c>
      <c r="Y1183">
        <v>0</v>
      </c>
      <c r="Z1183">
        <v>15.1</v>
      </c>
      <c r="AA1183">
        <v>31.7</v>
      </c>
      <c r="AB1183">
        <v>323</v>
      </c>
      <c r="AC1183">
        <v>58</v>
      </c>
      <c r="AD1183">
        <v>25.6</v>
      </c>
      <c r="AE1183">
        <v>12.5</v>
      </c>
      <c r="AF1183">
        <v>34.238999999999997</v>
      </c>
      <c r="AG1183">
        <v>48.448</v>
      </c>
      <c r="AH1183">
        <v>65.373999999999995</v>
      </c>
      <c r="AI1183">
        <v>52.558</v>
      </c>
      <c r="AJ1183">
        <v>75.096999999999994</v>
      </c>
      <c r="AK1183">
        <v>51.341999999999999</v>
      </c>
      <c r="AL1183">
        <v>-4.6420000000000003</v>
      </c>
      <c r="AM1183">
        <v>65.373999999999995</v>
      </c>
      <c r="AN1183">
        <v>48.448</v>
      </c>
      <c r="AO1183">
        <v>34.238999999999997</v>
      </c>
      <c r="AP1183">
        <v>4.6420000000000003</v>
      </c>
      <c r="AQ1183">
        <v>24.902999999999999</v>
      </c>
      <c r="AR1183">
        <v>47.442</v>
      </c>
      <c r="AS1183">
        <v>48.658000000000001</v>
      </c>
    </row>
    <row r="1184" spans="1:45" x14ac:dyDescent="0.25">
      <c r="A1184">
        <v>37</v>
      </c>
      <c r="B1184">
        <v>5</v>
      </c>
      <c r="C1184">
        <v>1</v>
      </c>
      <c r="D1184">
        <v>2022</v>
      </c>
      <c r="E1184">
        <v>10</v>
      </c>
      <c r="F1184" t="str">
        <f>IFERROR(VLOOKUP(G1184, Map!$A$1:$B$33, 2, FALSE),"WAS")</f>
        <v>TB</v>
      </c>
      <c r="G1184" t="s">
        <v>141</v>
      </c>
      <c r="H1184" t="str">
        <f>IFERROR(VLOOKUP(I1184, Map!$A$1:$B$33, 2, FALSE),"WAS")</f>
        <v>SEA</v>
      </c>
      <c r="I1184" t="s">
        <v>144</v>
      </c>
      <c r="J1184" t="s">
        <v>186</v>
      </c>
      <c r="K1184" t="s">
        <v>182</v>
      </c>
      <c r="L1184">
        <v>1</v>
      </c>
      <c r="M1184">
        <v>0</v>
      </c>
      <c r="N1184">
        <v>41.8125</v>
      </c>
      <c r="O1184">
        <v>-2.5625</v>
      </c>
      <c r="P1184">
        <v>-2.5</v>
      </c>
      <c r="Q1184">
        <v>39.5</v>
      </c>
      <c r="R1184">
        <v>4.8</v>
      </c>
      <c r="S1184">
        <v>10.9</v>
      </c>
      <c r="T1184">
        <v>1.3</v>
      </c>
      <c r="U1184">
        <v>2</v>
      </c>
      <c r="V1184">
        <v>0</v>
      </c>
      <c r="W1184">
        <v>0</v>
      </c>
      <c r="X1184">
        <v>0</v>
      </c>
      <c r="Y1184">
        <v>0</v>
      </c>
      <c r="Z1184">
        <v>13.3</v>
      </c>
      <c r="AA1184">
        <v>22</v>
      </c>
      <c r="AB1184">
        <v>85</v>
      </c>
      <c r="AC1184">
        <v>88</v>
      </c>
      <c r="AD1184">
        <v>15.6</v>
      </c>
      <c r="AE1184">
        <v>8.8000000000000007</v>
      </c>
      <c r="AF1184">
        <v>66.736999999999995</v>
      </c>
      <c r="AG1184">
        <v>60.466999999999999</v>
      </c>
      <c r="AH1184">
        <v>32.893999999999998</v>
      </c>
      <c r="AI1184">
        <v>82</v>
      </c>
      <c r="AJ1184">
        <v>74.183999999999997</v>
      </c>
      <c r="AK1184">
        <v>82.352999999999994</v>
      </c>
      <c r="AL1184">
        <v>4.9400000000000004</v>
      </c>
      <c r="AM1184">
        <v>32.893999999999998</v>
      </c>
      <c r="AN1184">
        <v>60.466999999999999</v>
      </c>
      <c r="AO1184">
        <v>66.736999999999995</v>
      </c>
      <c r="AP1184">
        <v>-4.9400000000000004</v>
      </c>
      <c r="AQ1184">
        <v>25.815999999999999</v>
      </c>
      <c r="AR1184">
        <v>18</v>
      </c>
      <c r="AS1184">
        <v>17.646999999999998</v>
      </c>
    </row>
    <row r="1185" spans="1:45" x14ac:dyDescent="0.25">
      <c r="A1185">
        <v>53</v>
      </c>
      <c r="B1185">
        <v>-11</v>
      </c>
      <c r="C1185">
        <v>0</v>
      </c>
      <c r="D1185">
        <v>2022</v>
      </c>
      <c r="E1185">
        <v>10</v>
      </c>
      <c r="F1185" t="str">
        <f>IFERROR(VLOOKUP(G1185, Map!$A$1:$B$33, 2, FALSE),"WAS")</f>
        <v>PHI</v>
      </c>
      <c r="G1185" t="s">
        <v>147</v>
      </c>
      <c r="H1185" t="str">
        <f>IFERROR(VLOOKUP(I1185, Map!$A$1:$B$33, 2, FALSE),"WAS")</f>
        <v>WAS</v>
      </c>
      <c r="I1185" t="s">
        <v>148</v>
      </c>
      <c r="J1185" t="s">
        <v>206</v>
      </c>
      <c r="K1185" t="s">
        <v>205</v>
      </c>
      <c r="L1185">
        <v>0</v>
      </c>
      <c r="M1185">
        <v>0</v>
      </c>
      <c r="N1185">
        <v>43.433333333333302</v>
      </c>
      <c r="O1185">
        <v>-9.8000000000000007</v>
      </c>
      <c r="P1185">
        <v>5</v>
      </c>
      <c r="Q1185">
        <v>42.5</v>
      </c>
      <c r="R1185">
        <v>3.5</v>
      </c>
      <c r="S1185">
        <v>8.6</v>
      </c>
      <c r="T1185">
        <v>-0.3</v>
      </c>
      <c r="U1185">
        <v>-0.1</v>
      </c>
      <c r="V1185">
        <v>3.8</v>
      </c>
      <c r="W1185">
        <v>0</v>
      </c>
      <c r="X1185">
        <v>4</v>
      </c>
      <c r="Y1185">
        <v>3.8</v>
      </c>
      <c r="Z1185">
        <v>16.2</v>
      </c>
      <c r="AA1185">
        <v>31</v>
      </c>
      <c r="AB1185">
        <v>29</v>
      </c>
      <c r="AC1185">
        <v>70</v>
      </c>
      <c r="AD1185">
        <v>18.3</v>
      </c>
      <c r="AE1185">
        <v>9.3000000000000007</v>
      </c>
      <c r="AF1185">
        <v>83.012</v>
      </c>
      <c r="AG1185">
        <v>49.39</v>
      </c>
      <c r="AH1185">
        <v>16.831</v>
      </c>
      <c r="AI1185">
        <v>51.363</v>
      </c>
      <c r="AJ1185">
        <v>40.874000000000002</v>
      </c>
      <c r="AK1185">
        <v>33.627000000000002</v>
      </c>
      <c r="AL1185">
        <v>11.242000000000001</v>
      </c>
      <c r="AM1185">
        <v>16.831</v>
      </c>
      <c r="AN1185">
        <v>49.39</v>
      </c>
      <c r="AO1185">
        <v>83.012</v>
      </c>
      <c r="AP1185">
        <v>-11.242000000000001</v>
      </c>
      <c r="AQ1185">
        <v>59.125999999999998</v>
      </c>
      <c r="AR1185">
        <v>48.637</v>
      </c>
      <c r="AS1185">
        <v>66.373000000000005</v>
      </c>
    </row>
    <row r="1186" spans="1:45" x14ac:dyDescent="0.25">
      <c r="A1186">
        <v>61</v>
      </c>
      <c r="B1186">
        <v>-1</v>
      </c>
      <c r="C1186">
        <v>0</v>
      </c>
      <c r="D1186">
        <v>2022</v>
      </c>
      <c r="E1186">
        <v>10</v>
      </c>
      <c r="F1186" t="str">
        <f>IFERROR(VLOOKUP(G1186, Map!$A$1:$B$33, 2, FALSE),"WAS")</f>
        <v>CHI</v>
      </c>
      <c r="G1186" t="s">
        <v>163</v>
      </c>
      <c r="H1186" t="str">
        <f>IFERROR(VLOOKUP(I1186, Map!$A$1:$B$33, 2, FALSE),"WAS")</f>
        <v>DET</v>
      </c>
      <c r="I1186" t="s">
        <v>164</v>
      </c>
      <c r="J1186" t="s">
        <v>216</v>
      </c>
      <c r="K1186" t="s">
        <v>173</v>
      </c>
      <c r="L1186">
        <v>0</v>
      </c>
      <c r="M1186">
        <v>0</v>
      </c>
      <c r="N1186">
        <v>46.1</v>
      </c>
      <c r="O1186">
        <v>-2.43333333333333</v>
      </c>
      <c r="P1186">
        <v>1</v>
      </c>
      <c r="Q1186">
        <v>48</v>
      </c>
      <c r="R1186">
        <v>0.3</v>
      </c>
      <c r="S1186">
        <v>2.7</v>
      </c>
      <c r="T1186">
        <v>-2.2999999999999998</v>
      </c>
      <c r="U1186">
        <v>-5.2</v>
      </c>
      <c r="V1186">
        <v>0</v>
      </c>
      <c r="W1186">
        <v>0</v>
      </c>
      <c r="X1186">
        <v>0</v>
      </c>
      <c r="Y1186">
        <v>0</v>
      </c>
      <c r="Z1186">
        <v>21.4</v>
      </c>
      <c r="AA1186">
        <v>32.799999999999997</v>
      </c>
      <c r="AB1186">
        <v>301</v>
      </c>
      <c r="AC1186">
        <v>65</v>
      </c>
      <c r="AD1186">
        <v>27.8</v>
      </c>
      <c r="AE1186">
        <v>17.8</v>
      </c>
      <c r="AF1186">
        <v>59.418999999999997</v>
      </c>
      <c r="AG1186">
        <v>18.850999999999999</v>
      </c>
      <c r="AH1186">
        <v>40.076000000000001</v>
      </c>
      <c r="AI1186">
        <v>23.884</v>
      </c>
      <c r="AJ1186">
        <v>66.784000000000006</v>
      </c>
      <c r="AK1186">
        <v>46.296999999999997</v>
      </c>
      <c r="AL1186">
        <v>2.71</v>
      </c>
      <c r="AM1186">
        <v>40.076000000000001</v>
      </c>
      <c r="AN1186">
        <v>18.850999999999999</v>
      </c>
      <c r="AO1186">
        <v>59.418999999999997</v>
      </c>
      <c r="AP1186">
        <v>-2.71</v>
      </c>
      <c r="AQ1186">
        <v>33.216000000000001</v>
      </c>
      <c r="AR1186">
        <v>76.116</v>
      </c>
      <c r="AS1186">
        <v>53.703000000000003</v>
      </c>
    </row>
    <row r="1187" spans="1:45" x14ac:dyDescent="0.25">
      <c r="A1187">
        <v>30</v>
      </c>
      <c r="B1187">
        <v>10</v>
      </c>
      <c r="C1187">
        <v>1</v>
      </c>
      <c r="D1187">
        <v>2022</v>
      </c>
      <c r="E1187">
        <v>10</v>
      </c>
      <c r="F1187" t="str">
        <f>IFERROR(VLOOKUP(G1187, Map!$A$1:$B$33, 2, FALSE),"WAS")</f>
        <v>PIT</v>
      </c>
      <c r="G1187" t="s">
        <v>145</v>
      </c>
      <c r="H1187" t="str">
        <f>IFERROR(VLOOKUP(I1187, Map!$A$1:$B$33, 2, FALSE),"WAS")</f>
        <v>NO</v>
      </c>
      <c r="I1187" t="s">
        <v>168</v>
      </c>
      <c r="J1187" t="s">
        <v>170</v>
      </c>
      <c r="K1187" t="s">
        <v>192</v>
      </c>
      <c r="L1187">
        <v>1</v>
      </c>
      <c r="M1187">
        <v>0</v>
      </c>
      <c r="N1187">
        <v>36.433333333333302</v>
      </c>
      <c r="O1187">
        <v>-1.1000000000000001</v>
      </c>
      <c r="P1187">
        <v>-1</v>
      </c>
      <c r="Q1187">
        <v>31.5</v>
      </c>
      <c r="R1187">
        <v>3.3</v>
      </c>
      <c r="S1187">
        <v>4.5</v>
      </c>
      <c r="T1187">
        <v>2.1</v>
      </c>
      <c r="U1187">
        <v>-1.7</v>
      </c>
      <c r="V1187">
        <v>0.1</v>
      </c>
      <c r="W1187">
        <v>0</v>
      </c>
      <c r="X1187">
        <v>1</v>
      </c>
      <c r="Y1187">
        <v>0.1</v>
      </c>
      <c r="Z1187">
        <v>21.2</v>
      </c>
      <c r="AA1187">
        <v>44.6</v>
      </c>
      <c r="AB1187">
        <v>277</v>
      </c>
      <c r="AC1187">
        <v>67</v>
      </c>
      <c r="AD1187">
        <v>36.299999999999997</v>
      </c>
      <c r="AE1187">
        <v>17.100000000000001</v>
      </c>
      <c r="AF1187">
        <v>35.716000000000001</v>
      </c>
      <c r="AG1187">
        <v>20.523</v>
      </c>
      <c r="AH1187">
        <v>63.868000000000002</v>
      </c>
      <c r="AI1187">
        <v>85.433999999999997</v>
      </c>
      <c r="AJ1187">
        <v>67.757999999999996</v>
      </c>
      <c r="AK1187">
        <v>73.185000000000002</v>
      </c>
      <c r="AL1187">
        <v>-4.1619999999999999</v>
      </c>
      <c r="AM1187">
        <v>63.868000000000002</v>
      </c>
      <c r="AN1187">
        <v>20.523</v>
      </c>
      <c r="AO1187">
        <v>35.716000000000001</v>
      </c>
      <c r="AP1187">
        <v>4.1619999999999999</v>
      </c>
      <c r="AQ1187">
        <v>32.241999999999997</v>
      </c>
      <c r="AR1187">
        <v>14.566000000000001</v>
      </c>
      <c r="AS1187">
        <v>26.815000000000001</v>
      </c>
    </row>
    <row r="1188" spans="1:45" x14ac:dyDescent="0.25">
      <c r="A1188">
        <v>44</v>
      </c>
      <c r="B1188">
        <v>-10</v>
      </c>
      <c r="C1188">
        <v>0</v>
      </c>
      <c r="D1188">
        <v>2022</v>
      </c>
      <c r="E1188">
        <v>10</v>
      </c>
      <c r="F1188" t="str">
        <f>IFERROR(VLOOKUP(G1188, Map!$A$1:$B$33, 2, FALSE),"WAS")</f>
        <v>LA</v>
      </c>
      <c r="G1188" t="s">
        <v>155</v>
      </c>
      <c r="H1188" t="str">
        <f>IFERROR(VLOOKUP(I1188, Map!$A$1:$B$33, 2, FALSE),"WAS")</f>
        <v>ARI</v>
      </c>
      <c r="I1188" t="s">
        <v>156</v>
      </c>
      <c r="J1188" t="s">
        <v>178</v>
      </c>
      <c r="K1188" t="s">
        <v>190</v>
      </c>
      <c r="L1188">
        <v>0</v>
      </c>
      <c r="M1188">
        <v>0</v>
      </c>
      <c r="N1188">
        <v>35.71875</v>
      </c>
      <c r="O1188">
        <v>-2.625</v>
      </c>
      <c r="P1188">
        <v>-3</v>
      </c>
      <c r="Q1188">
        <v>33.5</v>
      </c>
      <c r="R1188">
        <v>11.9</v>
      </c>
      <c r="S1188">
        <v>19.100000000000001</v>
      </c>
      <c r="T1188">
        <v>7</v>
      </c>
      <c r="U1188">
        <v>9.1999999999999993</v>
      </c>
      <c r="V1188">
        <v>0</v>
      </c>
      <c r="W1188">
        <v>0</v>
      </c>
      <c r="X1188">
        <v>0</v>
      </c>
      <c r="Y1188">
        <v>0</v>
      </c>
      <c r="Z1188">
        <v>28.4</v>
      </c>
      <c r="AA1188">
        <v>44.3</v>
      </c>
      <c r="AB1188">
        <v>329</v>
      </c>
      <c r="AC1188">
        <v>70</v>
      </c>
      <c r="AD1188">
        <v>20.100000000000001</v>
      </c>
      <c r="AE1188">
        <v>11.7</v>
      </c>
      <c r="AF1188">
        <v>57.938000000000002</v>
      </c>
      <c r="AG1188">
        <v>19.196000000000002</v>
      </c>
      <c r="AH1188">
        <v>41.645000000000003</v>
      </c>
      <c r="AI1188">
        <v>32.244</v>
      </c>
      <c r="AJ1188">
        <v>17.936</v>
      </c>
      <c r="AK1188">
        <v>22.109000000000002</v>
      </c>
      <c r="AL1188">
        <v>2.5179999999999998</v>
      </c>
      <c r="AM1188">
        <v>41.645000000000003</v>
      </c>
      <c r="AN1188">
        <v>19.196000000000002</v>
      </c>
      <c r="AO1188">
        <v>57.938000000000002</v>
      </c>
      <c r="AP1188">
        <v>-2.5179999999999998</v>
      </c>
      <c r="AQ1188">
        <v>82.063999999999993</v>
      </c>
      <c r="AR1188">
        <v>67.756</v>
      </c>
      <c r="AS1188">
        <v>77.891000000000005</v>
      </c>
    </row>
    <row r="1189" spans="1:45" x14ac:dyDescent="0.25">
      <c r="A1189">
        <v>63</v>
      </c>
      <c r="B1189">
        <v>-3</v>
      </c>
      <c r="C1189">
        <v>0</v>
      </c>
      <c r="D1189">
        <v>2022</v>
      </c>
      <c r="E1189">
        <v>10</v>
      </c>
      <c r="F1189" t="str">
        <f>IFERROR(VLOOKUP(G1189, Map!$A$1:$B$33, 2, FALSE),"WAS")</f>
        <v>BUF</v>
      </c>
      <c r="G1189" t="s">
        <v>165</v>
      </c>
      <c r="H1189" t="str">
        <f>IFERROR(VLOOKUP(I1189, Map!$A$1:$B$33, 2, FALSE),"WAS")</f>
        <v>MIN</v>
      </c>
      <c r="I1189" t="s">
        <v>153</v>
      </c>
      <c r="J1189" t="s">
        <v>180</v>
      </c>
      <c r="K1189" t="s">
        <v>214</v>
      </c>
      <c r="L1189">
        <v>0</v>
      </c>
      <c r="M1189">
        <v>0</v>
      </c>
      <c r="N1189">
        <v>44.3333333333333</v>
      </c>
      <c r="O1189">
        <v>-5.2</v>
      </c>
      <c r="P1189">
        <v>2.5</v>
      </c>
      <c r="Q1189">
        <v>44.5</v>
      </c>
      <c r="R1189">
        <v>10.9</v>
      </c>
      <c r="S1189">
        <v>18.5</v>
      </c>
      <c r="T1189">
        <v>6.2</v>
      </c>
      <c r="U1189">
        <v>7.5</v>
      </c>
      <c r="V1189">
        <v>1.9</v>
      </c>
      <c r="W1189">
        <v>0</v>
      </c>
      <c r="X1189">
        <v>1</v>
      </c>
      <c r="Y1189">
        <v>1.9</v>
      </c>
      <c r="Z1189">
        <v>19.2</v>
      </c>
      <c r="AA1189">
        <v>37.4</v>
      </c>
      <c r="AB1189">
        <v>332</v>
      </c>
      <c r="AC1189">
        <v>63</v>
      </c>
      <c r="AD1189">
        <v>29.8</v>
      </c>
      <c r="AE1189">
        <v>15.6</v>
      </c>
      <c r="AF1189">
        <v>56.656999999999996</v>
      </c>
      <c r="AG1189">
        <v>70.787999999999997</v>
      </c>
      <c r="AH1189">
        <v>42.823</v>
      </c>
      <c r="AI1189">
        <v>67.873999999999995</v>
      </c>
      <c r="AJ1189">
        <v>58.323999999999998</v>
      </c>
      <c r="AK1189">
        <v>69.837000000000003</v>
      </c>
      <c r="AL1189">
        <v>2.2730000000000001</v>
      </c>
      <c r="AM1189">
        <v>42.823</v>
      </c>
      <c r="AN1189">
        <v>70.787999999999997</v>
      </c>
      <c r="AO1189">
        <v>56.656999999999996</v>
      </c>
      <c r="AP1189">
        <v>-2.2730000000000001</v>
      </c>
      <c r="AQ1189">
        <v>41.676000000000002</v>
      </c>
      <c r="AR1189">
        <v>32.125999999999998</v>
      </c>
      <c r="AS1189">
        <v>30.163</v>
      </c>
    </row>
    <row r="1190" spans="1:45" x14ac:dyDescent="0.25">
      <c r="A1190">
        <v>56</v>
      </c>
      <c r="B1190">
        <v>22</v>
      </c>
      <c r="C1190">
        <v>1</v>
      </c>
      <c r="D1190">
        <v>2022</v>
      </c>
      <c r="E1190">
        <v>10</v>
      </c>
      <c r="F1190" t="str">
        <f>IFERROR(VLOOKUP(G1190, Map!$A$1:$B$33, 2, FALSE),"WAS")</f>
        <v>MIA</v>
      </c>
      <c r="G1190" t="s">
        <v>152</v>
      </c>
      <c r="H1190" t="str">
        <f>IFERROR(VLOOKUP(I1190, Map!$A$1:$B$33, 2, FALSE),"WAS")</f>
        <v>CLE</v>
      </c>
      <c r="I1190" t="s">
        <v>162</v>
      </c>
      <c r="J1190" t="s">
        <v>175</v>
      </c>
      <c r="K1190" t="s">
        <v>171</v>
      </c>
      <c r="L1190">
        <v>1</v>
      </c>
      <c r="M1190">
        <v>0</v>
      </c>
      <c r="N1190">
        <v>46.533333333333303</v>
      </c>
      <c r="O1190">
        <v>-4.4000000000000004</v>
      </c>
      <c r="P1190">
        <v>-3</v>
      </c>
      <c r="Q1190">
        <v>48.5</v>
      </c>
      <c r="R1190">
        <v>23.2</v>
      </c>
      <c r="S1190">
        <v>28.4</v>
      </c>
      <c r="T1190">
        <v>19.899999999999999</v>
      </c>
      <c r="U1190">
        <v>26.7</v>
      </c>
      <c r="V1190">
        <v>6.8</v>
      </c>
      <c r="W1190">
        <v>0</v>
      </c>
      <c r="X1190">
        <v>5</v>
      </c>
      <c r="Y1190">
        <v>6.8</v>
      </c>
      <c r="Z1190">
        <v>9.1</v>
      </c>
      <c r="AA1190">
        <v>21.2</v>
      </c>
      <c r="AB1190">
        <v>340</v>
      </c>
      <c r="AC1190">
        <v>86</v>
      </c>
      <c r="AD1190">
        <v>12.8</v>
      </c>
      <c r="AE1190">
        <v>5.4</v>
      </c>
      <c r="AF1190">
        <v>57.527999999999999</v>
      </c>
      <c r="AG1190">
        <v>76.718000000000004</v>
      </c>
      <c r="AH1190">
        <v>41.927999999999997</v>
      </c>
      <c r="AI1190">
        <v>67.617000000000004</v>
      </c>
      <c r="AJ1190">
        <v>94.352999999999994</v>
      </c>
      <c r="AK1190">
        <v>90.353999999999999</v>
      </c>
      <c r="AL1190">
        <v>2.1539999999999999</v>
      </c>
      <c r="AM1190">
        <v>41.927999999999997</v>
      </c>
      <c r="AN1190">
        <v>76.718000000000004</v>
      </c>
      <c r="AO1190">
        <v>57.527999999999999</v>
      </c>
      <c r="AP1190">
        <v>-2.1539999999999999</v>
      </c>
      <c r="AQ1190">
        <v>5.6470000000000002</v>
      </c>
      <c r="AR1190">
        <v>32.383000000000003</v>
      </c>
      <c r="AS1190">
        <v>9.6460000000000008</v>
      </c>
    </row>
    <row r="1191" spans="1:45" x14ac:dyDescent="0.25">
      <c r="A1191">
        <v>44</v>
      </c>
      <c r="B1191">
        <v>10</v>
      </c>
      <c r="C1191">
        <v>1</v>
      </c>
      <c r="D1191">
        <v>2022</v>
      </c>
      <c r="E1191">
        <v>10</v>
      </c>
      <c r="F1191" t="str">
        <f>IFERROR(VLOOKUP(G1191, Map!$A$1:$B$33, 2, FALSE),"WAS")</f>
        <v>KC</v>
      </c>
      <c r="G1191" t="s">
        <v>158</v>
      </c>
      <c r="H1191" t="str">
        <f>IFERROR(VLOOKUP(I1191, Map!$A$1:$B$33, 2, FALSE),"WAS")</f>
        <v>JAX</v>
      </c>
      <c r="I1191" t="s">
        <v>139</v>
      </c>
      <c r="J1191" t="s">
        <v>202</v>
      </c>
      <c r="K1191" t="s">
        <v>220</v>
      </c>
      <c r="L1191">
        <v>1</v>
      </c>
      <c r="M1191">
        <v>0</v>
      </c>
      <c r="N1191">
        <v>47.633333333333297</v>
      </c>
      <c r="O1191">
        <v>-8.93333333333333</v>
      </c>
      <c r="P1191">
        <v>-9.5</v>
      </c>
      <c r="Q1191">
        <v>46.5</v>
      </c>
      <c r="R1191">
        <v>-2.8</v>
      </c>
      <c r="S1191">
        <v>3.4</v>
      </c>
      <c r="T1191">
        <v>-6.4</v>
      </c>
      <c r="U1191">
        <v>-6.9</v>
      </c>
      <c r="V1191">
        <v>0</v>
      </c>
      <c r="W1191">
        <v>0</v>
      </c>
      <c r="X1191">
        <v>0</v>
      </c>
      <c r="Y1191">
        <v>0</v>
      </c>
      <c r="Z1191">
        <v>13.8</v>
      </c>
      <c r="AA1191">
        <v>27.4</v>
      </c>
      <c r="AB1191">
        <v>146</v>
      </c>
      <c r="AC1191">
        <v>69</v>
      </c>
      <c r="AD1191">
        <v>14.3</v>
      </c>
      <c r="AE1191">
        <v>7</v>
      </c>
      <c r="AF1191">
        <v>84.137</v>
      </c>
      <c r="AG1191">
        <v>88.683999999999997</v>
      </c>
      <c r="AH1191">
        <v>15.72</v>
      </c>
      <c r="AI1191">
        <v>61.65</v>
      </c>
      <c r="AJ1191">
        <v>91.908000000000001</v>
      </c>
      <c r="AK1191">
        <v>88.509</v>
      </c>
      <c r="AL1191">
        <v>11.904999999999999</v>
      </c>
      <c r="AM1191">
        <v>15.72</v>
      </c>
      <c r="AN1191">
        <v>88.683999999999997</v>
      </c>
      <c r="AO1191">
        <v>84.137</v>
      </c>
      <c r="AP1191">
        <v>-11.904999999999999</v>
      </c>
      <c r="AQ1191">
        <v>8.0920000000000005</v>
      </c>
      <c r="AR1191">
        <v>38.35</v>
      </c>
      <c r="AS1191">
        <v>11.491</v>
      </c>
    </row>
    <row r="1192" spans="1:45" x14ac:dyDescent="0.25">
      <c r="A1192">
        <v>13</v>
      </c>
      <c r="B1192">
        <v>7</v>
      </c>
      <c r="C1192">
        <v>1</v>
      </c>
      <c r="D1192">
        <v>2022</v>
      </c>
      <c r="E1192">
        <v>11</v>
      </c>
      <c r="F1192" t="str">
        <f>IFERROR(VLOOKUP(G1192, Map!$A$1:$B$33, 2, FALSE),"WAS")</f>
        <v>NE</v>
      </c>
      <c r="G1192" t="s">
        <v>151</v>
      </c>
      <c r="H1192" t="str">
        <f>IFERROR(VLOOKUP(I1192, Map!$A$1:$B$33, 2, FALSE),"WAS")</f>
        <v>NYJ</v>
      </c>
      <c r="I1192" t="s">
        <v>166</v>
      </c>
      <c r="J1192" t="s">
        <v>187</v>
      </c>
      <c r="K1192" t="s">
        <v>172</v>
      </c>
      <c r="L1192">
        <v>1</v>
      </c>
      <c r="M1192">
        <v>0</v>
      </c>
      <c r="N1192">
        <v>34.3125</v>
      </c>
      <c r="O1192">
        <v>-3.5</v>
      </c>
      <c r="P1192">
        <v>-3.5</v>
      </c>
      <c r="Q1192">
        <v>14.5</v>
      </c>
      <c r="R1192">
        <v>-0.3</v>
      </c>
      <c r="S1192">
        <v>2.1</v>
      </c>
      <c r="T1192">
        <v>-2.4</v>
      </c>
      <c r="U1192">
        <v>-6</v>
      </c>
      <c r="V1192">
        <v>0</v>
      </c>
      <c r="W1192">
        <v>0</v>
      </c>
      <c r="X1192">
        <v>0</v>
      </c>
      <c r="Y1192">
        <v>0</v>
      </c>
      <c r="Z1192">
        <v>29.7</v>
      </c>
      <c r="AA1192">
        <v>66.2</v>
      </c>
      <c r="AB1192">
        <v>265</v>
      </c>
      <c r="AC1192">
        <v>48</v>
      </c>
      <c r="AD1192">
        <v>36.700000000000003</v>
      </c>
      <c r="AE1192">
        <v>16.7</v>
      </c>
      <c r="AF1192">
        <v>45.441000000000003</v>
      </c>
      <c r="AG1192">
        <v>17.815999999999999</v>
      </c>
      <c r="AH1192">
        <v>53.962000000000003</v>
      </c>
      <c r="AI1192">
        <v>94.34</v>
      </c>
      <c r="AJ1192">
        <v>19.779</v>
      </c>
      <c r="AK1192">
        <v>65.64</v>
      </c>
      <c r="AL1192">
        <v>-1.2949999999999999</v>
      </c>
      <c r="AM1192">
        <v>53.962000000000003</v>
      </c>
      <c r="AN1192">
        <v>17.815999999999999</v>
      </c>
      <c r="AO1192">
        <v>45.441000000000003</v>
      </c>
      <c r="AP1192">
        <v>1.2949999999999999</v>
      </c>
      <c r="AQ1192">
        <v>80.221000000000004</v>
      </c>
      <c r="AR1192">
        <v>5.66</v>
      </c>
      <c r="AS1192">
        <v>34.36</v>
      </c>
    </row>
    <row r="1193" spans="1:45" x14ac:dyDescent="0.25">
      <c r="A1193">
        <v>43</v>
      </c>
      <c r="B1193">
        <v>-37</v>
      </c>
      <c r="C1193">
        <v>0</v>
      </c>
      <c r="D1193">
        <v>2022</v>
      </c>
      <c r="E1193">
        <v>11</v>
      </c>
      <c r="F1193" t="str">
        <f>IFERROR(VLOOKUP(G1193, Map!$A$1:$B$33, 2, FALSE),"WAS")</f>
        <v>MIN</v>
      </c>
      <c r="G1193" t="s">
        <v>153</v>
      </c>
      <c r="H1193" t="str">
        <f>IFERROR(VLOOKUP(I1193, Map!$A$1:$B$33, 2, FALSE),"WAS")</f>
        <v>DAL</v>
      </c>
      <c r="I1193" t="s">
        <v>150</v>
      </c>
      <c r="J1193" t="s">
        <v>214</v>
      </c>
      <c r="K1193" t="s">
        <v>184</v>
      </c>
      <c r="L1193">
        <v>0</v>
      </c>
      <c r="M1193">
        <v>0</v>
      </c>
      <c r="N1193">
        <v>45.46875</v>
      </c>
      <c r="O1193">
        <v>3.84375</v>
      </c>
      <c r="P1193">
        <v>1.5</v>
      </c>
      <c r="Q1193">
        <v>47.5</v>
      </c>
      <c r="R1193">
        <v>-9.1</v>
      </c>
      <c r="S1193">
        <v>0.2</v>
      </c>
      <c r="T1193">
        <v>-16.5</v>
      </c>
      <c r="U1193">
        <v>-14.1</v>
      </c>
      <c r="V1193">
        <v>0.1</v>
      </c>
      <c r="W1193">
        <v>7.0000000000000007E-2</v>
      </c>
      <c r="X1193">
        <v>1</v>
      </c>
      <c r="Y1193">
        <v>0</v>
      </c>
      <c r="Z1193">
        <v>14.3</v>
      </c>
      <c r="AA1193">
        <v>32.799999999999997</v>
      </c>
      <c r="AB1193">
        <v>212</v>
      </c>
      <c r="AC1193">
        <v>71</v>
      </c>
      <c r="AD1193">
        <v>19.100000000000001</v>
      </c>
      <c r="AE1193">
        <v>10.3</v>
      </c>
      <c r="AF1193">
        <v>45.088999999999999</v>
      </c>
      <c r="AG1193">
        <v>54.802</v>
      </c>
      <c r="AH1193">
        <v>54.323999999999998</v>
      </c>
      <c r="AI1193">
        <v>13.087999999999999</v>
      </c>
      <c r="AJ1193">
        <v>10.701000000000001</v>
      </c>
      <c r="AK1193">
        <v>2.4260000000000002</v>
      </c>
      <c r="AL1193">
        <v>-1.3919999999999999</v>
      </c>
      <c r="AM1193">
        <v>54.323999999999998</v>
      </c>
      <c r="AN1193">
        <v>54.802</v>
      </c>
      <c r="AO1193">
        <v>45.088999999999999</v>
      </c>
      <c r="AP1193">
        <v>1.3919999999999999</v>
      </c>
      <c r="AQ1193">
        <v>89.299000000000007</v>
      </c>
      <c r="AR1193">
        <v>86.912000000000006</v>
      </c>
      <c r="AS1193">
        <v>97.573999999999998</v>
      </c>
    </row>
    <row r="1194" spans="1:45" x14ac:dyDescent="0.25">
      <c r="A1194">
        <v>33</v>
      </c>
      <c r="B1194">
        <v>-1</v>
      </c>
      <c r="C1194">
        <v>0</v>
      </c>
      <c r="D1194">
        <v>2022</v>
      </c>
      <c r="E1194">
        <v>11</v>
      </c>
      <c r="F1194" t="str">
        <f>IFERROR(VLOOKUP(G1194, Map!$A$1:$B$33, 2, FALSE),"WAS")</f>
        <v>IND</v>
      </c>
      <c r="G1194" t="s">
        <v>138</v>
      </c>
      <c r="H1194" t="str">
        <f>IFERROR(VLOOKUP(I1194, Map!$A$1:$B$33, 2, FALSE),"WAS")</f>
        <v>PHI</v>
      </c>
      <c r="I1194" t="s">
        <v>147</v>
      </c>
      <c r="J1194" t="s">
        <v>177</v>
      </c>
      <c r="K1194" t="s">
        <v>206</v>
      </c>
      <c r="L1194">
        <v>0</v>
      </c>
      <c r="M1194">
        <v>0</v>
      </c>
      <c r="N1194">
        <v>41.78125</v>
      </c>
      <c r="O1194">
        <v>5.59375</v>
      </c>
      <c r="P1194">
        <v>-2.5</v>
      </c>
      <c r="Q1194">
        <v>32.5</v>
      </c>
      <c r="R1194">
        <v>-4.8</v>
      </c>
      <c r="S1194">
        <v>0.1</v>
      </c>
      <c r="T1194">
        <v>-8.8000000000000007</v>
      </c>
      <c r="U1194">
        <v>-10.5</v>
      </c>
      <c r="V1194">
        <v>0</v>
      </c>
      <c r="W1194">
        <v>0</v>
      </c>
      <c r="X1194">
        <v>0</v>
      </c>
      <c r="Y1194">
        <v>0</v>
      </c>
      <c r="Z1194">
        <v>22</v>
      </c>
      <c r="AA1194">
        <v>45.4</v>
      </c>
      <c r="AB1194">
        <v>271</v>
      </c>
      <c r="AC1194">
        <v>38</v>
      </c>
      <c r="AD1194">
        <v>27.7</v>
      </c>
      <c r="AE1194">
        <v>13.5</v>
      </c>
      <c r="AF1194">
        <v>30.067</v>
      </c>
      <c r="AG1194">
        <v>51.247</v>
      </c>
      <c r="AH1194">
        <v>69.608999999999995</v>
      </c>
      <c r="AI1194">
        <v>71.941999999999993</v>
      </c>
      <c r="AJ1194">
        <v>25.442</v>
      </c>
      <c r="AK1194">
        <v>51.073999999999998</v>
      </c>
      <c r="AL1194">
        <v>-5.9950000000000001</v>
      </c>
      <c r="AM1194">
        <v>69.608999999999995</v>
      </c>
      <c r="AN1194">
        <v>51.247</v>
      </c>
      <c r="AO1194">
        <v>30.067</v>
      </c>
      <c r="AP1194">
        <v>5.9950000000000001</v>
      </c>
      <c r="AQ1194">
        <v>74.558000000000007</v>
      </c>
      <c r="AR1194">
        <v>28.058</v>
      </c>
      <c r="AS1194">
        <v>48.926000000000002</v>
      </c>
    </row>
    <row r="1195" spans="1:45" x14ac:dyDescent="0.25">
      <c r="A1195">
        <v>67</v>
      </c>
      <c r="B1195">
        <v>-7</v>
      </c>
      <c r="C1195">
        <v>0</v>
      </c>
      <c r="D1195">
        <v>2022</v>
      </c>
      <c r="E1195">
        <v>11</v>
      </c>
      <c r="F1195" t="str">
        <f>IFERROR(VLOOKUP(G1195, Map!$A$1:$B$33, 2, FALSE),"WAS")</f>
        <v>PIT</v>
      </c>
      <c r="G1195" t="s">
        <v>145</v>
      </c>
      <c r="H1195" t="str">
        <f>IFERROR(VLOOKUP(I1195, Map!$A$1:$B$33, 2, FALSE),"WAS")</f>
        <v>CIN</v>
      </c>
      <c r="I1195" t="s">
        <v>161</v>
      </c>
      <c r="J1195" t="s">
        <v>170</v>
      </c>
      <c r="K1195" t="s">
        <v>176</v>
      </c>
      <c r="L1195">
        <v>0</v>
      </c>
      <c r="M1195">
        <v>0</v>
      </c>
      <c r="N1195">
        <v>38.46875</v>
      </c>
      <c r="O1195">
        <v>3.4375</v>
      </c>
      <c r="P1195">
        <v>3.5</v>
      </c>
      <c r="Q1195">
        <v>39.5</v>
      </c>
      <c r="R1195">
        <v>-3.3</v>
      </c>
      <c r="S1195">
        <v>-0.8</v>
      </c>
      <c r="T1195">
        <v>-6.4</v>
      </c>
      <c r="U1195">
        <v>-9.5</v>
      </c>
      <c r="V1195">
        <v>0</v>
      </c>
      <c r="W1195">
        <v>0</v>
      </c>
      <c r="X1195">
        <v>0</v>
      </c>
      <c r="Y1195">
        <v>0</v>
      </c>
      <c r="Z1195">
        <v>24.5</v>
      </c>
      <c r="AA1195">
        <v>49.7</v>
      </c>
      <c r="AB1195">
        <v>258</v>
      </c>
      <c r="AC1195">
        <v>50</v>
      </c>
      <c r="AD1195">
        <v>41.3</v>
      </c>
      <c r="AE1195">
        <v>19.399999999999999</v>
      </c>
      <c r="AF1195">
        <v>20.004999999999999</v>
      </c>
      <c r="AG1195">
        <v>71.835999999999999</v>
      </c>
      <c r="AH1195">
        <v>79.805999999999997</v>
      </c>
      <c r="AI1195">
        <v>31.472000000000001</v>
      </c>
      <c r="AJ1195">
        <v>46.935000000000002</v>
      </c>
      <c r="AK1195">
        <v>30.591000000000001</v>
      </c>
      <c r="AL1195">
        <v>-9.86</v>
      </c>
      <c r="AM1195">
        <v>79.805999999999997</v>
      </c>
      <c r="AN1195">
        <v>71.835999999999999</v>
      </c>
      <c r="AO1195">
        <v>20.004999999999999</v>
      </c>
      <c r="AP1195">
        <v>9.86</v>
      </c>
      <c r="AQ1195">
        <v>53.064999999999998</v>
      </c>
      <c r="AR1195">
        <v>68.528000000000006</v>
      </c>
      <c r="AS1195">
        <v>69.409000000000006</v>
      </c>
    </row>
    <row r="1196" spans="1:45" x14ac:dyDescent="0.25">
      <c r="A1196">
        <v>38</v>
      </c>
      <c r="B1196">
        <v>-6</v>
      </c>
      <c r="C1196">
        <v>0</v>
      </c>
      <c r="D1196">
        <v>2022</v>
      </c>
      <c r="E1196">
        <v>11</v>
      </c>
      <c r="F1196" t="str">
        <f>IFERROR(VLOOKUP(G1196, Map!$A$1:$B$33, 2, FALSE),"WAS")</f>
        <v>DEN</v>
      </c>
      <c r="G1196" t="s">
        <v>159</v>
      </c>
      <c r="H1196" t="str">
        <f>IFERROR(VLOOKUP(I1196, Map!$A$1:$B$33, 2, FALSE),"WAS")</f>
        <v>LV</v>
      </c>
      <c r="I1196" t="s">
        <v>157</v>
      </c>
      <c r="J1196" t="s">
        <v>183</v>
      </c>
      <c r="K1196" t="s">
        <v>179</v>
      </c>
      <c r="L1196">
        <v>0</v>
      </c>
      <c r="M1196">
        <v>0</v>
      </c>
      <c r="N1196">
        <v>40.766666666666701</v>
      </c>
      <c r="O1196">
        <v>-2.6</v>
      </c>
      <c r="P1196">
        <v>-2.5</v>
      </c>
      <c r="Q1196">
        <v>30.5</v>
      </c>
      <c r="R1196">
        <v>-1.3</v>
      </c>
      <c r="S1196">
        <v>9.6</v>
      </c>
      <c r="T1196">
        <v>-7.3</v>
      </c>
      <c r="U1196">
        <v>-6.1</v>
      </c>
      <c r="V1196">
        <v>0</v>
      </c>
      <c r="W1196">
        <v>0</v>
      </c>
      <c r="X1196">
        <v>0</v>
      </c>
      <c r="Y1196">
        <v>0</v>
      </c>
      <c r="Z1196">
        <v>10.1</v>
      </c>
      <c r="AA1196">
        <v>20.2</v>
      </c>
      <c r="AB1196">
        <v>172</v>
      </c>
      <c r="AC1196">
        <v>34</v>
      </c>
      <c r="AD1196">
        <v>13.1</v>
      </c>
      <c r="AE1196">
        <v>7.5</v>
      </c>
      <c r="AF1196">
        <v>36.616999999999997</v>
      </c>
      <c r="AG1196">
        <v>66.53</v>
      </c>
      <c r="AH1196">
        <v>62.954999999999998</v>
      </c>
      <c r="AI1196">
        <v>40.268000000000001</v>
      </c>
      <c r="AJ1196">
        <v>48.481000000000002</v>
      </c>
      <c r="AK1196">
        <v>38.121000000000002</v>
      </c>
      <c r="AL1196">
        <v>-3.9009999999999998</v>
      </c>
      <c r="AM1196">
        <v>62.954999999999998</v>
      </c>
      <c r="AN1196">
        <v>66.53</v>
      </c>
      <c r="AO1196">
        <v>36.616999999999997</v>
      </c>
      <c r="AP1196">
        <v>3.9009999999999998</v>
      </c>
      <c r="AQ1196">
        <v>51.518999999999998</v>
      </c>
      <c r="AR1196">
        <v>59.731999999999999</v>
      </c>
      <c r="AS1196">
        <v>61.878999999999998</v>
      </c>
    </row>
    <row r="1197" spans="1:45" x14ac:dyDescent="0.25">
      <c r="A1197">
        <v>54</v>
      </c>
      <c r="B1197">
        <v>8</v>
      </c>
      <c r="C1197">
        <v>1</v>
      </c>
      <c r="D1197">
        <v>2022</v>
      </c>
      <c r="E1197">
        <v>11</v>
      </c>
      <c r="F1197" t="str">
        <f>IFERROR(VLOOKUP(G1197, Map!$A$1:$B$33, 2, FALSE),"WAS")</f>
        <v>BUF</v>
      </c>
      <c r="G1197" t="s">
        <v>165</v>
      </c>
      <c r="H1197" t="str">
        <f>IFERROR(VLOOKUP(I1197, Map!$A$1:$B$33, 2, FALSE),"WAS")</f>
        <v>CLE</v>
      </c>
      <c r="I1197" t="s">
        <v>162</v>
      </c>
      <c r="J1197" t="s">
        <v>180</v>
      </c>
      <c r="K1197" t="s">
        <v>171</v>
      </c>
      <c r="L1197">
        <v>1</v>
      </c>
      <c r="M1197">
        <v>0</v>
      </c>
      <c r="N1197">
        <v>46.90625</v>
      </c>
      <c r="O1197">
        <v>-7.5625</v>
      </c>
      <c r="P1197">
        <v>-7.5</v>
      </c>
      <c r="Q1197">
        <v>48.5</v>
      </c>
      <c r="R1197">
        <v>-5.0999999999999996</v>
      </c>
      <c r="S1197">
        <v>-2.9</v>
      </c>
      <c r="T1197">
        <v>-7.6</v>
      </c>
      <c r="U1197">
        <v>-12.1</v>
      </c>
      <c r="V1197">
        <v>0.4</v>
      </c>
      <c r="W1197">
        <v>0.28000000000000003</v>
      </c>
      <c r="X1197">
        <v>3</v>
      </c>
      <c r="Y1197">
        <v>0</v>
      </c>
      <c r="Z1197">
        <v>30.7</v>
      </c>
      <c r="AA1197">
        <v>48.6</v>
      </c>
      <c r="AB1197">
        <v>262</v>
      </c>
      <c r="AC1197">
        <v>59</v>
      </c>
      <c r="AD1197">
        <v>41.1</v>
      </c>
      <c r="AE1197">
        <v>24.5</v>
      </c>
      <c r="AF1197">
        <v>78.384</v>
      </c>
      <c r="AG1197">
        <v>91.097999999999999</v>
      </c>
      <c r="AH1197">
        <v>21.405999999999999</v>
      </c>
      <c r="AI1197">
        <v>53.314999999999998</v>
      </c>
      <c r="AJ1197">
        <v>65.704999999999998</v>
      </c>
      <c r="AK1197">
        <v>78.085999999999999</v>
      </c>
      <c r="AL1197">
        <v>9.1560000000000006</v>
      </c>
      <c r="AM1197">
        <v>21.405999999999999</v>
      </c>
      <c r="AN1197">
        <v>91.097999999999999</v>
      </c>
      <c r="AO1197">
        <v>78.384</v>
      </c>
      <c r="AP1197">
        <v>-9.1560000000000006</v>
      </c>
      <c r="AQ1197">
        <v>34.295000000000002</v>
      </c>
      <c r="AR1197">
        <v>46.685000000000002</v>
      </c>
      <c r="AS1197">
        <v>21.914000000000001</v>
      </c>
    </row>
    <row r="1198" spans="1:45" x14ac:dyDescent="0.25">
      <c r="A1198">
        <v>49</v>
      </c>
      <c r="B1198">
        <v>-13</v>
      </c>
      <c r="C1198">
        <v>0</v>
      </c>
      <c r="D1198">
        <v>2022</v>
      </c>
      <c r="E1198">
        <v>11</v>
      </c>
      <c r="F1198" t="str">
        <f>IFERROR(VLOOKUP(G1198, Map!$A$1:$B$33, 2, FALSE),"WAS")</f>
        <v>NYG</v>
      </c>
      <c r="G1198" t="s">
        <v>149</v>
      </c>
      <c r="H1198" t="str">
        <f>IFERROR(VLOOKUP(I1198, Map!$A$1:$B$33, 2, FALSE),"WAS")</f>
        <v>DET</v>
      </c>
      <c r="I1198" t="s">
        <v>164</v>
      </c>
      <c r="J1198" t="s">
        <v>219</v>
      </c>
      <c r="K1198" t="s">
        <v>173</v>
      </c>
      <c r="L1198">
        <v>0</v>
      </c>
      <c r="M1198">
        <v>0</v>
      </c>
      <c r="N1198">
        <v>42.1875</v>
      </c>
      <c r="O1198">
        <v>-1.875</v>
      </c>
      <c r="P1198">
        <v>-3</v>
      </c>
      <c r="Q1198">
        <v>44</v>
      </c>
      <c r="R1198">
        <v>0.2</v>
      </c>
      <c r="S1198">
        <v>1.9</v>
      </c>
      <c r="T1198">
        <v>-1.2</v>
      </c>
      <c r="U1198">
        <v>-5.6</v>
      </c>
      <c r="V1198">
        <v>0</v>
      </c>
      <c r="W1198">
        <v>0</v>
      </c>
      <c r="X1198">
        <v>0</v>
      </c>
      <c r="Y1198">
        <v>0</v>
      </c>
      <c r="Z1198">
        <v>29.9</v>
      </c>
      <c r="AA1198">
        <v>61.2</v>
      </c>
      <c r="AB1198">
        <v>275</v>
      </c>
      <c r="AC1198">
        <v>48</v>
      </c>
      <c r="AD1198">
        <v>36</v>
      </c>
      <c r="AE1198">
        <v>17.7</v>
      </c>
      <c r="AF1198">
        <v>65.63</v>
      </c>
      <c r="AG1198">
        <v>22.937000000000001</v>
      </c>
      <c r="AH1198">
        <v>33.975999999999999</v>
      </c>
      <c r="AI1198">
        <v>25.369</v>
      </c>
      <c r="AJ1198">
        <v>27.626999999999999</v>
      </c>
      <c r="AK1198">
        <v>16.324999999999999</v>
      </c>
      <c r="AL1198">
        <v>4.5890000000000004</v>
      </c>
      <c r="AM1198">
        <v>33.975999999999999</v>
      </c>
      <c r="AN1198">
        <v>22.937000000000001</v>
      </c>
      <c r="AO1198">
        <v>65.63</v>
      </c>
      <c r="AP1198">
        <v>-4.5890000000000004</v>
      </c>
      <c r="AQ1198">
        <v>72.373000000000005</v>
      </c>
      <c r="AR1198">
        <v>74.631</v>
      </c>
      <c r="AS1198">
        <v>83.674999999999997</v>
      </c>
    </row>
    <row r="1199" spans="1:45" x14ac:dyDescent="0.25">
      <c r="A1199">
        <v>16</v>
      </c>
      <c r="B1199">
        <v>10</v>
      </c>
      <c r="C1199">
        <v>1</v>
      </c>
      <c r="D1199">
        <v>2022</v>
      </c>
      <c r="E1199">
        <v>11</v>
      </c>
      <c r="F1199" t="str">
        <f>IFERROR(VLOOKUP(G1199, Map!$A$1:$B$33, 2, FALSE),"WAS")</f>
        <v>BAL</v>
      </c>
      <c r="G1199" t="s">
        <v>146</v>
      </c>
      <c r="H1199" t="str">
        <f>IFERROR(VLOOKUP(I1199, Map!$A$1:$B$33, 2, FALSE),"WAS")</f>
        <v>CAR</v>
      </c>
      <c r="I1199" t="s">
        <v>142</v>
      </c>
      <c r="J1199" t="s">
        <v>181</v>
      </c>
      <c r="K1199" t="s">
        <v>185</v>
      </c>
      <c r="L1199">
        <v>1</v>
      </c>
      <c r="M1199">
        <v>0</v>
      </c>
      <c r="N1199">
        <v>37.5</v>
      </c>
      <c r="O1199">
        <v>-11.5</v>
      </c>
      <c r="P1199">
        <v>-9.5</v>
      </c>
      <c r="Q1199">
        <v>17.5</v>
      </c>
      <c r="R1199">
        <v>0.6</v>
      </c>
      <c r="S1199">
        <v>1.9</v>
      </c>
      <c r="T1199">
        <v>-1.3</v>
      </c>
      <c r="U1199">
        <v>-5.0999999999999996</v>
      </c>
      <c r="V1199">
        <v>0</v>
      </c>
      <c r="W1199">
        <v>0</v>
      </c>
      <c r="X1199">
        <v>0</v>
      </c>
      <c r="Y1199">
        <v>0</v>
      </c>
      <c r="Z1199">
        <v>24.7</v>
      </c>
      <c r="AA1199">
        <v>44.6</v>
      </c>
      <c r="AB1199">
        <v>285</v>
      </c>
      <c r="AC1199">
        <v>48</v>
      </c>
      <c r="AD1199">
        <v>31.3</v>
      </c>
      <c r="AE1199">
        <v>17.100000000000001</v>
      </c>
      <c r="AF1199">
        <v>84.795000000000002</v>
      </c>
      <c r="AG1199">
        <v>70.257000000000005</v>
      </c>
      <c r="AH1199">
        <v>15.067</v>
      </c>
      <c r="AI1199">
        <v>96.116</v>
      </c>
      <c r="AJ1199">
        <v>29.436</v>
      </c>
      <c r="AK1199">
        <v>73.597999999999999</v>
      </c>
      <c r="AL1199">
        <v>12.177</v>
      </c>
      <c r="AM1199">
        <v>15.067</v>
      </c>
      <c r="AN1199">
        <v>70.257000000000005</v>
      </c>
      <c r="AO1199">
        <v>84.795000000000002</v>
      </c>
      <c r="AP1199">
        <v>-12.177</v>
      </c>
      <c r="AQ1199">
        <v>70.563999999999993</v>
      </c>
      <c r="AR1199">
        <v>3.8839999999999999</v>
      </c>
      <c r="AS1199">
        <v>26.402000000000001</v>
      </c>
    </row>
    <row r="1200" spans="1:45" x14ac:dyDescent="0.25">
      <c r="A1200">
        <v>33</v>
      </c>
      <c r="B1200">
        <v>-13</v>
      </c>
      <c r="C1200">
        <v>0</v>
      </c>
      <c r="D1200">
        <v>2022</v>
      </c>
      <c r="E1200">
        <v>11</v>
      </c>
      <c r="F1200" t="str">
        <f>IFERROR(VLOOKUP(G1200, Map!$A$1:$B$33, 2, FALSE),"WAS")</f>
        <v>HOU</v>
      </c>
      <c r="G1200" t="s">
        <v>137</v>
      </c>
      <c r="H1200" t="str">
        <f>IFERROR(VLOOKUP(I1200, Map!$A$1:$B$33, 2, FALSE),"WAS")</f>
        <v>WAS</v>
      </c>
      <c r="I1200" t="s">
        <v>148</v>
      </c>
      <c r="J1200" t="s">
        <v>209</v>
      </c>
      <c r="K1200" t="s">
        <v>205</v>
      </c>
      <c r="L1200">
        <v>0</v>
      </c>
      <c r="M1200">
        <v>0</v>
      </c>
      <c r="N1200">
        <v>40.700000000000003</v>
      </c>
      <c r="O1200">
        <v>3.7333333333333298</v>
      </c>
      <c r="P1200">
        <v>3</v>
      </c>
      <c r="Q1200">
        <v>35.5</v>
      </c>
      <c r="R1200">
        <v>8.1</v>
      </c>
      <c r="S1200">
        <v>12.5</v>
      </c>
      <c r="T1200">
        <v>5.4</v>
      </c>
      <c r="U1200">
        <v>4.0999999999999996</v>
      </c>
      <c r="V1200">
        <v>0.5</v>
      </c>
      <c r="W1200">
        <v>0</v>
      </c>
      <c r="X1200">
        <v>3</v>
      </c>
      <c r="Y1200">
        <v>0.5</v>
      </c>
      <c r="Z1200">
        <v>20.3</v>
      </c>
      <c r="AA1200">
        <v>32.799999999999997</v>
      </c>
      <c r="AB1200">
        <v>18</v>
      </c>
      <c r="AC1200">
        <v>70</v>
      </c>
      <c r="AD1200">
        <v>28.1</v>
      </c>
      <c r="AE1200">
        <v>16.2</v>
      </c>
      <c r="AF1200">
        <v>45.688000000000002</v>
      </c>
      <c r="AG1200">
        <v>10.268000000000001</v>
      </c>
      <c r="AH1200">
        <v>53.706000000000003</v>
      </c>
      <c r="AI1200">
        <v>48.978000000000002</v>
      </c>
      <c r="AJ1200">
        <v>1.018</v>
      </c>
      <c r="AK1200">
        <v>9.7970000000000006</v>
      </c>
      <c r="AL1200">
        <v>-1.2250000000000001</v>
      </c>
      <c r="AM1200">
        <v>53.706000000000003</v>
      </c>
      <c r="AN1200">
        <v>10.268000000000001</v>
      </c>
      <c r="AO1200">
        <v>45.688000000000002</v>
      </c>
      <c r="AP1200">
        <v>1.2250000000000001</v>
      </c>
      <c r="AQ1200">
        <v>98.981999999999999</v>
      </c>
      <c r="AR1200">
        <v>51.021999999999998</v>
      </c>
      <c r="AS1200">
        <v>90.203000000000003</v>
      </c>
    </row>
    <row r="1201" spans="1:45" x14ac:dyDescent="0.25">
      <c r="A1201">
        <v>47</v>
      </c>
      <c r="B1201">
        <v>7</v>
      </c>
      <c r="C1201">
        <v>1</v>
      </c>
      <c r="D1201">
        <v>2022</v>
      </c>
      <c r="E1201">
        <v>11</v>
      </c>
      <c r="F1201" t="str">
        <f>IFERROR(VLOOKUP(G1201, Map!$A$1:$B$33, 2, FALSE),"WAS")</f>
        <v>NO</v>
      </c>
      <c r="G1201" t="s">
        <v>168</v>
      </c>
      <c r="H1201" t="str">
        <f>IFERROR(VLOOKUP(I1201, Map!$A$1:$B$33, 2, FALSE),"WAS")</f>
        <v>LA</v>
      </c>
      <c r="I1201" t="s">
        <v>155</v>
      </c>
      <c r="J1201" t="s">
        <v>192</v>
      </c>
      <c r="K1201" t="s">
        <v>178</v>
      </c>
      <c r="L1201">
        <v>1</v>
      </c>
      <c r="M1201">
        <v>0</v>
      </c>
      <c r="N1201">
        <v>37.21875</v>
      </c>
      <c r="O1201">
        <v>-2.78125</v>
      </c>
      <c r="P1201">
        <v>-2</v>
      </c>
      <c r="Q1201">
        <v>39</v>
      </c>
      <c r="R1201">
        <v>9.8000000000000007</v>
      </c>
      <c r="S1201">
        <v>12.8</v>
      </c>
      <c r="T1201">
        <v>8</v>
      </c>
      <c r="U1201">
        <v>5.3</v>
      </c>
      <c r="V1201">
        <v>3.5</v>
      </c>
      <c r="W1201">
        <v>0</v>
      </c>
      <c r="X1201">
        <v>8</v>
      </c>
      <c r="Y1201">
        <v>3.5</v>
      </c>
      <c r="Z1201">
        <v>25.3</v>
      </c>
      <c r="AA1201">
        <v>44.6</v>
      </c>
      <c r="AB1201">
        <v>36</v>
      </c>
      <c r="AC1201">
        <v>71</v>
      </c>
      <c r="AD1201">
        <v>39.1</v>
      </c>
      <c r="AE1201">
        <v>21.8</v>
      </c>
      <c r="AF1201">
        <v>49.463999999999999</v>
      </c>
      <c r="AG1201">
        <v>47.811</v>
      </c>
      <c r="AH1201">
        <v>49.893999999999998</v>
      </c>
      <c r="AI1201">
        <v>48.936999999999998</v>
      </c>
      <c r="AJ1201">
        <v>82.68</v>
      </c>
      <c r="AK1201">
        <v>71.421000000000006</v>
      </c>
      <c r="AL1201">
        <v>-0.14799999999999999</v>
      </c>
      <c r="AM1201">
        <v>49.893999999999998</v>
      </c>
      <c r="AN1201">
        <v>47.811</v>
      </c>
      <c r="AO1201">
        <v>49.463999999999999</v>
      </c>
      <c r="AP1201">
        <v>0.14799999999999999</v>
      </c>
      <c r="AQ1201">
        <v>17.32</v>
      </c>
      <c r="AR1201">
        <v>51.063000000000002</v>
      </c>
      <c r="AS1201">
        <v>28.579000000000001</v>
      </c>
    </row>
    <row r="1202" spans="1:45" x14ac:dyDescent="0.25">
      <c r="A1202">
        <v>48</v>
      </c>
      <c r="B1202">
        <v>-28</v>
      </c>
      <c r="C1202">
        <v>0</v>
      </c>
      <c r="D1202">
        <v>2022</v>
      </c>
      <c r="E1202">
        <v>11</v>
      </c>
      <c r="F1202" t="str">
        <f>IFERROR(VLOOKUP(G1202, Map!$A$1:$B$33, 2, FALSE),"WAS")</f>
        <v>ARI</v>
      </c>
      <c r="G1202" t="s">
        <v>156</v>
      </c>
      <c r="H1202" t="str">
        <f>IFERROR(VLOOKUP(I1202, Map!$A$1:$B$33, 2, FALSE),"WAS")</f>
        <v>SF</v>
      </c>
      <c r="I1202" t="s">
        <v>143</v>
      </c>
      <c r="J1202" t="s">
        <v>190</v>
      </c>
      <c r="K1202" t="s">
        <v>197</v>
      </c>
      <c r="L1202">
        <v>0</v>
      </c>
      <c r="M1202">
        <v>0</v>
      </c>
      <c r="N1202">
        <v>41.46875</v>
      </c>
      <c r="O1202">
        <v>9.75</v>
      </c>
      <c r="P1202">
        <v>7.5</v>
      </c>
      <c r="Q1202">
        <v>43</v>
      </c>
      <c r="R1202">
        <v>14.9</v>
      </c>
      <c r="S1202">
        <v>22</v>
      </c>
      <c r="T1202">
        <v>10.199999999999999</v>
      </c>
      <c r="U1202">
        <v>14.2</v>
      </c>
      <c r="V1202">
        <v>0.8</v>
      </c>
      <c r="W1202">
        <v>0</v>
      </c>
      <c r="X1202">
        <v>4</v>
      </c>
      <c r="Y1202">
        <v>0.8</v>
      </c>
      <c r="Z1202">
        <v>14</v>
      </c>
      <c r="AA1202">
        <v>24.5</v>
      </c>
      <c r="AB1202">
        <v>313</v>
      </c>
      <c r="AC1202">
        <v>75</v>
      </c>
      <c r="AD1202">
        <v>13.5</v>
      </c>
      <c r="AE1202">
        <v>5.7</v>
      </c>
      <c r="AF1202">
        <v>17.157</v>
      </c>
      <c r="AG1202">
        <v>49.521999999999998</v>
      </c>
      <c r="AH1202">
        <v>82.683999999999997</v>
      </c>
      <c r="AI1202">
        <v>8.7330000000000005</v>
      </c>
      <c r="AJ1202">
        <v>24.298999999999999</v>
      </c>
      <c r="AK1202">
        <v>8.2710000000000008</v>
      </c>
      <c r="AL1202">
        <v>-11.159000000000001</v>
      </c>
      <c r="AM1202">
        <v>82.683999999999997</v>
      </c>
      <c r="AN1202">
        <v>49.521999999999998</v>
      </c>
      <c r="AO1202">
        <v>17.157</v>
      </c>
      <c r="AP1202">
        <v>11.159000000000001</v>
      </c>
      <c r="AQ1202">
        <v>75.700999999999993</v>
      </c>
      <c r="AR1202">
        <v>91.266999999999996</v>
      </c>
      <c r="AS1202">
        <v>91.728999999999999</v>
      </c>
    </row>
    <row r="1203" spans="1:45" x14ac:dyDescent="0.25">
      <c r="A1203">
        <v>44</v>
      </c>
      <c r="B1203">
        <v>-10</v>
      </c>
      <c r="C1203">
        <v>0</v>
      </c>
      <c r="D1203">
        <v>2022</v>
      </c>
      <c r="E1203">
        <v>11</v>
      </c>
      <c r="F1203" t="str">
        <f>IFERROR(VLOOKUP(G1203, Map!$A$1:$B$33, 2, FALSE),"WAS")</f>
        <v>GB</v>
      </c>
      <c r="G1203" t="s">
        <v>154</v>
      </c>
      <c r="H1203" t="str">
        <f>IFERROR(VLOOKUP(I1203, Map!$A$1:$B$33, 2, FALSE),"WAS")</f>
        <v>TEN</v>
      </c>
      <c r="I1203" t="s">
        <v>140</v>
      </c>
      <c r="J1203" t="s">
        <v>200</v>
      </c>
      <c r="K1203" t="s">
        <v>174</v>
      </c>
      <c r="L1203">
        <v>0</v>
      </c>
      <c r="M1203">
        <v>0</v>
      </c>
      <c r="N1203">
        <v>38.3333333333333</v>
      </c>
      <c r="O1203">
        <v>-2.1</v>
      </c>
      <c r="P1203">
        <v>-3</v>
      </c>
      <c r="Q1203">
        <v>40.5</v>
      </c>
      <c r="R1203">
        <v>-4.3</v>
      </c>
      <c r="S1203">
        <v>-3</v>
      </c>
      <c r="T1203">
        <v>-5.3</v>
      </c>
      <c r="U1203">
        <v>-10.199999999999999</v>
      </c>
      <c r="V1203">
        <v>0.1</v>
      </c>
      <c r="W1203">
        <v>7.0000000000000007E-2</v>
      </c>
      <c r="X1203">
        <v>1</v>
      </c>
      <c r="Y1203">
        <v>0</v>
      </c>
      <c r="Z1203">
        <v>23</v>
      </c>
      <c r="AA1203">
        <v>46.4</v>
      </c>
      <c r="AB1203">
        <v>271</v>
      </c>
      <c r="AC1203">
        <v>69</v>
      </c>
      <c r="AD1203">
        <v>36.799999999999997</v>
      </c>
      <c r="AE1203">
        <v>18.7</v>
      </c>
      <c r="AF1203">
        <v>63.966000000000001</v>
      </c>
      <c r="AG1203">
        <v>23.626999999999999</v>
      </c>
      <c r="AH1203">
        <v>35.616999999999997</v>
      </c>
      <c r="AI1203">
        <v>14.565</v>
      </c>
      <c r="AJ1203">
        <v>50.923000000000002</v>
      </c>
      <c r="AK1203">
        <v>23.347000000000001</v>
      </c>
      <c r="AL1203">
        <v>4.0720000000000001</v>
      </c>
      <c r="AM1203">
        <v>35.616999999999997</v>
      </c>
      <c r="AN1203">
        <v>23.626999999999999</v>
      </c>
      <c r="AO1203">
        <v>63.966000000000001</v>
      </c>
      <c r="AP1203">
        <v>-4.0720000000000001</v>
      </c>
      <c r="AQ1203">
        <v>49.076999999999998</v>
      </c>
      <c r="AR1203">
        <v>85.435000000000002</v>
      </c>
      <c r="AS1203">
        <v>76.653000000000006</v>
      </c>
    </row>
    <row r="1204" spans="1:45" x14ac:dyDescent="0.25">
      <c r="A1204">
        <v>57</v>
      </c>
      <c r="B1204">
        <v>-3</v>
      </c>
      <c r="C1204">
        <v>0</v>
      </c>
      <c r="D1204">
        <v>2022</v>
      </c>
      <c r="E1204">
        <v>11</v>
      </c>
      <c r="F1204" t="str">
        <f>IFERROR(VLOOKUP(G1204, Map!$A$1:$B$33, 2, FALSE),"WAS")</f>
        <v>LAC</v>
      </c>
      <c r="G1204" t="s">
        <v>160</v>
      </c>
      <c r="H1204" t="str">
        <f>IFERROR(VLOOKUP(I1204, Map!$A$1:$B$33, 2, FALSE),"WAS")</f>
        <v>KC</v>
      </c>
      <c r="I1204" t="s">
        <v>158</v>
      </c>
      <c r="J1204" t="s">
        <v>210</v>
      </c>
      <c r="K1204" t="s">
        <v>202</v>
      </c>
      <c r="L1204">
        <v>0</v>
      </c>
      <c r="M1204">
        <v>0</v>
      </c>
      <c r="N1204">
        <v>49.46875</v>
      </c>
      <c r="O1204">
        <v>5.09375</v>
      </c>
      <c r="P1204">
        <v>3</v>
      </c>
      <c r="Q1204">
        <v>49.5</v>
      </c>
      <c r="R1204">
        <v>14.3</v>
      </c>
      <c r="S1204">
        <v>25.1</v>
      </c>
      <c r="T1204">
        <v>5.3</v>
      </c>
      <c r="U1204">
        <v>10.1</v>
      </c>
      <c r="V1204">
        <v>0</v>
      </c>
      <c r="W1204">
        <v>0</v>
      </c>
      <c r="X1204">
        <v>0</v>
      </c>
      <c r="Y1204">
        <v>0</v>
      </c>
      <c r="Z1204">
        <v>12.5</v>
      </c>
      <c r="AA1204">
        <v>23.8</v>
      </c>
      <c r="AB1204">
        <v>353</v>
      </c>
      <c r="AC1204">
        <v>23</v>
      </c>
      <c r="AD1204">
        <v>13.4</v>
      </c>
      <c r="AE1204">
        <v>7.8</v>
      </c>
      <c r="AF1204">
        <v>20.771000000000001</v>
      </c>
      <c r="AG1204">
        <v>71.822999999999993</v>
      </c>
      <c r="AH1204">
        <v>79.033000000000001</v>
      </c>
      <c r="AI1204">
        <v>17.193999999999999</v>
      </c>
      <c r="AJ1204">
        <v>73.876000000000005</v>
      </c>
      <c r="AK1204">
        <v>42.43</v>
      </c>
      <c r="AL1204">
        <v>-9.5429999999999993</v>
      </c>
      <c r="AM1204">
        <v>79.033000000000001</v>
      </c>
      <c r="AN1204">
        <v>71.822999999999993</v>
      </c>
      <c r="AO1204">
        <v>20.771000000000001</v>
      </c>
      <c r="AP1204">
        <v>9.5429999999999993</v>
      </c>
      <c r="AQ1204">
        <v>26.123999999999999</v>
      </c>
      <c r="AR1204">
        <v>82.805999999999997</v>
      </c>
      <c r="AS1204">
        <v>57.57</v>
      </c>
    </row>
    <row r="1205" spans="1:45" x14ac:dyDescent="0.25">
      <c r="A1205">
        <v>51</v>
      </c>
      <c r="B1205">
        <v>3</v>
      </c>
      <c r="C1205">
        <v>1</v>
      </c>
      <c r="D1205">
        <v>2022</v>
      </c>
      <c r="E1205">
        <v>11</v>
      </c>
      <c r="F1205" t="str">
        <f>IFERROR(VLOOKUP(G1205, Map!$A$1:$B$33, 2, FALSE),"WAS")</f>
        <v>ATL</v>
      </c>
      <c r="G1205" t="s">
        <v>167</v>
      </c>
      <c r="H1205" t="str">
        <f>IFERROR(VLOOKUP(I1205, Map!$A$1:$B$33, 2, FALSE),"WAS")</f>
        <v>CHI</v>
      </c>
      <c r="I1205" t="s">
        <v>163</v>
      </c>
      <c r="J1205" t="s">
        <v>188</v>
      </c>
      <c r="K1205" t="s">
        <v>216</v>
      </c>
      <c r="L1205">
        <v>1</v>
      </c>
      <c r="M1205">
        <v>0</v>
      </c>
      <c r="N1205">
        <v>45.90625</v>
      </c>
      <c r="O1205">
        <v>-2.1875</v>
      </c>
      <c r="P1205">
        <v>-2</v>
      </c>
      <c r="Q1205">
        <v>48</v>
      </c>
      <c r="R1205">
        <v>4.4000000000000004</v>
      </c>
      <c r="S1205">
        <v>7</v>
      </c>
      <c r="T1205">
        <v>1.6</v>
      </c>
      <c r="U1205">
        <v>-0.5</v>
      </c>
      <c r="V1205">
        <v>0</v>
      </c>
      <c r="W1205">
        <v>0</v>
      </c>
      <c r="X1205">
        <v>0</v>
      </c>
      <c r="Y1205">
        <v>0</v>
      </c>
      <c r="Z1205">
        <v>18.399999999999999</v>
      </c>
      <c r="AA1205">
        <v>36.4</v>
      </c>
      <c r="AB1205">
        <v>308</v>
      </c>
      <c r="AC1205">
        <v>49</v>
      </c>
      <c r="AD1205">
        <v>26.3</v>
      </c>
      <c r="AE1205">
        <v>14.2</v>
      </c>
      <c r="AF1205">
        <v>67.244</v>
      </c>
      <c r="AG1205">
        <v>16.384</v>
      </c>
      <c r="AH1205">
        <v>32.389000000000003</v>
      </c>
      <c r="AI1205">
        <v>51.05</v>
      </c>
      <c r="AJ1205">
        <v>51.404000000000003</v>
      </c>
      <c r="AK1205">
        <v>58.414999999999999</v>
      </c>
      <c r="AL1205">
        <v>5.101</v>
      </c>
      <c r="AM1205">
        <v>32.389000000000003</v>
      </c>
      <c r="AN1205">
        <v>16.384</v>
      </c>
      <c r="AO1205">
        <v>67.244</v>
      </c>
      <c r="AP1205">
        <v>-5.101</v>
      </c>
      <c r="AQ1205">
        <v>48.595999999999997</v>
      </c>
      <c r="AR1205">
        <v>48.95</v>
      </c>
      <c r="AS1205">
        <v>41.585000000000001</v>
      </c>
    </row>
    <row r="1206" spans="1:45" x14ac:dyDescent="0.25">
      <c r="A1206">
        <v>36</v>
      </c>
      <c r="B1206">
        <v>16</v>
      </c>
      <c r="C1206">
        <v>1</v>
      </c>
      <c r="D1206">
        <v>2022</v>
      </c>
      <c r="E1206">
        <v>12</v>
      </c>
      <c r="F1206" t="str">
        <f>IFERROR(VLOOKUP(G1206, Map!$A$1:$B$33, 2, FALSE),"WAS")</f>
        <v>KC</v>
      </c>
      <c r="G1206" t="s">
        <v>158</v>
      </c>
      <c r="H1206" t="str">
        <f>IFERROR(VLOOKUP(I1206, Map!$A$1:$B$33, 2, FALSE),"WAS")</f>
        <v>LA</v>
      </c>
      <c r="I1206" t="s">
        <v>155</v>
      </c>
      <c r="J1206" t="s">
        <v>202</v>
      </c>
      <c r="K1206" t="s">
        <v>178</v>
      </c>
      <c r="L1206">
        <v>1</v>
      </c>
      <c r="M1206">
        <v>0</v>
      </c>
      <c r="N1206">
        <v>38.933333333333302</v>
      </c>
      <c r="O1206">
        <v>-14.5666666666667</v>
      </c>
      <c r="P1206">
        <v>-14.5</v>
      </c>
      <c r="Q1206">
        <v>37.5</v>
      </c>
      <c r="R1206">
        <v>6.6</v>
      </c>
      <c r="S1206">
        <v>7.8</v>
      </c>
      <c r="T1206">
        <v>4.8</v>
      </c>
      <c r="U1206">
        <v>2.7</v>
      </c>
      <c r="V1206">
        <v>24.3</v>
      </c>
      <c r="W1206">
        <v>0</v>
      </c>
      <c r="X1206">
        <v>15</v>
      </c>
      <c r="Y1206">
        <v>24.3</v>
      </c>
      <c r="Z1206">
        <v>23.2</v>
      </c>
      <c r="AA1206">
        <v>42.1</v>
      </c>
      <c r="AB1206">
        <v>337</v>
      </c>
      <c r="AC1206">
        <v>80</v>
      </c>
      <c r="AD1206">
        <v>30.4</v>
      </c>
      <c r="AE1206">
        <v>16</v>
      </c>
      <c r="AF1206">
        <v>95.917000000000002</v>
      </c>
      <c r="AG1206">
        <v>72.459999999999994</v>
      </c>
      <c r="AH1206">
        <v>4.0490000000000004</v>
      </c>
      <c r="AI1206">
        <v>95.313999999999993</v>
      </c>
      <c r="AJ1206">
        <v>80.888000000000005</v>
      </c>
      <c r="AK1206">
        <v>88.23</v>
      </c>
      <c r="AL1206">
        <v>22.484999999999999</v>
      </c>
      <c r="AM1206">
        <v>4.0490000000000004</v>
      </c>
      <c r="AN1206">
        <v>72.459999999999994</v>
      </c>
      <c r="AO1206">
        <v>95.917000000000002</v>
      </c>
      <c r="AP1206">
        <v>-22.484999999999999</v>
      </c>
      <c r="AQ1206">
        <v>19.111999999999998</v>
      </c>
      <c r="AR1206">
        <v>4.6859999999999999</v>
      </c>
      <c r="AS1206">
        <v>11.77</v>
      </c>
    </row>
    <row r="1207" spans="1:45" x14ac:dyDescent="0.25">
      <c r="A1207">
        <v>48</v>
      </c>
      <c r="B1207">
        <v>8</v>
      </c>
      <c r="C1207">
        <v>1</v>
      </c>
      <c r="D1207">
        <v>2022</v>
      </c>
      <c r="E1207">
        <v>12</v>
      </c>
      <c r="F1207" t="str">
        <f>IFERROR(VLOOKUP(G1207, Map!$A$1:$B$33, 2, FALSE),"WAS")</f>
        <v>DAL</v>
      </c>
      <c r="G1207" t="s">
        <v>150</v>
      </c>
      <c r="H1207" t="str">
        <f>IFERROR(VLOOKUP(I1207, Map!$A$1:$B$33, 2, FALSE),"WAS")</f>
        <v>NYG</v>
      </c>
      <c r="I1207" t="s">
        <v>149</v>
      </c>
      <c r="J1207" t="s">
        <v>184</v>
      </c>
      <c r="K1207" t="s">
        <v>219</v>
      </c>
      <c r="L1207">
        <v>1</v>
      </c>
      <c r="M1207">
        <v>0</v>
      </c>
      <c r="N1207">
        <v>42.5</v>
      </c>
      <c r="O1207">
        <v>-9.125</v>
      </c>
      <c r="P1207">
        <v>-8.5</v>
      </c>
      <c r="Q1207">
        <v>44.5</v>
      </c>
      <c r="R1207">
        <v>13.3</v>
      </c>
      <c r="S1207">
        <v>15.5</v>
      </c>
      <c r="T1207">
        <v>11.7</v>
      </c>
      <c r="U1207">
        <v>12.7</v>
      </c>
      <c r="V1207">
        <v>25.5</v>
      </c>
      <c r="W1207">
        <v>0</v>
      </c>
      <c r="X1207">
        <v>18</v>
      </c>
      <c r="Y1207">
        <v>25.5</v>
      </c>
      <c r="Z1207">
        <v>18.899999999999999</v>
      </c>
      <c r="AA1207">
        <v>32.4</v>
      </c>
      <c r="AB1207">
        <v>71</v>
      </c>
      <c r="AC1207">
        <v>94</v>
      </c>
      <c r="AD1207">
        <v>17.8</v>
      </c>
      <c r="AE1207">
        <v>9.1</v>
      </c>
      <c r="AF1207">
        <v>87.653999999999996</v>
      </c>
      <c r="AG1207">
        <v>51.738</v>
      </c>
      <c r="AH1207">
        <v>12.237</v>
      </c>
      <c r="AI1207">
        <v>67.433999999999997</v>
      </c>
      <c r="AJ1207">
        <v>71.388000000000005</v>
      </c>
      <c r="AK1207">
        <v>74.376999999999995</v>
      </c>
      <c r="AL1207">
        <v>13.927</v>
      </c>
      <c r="AM1207">
        <v>12.237</v>
      </c>
      <c r="AN1207">
        <v>51.738</v>
      </c>
      <c r="AO1207">
        <v>87.653999999999996</v>
      </c>
      <c r="AP1207">
        <v>-13.927</v>
      </c>
      <c r="AQ1207">
        <v>28.611999999999998</v>
      </c>
      <c r="AR1207">
        <v>32.566000000000003</v>
      </c>
      <c r="AS1207">
        <v>25.623000000000001</v>
      </c>
    </row>
    <row r="1208" spans="1:45" x14ac:dyDescent="0.25">
      <c r="A1208">
        <v>36</v>
      </c>
      <c r="B1208">
        <v>-4</v>
      </c>
      <c r="C1208">
        <v>0</v>
      </c>
      <c r="D1208">
        <v>2022</v>
      </c>
      <c r="E1208">
        <v>12</v>
      </c>
      <c r="F1208" t="str">
        <f>IFERROR(VLOOKUP(G1208, Map!$A$1:$B$33, 2, FALSE),"WAS")</f>
        <v>TEN</v>
      </c>
      <c r="G1208" t="s">
        <v>140</v>
      </c>
      <c r="H1208" t="str">
        <f>IFERROR(VLOOKUP(I1208, Map!$A$1:$B$33, 2, FALSE),"WAS")</f>
        <v>CIN</v>
      </c>
      <c r="I1208" t="s">
        <v>161</v>
      </c>
      <c r="J1208" t="s">
        <v>174</v>
      </c>
      <c r="K1208" t="s">
        <v>176</v>
      </c>
      <c r="L1208">
        <v>0</v>
      </c>
      <c r="M1208">
        <v>0</v>
      </c>
      <c r="N1208">
        <v>39.5625</v>
      </c>
      <c r="O1208">
        <v>1.0625</v>
      </c>
      <c r="P1208">
        <v>0</v>
      </c>
      <c r="Q1208">
        <v>40.5</v>
      </c>
      <c r="R1208">
        <v>13.5</v>
      </c>
      <c r="S1208">
        <v>14.9</v>
      </c>
      <c r="T1208">
        <v>12</v>
      </c>
      <c r="U1208">
        <v>10.4</v>
      </c>
      <c r="V1208">
        <v>20.399999999999999</v>
      </c>
      <c r="W1208">
        <v>0</v>
      </c>
      <c r="X1208">
        <v>12</v>
      </c>
      <c r="Y1208">
        <v>20.399999999999999</v>
      </c>
      <c r="Z1208">
        <v>28.6</v>
      </c>
      <c r="AA1208">
        <v>52.9</v>
      </c>
      <c r="AB1208">
        <v>201</v>
      </c>
      <c r="AC1208">
        <v>82</v>
      </c>
      <c r="AD1208">
        <v>42.3</v>
      </c>
      <c r="AE1208">
        <v>22.4</v>
      </c>
      <c r="AF1208">
        <v>40.773000000000003</v>
      </c>
      <c r="AG1208">
        <v>85.872</v>
      </c>
      <c r="AH1208">
        <v>58.725000000000001</v>
      </c>
      <c r="AI1208">
        <v>40.899000000000001</v>
      </c>
      <c r="AJ1208">
        <v>53.585000000000001</v>
      </c>
      <c r="AK1208">
        <v>34.807000000000002</v>
      </c>
      <c r="AL1208">
        <v>-2.637</v>
      </c>
      <c r="AM1208">
        <v>58.725000000000001</v>
      </c>
      <c r="AN1208">
        <v>85.872</v>
      </c>
      <c r="AO1208">
        <v>40.773000000000003</v>
      </c>
      <c r="AP1208">
        <v>2.637</v>
      </c>
      <c r="AQ1208">
        <v>46.414999999999999</v>
      </c>
      <c r="AR1208">
        <v>59.100999999999999</v>
      </c>
      <c r="AS1208">
        <v>65.192999999999998</v>
      </c>
    </row>
    <row r="1209" spans="1:45" x14ac:dyDescent="0.25">
      <c r="A1209">
        <v>49</v>
      </c>
      <c r="B1209">
        <v>-1</v>
      </c>
      <c r="C1209">
        <v>0</v>
      </c>
      <c r="D1209">
        <v>2022</v>
      </c>
      <c r="E1209">
        <v>12</v>
      </c>
      <c r="F1209" t="str">
        <f>IFERROR(VLOOKUP(G1209, Map!$A$1:$B$33, 2, FALSE),"WAS")</f>
        <v>ARI</v>
      </c>
      <c r="G1209" t="s">
        <v>156</v>
      </c>
      <c r="H1209" t="str">
        <f>IFERROR(VLOOKUP(I1209, Map!$A$1:$B$33, 2, FALSE),"WAS")</f>
        <v>LAC</v>
      </c>
      <c r="I1209" t="s">
        <v>160</v>
      </c>
      <c r="J1209" t="s">
        <v>190</v>
      </c>
      <c r="K1209" t="s">
        <v>210</v>
      </c>
      <c r="L1209">
        <v>0</v>
      </c>
      <c r="M1209">
        <v>0</v>
      </c>
      <c r="N1209">
        <v>45.25</v>
      </c>
      <c r="O1209">
        <v>1.9375</v>
      </c>
      <c r="P1209">
        <v>2.5</v>
      </c>
      <c r="Q1209">
        <v>42.5</v>
      </c>
      <c r="R1209">
        <v>15.4</v>
      </c>
      <c r="S1209">
        <v>22.2</v>
      </c>
      <c r="T1209">
        <v>10.199999999999999</v>
      </c>
      <c r="U1209">
        <v>13.2</v>
      </c>
      <c r="V1209">
        <v>0</v>
      </c>
      <c r="W1209">
        <v>0</v>
      </c>
      <c r="X1209">
        <v>0</v>
      </c>
      <c r="Y1209">
        <v>0</v>
      </c>
      <c r="Z1209">
        <v>8.6</v>
      </c>
      <c r="AA1209">
        <v>18.7</v>
      </c>
      <c r="AB1209">
        <v>152</v>
      </c>
      <c r="AC1209">
        <v>46</v>
      </c>
      <c r="AD1209">
        <v>9.5</v>
      </c>
      <c r="AE1209">
        <v>4</v>
      </c>
      <c r="AF1209">
        <v>64.248000000000005</v>
      </c>
      <c r="AG1209">
        <v>41.695</v>
      </c>
      <c r="AH1209">
        <v>35.337000000000003</v>
      </c>
      <c r="AI1209">
        <v>36.667000000000002</v>
      </c>
      <c r="AJ1209">
        <v>64.507000000000005</v>
      </c>
      <c r="AK1209">
        <v>48.28</v>
      </c>
      <c r="AL1209">
        <v>4.1680000000000001</v>
      </c>
      <c r="AM1209">
        <v>35.337000000000003</v>
      </c>
      <c r="AN1209">
        <v>41.695</v>
      </c>
      <c r="AO1209">
        <v>64.248000000000005</v>
      </c>
      <c r="AP1209">
        <v>-4.1680000000000001</v>
      </c>
      <c r="AQ1209">
        <v>35.493000000000002</v>
      </c>
      <c r="AR1209">
        <v>63.332999999999998</v>
      </c>
      <c r="AS1209">
        <v>51.72</v>
      </c>
    </row>
    <row r="1210" spans="1:45" x14ac:dyDescent="0.25">
      <c r="A1210">
        <v>45</v>
      </c>
      <c r="B1210">
        <v>15</v>
      </c>
      <c r="C1210">
        <v>1</v>
      </c>
      <c r="D1210">
        <v>2022</v>
      </c>
      <c r="E1210">
        <v>12</v>
      </c>
      <c r="F1210" t="str">
        <f>IFERROR(VLOOKUP(G1210, Map!$A$1:$B$33, 2, FALSE),"WAS")</f>
        <v>MIA</v>
      </c>
      <c r="G1210" t="s">
        <v>152</v>
      </c>
      <c r="H1210" t="str">
        <f>IFERROR(VLOOKUP(I1210, Map!$A$1:$B$33, 2, FALSE),"WAS")</f>
        <v>HOU</v>
      </c>
      <c r="I1210" t="s">
        <v>137</v>
      </c>
      <c r="J1210" t="s">
        <v>175</v>
      </c>
      <c r="K1210" t="s">
        <v>209</v>
      </c>
      <c r="L1210">
        <v>1</v>
      </c>
      <c r="M1210">
        <v>0</v>
      </c>
      <c r="N1210">
        <v>44.5</v>
      </c>
      <c r="O1210">
        <v>-12.90625</v>
      </c>
      <c r="P1210">
        <v>-11.5</v>
      </c>
      <c r="Q1210">
        <v>45.5</v>
      </c>
      <c r="R1210">
        <v>24.9</v>
      </c>
      <c r="S1210">
        <v>28.6</v>
      </c>
      <c r="T1210">
        <v>22.3</v>
      </c>
      <c r="U1210">
        <v>29</v>
      </c>
      <c r="V1210">
        <v>2.2000000000000002</v>
      </c>
      <c r="W1210">
        <v>0</v>
      </c>
      <c r="X1210">
        <v>7</v>
      </c>
      <c r="Y1210">
        <v>2.2000000000000002</v>
      </c>
      <c r="Z1210">
        <v>13.2</v>
      </c>
      <c r="AA1210">
        <v>29.9</v>
      </c>
      <c r="AB1210">
        <v>179</v>
      </c>
      <c r="AC1210">
        <v>87</v>
      </c>
      <c r="AD1210">
        <v>15.4</v>
      </c>
      <c r="AE1210">
        <v>7.5</v>
      </c>
      <c r="AF1210">
        <v>87.516999999999996</v>
      </c>
      <c r="AG1210">
        <v>17.126999999999999</v>
      </c>
      <c r="AH1210">
        <v>12.372999999999999</v>
      </c>
      <c r="AI1210">
        <v>99.438000000000002</v>
      </c>
      <c r="AJ1210">
        <v>55.412999999999997</v>
      </c>
      <c r="AK1210">
        <v>94.507000000000005</v>
      </c>
      <c r="AL1210">
        <v>13.801</v>
      </c>
      <c r="AM1210">
        <v>12.372999999999999</v>
      </c>
      <c r="AN1210">
        <v>17.126999999999999</v>
      </c>
      <c r="AO1210">
        <v>87.516999999999996</v>
      </c>
      <c r="AP1210">
        <v>-13.801</v>
      </c>
      <c r="AQ1210">
        <v>44.587000000000003</v>
      </c>
      <c r="AR1210">
        <v>0.56200000000000006</v>
      </c>
      <c r="AS1210">
        <v>5.4930000000000003</v>
      </c>
    </row>
    <row r="1211" spans="1:45" x14ac:dyDescent="0.25">
      <c r="A1211">
        <v>41</v>
      </c>
      <c r="B1211">
        <v>-7</v>
      </c>
      <c r="C1211">
        <v>0</v>
      </c>
      <c r="D1211">
        <v>2022</v>
      </c>
      <c r="E1211">
        <v>12</v>
      </c>
      <c r="F1211" t="str">
        <f>IFERROR(VLOOKUP(G1211, Map!$A$1:$B$33, 2, FALSE),"WAS")</f>
        <v>IND</v>
      </c>
      <c r="G1211" t="s">
        <v>138</v>
      </c>
      <c r="H1211" t="str">
        <f>IFERROR(VLOOKUP(I1211, Map!$A$1:$B$33, 2, FALSE),"WAS")</f>
        <v>PIT</v>
      </c>
      <c r="I1211" t="s">
        <v>145</v>
      </c>
      <c r="J1211" t="s">
        <v>177</v>
      </c>
      <c r="K1211" t="s">
        <v>170</v>
      </c>
      <c r="L1211">
        <v>0</v>
      </c>
      <c r="M1211">
        <v>0</v>
      </c>
      <c r="N1211">
        <v>37.21875</v>
      </c>
      <c r="O1211">
        <v>-1.71875</v>
      </c>
      <c r="P1211">
        <v>-1.5</v>
      </c>
      <c r="Q1211">
        <v>39.5</v>
      </c>
      <c r="R1211">
        <v>8.1999999999999993</v>
      </c>
      <c r="S1211">
        <v>15.4</v>
      </c>
      <c r="T1211">
        <v>4.2</v>
      </c>
      <c r="U1211">
        <v>4.5</v>
      </c>
      <c r="V1211">
        <v>0</v>
      </c>
      <c r="W1211">
        <v>0</v>
      </c>
      <c r="X1211">
        <v>0</v>
      </c>
      <c r="Y1211">
        <v>0</v>
      </c>
      <c r="Z1211">
        <v>29.2</v>
      </c>
      <c r="AA1211">
        <v>52.9</v>
      </c>
      <c r="AB1211">
        <v>160</v>
      </c>
      <c r="AC1211">
        <v>79</v>
      </c>
      <c r="AD1211">
        <v>30.3</v>
      </c>
      <c r="AE1211">
        <v>16.7</v>
      </c>
      <c r="AF1211">
        <v>64.468000000000004</v>
      </c>
      <c r="AG1211">
        <v>49.521999999999998</v>
      </c>
      <c r="AH1211">
        <v>35.122</v>
      </c>
      <c r="AI1211">
        <v>35.323999999999998</v>
      </c>
      <c r="AJ1211">
        <v>25.742000000000001</v>
      </c>
      <c r="AK1211">
        <v>32.442999999999998</v>
      </c>
      <c r="AL1211">
        <v>4.22</v>
      </c>
      <c r="AM1211">
        <v>35.122</v>
      </c>
      <c r="AN1211">
        <v>49.521999999999998</v>
      </c>
      <c r="AO1211">
        <v>64.468000000000004</v>
      </c>
      <c r="AP1211">
        <v>-4.22</v>
      </c>
      <c r="AQ1211">
        <v>74.257999999999996</v>
      </c>
      <c r="AR1211">
        <v>64.676000000000002</v>
      </c>
      <c r="AS1211">
        <v>67.557000000000002</v>
      </c>
    </row>
    <row r="1212" spans="1:45" x14ac:dyDescent="0.25">
      <c r="A1212">
        <v>73</v>
      </c>
      <c r="B1212">
        <v>7</v>
      </c>
      <c r="C1212">
        <v>1</v>
      </c>
      <c r="D1212">
        <v>2022</v>
      </c>
      <c r="E1212">
        <v>12</v>
      </c>
      <c r="F1212" t="str">
        <f>IFERROR(VLOOKUP(G1212, Map!$A$1:$B$33, 2, FALSE),"WAS")</f>
        <v>PHI</v>
      </c>
      <c r="G1212" t="s">
        <v>147</v>
      </c>
      <c r="H1212" t="str">
        <f>IFERROR(VLOOKUP(I1212, Map!$A$1:$B$33, 2, FALSE),"WAS")</f>
        <v>GB</v>
      </c>
      <c r="I1212" t="s">
        <v>154</v>
      </c>
      <c r="J1212" t="s">
        <v>206</v>
      </c>
      <c r="K1212" t="s">
        <v>200</v>
      </c>
      <c r="L1212">
        <v>1</v>
      </c>
      <c r="M1212">
        <v>0</v>
      </c>
      <c r="N1212">
        <v>45</v>
      </c>
      <c r="O1212">
        <v>-6.09375</v>
      </c>
      <c r="P1212">
        <v>-6.5</v>
      </c>
      <c r="Q1212">
        <v>45.5</v>
      </c>
      <c r="R1212">
        <v>11.7</v>
      </c>
      <c r="S1212">
        <v>15.4</v>
      </c>
      <c r="T1212">
        <v>8.8000000000000007</v>
      </c>
      <c r="U1212">
        <v>8.1999999999999993</v>
      </c>
      <c r="V1212">
        <v>0.4</v>
      </c>
      <c r="W1212">
        <v>0</v>
      </c>
      <c r="X1212">
        <v>2</v>
      </c>
      <c r="Y1212">
        <v>0.4</v>
      </c>
      <c r="Z1212">
        <v>28.3</v>
      </c>
      <c r="AA1212">
        <v>50.8</v>
      </c>
      <c r="AB1212">
        <v>283</v>
      </c>
      <c r="AC1212">
        <v>72</v>
      </c>
      <c r="AD1212">
        <v>35.5</v>
      </c>
      <c r="AE1212">
        <v>18.8</v>
      </c>
      <c r="AF1212">
        <v>72.265000000000001</v>
      </c>
      <c r="AG1212">
        <v>96.71</v>
      </c>
      <c r="AH1212">
        <v>27.445</v>
      </c>
      <c r="AI1212">
        <v>41.075000000000003</v>
      </c>
      <c r="AJ1212">
        <v>82.894999999999996</v>
      </c>
      <c r="AK1212">
        <v>78.468000000000004</v>
      </c>
      <c r="AL1212">
        <v>6.8070000000000004</v>
      </c>
      <c r="AM1212">
        <v>27.445</v>
      </c>
      <c r="AN1212">
        <v>96.71</v>
      </c>
      <c r="AO1212">
        <v>72.265000000000001</v>
      </c>
      <c r="AP1212">
        <v>-6.8070000000000004</v>
      </c>
      <c r="AQ1212">
        <v>17.105</v>
      </c>
      <c r="AR1212">
        <v>58.924999999999997</v>
      </c>
      <c r="AS1212">
        <v>21.532</v>
      </c>
    </row>
    <row r="1213" spans="1:45" x14ac:dyDescent="0.25">
      <c r="A1213">
        <v>13</v>
      </c>
      <c r="B1213">
        <v>13</v>
      </c>
      <c r="C1213">
        <v>1</v>
      </c>
      <c r="D1213">
        <v>2022</v>
      </c>
      <c r="E1213">
        <v>12</v>
      </c>
      <c r="F1213" t="str">
        <f>IFERROR(VLOOKUP(G1213, Map!$A$1:$B$33, 2, FALSE),"WAS")</f>
        <v>SF</v>
      </c>
      <c r="G1213" t="s">
        <v>143</v>
      </c>
      <c r="H1213" t="str">
        <f>IFERROR(VLOOKUP(I1213, Map!$A$1:$B$33, 2, FALSE),"WAS")</f>
        <v>NO</v>
      </c>
      <c r="I1213" t="s">
        <v>168</v>
      </c>
      <c r="J1213" t="s">
        <v>197</v>
      </c>
      <c r="K1213" t="s">
        <v>192</v>
      </c>
      <c r="L1213">
        <v>1</v>
      </c>
      <c r="M1213">
        <v>0</v>
      </c>
      <c r="N1213">
        <v>38.799999999999997</v>
      </c>
      <c r="O1213">
        <v>-8.3666666666666707</v>
      </c>
      <c r="P1213">
        <v>-8.5</v>
      </c>
      <c r="Q1213">
        <v>20.5</v>
      </c>
      <c r="R1213">
        <v>10.7</v>
      </c>
      <c r="S1213">
        <v>18.399999999999999</v>
      </c>
      <c r="T1213">
        <v>4.2</v>
      </c>
      <c r="U1213">
        <v>8.1</v>
      </c>
      <c r="V1213">
        <v>0</v>
      </c>
      <c r="W1213">
        <v>0</v>
      </c>
      <c r="X1213">
        <v>0</v>
      </c>
      <c r="Y1213">
        <v>0</v>
      </c>
      <c r="Z1213">
        <v>11</v>
      </c>
      <c r="AA1213">
        <v>23</v>
      </c>
      <c r="AB1213">
        <v>164</v>
      </c>
      <c r="AC1213">
        <v>60</v>
      </c>
      <c r="AD1213">
        <v>11.4</v>
      </c>
      <c r="AE1213">
        <v>6.6</v>
      </c>
      <c r="AF1213">
        <v>76.388000000000005</v>
      </c>
      <c r="AG1213">
        <v>82.807000000000002</v>
      </c>
      <c r="AH1213">
        <v>23.376999999999999</v>
      </c>
      <c r="AI1213">
        <v>89.180999999999997</v>
      </c>
      <c r="AJ1213">
        <v>50.929000000000002</v>
      </c>
      <c r="AK1213">
        <v>84.106999999999999</v>
      </c>
      <c r="AL1213">
        <v>8.3209999999999997</v>
      </c>
      <c r="AM1213">
        <v>23.376999999999999</v>
      </c>
      <c r="AN1213">
        <v>82.807000000000002</v>
      </c>
      <c r="AO1213">
        <v>76.388000000000005</v>
      </c>
      <c r="AP1213">
        <v>-8.3209999999999997</v>
      </c>
      <c r="AQ1213">
        <v>49.070999999999998</v>
      </c>
      <c r="AR1213">
        <v>10.819000000000001</v>
      </c>
      <c r="AS1213">
        <v>15.893000000000001</v>
      </c>
    </row>
    <row r="1214" spans="1:45" x14ac:dyDescent="0.25">
      <c r="A1214">
        <v>40</v>
      </c>
      <c r="B1214">
        <v>6</v>
      </c>
      <c r="C1214">
        <v>1</v>
      </c>
      <c r="D1214">
        <v>2022</v>
      </c>
      <c r="E1214">
        <v>12</v>
      </c>
      <c r="F1214" t="str">
        <f>IFERROR(VLOOKUP(G1214, Map!$A$1:$B$33, 2, FALSE),"WAS")</f>
        <v>CLE</v>
      </c>
      <c r="G1214" t="s">
        <v>162</v>
      </c>
      <c r="H1214" t="str">
        <f>IFERROR(VLOOKUP(I1214, Map!$A$1:$B$33, 2, FALSE),"WAS")</f>
        <v>TB</v>
      </c>
      <c r="I1214" t="s">
        <v>141</v>
      </c>
      <c r="J1214" t="s">
        <v>171</v>
      </c>
      <c r="K1214" t="s">
        <v>186</v>
      </c>
      <c r="L1214">
        <v>1</v>
      </c>
      <c r="M1214">
        <v>0</v>
      </c>
      <c r="N1214">
        <v>39.34375</v>
      </c>
      <c r="O1214">
        <v>3</v>
      </c>
      <c r="P1214">
        <v>2.5</v>
      </c>
      <c r="Q1214">
        <v>38.5</v>
      </c>
      <c r="R1214">
        <v>8.6</v>
      </c>
      <c r="S1214">
        <v>13.3</v>
      </c>
      <c r="T1214">
        <v>6.5</v>
      </c>
      <c r="U1214">
        <v>4.5999999999999996</v>
      </c>
      <c r="V1214">
        <v>9.9</v>
      </c>
      <c r="W1214">
        <v>0</v>
      </c>
      <c r="X1214">
        <v>13</v>
      </c>
      <c r="Y1214">
        <v>9.9</v>
      </c>
      <c r="Z1214">
        <v>28.8</v>
      </c>
      <c r="AA1214">
        <v>48.6</v>
      </c>
      <c r="AB1214">
        <v>186</v>
      </c>
      <c r="AC1214">
        <v>74</v>
      </c>
      <c r="AD1214">
        <v>30.6</v>
      </c>
      <c r="AE1214">
        <v>18.3</v>
      </c>
      <c r="AF1214">
        <v>48.768999999999998</v>
      </c>
      <c r="AG1214">
        <v>90.540999999999997</v>
      </c>
      <c r="AH1214">
        <v>50.594999999999999</v>
      </c>
      <c r="AI1214">
        <v>61.140999999999998</v>
      </c>
      <c r="AJ1214">
        <v>49.201000000000001</v>
      </c>
      <c r="AK1214">
        <v>59.654000000000003</v>
      </c>
      <c r="AL1214">
        <v>-0.34</v>
      </c>
      <c r="AM1214">
        <v>50.594999999999999</v>
      </c>
      <c r="AN1214">
        <v>90.540999999999997</v>
      </c>
      <c r="AO1214">
        <v>48.768999999999998</v>
      </c>
      <c r="AP1214">
        <v>0.34</v>
      </c>
      <c r="AQ1214">
        <v>50.798999999999999</v>
      </c>
      <c r="AR1214">
        <v>38.859000000000002</v>
      </c>
      <c r="AS1214">
        <v>40.345999999999997</v>
      </c>
    </row>
    <row r="1215" spans="1:45" x14ac:dyDescent="0.25">
      <c r="A1215">
        <v>55</v>
      </c>
      <c r="B1215">
        <v>1</v>
      </c>
      <c r="C1215">
        <v>1</v>
      </c>
      <c r="D1215">
        <v>2022</v>
      </c>
      <c r="E1215">
        <v>12</v>
      </c>
      <c r="F1215" t="str">
        <f>IFERROR(VLOOKUP(G1215, Map!$A$1:$B$33, 2, FALSE),"WAS")</f>
        <v>JAX</v>
      </c>
      <c r="G1215" t="s">
        <v>139</v>
      </c>
      <c r="H1215" t="str">
        <f>IFERROR(VLOOKUP(I1215, Map!$A$1:$B$33, 2, FALSE),"WAS")</f>
        <v>BAL</v>
      </c>
      <c r="I1215" t="s">
        <v>146</v>
      </c>
      <c r="J1215" t="s">
        <v>220</v>
      </c>
      <c r="K1215" t="s">
        <v>181</v>
      </c>
      <c r="L1215">
        <v>1</v>
      </c>
      <c r="M1215">
        <v>0</v>
      </c>
      <c r="N1215">
        <v>41.375</v>
      </c>
      <c r="O1215">
        <v>2.71875</v>
      </c>
      <c r="P1215">
        <v>-1</v>
      </c>
      <c r="Q1215">
        <v>42.5</v>
      </c>
      <c r="R1215">
        <v>21.9</v>
      </c>
      <c r="S1215">
        <v>26.6</v>
      </c>
      <c r="T1215">
        <v>18</v>
      </c>
      <c r="U1215">
        <v>23</v>
      </c>
      <c r="V1215">
        <v>0.8</v>
      </c>
      <c r="W1215">
        <v>0</v>
      </c>
      <c r="X1215">
        <v>4</v>
      </c>
      <c r="Y1215">
        <v>0.8</v>
      </c>
      <c r="Z1215">
        <v>29.9</v>
      </c>
      <c r="AA1215">
        <v>55.1</v>
      </c>
      <c r="AB1215">
        <v>211</v>
      </c>
      <c r="AC1215">
        <v>88</v>
      </c>
      <c r="AD1215">
        <v>28.5</v>
      </c>
      <c r="AE1215">
        <v>17.3</v>
      </c>
      <c r="AF1215">
        <v>43.972000000000001</v>
      </c>
      <c r="AG1215">
        <v>60.613</v>
      </c>
      <c r="AH1215">
        <v>55.457000000000001</v>
      </c>
      <c r="AI1215">
        <v>44.362000000000002</v>
      </c>
      <c r="AJ1215">
        <v>46.701000000000001</v>
      </c>
      <c r="AK1215">
        <v>47.326999999999998</v>
      </c>
      <c r="AL1215">
        <v>-1.72</v>
      </c>
      <c r="AM1215">
        <v>55.457000000000001</v>
      </c>
      <c r="AN1215">
        <v>60.613</v>
      </c>
      <c r="AO1215">
        <v>43.972000000000001</v>
      </c>
      <c r="AP1215">
        <v>1.72</v>
      </c>
      <c r="AQ1215">
        <v>53.298999999999999</v>
      </c>
      <c r="AR1215">
        <v>55.637999999999998</v>
      </c>
      <c r="AS1215">
        <v>52.673000000000002</v>
      </c>
    </row>
    <row r="1216" spans="1:45" x14ac:dyDescent="0.25">
      <c r="A1216">
        <v>59</v>
      </c>
      <c r="B1216">
        <v>7</v>
      </c>
      <c r="C1216">
        <v>1</v>
      </c>
      <c r="D1216">
        <v>2022</v>
      </c>
      <c r="E1216">
        <v>12</v>
      </c>
      <c r="F1216" t="str">
        <f>IFERROR(VLOOKUP(G1216, Map!$A$1:$B$33, 2, FALSE),"WAS")</f>
        <v>MIN</v>
      </c>
      <c r="G1216" t="s">
        <v>153</v>
      </c>
      <c r="H1216" t="str">
        <f>IFERROR(VLOOKUP(I1216, Map!$A$1:$B$33, 2, FALSE),"WAS")</f>
        <v>NE</v>
      </c>
      <c r="I1216" t="s">
        <v>151</v>
      </c>
      <c r="J1216" t="s">
        <v>214</v>
      </c>
      <c r="K1216" t="s">
        <v>187</v>
      </c>
      <c r="L1216">
        <v>1</v>
      </c>
      <c r="M1216">
        <v>0</v>
      </c>
      <c r="N1216">
        <v>40.5</v>
      </c>
      <c r="O1216">
        <v>-2.625</v>
      </c>
      <c r="P1216">
        <v>-2.5</v>
      </c>
      <c r="Q1216">
        <v>41.5</v>
      </c>
      <c r="R1216">
        <v>0.5</v>
      </c>
      <c r="S1216">
        <v>8.1999999999999993</v>
      </c>
      <c r="T1216">
        <v>-3.9</v>
      </c>
      <c r="U1216">
        <v>-3.4</v>
      </c>
      <c r="V1216">
        <v>0</v>
      </c>
      <c r="W1216">
        <v>0</v>
      </c>
      <c r="X1216">
        <v>0</v>
      </c>
      <c r="Y1216">
        <v>0</v>
      </c>
      <c r="Z1216">
        <v>11.7</v>
      </c>
      <c r="AA1216">
        <v>24.5</v>
      </c>
      <c r="AB1216">
        <v>238</v>
      </c>
      <c r="AC1216">
        <v>78</v>
      </c>
      <c r="AD1216">
        <v>16.2</v>
      </c>
      <c r="AE1216">
        <v>9.1</v>
      </c>
      <c r="AF1216">
        <v>62.701999999999998</v>
      </c>
      <c r="AG1216">
        <v>8.9939999999999998</v>
      </c>
      <c r="AH1216">
        <v>36.853999999999999</v>
      </c>
      <c r="AI1216">
        <v>35.610999999999997</v>
      </c>
      <c r="AJ1216">
        <v>63.734000000000002</v>
      </c>
      <c r="AK1216">
        <v>66.427999999999997</v>
      </c>
      <c r="AL1216">
        <v>3.6789999999999998</v>
      </c>
      <c r="AM1216">
        <v>36.853999999999999</v>
      </c>
      <c r="AN1216">
        <v>8.9939999999999998</v>
      </c>
      <c r="AO1216">
        <v>62.701999999999998</v>
      </c>
      <c r="AP1216">
        <v>-3.6789999999999998</v>
      </c>
      <c r="AQ1216">
        <v>36.265999999999998</v>
      </c>
      <c r="AR1216">
        <v>64.388999999999996</v>
      </c>
      <c r="AS1216">
        <v>33.572000000000003</v>
      </c>
    </row>
    <row r="1217" spans="1:45" x14ac:dyDescent="0.25">
      <c r="A1217">
        <v>32</v>
      </c>
      <c r="B1217">
        <v>6</v>
      </c>
      <c r="C1217">
        <v>1</v>
      </c>
      <c r="D1217">
        <v>2022</v>
      </c>
      <c r="E1217">
        <v>12</v>
      </c>
      <c r="F1217" t="str">
        <f>IFERROR(VLOOKUP(G1217, Map!$A$1:$B$33, 2, FALSE),"WAS")</f>
        <v>WAS</v>
      </c>
      <c r="G1217" t="s">
        <v>148</v>
      </c>
      <c r="H1217" t="str">
        <f>IFERROR(VLOOKUP(I1217, Map!$A$1:$B$33, 2, FALSE),"WAS")</f>
        <v>ATL</v>
      </c>
      <c r="I1217" t="s">
        <v>167</v>
      </c>
      <c r="J1217" t="s">
        <v>205</v>
      </c>
      <c r="K1217" t="s">
        <v>188</v>
      </c>
      <c r="L1217">
        <v>1</v>
      </c>
      <c r="M1217">
        <v>0</v>
      </c>
      <c r="N1217">
        <v>40.5</v>
      </c>
      <c r="O1217">
        <v>-3.8</v>
      </c>
      <c r="P1217">
        <v>-3.5</v>
      </c>
      <c r="Q1217">
        <v>38.5</v>
      </c>
      <c r="R1217">
        <v>9.9</v>
      </c>
      <c r="S1217">
        <v>16.399999999999999</v>
      </c>
      <c r="T1217">
        <v>6.6</v>
      </c>
      <c r="U1217">
        <v>6.9</v>
      </c>
      <c r="V1217">
        <v>7.1</v>
      </c>
      <c r="W1217">
        <v>0</v>
      </c>
      <c r="X1217">
        <v>7</v>
      </c>
      <c r="Y1217">
        <v>7.1</v>
      </c>
      <c r="Z1217">
        <v>24.5</v>
      </c>
      <c r="AA1217">
        <v>49</v>
      </c>
      <c r="AB1217">
        <v>194</v>
      </c>
      <c r="AC1217">
        <v>75</v>
      </c>
      <c r="AD1217">
        <v>27.2</v>
      </c>
      <c r="AE1217">
        <v>14.3</v>
      </c>
      <c r="AF1217">
        <v>59.779000000000003</v>
      </c>
      <c r="AG1217">
        <v>18.506</v>
      </c>
      <c r="AH1217">
        <v>39.72</v>
      </c>
      <c r="AI1217">
        <v>52.78</v>
      </c>
      <c r="AJ1217">
        <v>65.183000000000007</v>
      </c>
      <c r="AK1217">
        <v>63.975000000000001</v>
      </c>
      <c r="AL1217">
        <v>2.806</v>
      </c>
      <c r="AM1217">
        <v>39.72</v>
      </c>
      <c r="AN1217">
        <v>18.506</v>
      </c>
      <c r="AO1217">
        <v>59.779000000000003</v>
      </c>
      <c r="AP1217">
        <v>-2.806</v>
      </c>
      <c r="AQ1217">
        <v>34.817</v>
      </c>
      <c r="AR1217">
        <v>47.22</v>
      </c>
      <c r="AS1217">
        <v>36.024999999999999</v>
      </c>
    </row>
    <row r="1218" spans="1:45" x14ac:dyDescent="0.25">
      <c r="A1218">
        <v>33</v>
      </c>
      <c r="B1218">
        <v>13</v>
      </c>
      <c r="C1218">
        <v>1</v>
      </c>
      <c r="D1218">
        <v>2022</v>
      </c>
      <c r="E1218">
        <v>12</v>
      </c>
      <c r="F1218" t="str">
        <f>IFERROR(VLOOKUP(G1218, Map!$A$1:$B$33, 2, FALSE),"WAS")</f>
        <v>CAR</v>
      </c>
      <c r="G1218" t="s">
        <v>142</v>
      </c>
      <c r="H1218" t="str">
        <f>IFERROR(VLOOKUP(I1218, Map!$A$1:$B$33, 2, FALSE),"WAS")</f>
        <v>DEN</v>
      </c>
      <c r="I1218" t="s">
        <v>159</v>
      </c>
      <c r="J1218" t="s">
        <v>185</v>
      </c>
      <c r="K1218" t="s">
        <v>183</v>
      </c>
      <c r="L1218">
        <v>1</v>
      </c>
      <c r="M1218">
        <v>0</v>
      </c>
      <c r="N1218">
        <v>34.03125</v>
      </c>
      <c r="O1218">
        <v>-0.125</v>
      </c>
      <c r="P1218">
        <v>0</v>
      </c>
      <c r="Q1218">
        <v>34.5</v>
      </c>
      <c r="R1218">
        <v>13.9</v>
      </c>
      <c r="S1218">
        <v>19.2</v>
      </c>
      <c r="T1218">
        <v>9.3000000000000007</v>
      </c>
      <c r="U1218">
        <v>12</v>
      </c>
      <c r="V1218">
        <v>19.100000000000001</v>
      </c>
      <c r="W1218">
        <v>0</v>
      </c>
      <c r="X1218">
        <v>14</v>
      </c>
      <c r="Y1218">
        <v>19.100000000000001</v>
      </c>
      <c r="Z1218">
        <v>29.9</v>
      </c>
      <c r="AA1218">
        <v>58</v>
      </c>
      <c r="AB1218">
        <v>196</v>
      </c>
      <c r="AC1218">
        <v>83</v>
      </c>
      <c r="AD1218">
        <v>30.7</v>
      </c>
      <c r="AE1218">
        <v>16.5</v>
      </c>
      <c r="AF1218">
        <v>54.798999999999999</v>
      </c>
      <c r="AG1218">
        <v>11.794</v>
      </c>
      <c r="AH1218">
        <v>44.600999999999999</v>
      </c>
      <c r="AI1218">
        <v>92.13</v>
      </c>
      <c r="AJ1218">
        <v>55.338999999999999</v>
      </c>
      <c r="AK1218">
        <v>85.608000000000004</v>
      </c>
      <c r="AL1218">
        <v>1.3720000000000001</v>
      </c>
      <c r="AM1218">
        <v>44.600999999999999</v>
      </c>
      <c r="AN1218">
        <v>11.794</v>
      </c>
      <c r="AO1218">
        <v>54.798999999999999</v>
      </c>
      <c r="AP1218">
        <v>-1.3720000000000001</v>
      </c>
      <c r="AQ1218">
        <v>44.661000000000001</v>
      </c>
      <c r="AR1218">
        <v>7.87</v>
      </c>
      <c r="AS1218">
        <v>14.391999999999999</v>
      </c>
    </row>
    <row r="1219" spans="1:45" x14ac:dyDescent="0.25">
      <c r="A1219">
        <v>53</v>
      </c>
      <c r="B1219">
        <v>-3</v>
      </c>
      <c r="C1219">
        <v>0</v>
      </c>
      <c r="D1219">
        <v>2022</v>
      </c>
      <c r="E1219">
        <v>12</v>
      </c>
      <c r="F1219" t="str">
        <f>IFERROR(VLOOKUP(G1219, Map!$A$1:$B$33, 2, FALSE),"WAS")</f>
        <v>DET</v>
      </c>
      <c r="G1219" t="s">
        <v>164</v>
      </c>
      <c r="H1219" t="str">
        <f>IFERROR(VLOOKUP(I1219, Map!$A$1:$B$33, 2, FALSE),"WAS")</f>
        <v>BUF</v>
      </c>
      <c r="I1219" t="s">
        <v>165</v>
      </c>
      <c r="J1219" t="s">
        <v>173</v>
      </c>
      <c r="K1219" t="s">
        <v>180</v>
      </c>
      <c r="L1219">
        <v>0</v>
      </c>
      <c r="M1219">
        <v>0</v>
      </c>
      <c r="N1219">
        <v>50.90625</v>
      </c>
      <c r="O1219">
        <v>8.5</v>
      </c>
      <c r="P1219">
        <v>3</v>
      </c>
      <c r="Q1219">
        <v>52.5</v>
      </c>
      <c r="R1219">
        <v>3.6</v>
      </c>
      <c r="S1219">
        <v>9.6999999999999993</v>
      </c>
      <c r="T1219">
        <v>-0.5</v>
      </c>
      <c r="U1219">
        <v>-0.2</v>
      </c>
      <c r="V1219">
        <v>0.6</v>
      </c>
      <c r="W1219">
        <v>0</v>
      </c>
      <c r="X1219">
        <v>1</v>
      </c>
      <c r="Y1219">
        <v>0.6</v>
      </c>
      <c r="Z1219">
        <v>15</v>
      </c>
      <c r="AA1219">
        <v>26.6</v>
      </c>
      <c r="AB1219">
        <v>203</v>
      </c>
      <c r="AC1219">
        <v>73</v>
      </c>
      <c r="AD1219">
        <v>16.7</v>
      </c>
      <c r="AE1219">
        <v>10.6</v>
      </c>
      <c r="AF1219">
        <v>17.169</v>
      </c>
      <c r="AG1219">
        <v>43.831000000000003</v>
      </c>
      <c r="AH1219">
        <v>82.671000000000006</v>
      </c>
      <c r="AI1219">
        <v>27.768000000000001</v>
      </c>
      <c r="AJ1219">
        <v>64.620999999999995</v>
      </c>
      <c r="AK1219">
        <v>44.712000000000003</v>
      </c>
      <c r="AL1219">
        <v>-11.201000000000001</v>
      </c>
      <c r="AM1219">
        <v>82.671000000000006</v>
      </c>
      <c r="AN1219">
        <v>43.831000000000003</v>
      </c>
      <c r="AO1219">
        <v>17.169</v>
      </c>
      <c r="AP1219">
        <v>11.201000000000001</v>
      </c>
      <c r="AQ1219">
        <v>35.378999999999998</v>
      </c>
      <c r="AR1219">
        <v>72.231999999999999</v>
      </c>
      <c r="AS1219">
        <v>55.287999999999997</v>
      </c>
    </row>
    <row r="1220" spans="1:45" x14ac:dyDescent="0.25">
      <c r="A1220">
        <v>74</v>
      </c>
      <c r="B1220">
        <v>-6</v>
      </c>
      <c r="C1220">
        <v>0</v>
      </c>
      <c r="D1220">
        <v>2022</v>
      </c>
      <c r="E1220">
        <v>12</v>
      </c>
      <c r="F1220" t="str">
        <f>IFERROR(VLOOKUP(G1220, Map!$A$1:$B$33, 2, FALSE),"WAS")</f>
        <v>SEA</v>
      </c>
      <c r="G1220" t="s">
        <v>144</v>
      </c>
      <c r="H1220" t="str">
        <f>IFERROR(VLOOKUP(I1220, Map!$A$1:$B$33, 2, FALSE),"WAS")</f>
        <v>LV</v>
      </c>
      <c r="I1220" t="s">
        <v>157</v>
      </c>
      <c r="J1220" t="s">
        <v>182</v>
      </c>
      <c r="K1220" t="s">
        <v>179</v>
      </c>
      <c r="L1220">
        <v>0</v>
      </c>
      <c r="M1220">
        <v>0</v>
      </c>
      <c r="N1220">
        <v>49</v>
      </c>
      <c r="O1220">
        <v>-4</v>
      </c>
      <c r="P1220">
        <v>-3.5</v>
      </c>
      <c r="Q1220">
        <v>47.5</v>
      </c>
      <c r="R1220">
        <v>6.7</v>
      </c>
      <c r="S1220">
        <v>8.6</v>
      </c>
      <c r="T1220">
        <v>4</v>
      </c>
      <c r="U1220">
        <v>1.9</v>
      </c>
      <c r="V1220">
        <v>6.5</v>
      </c>
      <c r="W1220">
        <v>0</v>
      </c>
      <c r="X1220">
        <v>14</v>
      </c>
      <c r="Y1220">
        <v>6.5</v>
      </c>
      <c r="Z1220">
        <v>41.5</v>
      </c>
      <c r="AA1220">
        <v>72.7</v>
      </c>
      <c r="AB1220">
        <v>195</v>
      </c>
      <c r="AC1220">
        <v>82</v>
      </c>
      <c r="AD1220">
        <v>42.6</v>
      </c>
      <c r="AE1220">
        <v>22.2</v>
      </c>
      <c r="AF1220">
        <v>47.173999999999999</v>
      </c>
      <c r="AG1220">
        <v>75.046000000000006</v>
      </c>
      <c r="AH1220">
        <v>52.203000000000003</v>
      </c>
      <c r="AI1220">
        <v>26.445</v>
      </c>
      <c r="AJ1220">
        <v>53.305</v>
      </c>
      <c r="AK1220">
        <v>38.283999999999999</v>
      </c>
      <c r="AL1220">
        <v>-0.79300000000000004</v>
      </c>
      <c r="AM1220">
        <v>52.203000000000003</v>
      </c>
      <c r="AN1220">
        <v>75.046000000000006</v>
      </c>
      <c r="AO1220">
        <v>47.173999999999999</v>
      </c>
      <c r="AP1220">
        <v>0.79300000000000004</v>
      </c>
      <c r="AQ1220">
        <v>46.695</v>
      </c>
      <c r="AR1220">
        <v>73.555000000000007</v>
      </c>
      <c r="AS1220">
        <v>61.716000000000001</v>
      </c>
    </row>
    <row r="1221" spans="1:45" x14ac:dyDescent="0.25">
      <c r="A1221">
        <v>41</v>
      </c>
      <c r="B1221">
        <v>21</v>
      </c>
      <c r="C1221">
        <v>1</v>
      </c>
      <c r="D1221">
        <v>2022</v>
      </c>
      <c r="E1221">
        <v>12</v>
      </c>
      <c r="F1221" t="str">
        <f>IFERROR(VLOOKUP(G1221, Map!$A$1:$B$33, 2, FALSE),"WAS")</f>
        <v>NYJ</v>
      </c>
      <c r="G1221" t="s">
        <v>166</v>
      </c>
      <c r="H1221" t="str">
        <f>IFERROR(VLOOKUP(I1221, Map!$A$1:$B$33, 2, FALSE),"WAS")</f>
        <v>CHI</v>
      </c>
      <c r="I1221" t="s">
        <v>163</v>
      </c>
      <c r="J1221" t="s">
        <v>172</v>
      </c>
      <c r="K1221" t="s">
        <v>216</v>
      </c>
      <c r="L1221">
        <v>1</v>
      </c>
      <c r="M1221">
        <v>0</v>
      </c>
      <c r="N1221">
        <v>34.875</v>
      </c>
      <c r="O1221">
        <v>-7.625</v>
      </c>
      <c r="P1221">
        <v>-4.5</v>
      </c>
      <c r="Q1221">
        <v>36.5</v>
      </c>
      <c r="R1221">
        <v>8.1</v>
      </c>
      <c r="S1221">
        <v>12.9</v>
      </c>
      <c r="T1221">
        <v>5.2</v>
      </c>
      <c r="U1221">
        <v>4.7</v>
      </c>
      <c r="V1221">
        <v>7.2</v>
      </c>
      <c r="W1221">
        <v>0</v>
      </c>
      <c r="X1221">
        <v>7</v>
      </c>
      <c r="Y1221">
        <v>7.2</v>
      </c>
      <c r="Z1221">
        <v>18.899999999999999</v>
      </c>
      <c r="AA1221">
        <v>38.5</v>
      </c>
      <c r="AB1221">
        <v>217</v>
      </c>
      <c r="AC1221">
        <v>68</v>
      </c>
      <c r="AD1221">
        <v>24.4</v>
      </c>
      <c r="AE1221">
        <v>12.6</v>
      </c>
      <c r="AF1221">
        <v>70.891999999999996</v>
      </c>
      <c r="AG1221">
        <v>0.624</v>
      </c>
      <c r="AH1221">
        <v>28.798999999999999</v>
      </c>
      <c r="AI1221">
        <v>66.629000000000005</v>
      </c>
      <c r="AJ1221">
        <v>82.331000000000003</v>
      </c>
      <c r="AK1221">
        <v>89.850999999999999</v>
      </c>
      <c r="AL1221">
        <v>6.3070000000000004</v>
      </c>
      <c r="AM1221">
        <v>28.798999999999999</v>
      </c>
      <c r="AN1221">
        <v>0.624</v>
      </c>
      <c r="AO1221">
        <v>70.891999999999996</v>
      </c>
      <c r="AP1221">
        <v>-6.3070000000000004</v>
      </c>
      <c r="AQ1221">
        <v>17.669</v>
      </c>
      <c r="AR1221">
        <v>33.371000000000002</v>
      </c>
      <c r="AS1221">
        <v>10.148999999999999</v>
      </c>
    </row>
    <row r="1222" spans="1:45" x14ac:dyDescent="0.25">
      <c r="A1222">
        <v>41</v>
      </c>
      <c r="B1222">
        <v>-13</v>
      </c>
      <c r="C1222">
        <v>0</v>
      </c>
      <c r="D1222">
        <v>2022</v>
      </c>
      <c r="E1222">
        <v>13</v>
      </c>
      <c r="F1222" t="str">
        <f>IFERROR(VLOOKUP(G1222, Map!$A$1:$B$33, 2, FALSE),"WAS")</f>
        <v>HOU</v>
      </c>
      <c r="G1222" t="s">
        <v>137</v>
      </c>
      <c r="H1222" t="str">
        <f>IFERROR(VLOOKUP(I1222, Map!$A$1:$B$33, 2, FALSE),"WAS")</f>
        <v>CLE</v>
      </c>
      <c r="I1222" t="s">
        <v>162</v>
      </c>
      <c r="J1222" t="s">
        <v>209</v>
      </c>
      <c r="K1222" t="s">
        <v>171</v>
      </c>
      <c r="L1222">
        <v>0</v>
      </c>
      <c r="M1222">
        <v>0</v>
      </c>
      <c r="N1222">
        <v>43.125</v>
      </c>
      <c r="O1222">
        <v>7.3125</v>
      </c>
      <c r="P1222">
        <v>6</v>
      </c>
      <c r="Q1222">
        <v>42.5</v>
      </c>
      <c r="R1222">
        <v>18.2</v>
      </c>
      <c r="S1222">
        <v>21.7</v>
      </c>
      <c r="T1222">
        <v>15.8</v>
      </c>
      <c r="U1222">
        <v>18.7</v>
      </c>
      <c r="V1222">
        <v>0.3</v>
      </c>
      <c r="W1222">
        <v>0</v>
      </c>
      <c r="X1222">
        <v>3</v>
      </c>
      <c r="Y1222">
        <v>0.3</v>
      </c>
      <c r="Z1222">
        <v>16.7</v>
      </c>
      <c r="AA1222">
        <v>26.6</v>
      </c>
      <c r="AB1222">
        <v>342</v>
      </c>
      <c r="AC1222">
        <v>84</v>
      </c>
      <c r="AD1222">
        <v>16.7</v>
      </c>
      <c r="AE1222">
        <v>9</v>
      </c>
      <c r="AF1222">
        <v>19.940000000000001</v>
      </c>
      <c r="AG1222">
        <v>21.491</v>
      </c>
      <c r="AH1222">
        <v>79.870999999999995</v>
      </c>
      <c r="AI1222">
        <v>88.215000000000003</v>
      </c>
      <c r="AJ1222">
        <v>1.321</v>
      </c>
      <c r="AK1222">
        <v>19.829999999999998</v>
      </c>
      <c r="AL1222">
        <v>-9.8360000000000003</v>
      </c>
      <c r="AM1222">
        <v>79.870999999999995</v>
      </c>
      <c r="AN1222">
        <v>21.491</v>
      </c>
      <c r="AO1222">
        <v>19.940000000000001</v>
      </c>
      <c r="AP1222">
        <v>9.8360000000000003</v>
      </c>
      <c r="AQ1222">
        <v>98.679000000000002</v>
      </c>
      <c r="AR1222">
        <v>11.785</v>
      </c>
      <c r="AS1222">
        <v>80.17</v>
      </c>
    </row>
    <row r="1223" spans="1:45" x14ac:dyDescent="0.25">
      <c r="A1223">
        <v>40</v>
      </c>
      <c r="B1223">
        <v>0</v>
      </c>
      <c r="C1223">
        <v>0</v>
      </c>
      <c r="D1223">
        <v>2022</v>
      </c>
      <c r="E1223">
        <v>13</v>
      </c>
      <c r="F1223" t="str">
        <f>IFERROR(VLOOKUP(G1223, Map!$A$1:$B$33, 2, FALSE),"WAS")</f>
        <v>NYG</v>
      </c>
      <c r="G1223" t="s">
        <v>149</v>
      </c>
      <c r="H1223" t="str">
        <f>IFERROR(VLOOKUP(I1223, Map!$A$1:$B$33, 2, FALSE),"WAS")</f>
        <v>WAS</v>
      </c>
      <c r="I1223" t="s">
        <v>148</v>
      </c>
      <c r="J1223" t="s">
        <v>219</v>
      </c>
      <c r="K1223" t="s">
        <v>205</v>
      </c>
      <c r="L1223">
        <v>0</v>
      </c>
      <c r="M1223">
        <v>0</v>
      </c>
      <c r="N1223">
        <v>40.6</v>
      </c>
      <c r="O1223">
        <v>2.0333333333333301</v>
      </c>
      <c r="P1223">
        <v>1.5</v>
      </c>
      <c r="Q1223">
        <v>40</v>
      </c>
      <c r="R1223">
        <v>5</v>
      </c>
      <c r="S1223">
        <v>11.3</v>
      </c>
      <c r="T1223">
        <v>1.2</v>
      </c>
      <c r="U1223">
        <v>0.6</v>
      </c>
      <c r="V1223">
        <v>0.1</v>
      </c>
      <c r="W1223">
        <v>0</v>
      </c>
      <c r="X1223">
        <v>1</v>
      </c>
      <c r="Y1223">
        <v>0.1</v>
      </c>
      <c r="Z1223">
        <v>25.3</v>
      </c>
      <c r="AA1223">
        <v>46.1</v>
      </c>
      <c r="AB1223">
        <v>301</v>
      </c>
      <c r="AC1223">
        <v>58</v>
      </c>
      <c r="AD1223">
        <v>27.3</v>
      </c>
      <c r="AE1223">
        <v>13.2</v>
      </c>
      <c r="AF1223">
        <v>50.552999999999997</v>
      </c>
      <c r="AG1223">
        <v>22.937000000000001</v>
      </c>
      <c r="AH1223">
        <v>48.8</v>
      </c>
      <c r="AI1223">
        <v>56.945999999999998</v>
      </c>
      <c r="AJ1223">
        <v>29.62</v>
      </c>
      <c r="AK1223">
        <v>51.688000000000002</v>
      </c>
      <c r="AL1223">
        <v>0.157</v>
      </c>
      <c r="AM1223">
        <v>48.8</v>
      </c>
      <c r="AN1223">
        <v>22.937000000000001</v>
      </c>
      <c r="AO1223">
        <v>50.552999999999997</v>
      </c>
      <c r="AP1223">
        <v>-0.157</v>
      </c>
      <c r="AQ1223">
        <v>70.38</v>
      </c>
      <c r="AR1223">
        <v>43.054000000000002</v>
      </c>
      <c r="AS1223">
        <v>48.311999999999998</v>
      </c>
    </row>
    <row r="1224" spans="1:45" x14ac:dyDescent="0.25">
      <c r="A1224">
        <v>51</v>
      </c>
      <c r="B1224">
        <v>3</v>
      </c>
      <c r="C1224">
        <v>1</v>
      </c>
      <c r="D1224">
        <v>2022</v>
      </c>
      <c r="E1224">
        <v>13</v>
      </c>
      <c r="F1224" t="str">
        <f>IFERROR(VLOOKUP(G1224, Map!$A$1:$B$33, 2, FALSE),"WAS")</f>
        <v>CIN</v>
      </c>
      <c r="G1224" t="s">
        <v>161</v>
      </c>
      <c r="H1224" t="str">
        <f>IFERROR(VLOOKUP(I1224, Map!$A$1:$B$33, 2, FALSE),"WAS")</f>
        <v>KC</v>
      </c>
      <c r="I1224" t="s">
        <v>158</v>
      </c>
      <c r="J1224" t="s">
        <v>176</v>
      </c>
      <c r="K1224" t="s">
        <v>202</v>
      </c>
      <c r="L1224">
        <v>1</v>
      </c>
      <c r="M1224">
        <v>0</v>
      </c>
      <c r="N1224">
        <v>50.15625</v>
      </c>
      <c r="O1224">
        <v>2.09375</v>
      </c>
      <c r="P1224">
        <v>2.5</v>
      </c>
      <c r="Q1224">
        <v>51.5</v>
      </c>
      <c r="R1224">
        <v>-0.8</v>
      </c>
      <c r="S1224">
        <v>5.4</v>
      </c>
      <c r="T1224">
        <v>-5.0999999999999996</v>
      </c>
      <c r="U1224">
        <v>-4.8</v>
      </c>
      <c r="V1224">
        <v>0</v>
      </c>
      <c r="W1224">
        <v>0</v>
      </c>
      <c r="X1224">
        <v>0</v>
      </c>
      <c r="Y1224">
        <v>0</v>
      </c>
      <c r="Z1224">
        <v>10.4</v>
      </c>
      <c r="AA1224">
        <v>22.3</v>
      </c>
      <c r="AB1224">
        <v>270</v>
      </c>
      <c r="AC1224">
        <v>65</v>
      </c>
      <c r="AD1224">
        <v>15.1</v>
      </c>
      <c r="AE1224">
        <v>6.8</v>
      </c>
      <c r="AF1224">
        <v>43.728999999999999</v>
      </c>
      <c r="AG1224">
        <v>94.706999999999994</v>
      </c>
      <c r="AH1224">
        <v>55.707000000000001</v>
      </c>
      <c r="AI1224">
        <v>20.329999999999998</v>
      </c>
      <c r="AJ1224">
        <v>82.558999999999997</v>
      </c>
      <c r="AK1224">
        <v>65.009</v>
      </c>
      <c r="AL1224">
        <v>-1.7969999999999999</v>
      </c>
      <c r="AM1224">
        <v>55.707000000000001</v>
      </c>
      <c r="AN1224">
        <v>94.706999999999994</v>
      </c>
      <c r="AO1224">
        <v>43.728999999999999</v>
      </c>
      <c r="AP1224">
        <v>1.7969999999999999</v>
      </c>
      <c r="AQ1224">
        <v>17.440999999999999</v>
      </c>
      <c r="AR1224">
        <v>79.67</v>
      </c>
      <c r="AS1224">
        <v>34.991</v>
      </c>
    </row>
    <row r="1225" spans="1:45" x14ac:dyDescent="0.25">
      <c r="A1225">
        <v>34</v>
      </c>
      <c r="B1225">
        <v>-14</v>
      </c>
      <c r="C1225">
        <v>0</v>
      </c>
      <c r="D1225">
        <v>2022</v>
      </c>
      <c r="E1225">
        <v>13</v>
      </c>
      <c r="F1225" t="str">
        <f>IFERROR(VLOOKUP(G1225, Map!$A$1:$B$33, 2, FALSE),"WAS")</f>
        <v>NE</v>
      </c>
      <c r="G1225" t="s">
        <v>151</v>
      </c>
      <c r="H1225" t="str">
        <f>IFERROR(VLOOKUP(I1225, Map!$A$1:$B$33, 2, FALSE),"WAS")</f>
        <v>BUF</v>
      </c>
      <c r="I1225" t="s">
        <v>165</v>
      </c>
      <c r="J1225" t="s">
        <v>187</v>
      </c>
      <c r="K1225" t="s">
        <v>180</v>
      </c>
      <c r="L1225">
        <v>0</v>
      </c>
      <c r="M1225">
        <v>0</v>
      </c>
      <c r="N1225">
        <v>40.34375</v>
      </c>
      <c r="O1225">
        <v>4.84375</v>
      </c>
      <c r="P1225">
        <v>3.5</v>
      </c>
      <c r="Q1225">
        <v>32.5</v>
      </c>
      <c r="R1225">
        <v>1.3</v>
      </c>
      <c r="S1225">
        <v>5.9</v>
      </c>
      <c r="T1225">
        <v>-2.2999999999999998</v>
      </c>
      <c r="U1225">
        <v>-3</v>
      </c>
      <c r="V1225">
        <v>0</v>
      </c>
      <c r="W1225">
        <v>0</v>
      </c>
      <c r="X1225">
        <v>0</v>
      </c>
      <c r="Y1225">
        <v>0</v>
      </c>
      <c r="Z1225">
        <v>18.8</v>
      </c>
      <c r="AA1225">
        <v>45.7</v>
      </c>
      <c r="AB1225">
        <v>254</v>
      </c>
      <c r="AC1225">
        <v>65</v>
      </c>
      <c r="AD1225">
        <v>23.9</v>
      </c>
      <c r="AE1225">
        <v>10.7</v>
      </c>
      <c r="AF1225">
        <v>26.356000000000002</v>
      </c>
      <c r="AG1225">
        <v>58.145000000000003</v>
      </c>
      <c r="AH1225">
        <v>73.376000000000005</v>
      </c>
      <c r="AI1225">
        <v>25.251000000000001</v>
      </c>
      <c r="AJ1225">
        <v>45.695999999999998</v>
      </c>
      <c r="AK1225">
        <v>16.256</v>
      </c>
      <c r="AL1225">
        <v>-7.29</v>
      </c>
      <c r="AM1225">
        <v>73.376000000000005</v>
      </c>
      <c r="AN1225">
        <v>58.145000000000003</v>
      </c>
      <c r="AO1225">
        <v>26.356000000000002</v>
      </c>
      <c r="AP1225">
        <v>7.29</v>
      </c>
      <c r="AQ1225">
        <v>54.304000000000002</v>
      </c>
      <c r="AR1225">
        <v>74.748999999999995</v>
      </c>
      <c r="AS1225">
        <v>83.744</v>
      </c>
    </row>
    <row r="1226" spans="1:45" x14ac:dyDescent="0.25">
      <c r="A1226">
        <v>50</v>
      </c>
      <c r="B1226">
        <v>-4</v>
      </c>
      <c r="C1226">
        <v>0</v>
      </c>
      <c r="D1226">
        <v>2022</v>
      </c>
      <c r="E1226">
        <v>13</v>
      </c>
      <c r="F1226" t="str">
        <f>IFERROR(VLOOKUP(G1226, Map!$A$1:$B$33, 2, FALSE),"WAS")</f>
        <v>LA</v>
      </c>
      <c r="G1226" t="s">
        <v>155</v>
      </c>
      <c r="H1226" t="str">
        <f>IFERROR(VLOOKUP(I1226, Map!$A$1:$B$33, 2, FALSE),"WAS")</f>
        <v>SEA</v>
      </c>
      <c r="I1226" t="s">
        <v>144</v>
      </c>
      <c r="J1226" t="s">
        <v>178</v>
      </c>
      <c r="K1226" t="s">
        <v>182</v>
      </c>
      <c r="L1226">
        <v>0</v>
      </c>
      <c r="M1226">
        <v>0</v>
      </c>
      <c r="N1226">
        <v>39.0625</v>
      </c>
      <c r="O1226">
        <v>6.09375</v>
      </c>
      <c r="P1226">
        <v>2.5</v>
      </c>
      <c r="Q1226">
        <v>40.5</v>
      </c>
      <c r="R1226">
        <v>14</v>
      </c>
      <c r="S1226">
        <v>17.399999999999999</v>
      </c>
      <c r="T1226">
        <v>11.7</v>
      </c>
      <c r="U1226">
        <v>13.8</v>
      </c>
      <c r="V1226">
        <v>4.7</v>
      </c>
      <c r="W1226">
        <v>0</v>
      </c>
      <c r="X1226">
        <v>4</v>
      </c>
      <c r="Y1226">
        <v>4.7</v>
      </c>
      <c r="Z1226">
        <v>16.3</v>
      </c>
      <c r="AA1226">
        <v>33.1</v>
      </c>
      <c r="AB1226">
        <v>259</v>
      </c>
      <c r="AC1226">
        <v>92</v>
      </c>
      <c r="AD1226">
        <v>13.6</v>
      </c>
      <c r="AE1226">
        <v>7.6</v>
      </c>
      <c r="AF1226">
        <v>26.812999999999999</v>
      </c>
      <c r="AG1226">
        <v>0.71599999999999997</v>
      </c>
      <c r="AH1226">
        <v>72.91</v>
      </c>
      <c r="AI1226">
        <v>30.873999999999999</v>
      </c>
      <c r="AJ1226">
        <v>55.564999999999998</v>
      </c>
      <c r="AK1226">
        <v>42.256999999999998</v>
      </c>
      <c r="AL1226">
        <v>-7.1040000000000001</v>
      </c>
      <c r="AM1226">
        <v>72.91</v>
      </c>
      <c r="AN1226">
        <v>0.71599999999999997</v>
      </c>
      <c r="AO1226">
        <v>26.812999999999999</v>
      </c>
      <c r="AP1226">
        <v>7.1040000000000001</v>
      </c>
      <c r="AQ1226">
        <v>44.435000000000002</v>
      </c>
      <c r="AR1226">
        <v>69.126000000000005</v>
      </c>
      <c r="AS1226">
        <v>57.743000000000002</v>
      </c>
    </row>
    <row r="1227" spans="1:45" x14ac:dyDescent="0.25">
      <c r="A1227">
        <v>47</v>
      </c>
      <c r="B1227">
        <v>-9</v>
      </c>
      <c r="C1227">
        <v>0</v>
      </c>
      <c r="D1227">
        <v>2022</v>
      </c>
      <c r="E1227">
        <v>13</v>
      </c>
      <c r="F1227" t="str">
        <f>IFERROR(VLOOKUP(G1227, Map!$A$1:$B$33, 2, FALSE),"WAS")</f>
        <v>CHI</v>
      </c>
      <c r="G1227" t="s">
        <v>163</v>
      </c>
      <c r="H1227" t="str">
        <f>IFERROR(VLOOKUP(I1227, Map!$A$1:$B$33, 2, FALSE),"WAS")</f>
        <v>GB</v>
      </c>
      <c r="I1227" t="s">
        <v>154</v>
      </c>
      <c r="J1227" t="s">
        <v>216</v>
      </c>
      <c r="K1227" t="s">
        <v>200</v>
      </c>
      <c r="L1227">
        <v>0</v>
      </c>
      <c r="M1227">
        <v>0</v>
      </c>
      <c r="N1227">
        <v>41.6875</v>
      </c>
      <c r="O1227">
        <v>3.21875</v>
      </c>
      <c r="P1227">
        <v>1</v>
      </c>
      <c r="Q1227">
        <v>40.5</v>
      </c>
      <c r="R1227">
        <v>-2.9</v>
      </c>
      <c r="S1227">
        <v>3.3</v>
      </c>
      <c r="T1227">
        <v>-6.4</v>
      </c>
      <c r="U1227">
        <v>-9</v>
      </c>
      <c r="V1227">
        <v>0</v>
      </c>
      <c r="W1227">
        <v>0</v>
      </c>
      <c r="X1227">
        <v>0</v>
      </c>
      <c r="Y1227">
        <v>0</v>
      </c>
      <c r="Z1227">
        <v>24.9</v>
      </c>
      <c r="AA1227">
        <v>38.5</v>
      </c>
      <c r="AB1227">
        <v>237</v>
      </c>
      <c r="AC1227">
        <v>51</v>
      </c>
      <c r="AD1227">
        <v>27.8</v>
      </c>
      <c r="AE1227">
        <v>18.899999999999999</v>
      </c>
      <c r="AF1227">
        <v>36.261000000000003</v>
      </c>
      <c r="AG1227">
        <v>67.218999999999994</v>
      </c>
      <c r="AH1227">
        <v>63.317999999999998</v>
      </c>
      <c r="AI1227">
        <v>23.048999999999999</v>
      </c>
      <c r="AJ1227">
        <v>62.393999999999998</v>
      </c>
      <c r="AK1227">
        <v>33.704000000000001</v>
      </c>
      <c r="AL1227">
        <v>-4.0110000000000001</v>
      </c>
      <c r="AM1227">
        <v>63.317999999999998</v>
      </c>
      <c r="AN1227">
        <v>67.218999999999994</v>
      </c>
      <c r="AO1227">
        <v>36.261000000000003</v>
      </c>
      <c r="AP1227">
        <v>4.0110000000000001</v>
      </c>
      <c r="AQ1227">
        <v>37.606000000000002</v>
      </c>
      <c r="AR1227">
        <v>76.950999999999993</v>
      </c>
      <c r="AS1227">
        <v>66.296000000000006</v>
      </c>
    </row>
    <row r="1228" spans="1:45" x14ac:dyDescent="0.25">
      <c r="A1228">
        <v>33</v>
      </c>
      <c r="B1228">
        <v>1</v>
      </c>
      <c r="C1228">
        <v>1</v>
      </c>
      <c r="D1228">
        <v>2022</v>
      </c>
      <c r="E1228">
        <v>13</v>
      </c>
      <c r="F1228" t="str">
        <f>IFERROR(VLOOKUP(G1228, Map!$A$1:$B$33, 2, FALSE),"WAS")</f>
        <v>TB</v>
      </c>
      <c r="G1228" t="s">
        <v>141</v>
      </c>
      <c r="H1228" t="str">
        <f>IFERROR(VLOOKUP(I1228, Map!$A$1:$B$33, 2, FALSE),"WAS")</f>
        <v>NO</v>
      </c>
      <c r="I1228" t="s">
        <v>168</v>
      </c>
      <c r="J1228" t="s">
        <v>186</v>
      </c>
      <c r="K1228" t="s">
        <v>192</v>
      </c>
      <c r="L1228">
        <v>1</v>
      </c>
      <c r="M1228">
        <v>0</v>
      </c>
      <c r="N1228">
        <v>37.5</v>
      </c>
      <c r="O1228">
        <v>-2.875</v>
      </c>
      <c r="P1228">
        <v>-0.5</v>
      </c>
      <c r="Q1228">
        <v>32.5</v>
      </c>
      <c r="R1228">
        <v>20.9</v>
      </c>
      <c r="S1228">
        <v>26.3</v>
      </c>
      <c r="T1228">
        <v>17.3</v>
      </c>
      <c r="U1228">
        <v>22.6</v>
      </c>
      <c r="V1228">
        <v>0</v>
      </c>
      <c r="W1228">
        <v>0</v>
      </c>
      <c r="X1228">
        <v>0</v>
      </c>
      <c r="Y1228">
        <v>0</v>
      </c>
      <c r="Z1228">
        <v>11.3</v>
      </c>
      <c r="AA1228">
        <v>18</v>
      </c>
      <c r="AB1228">
        <v>34</v>
      </c>
      <c r="AC1228">
        <v>82</v>
      </c>
      <c r="AD1228">
        <v>12.3</v>
      </c>
      <c r="AE1228">
        <v>6.2</v>
      </c>
      <c r="AF1228">
        <v>60.180999999999997</v>
      </c>
      <c r="AG1228">
        <v>49.521999999999998</v>
      </c>
      <c r="AH1228">
        <v>39.334000000000003</v>
      </c>
      <c r="AI1228">
        <v>50.938000000000002</v>
      </c>
      <c r="AJ1228">
        <v>45.436</v>
      </c>
      <c r="AK1228">
        <v>44.637999999999998</v>
      </c>
      <c r="AL1228">
        <v>2.9209999999999998</v>
      </c>
      <c r="AM1228">
        <v>39.334000000000003</v>
      </c>
      <c r="AN1228">
        <v>49.521999999999998</v>
      </c>
      <c r="AO1228">
        <v>60.180999999999997</v>
      </c>
      <c r="AP1228">
        <v>-2.9209999999999998</v>
      </c>
      <c r="AQ1228">
        <v>54.564</v>
      </c>
      <c r="AR1228">
        <v>49.061999999999998</v>
      </c>
      <c r="AS1228">
        <v>55.362000000000002</v>
      </c>
    </row>
    <row r="1229" spans="1:45" x14ac:dyDescent="0.25">
      <c r="A1229">
        <v>73</v>
      </c>
      <c r="B1229">
        <v>35</v>
      </c>
      <c r="C1229">
        <v>1</v>
      </c>
      <c r="D1229">
        <v>2022</v>
      </c>
      <c r="E1229">
        <v>13</v>
      </c>
      <c r="F1229" t="str">
        <f>IFERROR(VLOOKUP(G1229, Map!$A$1:$B$33, 2, FALSE),"WAS")</f>
        <v>DAL</v>
      </c>
      <c r="G1229" t="s">
        <v>150</v>
      </c>
      <c r="H1229" t="str">
        <f>IFERROR(VLOOKUP(I1229, Map!$A$1:$B$33, 2, FALSE),"WAS")</f>
        <v>IND</v>
      </c>
      <c r="I1229" t="s">
        <v>138</v>
      </c>
      <c r="J1229" t="s">
        <v>184</v>
      </c>
      <c r="K1229" t="s">
        <v>177</v>
      </c>
      <c r="L1229">
        <v>1</v>
      </c>
      <c r="M1229">
        <v>0</v>
      </c>
      <c r="N1229">
        <v>43.53125</v>
      </c>
      <c r="O1229">
        <v>-11.65625</v>
      </c>
      <c r="P1229">
        <v>-10.5</v>
      </c>
      <c r="Q1229">
        <v>43.5</v>
      </c>
      <c r="R1229">
        <v>16.399999999999999</v>
      </c>
      <c r="S1229">
        <v>24.9</v>
      </c>
      <c r="T1229">
        <v>10.9</v>
      </c>
      <c r="U1229">
        <v>14.7</v>
      </c>
      <c r="V1229">
        <v>0.3</v>
      </c>
      <c r="W1229">
        <v>0</v>
      </c>
      <c r="X1229">
        <v>2</v>
      </c>
      <c r="Y1229">
        <v>0.3</v>
      </c>
      <c r="Z1229">
        <v>35</v>
      </c>
      <c r="AA1229">
        <v>56.2</v>
      </c>
      <c r="AB1229">
        <v>201</v>
      </c>
      <c r="AC1229">
        <v>82</v>
      </c>
      <c r="AD1229">
        <v>32.4</v>
      </c>
      <c r="AE1229">
        <v>19.399999999999999</v>
      </c>
      <c r="AF1229">
        <v>89.944000000000003</v>
      </c>
      <c r="AG1229">
        <v>93.207999999999998</v>
      </c>
      <c r="AH1229">
        <v>9.9689999999999994</v>
      </c>
      <c r="AI1229">
        <v>85.524000000000001</v>
      </c>
      <c r="AJ1229">
        <v>80.152000000000001</v>
      </c>
      <c r="AK1229">
        <v>88.847999999999999</v>
      </c>
      <c r="AL1229">
        <v>15.577999999999999</v>
      </c>
      <c r="AM1229">
        <v>9.9689999999999994</v>
      </c>
      <c r="AN1229">
        <v>93.207999999999998</v>
      </c>
      <c r="AO1229">
        <v>89.944000000000003</v>
      </c>
      <c r="AP1229">
        <v>-15.577999999999999</v>
      </c>
      <c r="AQ1229">
        <v>19.847999999999999</v>
      </c>
      <c r="AR1229">
        <v>14.476000000000001</v>
      </c>
      <c r="AS1229">
        <v>11.151999999999999</v>
      </c>
    </row>
    <row r="1230" spans="1:45" x14ac:dyDescent="0.25">
      <c r="A1230">
        <v>50</v>
      </c>
      <c r="B1230">
        <v>16</v>
      </c>
      <c r="C1230">
        <v>1</v>
      </c>
      <c r="D1230">
        <v>2022</v>
      </c>
      <c r="E1230">
        <v>13</v>
      </c>
      <c r="F1230" t="str">
        <f>IFERROR(VLOOKUP(G1230, Map!$A$1:$B$33, 2, FALSE),"WAS")</f>
        <v>SF</v>
      </c>
      <c r="G1230" t="s">
        <v>143</v>
      </c>
      <c r="H1230" t="str">
        <f>IFERROR(VLOOKUP(I1230, Map!$A$1:$B$33, 2, FALSE),"WAS")</f>
        <v>MIA</v>
      </c>
      <c r="I1230" t="s">
        <v>152</v>
      </c>
      <c r="J1230" t="s">
        <v>197</v>
      </c>
      <c r="K1230" t="s">
        <v>175</v>
      </c>
      <c r="L1230">
        <v>1</v>
      </c>
      <c r="M1230">
        <v>0</v>
      </c>
      <c r="N1230">
        <v>42.8125</v>
      </c>
      <c r="O1230">
        <v>-4.46875</v>
      </c>
      <c r="P1230">
        <v>-3.5</v>
      </c>
      <c r="Q1230">
        <v>43.5</v>
      </c>
      <c r="R1230">
        <v>10.8</v>
      </c>
      <c r="S1230">
        <v>14.7</v>
      </c>
      <c r="T1230">
        <v>7.9</v>
      </c>
      <c r="U1230">
        <v>9</v>
      </c>
      <c r="V1230">
        <v>8.3000000000000007</v>
      </c>
      <c r="W1230">
        <v>0</v>
      </c>
      <c r="X1230">
        <v>11</v>
      </c>
      <c r="Y1230">
        <v>8.3000000000000007</v>
      </c>
      <c r="Z1230">
        <v>13.1</v>
      </c>
      <c r="AA1230">
        <v>23.4</v>
      </c>
      <c r="AB1230">
        <v>136</v>
      </c>
      <c r="AC1230">
        <v>86</v>
      </c>
      <c r="AD1230">
        <v>16.899999999999999</v>
      </c>
      <c r="AE1230">
        <v>9.4</v>
      </c>
      <c r="AF1230">
        <v>63.856999999999999</v>
      </c>
      <c r="AG1230">
        <v>93.207999999999998</v>
      </c>
      <c r="AH1230">
        <v>35.722000000000001</v>
      </c>
      <c r="AI1230">
        <v>89.221000000000004</v>
      </c>
      <c r="AJ1230">
        <v>54.206000000000003</v>
      </c>
      <c r="AK1230">
        <v>76.588999999999999</v>
      </c>
      <c r="AL1230">
        <v>4.048</v>
      </c>
      <c r="AM1230">
        <v>35.722000000000001</v>
      </c>
      <c r="AN1230">
        <v>93.207999999999998</v>
      </c>
      <c r="AO1230">
        <v>63.856999999999999</v>
      </c>
      <c r="AP1230">
        <v>-4.048</v>
      </c>
      <c r="AQ1230">
        <v>45.793999999999997</v>
      </c>
      <c r="AR1230">
        <v>10.779</v>
      </c>
      <c r="AS1230">
        <v>23.411000000000001</v>
      </c>
    </row>
    <row r="1231" spans="1:45" x14ac:dyDescent="0.25">
      <c r="A1231">
        <v>45</v>
      </c>
      <c r="B1231">
        <v>25</v>
      </c>
      <c r="C1231">
        <v>1</v>
      </c>
      <c r="D1231">
        <v>2022</v>
      </c>
      <c r="E1231">
        <v>13</v>
      </c>
      <c r="F1231" t="str">
        <f>IFERROR(VLOOKUP(G1231, Map!$A$1:$B$33, 2, FALSE),"WAS")</f>
        <v>PHI</v>
      </c>
      <c r="G1231" t="s">
        <v>147</v>
      </c>
      <c r="H1231" t="str">
        <f>IFERROR(VLOOKUP(I1231, Map!$A$1:$B$33, 2, FALSE),"WAS")</f>
        <v>TEN</v>
      </c>
      <c r="I1231" t="s">
        <v>140</v>
      </c>
      <c r="J1231" t="s">
        <v>206</v>
      </c>
      <c r="K1231" t="s">
        <v>174</v>
      </c>
      <c r="L1231">
        <v>1</v>
      </c>
      <c r="M1231">
        <v>0</v>
      </c>
      <c r="N1231">
        <v>41.7</v>
      </c>
      <c r="O1231">
        <v>-5.7333333333333298</v>
      </c>
      <c r="P1231">
        <v>-4.5</v>
      </c>
      <c r="Q1231">
        <v>44.5</v>
      </c>
      <c r="R1231">
        <v>5.3</v>
      </c>
      <c r="S1231">
        <v>11.9</v>
      </c>
      <c r="T1231">
        <v>1.2</v>
      </c>
      <c r="U1231">
        <v>0.9</v>
      </c>
      <c r="V1231">
        <v>0</v>
      </c>
      <c r="W1231">
        <v>0</v>
      </c>
      <c r="X1231">
        <v>0</v>
      </c>
      <c r="Y1231">
        <v>0</v>
      </c>
      <c r="Z1231">
        <v>28.3</v>
      </c>
      <c r="AA1231">
        <v>49.7</v>
      </c>
      <c r="AB1231">
        <v>304</v>
      </c>
      <c r="AC1231">
        <v>58</v>
      </c>
      <c r="AD1231">
        <v>26.9</v>
      </c>
      <c r="AE1231">
        <v>13.3</v>
      </c>
      <c r="AF1231">
        <v>69.643000000000001</v>
      </c>
      <c r="AG1231">
        <v>54.484000000000002</v>
      </c>
      <c r="AH1231">
        <v>30.029</v>
      </c>
      <c r="AI1231">
        <v>69.399000000000001</v>
      </c>
      <c r="AJ1231">
        <v>90.525999999999996</v>
      </c>
      <c r="AK1231">
        <v>91.233999999999995</v>
      </c>
      <c r="AL1231">
        <v>5.8860000000000001</v>
      </c>
      <c r="AM1231">
        <v>30.029</v>
      </c>
      <c r="AN1231">
        <v>54.484000000000002</v>
      </c>
      <c r="AO1231">
        <v>69.643000000000001</v>
      </c>
      <c r="AP1231">
        <v>-5.8860000000000001</v>
      </c>
      <c r="AQ1231">
        <v>9.4740000000000002</v>
      </c>
      <c r="AR1231">
        <v>30.600999999999999</v>
      </c>
      <c r="AS1231">
        <v>8.766</v>
      </c>
    </row>
    <row r="1232" spans="1:45" x14ac:dyDescent="0.25">
      <c r="A1232">
        <v>54</v>
      </c>
      <c r="B1232">
        <v>26</v>
      </c>
      <c r="C1232">
        <v>1</v>
      </c>
      <c r="D1232">
        <v>2022</v>
      </c>
      <c r="E1232">
        <v>13</v>
      </c>
      <c r="F1232" t="str">
        <f>IFERROR(VLOOKUP(G1232, Map!$A$1:$B$33, 2, FALSE),"WAS")</f>
        <v>DET</v>
      </c>
      <c r="G1232" t="s">
        <v>164</v>
      </c>
      <c r="H1232" t="str">
        <f>IFERROR(VLOOKUP(I1232, Map!$A$1:$B$33, 2, FALSE),"WAS")</f>
        <v>JAX</v>
      </c>
      <c r="I1232" t="s">
        <v>139</v>
      </c>
      <c r="J1232" t="s">
        <v>173</v>
      </c>
      <c r="K1232" t="s">
        <v>220</v>
      </c>
      <c r="L1232">
        <v>1</v>
      </c>
      <c r="M1232">
        <v>0</v>
      </c>
      <c r="N1232">
        <v>48.1</v>
      </c>
      <c r="O1232">
        <v>-2.7666666666666702</v>
      </c>
      <c r="P1232">
        <v>-1</v>
      </c>
      <c r="Q1232">
        <v>51</v>
      </c>
      <c r="R1232">
        <v>-1.9</v>
      </c>
      <c r="S1232">
        <v>2.5</v>
      </c>
      <c r="T1232">
        <v>-4.8</v>
      </c>
      <c r="U1232">
        <v>-7.5</v>
      </c>
      <c r="V1232">
        <v>0</v>
      </c>
      <c r="W1232">
        <v>0</v>
      </c>
      <c r="X1232">
        <v>0</v>
      </c>
      <c r="Y1232">
        <v>0</v>
      </c>
      <c r="Z1232">
        <v>23.5</v>
      </c>
      <c r="AA1232">
        <v>40.299999999999997</v>
      </c>
      <c r="AB1232">
        <v>235</v>
      </c>
      <c r="AC1232">
        <v>62</v>
      </c>
      <c r="AD1232">
        <v>28.1</v>
      </c>
      <c r="AE1232">
        <v>16.8</v>
      </c>
      <c r="AF1232">
        <v>43.216000000000001</v>
      </c>
      <c r="AG1232">
        <v>23.931999999999999</v>
      </c>
      <c r="AH1232">
        <v>56.228000000000002</v>
      </c>
      <c r="AI1232">
        <v>73.924999999999997</v>
      </c>
      <c r="AJ1232">
        <v>91.19</v>
      </c>
      <c r="AK1232">
        <v>94.998999999999995</v>
      </c>
      <c r="AL1232">
        <v>-1.9390000000000001</v>
      </c>
      <c r="AM1232">
        <v>56.228000000000002</v>
      </c>
      <c r="AN1232">
        <v>23.931999999999999</v>
      </c>
      <c r="AO1232">
        <v>43.216000000000001</v>
      </c>
      <c r="AP1232">
        <v>1.9390000000000001</v>
      </c>
      <c r="AQ1232">
        <v>8.81</v>
      </c>
      <c r="AR1232">
        <v>26.074999999999999</v>
      </c>
      <c r="AS1232">
        <v>5.0010000000000003</v>
      </c>
    </row>
    <row r="1233" spans="1:45" x14ac:dyDescent="0.25">
      <c r="A1233">
        <v>49</v>
      </c>
      <c r="B1233">
        <v>5</v>
      </c>
      <c r="C1233">
        <v>1</v>
      </c>
      <c r="D1233">
        <v>2022</v>
      </c>
      <c r="E1233">
        <v>13</v>
      </c>
      <c r="F1233" t="str">
        <f>IFERROR(VLOOKUP(G1233, Map!$A$1:$B$33, 2, FALSE),"WAS")</f>
        <v>MIN</v>
      </c>
      <c r="G1233" t="s">
        <v>153</v>
      </c>
      <c r="H1233" t="str">
        <f>IFERROR(VLOOKUP(I1233, Map!$A$1:$B$33, 2, FALSE),"WAS")</f>
        <v>NYJ</v>
      </c>
      <c r="I1233" t="s">
        <v>166</v>
      </c>
      <c r="J1233" t="s">
        <v>214</v>
      </c>
      <c r="K1233" t="s">
        <v>172</v>
      </c>
      <c r="L1233">
        <v>1</v>
      </c>
      <c r="M1233">
        <v>0</v>
      </c>
      <c r="N1233">
        <v>42.125</v>
      </c>
      <c r="O1233">
        <v>-2.53125</v>
      </c>
      <c r="P1233">
        <v>1.5</v>
      </c>
      <c r="Q1233">
        <v>43.5</v>
      </c>
      <c r="R1233">
        <v>-11.3</v>
      </c>
      <c r="S1233">
        <v>-0.6</v>
      </c>
      <c r="T1233">
        <v>-17.7</v>
      </c>
      <c r="U1233">
        <v>-16.8</v>
      </c>
      <c r="V1233">
        <v>0</v>
      </c>
      <c r="W1233">
        <v>0</v>
      </c>
      <c r="X1233">
        <v>0</v>
      </c>
      <c r="Y1233">
        <v>0</v>
      </c>
      <c r="Z1233">
        <v>16.8</v>
      </c>
      <c r="AA1233">
        <v>26.6</v>
      </c>
      <c r="AB1233">
        <v>216</v>
      </c>
      <c r="AC1233">
        <v>77</v>
      </c>
      <c r="AD1233">
        <v>19.3</v>
      </c>
      <c r="AE1233">
        <v>13.1</v>
      </c>
      <c r="AF1233">
        <v>69.75</v>
      </c>
      <c r="AG1233">
        <v>12.603</v>
      </c>
      <c r="AH1233">
        <v>29.922999999999998</v>
      </c>
      <c r="AI1233">
        <v>67.337000000000003</v>
      </c>
      <c r="AJ1233">
        <v>62.215000000000003</v>
      </c>
      <c r="AK1233">
        <v>65.974999999999994</v>
      </c>
      <c r="AL1233">
        <v>5.915</v>
      </c>
      <c r="AM1233">
        <v>29.922999999999998</v>
      </c>
      <c r="AN1233">
        <v>12.603</v>
      </c>
      <c r="AO1233">
        <v>69.75</v>
      </c>
      <c r="AP1233">
        <v>-5.915</v>
      </c>
      <c r="AQ1233">
        <v>37.784999999999997</v>
      </c>
      <c r="AR1233">
        <v>32.662999999999997</v>
      </c>
      <c r="AS1233">
        <v>34.024999999999999</v>
      </c>
    </row>
    <row r="1234" spans="1:45" x14ac:dyDescent="0.25">
      <c r="A1234">
        <v>19</v>
      </c>
      <c r="B1234">
        <v>1</v>
      </c>
      <c r="C1234">
        <v>1</v>
      </c>
      <c r="D1234">
        <v>2022</v>
      </c>
      <c r="E1234">
        <v>13</v>
      </c>
      <c r="F1234" t="str">
        <f>IFERROR(VLOOKUP(G1234, Map!$A$1:$B$33, 2, FALSE),"WAS")</f>
        <v>BAL</v>
      </c>
      <c r="G1234" t="s">
        <v>146</v>
      </c>
      <c r="H1234" t="str">
        <f>IFERROR(VLOOKUP(I1234, Map!$A$1:$B$33, 2, FALSE),"WAS")</f>
        <v>DEN</v>
      </c>
      <c r="I1234" t="s">
        <v>159</v>
      </c>
      <c r="J1234" t="s">
        <v>181</v>
      </c>
      <c r="K1234" t="s">
        <v>183</v>
      </c>
      <c r="L1234">
        <v>1</v>
      </c>
      <c r="M1234">
        <v>0</v>
      </c>
      <c r="N1234">
        <v>36.4375</v>
      </c>
      <c r="O1234">
        <v>-7.53125</v>
      </c>
      <c r="P1234">
        <v>-1</v>
      </c>
      <c r="Q1234">
        <v>20.5</v>
      </c>
      <c r="R1234">
        <v>5</v>
      </c>
      <c r="S1234">
        <v>11.8</v>
      </c>
      <c r="T1234">
        <v>0.5</v>
      </c>
      <c r="U1234">
        <v>1.3</v>
      </c>
      <c r="V1234">
        <v>0</v>
      </c>
      <c r="W1234">
        <v>0</v>
      </c>
      <c r="X1234">
        <v>0</v>
      </c>
      <c r="Y1234">
        <v>0</v>
      </c>
      <c r="Z1234">
        <v>20.2</v>
      </c>
      <c r="AA1234">
        <v>33.799999999999997</v>
      </c>
      <c r="AB1234">
        <v>315</v>
      </c>
      <c r="AC1234">
        <v>65</v>
      </c>
      <c r="AD1234">
        <v>20.9</v>
      </c>
      <c r="AE1234">
        <v>10.4</v>
      </c>
      <c r="AF1234">
        <v>83.134</v>
      </c>
      <c r="AG1234">
        <v>75.988</v>
      </c>
      <c r="AH1234">
        <v>16.71</v>
      </c>
      <c r="AI1234">
        <v>77.512</v>
      </c>
      <c r="AJ1234">
        <v>28.689</v>
      </c>
      <c r="AK1234">
        <v>51.061999999999998</v>
      </c>
      <c r="AL1234">
        <v>11.317</v>
      </c>
      <c r="AM1234">
        <v>16.71</v>
      </c>
      <c r="AN1234">
        <v>75.988</v>
      </c>
      <c r="AO1234">
        <v>83.134</v>
      </c>
      <c r="AP1234">
        <v>-11.317</v>
      </c>
      <c r="AQ1234">
        <v>71.311000000000007</v>
      </c>
      <c r="AR1234">
        <v>22.488</v>
      </c>
      <c r="AS1234">
        <v>48.938000000000002</v>
      </c>
    </row>
    <row r="1235" spans="1:45" x14ac:dyDescent="0.25">
      <c r="A1235">
        <v>47</v>
      </c>
      <c r="B1235">
        <v>7</v>
      </c>
      <c r="C1235">
        <v>1</v>
      </c>
      <c r="D1235">
        <v>2022</v>
      </c>
      <c r="E1235">
        <v>13</v>
      </c>
      <c r="F1235" t="str">
        <f>IFERROR(VLOOKUP(G1235, Map!$A$1:$B$33, 2, FALSE),"WAS")</f>
        <v>LV</v>
      </c>
      <c r="G1235" t="s">
        <v>157</v>
      </c>
      <c r="H1235" t="str">
        <f>IFERROR(VLOOKUP(I1235, Map!$A$1:$B$33, 2, FALSE),"WAS")</f>
        <v>LAC</v>
      </c>
      <c r="I1235" t="s">
        <v>160</v>
      </c>
      <c r="J1235" t="s">
        <v>179</v>
      </c>
      <c r="K1235" t="s">
        <v>210</v>
      </c>
      <c r="L1235">
        <v>1</v>
      </c>
      <c r="M1235">
        <v>0</v>
      </c>
      <c r="N1235">
        <v>49.433333333333302</v>
      </c>
      <c r="O1235">
        <v>-2.2333333333333298</v>
      </c>
      <c r="P1235">
        <v>-2.5</v>
      </c>
      <c r="Q1235">
        <v>46.5</v>
      </c>
      <c r="R1235">
        <v>10.5</v>
      </c>
      <c r="S1235">
        <v>18.2</v>
      </c>
      <c r="T1235">
        <v>5.7</v>
      </c>
      <c r="U1235">
        <v>8</v>
      </c>
      <c r="V1235">
        <v>0</v>
      </c>
      <c r="W1235">
        <v>0</v>
      </c>
      <c r="X1235">
        <v>0</v>
      </c>
      <c r="Y1235">
        <v>0</v>
      </c>
      <c r="Z1235">
        <v>14.5</v>
      </c>
      <c r="AA1235">
        <v>24.8</v>
      </c>
      <c r="AB1235">
        <v>33</v>
      </c>
      <c r="AC1235">
        <v>63</v>
      </c>
      <c r="AD1235">
        <v>10.7</v>
      </c>
      <c r="AE1235">
        <v>6.2</v>
      </c>
      <c r="AF1235">
        <v>61.533999999999999</v>
      </c>
      <c r="AG1235">
        <v>62.298000000000002</v>
      </c>
      <c r="AH1235">
        <v>38.005000000000003</v>
      </c>
      <c r="AI1235">
        <v>82.89</v>
      </c>
      <c r="AJ1235">
        <v>52.122</v>
      </c>
      <c r="AK1235">
        <v>74.105999999999995</v>
      </c>
      <c r="AL1235">
        <v>3.3420000000000001</v>
      </c>
      <c r="AM1235">
        <v>38.005000000000003</v>
      </c>
      <c r="AN1235">
        <v>62.298000000000002</v>
      </c>
      <c r="AO1235">
        <v>61.533999999999999</v>
      </c>
      <c r="AP1235">
        <v>-3.3420000000000001</v>
      </c>
      <c r="AQ1235">
        <v>47.878</v>
      </c>
      <c r="AR1235">
        <v>17.11</v>
      </c>
      <c r="AS1235">
        <v>25.893999999999998</v>
      </c>
    </row>
    <row r="1236" spans="1:45" x14ac:dyDescent="0.25">
      <c r="A1236">
        <v>35</v>
      </c>
      <c r="B1236">
        <v>-3</v>
      </c>
      <c r="C1236">
        <v>0</v>
      </c>
      <c r="D1236">
        <v>2022</v>
      </c>
      <c r="E1236">
        <v>13</v>
      </c>
      <c r="F1236" t="str">
        <f>IFERROR(VLOOKUP(G1236, Map!$A$1:$B$33, 2, FALSE),"WAS")</f>
        <v>ATL</v>
      </c>
      <c r="G1236" t="s">
        <v>167</v>
      </c>
      <c r="H1236" t="str">
        <f>IFERROR(VLOOKUP(I1236, Map!$A$1:$B$33, 2, FALSE),"WAS")</f>
        <v>PIT</v>
      </c>
      <c r="I1236" t="s">
        <v>145</v>
      </c>
      <c r="J1236" t="s">
        <v>188</v>
      </c>
      <c r="K1236" t="s">
        <v>170</v>
      </c>
      <c r="L1236">
        <v>0</v>
      </c>
      <c r="M1236">
        <v>0</v>
      </c>
      <c r="N1236">
        <v>39.6875</v>
      </c>
      <c r="O1236">
        <v>0.75</v>
      </c>
      <c r="P1236">
        <v>0.5</v>
      </c>
      <c r="Q1236">
        <v>36.5</v>
      </c>
      <c r="R1236">
        <v>11.3</v>
      </c>
      <c r="S1236">
        <v>15.4</v>
      </c>
      <c r="T1236">
        <v>6.6</v>
      </c>
      <c r="U1236">
        <v>9.6</v>
      </c>
      <c r="V1236">
        <v>0.4</v>
      </c>
      <c r="W1236">
        <v>0</v>
      </c>
      <c r="X1236">
        <v>2</v>
      </c>
      <c r="Y1236">
        <v>0.4</v>
      </c>
      <c r="Z1236">
        <v>12.8</v>
      </c>
      <c r="AA1236">
        <v>22.3</v>
      </c>
      <c r="AB1236">
        <v>315</v>
      </c>
      <c r="AC1236">
        <v>86</v>
      </c>
      <c r="AD1236">
        <v>17.899999999999999</v>
      </c>
      <c r="AE1236">
        <v>9.1</v>
      </c>
      <c r="AF1236">
        <v>66.78</v>
      </c>
      <c r="AG1236">
        <v>25.949000000000002</v>
      </c>
      <c r="AH1236">
        <v>32.847000000000001</v>
      </c>
      <c r="AI1236">
        <v>35.887</v>
      </c>
      <c r="AJ1236">
        <v>50.96</v>
      </c>
      <c r="AK1236">
        <v>39.064999999999998</v>
      </c>
      <c r="AL1236">
        <v>4.9429999999999996</v>
      </c>
      <c r="AM1236">
        <v>32.847000000000001</v>
      </c>
      <c r="AN1236">
        <v>25.949000000000002</v>
      </c>
      <c r="AO1236">
        <v>66.78</v>
      </c>
      <c r="AP1236">
        <v>-4.9429999999999996</v>
      </c>
      <c r="AQ1236">
        <v>49.04</v>
      </c>
      <c r="AR1236">
        <v>64.113</v>
      </c>
      <c r="AS1236">
        <v>60.935000000000002</v>
      </c>
    </row>
    <row r="1237" spans="1:45" x14ac:dyDescent="0.25">
      <c r="A1237">
        <v>40</v>
      </c>
      <c r="B1237">
        <v>-14</v>
      </c>
      <c r="C1237">
        <v>0</v>
      </c>
      <c r="D1237">
        <v>2022</v>
      </c>
      <c r="E1237">
        <v>14</v>
      </c>
      <c r="F1237" t="str">
        <f>IFERROR(VLOOKUP(G1237, Map!$A$1:$B$33, 2, FALSE),"WAS")</f>
        <v>ARI</v>
      </c>
      <c r="G1237" t="s">
        <v>156</v>
      </c>
      <c r="H1237" t="str">
        <f>IFERROR(VLOOKUP(I1237, Map!$A$1:$B$33, 2, FALSE),"WAS")</f>
        <v>NE</v>
      </c>
      <c r="I1237" t="s">
        <v>151</v>
      </c>
      <c r="J1237" t="s">
        <v>190</v>
      </c>
      <c r="K1237" t="s">
        <v>187</v>
      </c>
      <c r="L1237">
        <v>0</v>
      </c>
      <c r="M1237">
        <v>0</v>
      </c>
      <c r="N1237">
        <v>41</v>
      </c>
      <c r="O1237">
        <v>2.7666666666666702</v>
      </c>
      <c r="P1237">
        <v>1.5</v>
      </c>
      <c r="Q1237">
        <v>41.5</v>
      </c>
      <c r="R1237">
        <v>6.6</v>
      </c>
      <c r="S1237">
        <v>12.5</v>
      </c>
      <c r="T1237">
        <v>1.8</v>
      </c>
      <c r="U1237">
        <v>4</v>
      </c>
      <c r="V1237">
        <v>0</v>
      </c>
      <c r="W1237">
        <v>0</v>
      </c>
      <c r="X1237">
        <v>0</v>
      </c>
      <c r="Y1237">
        <v>0</v>
      </c>
      <c r="Z1237">
        <v>10.5</v>
      </c>
      <c r="AA1237">
        <v>20.9</v>
      </c>
      <c r="AB1237">
        <v>61</v>
      </c>
      <c r="AC1237">
        <v>75</v>
      </c>
      <c r="AD1237">
        <v>13.6</v>
      </c>
      <c r="AE1237">
        <v>5.6</v>
      </c>
      <c r="AF1237">
        <v>64.542000000000002</v>
      </c>
      <c r="AG1237">
        <v>49.521999999999998</v>
      </c>
      <c r="AH1237">
        <v>35.049999999999997</v>
      </c>
      <c r="AI1237">
        <v>52.241999999999997</v>
      </c>
      <c r="AJ1237">
        <v>12.236000000000001</v>
      </c>
      <c r="AK1237">
        <v>21.68</v>
      </c>
      <c r="AL1237">
        <v>4.2409999999999997</v>
      </c>
      <c r="AM1237">
        <v>35.049999999999997</v>
      </c>
      <c r="AN1237">
        <v>49.521999999999998</v>
      </c>
      <c r="AO1237">
        <v>64.542000000000002</v>
      </c>
      <c r="AP1237">
        <v>-4.2409999999999997</v>
      </c>
      <c r="AQ1237">
        <v>87.763999999999996</v>
      </c>
      <c r="AR1237">
        <v>47.758000000000003</v>
      </c>
      <c r="AS1237">
        <v>78.319999999999993</v>
      </c>
    </row>
    <row r="1238" spans="1:45" x14ac:dyDescent="0.25">
      <c r="A1238">
        <v>40</v>
      </c>
      <c r="B1238">
        <v>6</v>
      </c>
      <c r="C1238">
        <v>1</v>
      </c>
      <c r="D1238">
        <v>2022</v>
      </c>
      <c r="E1238">
        <v>14</v>
      </c>
      <c r="F1238" t="str">
        <f>IFERROR(VLOOKUP(G1238, Map!$A$1:$B$33, 2, FALSE),"WAS")</f>
        <v>LAC</v>
      </c>
      <c r="G1238" t="s">
        <v>160</v>
      </c>
      <c r="H1238" t="str">
        <f>IFERROR(VLOOKUP(I1238, Map!$A$1:$B$33, 2, FALSE),"WAS")</f>
        <v>MIA</v>
      </c>
      <c r="I1238" t="s">
        <v>152</v>
      </c>
      <c r="J1238" t="s">
        <v>210</v>
      </c>
      <c r="K1238" t="s">
        <v>175</v>
      </c>
      <c r="L1238">
        <v>1</v>
      </c>
      <c r="M1238">
        <v>0</v>
      </c>
      <c r="N1238">
        <v>49.8125</v>
      </c>
      <c r="O1238">
        <v>2.3125</v>
      </c>
      <c r="P1238">
        <v>3</v>
      </c>
      <c r="Q1238">
        <v>39.5</v>
      </c>
      <c r="R1238">
        <v>8.1999999999999993</v>
      </c>
      <c r="S1238">
        <v>12.7</v>
      </c>
      <c r="T1238">
        <v>4.2</v>
      </c>
      <c r="U1238">
        <v>5.4</v>
      </c>
      <c r="V1238">
        <v>9</v>
      </c>
      <c r="W1238">
        <v>0</v>
      </c>
      <c r="X1238">
        <v>8</v>
      </c>
      <c r="Y1238">
        <v>9</v>
      </c>
      <c r="Z1238">
        <v>19.3</v>
      </c>
      <c r="AA1238">
        <v>41.4</v>
      </c>
      <c r="AB1238">
        <v>98</v>
      </c>
      <c r="AC1238">
        <v>82</v>
      </c>
      <c r="AD1238">
        <v>18.8</v>
      </c>
      <c r="AE1238">
        <v>10.3</v>
      </c>
      <c r="AF1238">
        <v>52.936999999999998</v>
      </c>
      <c r="AG1238">
        <v>72.206999999999994</v>
      </c>
      <c r="AH1238">
        <v>46.439</v>
      </c>
      <c r="AI1238">
        <v>58.808</v>
      </c>
      <c r="AJ1238">
        <v>66.897999999999996</v>
      </c>
      <c r="AK1238">
        <v>68.850999999999999</v>
      </c>
      <c r="AL1238">
        <v>0.83499999999999996</v>
      </c>
      <c r="AM1238">
        <v>46.439</v>
      </c>
      <c r="AN1238">
        <v>72.206999999999994</v>
      </c>
      <c r="AO1238">
        <v>52.936999999999998</v>
      </c>
      <c r="AP1238">
        <v>-0.83499999999999996</v>
      </c>
      <c r="AQ1238">
        <v>33.101999999999997</v>
      </c>
      <c r="AR1238">
        <v>41.192</v>
      </c>
      <c r="AS1238">
        <v>31.149000000000001</v>
      </c>
    </row>
    <row r="1239" spans="1:45" x14ac:dyDescent="0.25">
      <c r="A1239">
        <v>62</v>
      </c>
      <c r="B1239">
        <v>-6</v>
      </c>
      <c r="C1239">
        <v>0</v>
      </c>
      <c r="D1239">
        <v>2022</v>
      </c>
      <c r="E1239">
        <v>14</v>
      </c>
      <c r="F1239" t="str">
        <f>IFERROR(VLOOKUP(G1239, Map!$A$1:$B$33, 2, FALSE),"WAS")</f>
        <v>DEN</v>
      </c>
      <c r="G1239" t="s">
        <v>159</v>
      </c>
      <c r="H1239" t="str">
        <f>IFERROR(VLOOKUP(I1239, Map!$A$1:$B$33, 2, FALSE),"WAS")</f>
        <v>KC</v>
      </c>
      <c r="I1239" t="s">
        <v>158</v>
      </c>
      <c r="J1239" t="s">
        <v>183</v>
      </c>
      <c r="K1239" t="s">
        <v>202</v>
      </c>
      <c r="L1239">
        <v>0</v>
      </c>
      <c r="M1239">
        <v>0</v>
      </c>
      <c r="N1239">
        <v>42.625</v>
      </c>
      <c r="O1239">
        <v>8.15625</v>
      </c>
      <c r="P1239">
        <v>6.5</v>
      </c>
      <c r="Q1239">
        <v>42.5</v>
      </c>
      <c r="R1239">
        <v>2.4</v>
      </c>
      <c r="S1239">
        <v>14.6</v>
      </c>
      <c r="T1239">
        <v>-3.9</v>
      </c>
      <c r="U1239">
        <v>-2.5</v>
      </c>
      <c r="V1239">
        <v>0</v>
      </c>
      <c r="W1239">
        <v>0</v>
      </c>
      <c r="X1239">
        <v>0</v>
      </c>
      <c r="Y1239">
        <v>0</v>
      </c>
      <c r="Z1239">
        <v>21.3</v>
      </c>
      <c r="AA1239">
        <v>34.9</v>
      </c>
      <c r="AB1239">
        <v>208</v>
      </c>
      <c r="AC1239">
        <v>37</v>
      </c>
      <c r="AD1239">
        <v>15.8</v>
      </c>
      <c r="AE1239">
        <v>9.6</v>
      </c>
      <c r="AF1239">
        <v>12.795</v>
      </c>
      <c r="AG1239">
        <v>49.774000000000001</v>
      </c>
      <c r="AH1239">
        <v>87.090999999999994</v>
      </c>
      <c r="AI1239">
        <v>35.505000000000003</v>
      </c>
      <c r="AJ1239">
        <v>26.178999999999998</v>
      </c>
      <c r="AK1239">
        <v>21.013999999999999</v>
      </c>
      <c r="AL1239">
        <v>-13.696999999999999</v>
      </c>
      <c r="AM1239">
        <v>87.090999999999994</v>
      </c>
      <c r="AN1239">
        <v>49.774000000000001</v>
      </c>
      <c r="AO1239">
        <v>12.795</v>
      </c>
      <c r="AP1239">
        <v>13.696999999999999</v>
      </c>
      <c r="AQ1239">
        <v>73.820999999999998</v>
      </c>
      <c r="AR1239">
        <v>64.495000000000005</v>
      </c>
      <c r="AS1239">
        <v>78.986000000000004</v>
      </c>
    </row>
    <row r="1240" spans="1:45" x14ac:dyDescent="0.25">
      <c r="A1240">
        <v>50</v>
      </c>
      <c r="B1240">
        <v>4</v>
      </c>
      <c r="C1240">
        <v>1</v>
      </c>
      <c r="D1240">
        <v>2022</v>
      </c>
      <c r="E1240">
        <v>14</v>
      </c>
      <c r="F1240" t="str">
        <f>IFERROR(VLOOKUP(G1240, Map!$A$1:$B$33, 2, FALSE),"WAS")</f>
        <v>DAL</v>
      </c>
      <c r="G1240" t="s">
        <v>150</v>
      </c>
      <c r="H1240" t="str">
        <f>IFERROR(VLOOKUP(I1240, Map!$A$1:$B$33, 2, FALSE),"WAS")</f>
        <v>HOU</v>
      </c>
      <c r="I1240" t="s">
        <v>137</v>
      </c>
      <c r="J1240" t="s">
        <v>184</v>
      </c>
      <c r="K1240" t="s">
        <v>209</v>
      </c>
      <c r="L1240">
        <v>1</v>
      </c>
      <c r="M1240">
        <v>0</v>
      </c>
      <c r="N1240">
        <v>42.1875</v>
      </c>
      <c r="O1240">
        <v>-15.1875</v>
      </c>
      <c r="P1240">
        <v>-4</v>
      </c>
      <c r="Q1240">
        <v>44</v>
      </c>
      <c r="R1240">
        <v>13.7</v>
      </c>
      <c r="S1240">
        <v>15.8</v>
      </c>
      <c r="T1240">
        <v>11.2</v>
      </c>
      <c r="U1240">
        <v>12.7</v>
      </c>
      <c r="V1240">
        <v>12.8</v>
      </c>
      <c r="W1240">
        <v>0</v>
      </c>
      <c r="X1240">
        <v>8</v>
      </c>
      <c r="Y1240">
        <v>12.8</v>
      </c>
      <c r="Z1240">
        <v>17.899999999999999</v>
      </c>
      <c r="AA1240">
        <v>32.799999999999997</v>
      </c>
      <c r="AB1240">
        <v>359</v>
      </c>
      <c r="AC1240">
        <v>87</v>
      </c>
      <c r="AD1240">
        <v>21</v>
      </c>
      <c r="AE1240">
        <v>10.6</v>
      </c>
      <c r="AF1240">
        <v>95.08</v>
      </c>
      <c r="AG1240">
        <v>70.230999999999995</v>
      </c>
      <c r="AH1240">
        <v>4.8789999999999996</v>
      </c>
      <c r="AI1240">
        <v>78.947999999999993</v>
      </c>
      <c r="AJ1240">
        <v>43.008000000000003</v>
      </c>
      <c r="AK1240">
        <v>57.156999999999996</v>
      </c>
      <c r="AL1240">
        <v>21.042000000000002</v>
      </c>
      <c r="AM1240">
        <v>4.8789999999999996</v>
      </c>
      <c r="AN1240">
        <v>70.230999999999995</v>
      </c>
      <c r="AO1240">
        <v>95.08</v>
      </c>
      <c r="AP1240">
        <v>-21.042000000000002</v>
      </c>
      <c r="AQ1240">
        <v>56.991999999999997</v>
      </c>
      <c r="AR1240">
        <v>21.052</v>
      </c>
      <c r="AS1240">
        <v>42.843000000000004</v>
      </c>
    </row>
    <row r="1241" spans="1:45" x14ac:dyDescent="0.25">
      <c r="A1241">
        <v>58</v>
      </c>
      <c r="B1241">
        <v>-14</v>
      </c>
      <c r="C1241">
        <v>0</v>
      </c>
      <c r="D1241">
        <v>2022</v>
      </c>
      <c r="E1241">
        <v>14</v>
      </c>
      <c r="F1241" t="str">
        <f>IFERROR(VLOOKUP(G1241, Map!$A$1:$B$33, 2, FALSE),"WAS")</f>
        <v>TEN</v>
      </c>
      <c r="G1241" t="s">
        <v>140</v>
      </c>
      <c r="H1241" t="str">
        <f>IFERROR(VLOOKUP(I1241, Map!$A$1:$B$33, 2, FALSE),"WAS")</f>
        <v>JAX</v>
      </c>
      <c r="I1241" t="s">
        <v>139</v>
      </c>
      <c r="J1241" t="s">
        <v>174</v>
      </c>
      <c r="K1241" t="s">
        <v>220</v>
      </c>
      <c r="L1241">
        <v>0</v>
      </c>
      <c r="M1241">
        <v>0</v>
      </c>
      <c r="N1241">
        <v>40.0625</v>
      </c>
      <c r="O1241">
        <v>-1.96875</v>
      </c>
      <c r="P1241">
        <v>-3</v>
      </c>
      <c r="Q1241">
        <v>41.5</v>
      </c>
      <c r="R1241">
        <v>10.4</v>
      </c>
      <c r="S1241">
        <v>13.5</v>
      </c>
      <c r="T1241">
        <v>8.9</v>
      </c>
      <c r="U1241">
        <v>8.8000000000000007</v>
      </c>
      <c r="V1241">
        <v>0.1</v>
      </c>
      <c r="W1241">
        <v>0</v>
      </c>
      <c r="X1241">
        <v>1</v>
      </c>
      <c r="Y1241">
        <v>0.1</v>
      </c>
      <c r="Z1241">
        <v>14.4</v>
      </c>
      <c r="AA1241">
        <v>27.7</v>
      </c>
      <c r="AB1241">
        <v>26</v>
      </c>
      <c r="AC1241">
        <v>89</v>
      </c>
      <c r="AD1241">
        <v>16.399999999999999</v>
      </c>
      <c r="AE1241">
        <v>8.3000000000000007</v>
      </c>
      <c r="AF1241">
        <v>51.966000000000001</v>
      </c>
      <c r="AG1241">
        <v>37.384</v>
      </c>
      <c r="AH1241">
        <v>47.399000000000001</v>
      </c>
      <c r="AI1241">
        <v>19.088000000000001</v>
      </c>
      <c r="AJ1241">
        <v>27.184000000000001</v>
      </c>
      <c r="AK1241">
        <v>18.183</v>
      </c>
      <c r="AL1241">
        <v>0.56299999999999994</v>
      </c>
      <c r="AM1241">
        <v>47.399000000000001</v>
      </c>
      <c r="AN1241">
        <v>37.384</v>
      </c>
      <c r="AO1241">
        <v>51.966000000000001</v>
      </c>
      <c r="AP1241">
        <v>-0.56299999999999994</v>
      </c>
      <c r="AQ1241">
        <v>72.816000000000003</v>
      </c>
      <c r="AR1241">
        <v>80.912000000000006</v>
      </c>
      <c r="AS1241">
        <v>81.816999999999993</v>
      </c>
    </row>
    <row r="1242" spans="1:45" x14ac:dyDescent="0.25">
      <c r="A1242">
        <v>54</v>
      </c>
      <c r="B1242">
        <v>-6</v>
      </c>
      <c r="C1242">
        <v>0</v>
      </c>
      <c r="D1242">
        <v>2022</v>
      </c>
      <c r="E1242">
        <v>14</v>
      </c>
      <c r="F1242" t="str">
        <f>IFERROR(VLOOKUP(G1242, Map!$A$1:$B$33, 2, FALSE),"WAS")</f>
        <v>SEA</v>
      </c>
      <c r="G1242" t="s">
        <v>144</v>
      </c>
      <c r="H1242" t="str">
        <f>IFERROR(VLOOKUP(I1242, Map!$A$1:$B$33, 2, FALSE),"WAS")</f>
        <v>CAR</v>
      </c>
      <c r="I1242" t="s">
        <v>142</v>
      </c>
      <c r="J1242" t="s">
        <v>182</v>
      </c>
      <c r="K1242" t="s">
        <v>185</v>
      </c>
      <c r="L1242">
        <v>0</v>
      </c>
      <c r="M1242">
        <v>0</v>
      </c>
      <c r="N1242">
        <v>41.625</v>
      </c>
      <c r="O1242">
        <v>-2.8125</v>
      </c>
      <c r="P1242">
        <v>-3.5</v>
      </c>
      <c r="Q1242">
        <v>43.5</v>
      </c>
      <c r="R1242">
        <v>5.6</v>
      </c>
      <c r="S1242">
        <v>7.1</v>
      </c>
      <c r="T1242">
        <v>3.9</v>
      </c>
      <c r="U1242">
        <v>2.9</v>
      </c>
      <c r="V1242">
        <v>2.2000000000000002</v>
      </c>
      <c r="W1242">
        <v>0</v>
      </c>
      <c r="X1242">
        <v>10</v>
      </c>
      <c r="Y1242">
        <v>2.2000000000000002</v>
      </c>
      <c r="Z1242">
        <v>15.8</v>
      </c>
      <c r="AA1242">
        <v>27.7</v>
      </c>
      <c r="AB1242">
        <v>67</v>
      </c>
      <c r="AC1242">
        <v>90</v>
      </c>
      <c r="AD1242">
        <v>15.7</v>
      </c>
      <c r="AE1242">
        <v>8.6999999999999993</v>
      </c>
      <c r="AF1242">
        <v>68.588999999999999</v>
      </c>
      <c r="AG1242">
        <v>20.058</v>
      </c>
      <c r="AH1242">
        <v>31.067</v>
      </c>
      <c r="AI1242">
        <v>40.658999999999999</v>
      </c>
      <c r="AJ1242">
        <v>27.366</v>
      </c>
      <c r="AK1242">
        <v>27.683</v>
      </c>
      <c r="AL1242">
        <v>5.5250000000000004</v>
      </c>
      <c r="AM1242">
        <v>31.067</v>
      </c>
      <c r="AN1242">
        <v>20.058</v>
      </c>
      <c r="AO1242">
        <v>68.588999999999999</v>
      </c>
      <c r="AP1242">
        <v>-5.5250000000000004</v>
      </c>
      <c r="AQ1242">
        <v>72.634</v>
      </c>
      <c r="AR1242">
        <v>59.341000000000001</v>
      </c>
      <c r="AS1242">
        <v>72.316999999999993</v>
      </c>
    </row>
    <row r="1243" spans="1:45" x14ac:dyDescent="0.25">
      <c r="A1243">
        <v>33</v>
      </c>
      <c r="B1243">
        <v>1</v>
      </c>
      <c r="C1243">
        <v>1</v>
      </c>
      <c r="D1243">
        <v>2022</v>
      </c>
      <c r="E1243">
        <v>14</v>
      </c>
      <c r="F1243" t="str">
        <f>IFERROR(VLOOKUP(G1243, Map!$A$1:$B$33, 2, FALSE),"WAS")</f>
        <v>LA</v>
      </c>
      <c r="G1243" t="s">
        <v>155</v>
      </c>
      <c r="H1243" t="str">
        <f>IFERROR(VLOOKUP(I1243, Map!$A$1:$B$33, 2, FALSE),"WAS")</f>
        <v>LV</v>
      </c>
      <c r="I1243" t="s">
        <v>157</v>
      </c>
      <c r="J1243" t="s">
        <v>178</v>
      </c>
      <c r="K1243" t="s">
        <v>179</v>
      </c>
      <c r="L1243">
        <v>1</v>
      </c>
      <c r="M1243">
        <v>0</v>
      </c>
      <c r="N1243">
        <v>41.1666666666667</v>
      </c>
      <c r="O1243">
        <v>6.1</v>
      </c>
      <c r="P1243">
        <v>5.5</v>
      </c>
      <c r="Q1243">
        <v>27.5</v>
      </c>
      <c r="R1243">
        <v>9.4</v>
      </c>
      <c r="S1243">
        <v>16.5</v>
      </c>
      <c r="T1243">
        <v>4</v>
      </c>
      <c r="U1243">
        <v>6.9</v>
      </c>
      <c r="V1243">
        <v>0</v>
      </c>
      <c r="W1243">
        <v>0</v>
      </c>
      <c r="X1243">
        <v>0</v>
      </c>
      <c r="Y1243">
        <v>0</v>
      </c>
      <c r="Z1243">
        <v>17.8</v>
      </c>
      <c r="AA1243">
        <v>32.799999999999997</v>
      </c>
      <c r="AB1243">
        <v>329</v>
      </c>
      <c r="AC1243">
        <v>76</v>
      </c>
      <c r="AD1243">
        <v>15.4</v>
      </c>
      <c r="AE1243">
        <v>9.3000000000000007</v>
      </c>
      <c r="AF1243">
        <v>21.748000000000001</v>
      </c>
      <c r="AG1243">
        <v>30.512</v>
      </c>
      <c r="AH1243">
        <v>78.040000000000006</v>
      </c>
      <c r="AI1243">
        <v>43.539000000000001</v>
      </c>
      <c r="AJ1243">
        <v>46.661999999999999</v>
      </c>
      <c r="AK1243">
        <v>40.470999999999997</v>
      </c>
      <c r="AL1243">
        <v>-9.08</v>
      </c>
      <c r="AM1243">
        <v>78.040000000000006</v>
      </c>
      <c r="AN1243">
        <v>30.512</v>
      </c>
      <c r="AO1243">
        <v>21.748000000000001</v>
      </c>
      <c r="AP1243">
        <v>9.08</v>
      </c>
      <c r="AQ1243">
        <v>53.338000000000001</v>
      </c>
      <c r="AR1243">
        <v>56.460999999999999</v>
      </c>
      <c r="AS1243">
        <v>59.529000000000003</v>
      </c>
    </row>
    <row r="1244" spans="1:45" x14ac:dyDescent="0.25">
      <c r="A1244">
        <v>42</v>
      </c>
      <c r="B1244">
        <v>28</v>
      </c>
      <c r="C1244">
        <v>1</v>
      </c>
      <c r="D1244">
        <v>2022</v>
      </c>
      <c r="E1244">
        <v>14</v>
      </c>
      <c r="F1244" t="str">
        <f>IFERROR(VLOOKUP(G1244, Map!$A$1:$B$33, 2, FALSE),"WAS")</f>
        <v>SF</v>
      </c>
      <c r="G1244" t="s">
        <v>143</v>
      </c>
      <c r="H1244" t="str">
        <f>IFERROR(VLOOKUP(I1244, Map!$A$1:$B$33, 2, FALSE),"WAS")</f>
        <v>TB</v>
      </c>
      <c r="I1244" t="s">
        <v>141</v>
      </c>
      <c r="J1244" t="s">
        <v>197</v>
      </c>
      <c r="K1244" t="s">
        <v>186</v>
      </c>
      <c r="L1244">
        <v>1</v>
      </c>
      <c r="M1244">
        <v>0</v>
      </c>
      <c r="N1244">
        <v>36.78125</v>
      </c>
      <c r="O1244">
        <v>-4.75</v>
      </c>
      <c r="P1244">
        <v>-3</v>
      </c>
      <c r="Q1244">
        <v>37.5</v>
      </c>
      <c r="R1244">
        <v>10</v>
      </c>
      <c r="S1244">
        <v>13.7</v>
      </c>
      <c r="T1244">
        <v>6.4</v>
      </c>
      <c r="U1244">
        <v>7.9</v>
      </c>
      <c r="V1244">
        <v>15.4</v>
      </c>
      <c r="W1244">
        <v>0</v>
      </c>
      <c r="X1244">
        <v>19</v>
      </c>
      <c r="Y1244">
        <v>15.4</v>
      </c>
      <c r="Z1244">
        <v>13.4</v>
      </c>
      <c r="AA1244">
        <v>25.2</v>
      </c>
      <c r="AB1244">
        <v>191</v>
      </c>
      <c r="AC1244">
        <v>79</v>
      </c>
      <c r="AD1244">
        <v>18.2</v>
      </c>
      <c r="AE1244">
        <v>8.3000000000000007</v>
      </c>
      <c r="AF1244">
        <v>49.41</v>
      </c>
      <c r="AG1244">
        <v>86.893000000000001</v>
      </c>
      <c r="AH1244">
        <v>49.947000000000003</v>
      </c>
      <c r="AI1244">
        <v>90.932000000000002</v>
      </c>
      <c r="AJ1244">
        <v>88.697999999999993</v>
      </c>
      <c r="AK1244">
        <v>98.094999999999999</v>
      </c>
      <c r="AL1244">
        <v>-0.153</v>
      </c>
      <c r="AM1244">
        <v>49.947000000000003</v>
      </c>
      <c r="AN1244">
        <v>86.893000000000001</v>
      </c>
      <c r="AO1244">
        <v>49.41</v>
      </c>
      <c r="AP1244">
        <v>0.153</v>
      </c>
      <c r="AQ1244">
        <v>11.302</v>
      </c>
      <c r="AR1244">
        <v>9.0679999999999996</v>
      </c>
      <c r="AS1244">
        <v>1.905</v>
      </c>
    </row>
    <row r="1245" spans="1:45" x14ac:dyDescent="0.25">
      <c r="A1245">
        <v>57</v>
      </c>
      <c r="B1245">
        <v>11</v>
      </c>
      <c r="C1245">
        <v>1</v>
      </c>
      <c r="D1245">
        <v>2022</v>
      </c>
      <c r="E1245">
        <v>14</v>
      </c>
      <c r="F1245" t="str">
        <f>IFERROR(VLOOKUP(G1245, Map!$A$1:$B$33, 2, FALSE),"WAS")</f>
        <v>DET</v>
      </c>
      <c r="G1245" t="s">
        <v>164</v>
      </c>
      <c r="H1245" t="str">
        <f>IFERROR(VLOOKUP(I1245, Map!$A$1:$B$33, 2, FALSE),"WAS")</f>
        <v>MIN</v>
      </c>
      <c r="I1245" t="s">
        <v>153</v>
      </c>
      <c r="J1245" t="s">
        <v>173</v>
      </c>
      <c r="K1245" t="s">
        <v>214</v>
      </c>
      <c r="L1245">
        <v>1</v>
      </c>
      <c r="M1245">
        <v>0</v>
      </c>
      <c r="N1245">
        <v>48.5625</v>
      </c>
      <c r="O1245">
        <v>-2.15625</v>
      </c>
      <c r="P1245">
        <v>-1.5</v>
      </c>
      <c r="Q1245">
        <v>51</v>
      </c>
      <c r="R1245">
        <v>2.7</v>
      </c>
      <c r="S1245">
        <v>5.8</v>
      </c>
      <c r="T1245">
        <v>-0.3</v>
      </c>
      <c r="U1245">
        <v>-1.1000000000000001</v>
      </c>
      <c r="V1245">
        <v>0.3</v>
      </c>
      <c r="W1245">
        <v>0.14000000000000001</v>
      </c>
      <c r="X1245">
        <v>3</v>
      </c>
      <c r="Y1245">
        <v>0.1</v>
      </c>
      <c r="Z1245">
        <v>17.8</v>
      </c>
      <c r="AA1245">
        <v>31.7</v>
      </c>
      <c r="AB1245">
        <v>306</v>
      </c>
      <c r="AC1245">
        <v>82</v>
      </c>
      <c r="AD1245">
        <v>18.600000000000001</v>
      </c>
      <c r="AE1245">
        <v>10.9</v>
      </c>
      <c r="AF1245">
        <v>39.177999999999997</v>
      </c>
      <c r="AG1245">
        <v>36.893000000000001</v>
      </c>
      <c r="AH1245">
        <v>60.343000000000004</v>
      </c>
      <c r="AI1245">
        <v>56.091999999999999</v>
      </c>
      <c r="AJ1245">
        <v>80.947000000000003</v>
      </c>
      <c r="AK1245">
        <v>82.302000000000007</v>
      </c>
      <c r="AL1245">
        <v>-3.1269999999999998</v>
      </c>
      <c r="AM1245">
        <v>60.343000000000004</v>
      </c>
      <c r="AN1245">
        <v>36.893000000000001</v>
      </c>
      <c r="AO1245">
        <v>39.177999999999997</v>
      </c>
      <c r="AP1245">
        <v>3.1269999999999998</v>
      </c>
      <c r="AQ1245">
        <v>19.053000000000001</v>
      </c>
      <c r="AR1245">
        <v>43.908000000000001</v>
      </c>
      <c r="AS1245">
        <v>17.698</v>
      </c>
    </row>
    <row r="1246" spans="1:45" x14ac:dyDescent="0.25">
      <c r="A1246">
        <v>32</v>
      </c>
      <c r="B1246">
        <v>8</v>
      </c>
      <c r="C1246">
        <v>1</v>
      </c>
      <c r="D1246">
        <v>2022</v>
      </c>
      <c r="E1246">
        <v>14</v>
      </c>
      <c r="F1246" t="str">
        <f>IFERROR(VLOOKUP(G1246, Map!$A$1:$B$33, 2, FALSE),"WAS")</f>
        <v>BUF</v>
      </c>
      <c r="G1246" t="s">
        <v>165</v>
      </c>
      <c r="H1246" t="str">
        <f>IFERROR(VLOOKUP(I1246, Map!$A$1:$B$33, 2, FALSE),"WAS")</f>
        <v>NYJ</v>
      </c>
      <c r="I1246" t="s">
        <v>166</v>
      </c>
      <c r="J1246" t="s">
        <v>180</v>
      </c>
      <c r="K1246" t="s">
        <v>172</v>
      </c>
      <c r="L1246">
        <v>1</v>
      </c>
      <c r="M1246">
        <v>0</v>
      </c>
      <c r="N1246">
        <v>40.09375</v>
      </c>
      <c r="O1246">
        <v>-9.1875</v>
      </c>
      <c r="P1246">
        <v>-8.5</v>
      </c>
      <c r="Q1246">
        <v>31.5</v>
      </c>
      <c r="R1246">
        <v>8.5</v>
      </c>
      <c r="S1246">
        <v>11.1</v>
      </c>
      <c r="T1246">
        <v>6.1</v>
      </c>
      <c r="U1246">
        <v>6.5</v>
      </c>
      <c r="V1246">
        <v>0</v>
      </c>
      <c r="W1246">
        <v>0</v>
      </c>
      <c r="X1246">
        <v>0</v>
      </c>
      <c r="Y1246">
        <v>0</v>
      </c>
      <c r="Z1246">
        <v>6.5</v>
      </c>
      <c r="AA1246">
        <v>12.2</v>
      </c>
      <c r="AB1246">
        <v>102</v>
      </c>
      <c r="AC1246">
        <v>74</v>
      </c>
      <c r="AD1246">
        <v>9</v>
      </c>
      <c r="AE1246">
        <v>4.2</v>
      </c>
      <c r="AF1246">
        <v>82.5</v>
      </c>
      <c r="AG1246">
        <v>35.938000000000002</v>
      </c>
      <c r="AH1246">
        <v>17.337</v>
      </c>
      <c r="AI1246">
        <v>83.935000000000002</v>
      </c>
      <c r="AJ1246">
        <v>45.212000000000003</v>
      </c>
      <c r="AK1246">
        <v>75.936999999999998</v>
      </c>
      <c r="AL1246">
        <v>11.002000000000001</v>
      </c>
      <c r="AM1246">
        <v>17.337</v>
      </c>
      <c r="AN1246">
        <v>35.938000000000002</v>
      </c>
      <c r="AO1246">
        <v>82.5</v>
      </c>
      <c r="AP1246">
        <v>-11.002000000000001</v>
      </c>
      <c r="AQ1246">
        <v>54.787999999999997</v>
      </c>
      <c r="AR1246">
        <v>16.065000000000001</v>
      </c>
      <c r="AS1246">
        <v>24.062999999999999</v>
      </c>
    </row>
    <row r="1247" spans="1:45" x14ac:dyDescent="0.25">
      <c r="A1247">
        <v>33</v>
      </c>
      <c r="B1247">
        <v>13</v>
      </c>
      <c r="C1247">
        <v>1</v>
      </c>
      <c r="D1247">
        <v>2022</v>
      </c>
      <c r="E1247">
        <v>14</v>
      </c>
      <c r="F1247" t="str">
        <f>IFERROR(VLOOKUP(G1247, Map!$A$1:$B$33, 2, FALSE),"WAS")</f>
        <v>CIN</v>
      </c>
      <c r="G1247" t="s">
        <v>161</v>
      </c>
      <c r="H1247" t="str">
        <f>IFERROR(VLOOKUP(I1247, Map!$A$1:$B$33, 2, FALSE),"WAS")</f>
        <v>CLE</v>
      </c>
      <c r="I1247" t="s">
        <v>162</v>
      </c>
      <c r="J1247" t="s">
        <v>176</v>
      </c>
      <c r="K1247" t="s">
        <v>171</v>
      </c>
      <c r="L1247">
        <v>1</v>
      </c>
      <c r="M1247">
        <v>0</v>
      </c>
      <c r="N1247">
        <v>43.59375</v>
      </c>
      <c r="O1247">
        <v>-4.4375</v>
      </c>
      <c r="P1247">
        <v>-4</v>
      </c>
      <c r="Q1247">
        <v>38.5</v>
      </c>
      <c r="R1247">
        <v>6.9</v>
      </c>
      <c r="S1247">
        <v>8.4</v>
      </c>
      <c r="T1247">
        <v>4.9000000000000004</v>
      </c>
      <c r="U1247">
        <v>4.3</v>
      </c>
      <c r="V1247">
        <v>0</v>
      </c>
      <c r="W1247">
        <v>0</v>
      </c>
      <c r="X1247">
        <v>0</v>
      </c>
      <c r="Y1247">
        <v>0</v>
      </c>
      <c r="Z1247">
        <v>12.4</v>
      </c>
      <c r="AA1247">
        <v>25.6</v>
      </c>
      <c r="AB1247">
        <v>300</v>
      </c>
      <c r="AC1247">
        <v>83</v>
      </c>
      <c r="AD1247">
        <v>18.2</v>
      </c>
      <c r="AE1247">
        <v>8.5</v>
      </c>
      <c r="AF1247">
        <v>70.662000000000006</v>
      </c>
      <c r="AG1247">
        <v>89.44</v>
      </c>
      <c r="AH1247">
        <v>29.033000000000001</v>
      </c>
      <c r="AI1247">
        <v>85.71</v>
      </c>
      <c r="AJ1247">
        <v>72.239000000000004</v>
      </c>
      <c r="AK1247">
        <v>84.019000000000005</v>
      </c>
      <c r="AL1247">
        <v>6.2389999999999999</v>
      </c>
      <c r="AM1247">
        <v>29.033000000000001</v>
      </c>
      <c r="AN1247">
        <v>89.44</v>
      </c>
      <c r="AO1247">
        <v>70.662000000000006</v>
      </c>
      <c r="AP1247">
        <v>-6.2389999999999999</v>
      </c>
      <c r="AQ1247">
        <v>27.760999999999999</v>
      </c>
      <c r="AR1247">
        <v>14.29</v>
      </c>
      <c r="AS1247">
        <v>15.981</v>
      </c>
    </row>
    <row r="1248" spans="1:45" x14ac:dyDescent="0.25">
      <c r="A1248">
        <v>70</v>
      </c>
      <c r="B1248">
        <v>-26</v>
      </c>
      <c r="C1248">
        <v>0</v>
      </c>
      <c r="D1248">
        <v>2022</v>
      </c>
      <c r="E1248">
        <v>14</v>
      </c>
      <c r="F1248" t="str">
        <f>IFERROR(VLOOKUP(G1248, Map!$A$1:$B$33, 2, FALSE),"WAS")</f>
        <v>NYG</v>
      </c>
      <c r="G1248" t="s">
        <v>149</v>
      </c>
      <c r="H1248" t="str">
        <f>IFERROR(VLOOKUP(I1248, Map!$A$1:$B$33, 2, FALSE),"WAS")</f>
        <v>PHI</v>
      </c>
      <c r="I1248" t="s">
        <v>147</v>
      </c>
      <c r="J1248" t="s">
        <v>219</v>
      </c>
      <c r="K1248" t="s">
        <v>206</v>
      </c>
      <c r="L1248">
        <v>0</v>
      </c>
      <c r="M1248">
        <v>0</v>
      </c>
      <c r="N1248">
        <v>42.84375</v>
      </c>
      <c r="O1248">
        <v>8.25</v>
      </c>
      <c r="P1248">
        <v>6.5</v>
      </c>
      <c r="Q1248">
        <v>44</v>
      </c>
      <c r="R1248">
        <v>2.7</v>
      </c>
      <c r="S1248">
        <v>3.9</v>
      </c>
      <c r="T1248">
        <v>1.5</v>
      </c>
      <c r="U1248">
        <v>-1.1000000000000001</v>
      </c>
      <c r="V1248">
        <v>4.4000000000000004</v>
      </c>
      <c r="W1248">
        <v>7.0000000000000007E-2</v>
      </c>
      <c r="X1248">
        <v>8</v>
      </c>
      <c r="Y1248">
        <v>4.3</v>
      </c>
      <c r="Z1248">
        <v>17</v>
      </c>
      <c r="AA1248">
        <v>32.799999999999997</v>
      </c>
      <c r="AB1248">
        <v>65</v>
      </c>
      <c r="AC1248">
        <v>78</v>
      </c>
      <c r="AD1248">
        <v>21.7</v>
      </c>
      <c r="AE1248">
        <v>10.6</v>
      </c>
      <c r="AF1248">
        <v>25.219000000000001</v>
      </c>
      <c r="AG1248">
        <v>47.838000000000001</v>
      </c>
      <c r="AH1248">
        <v>74.525000000000006</v>
      </c>
      <c r="AI1248">
        <v>4.9059999999999997</v>
      </c>
      <c r="AJ1248">
        <v>25.498999999999999</v>
      </c>
      <c r="AK1248">
        <v>4.68</v>
      </c>
      <c r="AL1248">
        <v>-7.6970000000000001</v>
      </c>
      <c r="AM1248">
        <v>74.525000000000006</v>
      </c>
      <c r="AN1248">
        <v>47.838000000000001</v>
      </c>
      <c r="AO1248">
        <v>25.219000000000001</v>
      </c>
      <c r="AP1248">
        <v>7.6970000000000001</v>
      </c>
      <c r="AQ1248">
        <v>74.501000000000005</v>
      </c>
      <c r="AR1248">
        <v>95.093999999999994</v>
      </c>
      <c r="AS1248">
        <v>95.32</v>
      </c>
    </row>
    <row r="1249" spans="1:45" x14ac:dyDescent="0.25">
      <c r="A1249">
        <v>30</v>
      </c>
      <c r="B1249">
        <v>-2</v>
      </c>
      <c r="C1249">
        <v>0</v>
      </c>
      <c r="D1249">
        <v>2022</v>
      </c>
      <c r="E1249">
        <v>14</v>
      </c>
      <c r="F1249" t="str">
        <f>IFERROR(VLOOKUP(G1249, Map!$A$1:$B$33, 2, FALSE),"WAS")</f>
        <v>PIT</v>
      </c>
      <c r="G1249" t="s">
        <v>145</v>
      </c>
      <c r="H1249" t="str">
        <f>IFERROR(VLOOKUP(I1249, Map!$A$1:$B$33, 2, FALSE),"WAS")</f>
        <v>BAL</v>
      </c>
      <c r="I1249" t="s">
        <v>146</v>
      </c>
      <c r="J1249" t="s">
        <v>170</v>
      </c>
      <c r="K1249" t="s">
        <v>181</v>
      </c>
      <c r="L1249">
        <v>0</v>
      </c>
      <c r="M1249">
        <v>0</v>
      </c>
      <c r="N1249">
        <v>34</v>
      </c>
      <c r="O1249">
        <v>-1.59375</v>
      </c>
      <c r="P1249">
        <v>-1.5</v>
      </c>
      <c r="Q1249">
        <v>31.5</v>
      </c>
      <c r="R1249">
        <v>5.3</v>
      </c>
      <c r="S1249">
        <v>7.8</v>
      </c>
      <c r="T1249">
        <v>2.8</v>
      </c>
      <c r="U1249">
        <v>2.2999999999999998</v>
      </c>
      <c r="V1249">
        <v>0.9</v>
      </c>
      <c r="W1249">
        <v>0</v>
      </c>
      <c r="X1249">
        <v>7</v>
      </c>
      <c r="Y1249">
        <v>0.9</v>
      </c>
      <c r="Z1249">
        <v>15.2</v>
      </c>
      <c r="AA1249">
        <v>32</v>
      </c>
      <c r="AB1249">
        <v>261</v>
      </c>
      <c r="AC1249">
        <v>82</v>
      </c>
      <c r="AD1249">
        <v>18.399999999999999</v>
      </c>
      <c r="AE1249">
        <v>8.8000000000000007</v>
      </c>
      <c r="AF1249">
        <v>48.517000000000003</v>
      </c>
      <c r="AG1249">
        <v>28.681000000000001</v>
      </c>
      <c r="AH1249">
        <v>50.84</v>
      </c>
      <c r="AI1249">
        <v>50.197000000000003</v>
      </c>
      <c r="AJ1249">
        <v>48.311999999999998</v>
      </c>
      <c r="AK1249">
        <v>36.475999999999999</v>
      </c>
      <c r="AL1249">
        <v>-0.41899999999999998</v>
      </c>
      <c r="AM1249">
        <v>50.84</v>
      </c>
      <c r="AN1249">
        <v>28.681000000000001</v>
      </c>
      <c r="AO1249">
        <v>48.517000000000003</v>
      </c>
      <c r="AP1249">
        <v>0.41899999999999998</v>
      </c>
      <c r="AQ1249">
        <v>51.688000000000002</v>
      </c>
      <c r="AR1249">
        <v>49.802999999999997</v>
      </c>
      <c r="AS1249">
        <v>63.524000000000001</v>
      </c>
    </row>
    <row r="1250" spans="1:45" x14ac:dyDescent="0.25">
      <c r="A1250">
        <v>39</v>
      </c>
      <c r="B1250">
        <v>9</v>
      </c>
      <c r="C1250">
        <v>1</v>
      </c>
      <c r="D1250">
        <v>2022</v>
      </c>
      <c r="E1250">
        <v>15</v>
      </c>
      <c r="F1250" t="str">
        <f>IFERROR(VLOOKUP(G1250, Map!$A$1:$B$33, 2, FALSE),"WAS")</f>
        <v>DEN</v>
      </c>
      <c r="G1250" t="s">
        <v>159</v>
      </c>
      <c r="H1250" t="str">
        <f>IFERROR(VLOOKUP(I1250, Map!$A$1:$B$33, 2, FALSE),"WAS")</f>
        <v>ARI</v>
      </c>
      <c r="I1250" t="s">
        <v>156</v>
      </c>
      <c r="J1250" t="s">
        <v>183</v>
      </c>
      <c r="K1250" t="s">
        <v>190</v>
      </c>
      <c r="L1250">
        <v>1</v>
      </c>
      <c r="M1250">
        <v>0</v>
      </c>
      <c r="N1250">
        <v>34.25</v>
      </c>
      <c r="O1250">
        <v>-1.71875</v>
      </c>
      <c r="P1250">
        <v>-1.5</v>
      </c>
      <c r="Q1250">
        <v>27.5</v>
      </c>
      <c r="R1250">
        <v>-3.8</v>
      </c>
      <c r="S1250">
        <v>4.0999999999999996</v>
      </c>
      <c r="T1250">
        <v>-8.3000000000000007</v>
      </c>
      <c r="U1250">
        <v>-8.6</v>
      </c>
      <c r="V1250">
        <v>0</v>
      </c>
      <c r="W1250">
        <v>0</v>
      </c>
      <c r="X1250">
        <v>0</v>
      </c>
      <c r="Y1250">
        <v>0</v>
      </c>
      <c r="Z1250">
        <v>13.3</v>
      </c>
      <c r="AA1250">
        <v>17.3</v>
      </c>
      <c r="AB1250">
        <v>181</v>
      </c>
      <c r="AC1250">
        <v>32</v>
      </c>
      <c r="AD1250">
        <v>12.1</v>
      </c>
      <c r="AE1250">
        <v>6.9</v>
      </c>
      <c r="AF1250">
        <v>44.125</v>
      </c>
      <c r="AG1250">
        <v>1.831</v>
      </c>
      <c r="AH1250">
        <v>55.295000000000002</v>
      </c>
      <c r="AI1250">
        <v>95</v>
      </c>
      <c r="AJ1250">
        <v>44.39</v>
      </c>
      <c r="AK1250">
        <v>74.373000000000005</v>
      </c>
      <c r="AL1250">
        <v>-1.67</v>
      </c>
      <c r="AM1250">
        <v>55.295000000000002</v>
      </c>
      <c r="AN1250">
        <v>1.831</v>
      </c>
      <c r="AO1250">
        <v>44.125</v>
      </c>
      <c r="AP1250">
        <v>1.67</v>
      </c>
      <c r="AQ1250">
        <v>55.61</v>
      </c>
      <c r="AR1250">
        <v>5</v>
      </c>
      <c r="AS1250">
        <v>25.626999999999999</v>
      </c>
    </row>
    <row r="1251" spans="1:45" x14ac:dyDescent="0.25">
      <c r="A1251">
        <v>37</v>
      </c>
      <c r="B1251">
        <v>-3</v>
      </c>
      <c r="C1251">
        <v>0</v>
      </c>
      <c r="D1251">
        <v>2022</v>
      </c>
      <c r="E1251">
        <v>15</v>
      </c>
      <c r="F1251" t="str">
        <f>IFERROR(VLOOKUP(G1251, Map!$A$1:$B$33, 2, FALSE),"WAS")</f>
        <v>NYJ</v>
      </c>
      <c r="G1251" t="s">
        <v>166</v>
      </c>
      <c r="H1251" t="str">
        <f>IFERROR(VLOOKUP(I1251, Map!$A$1:$B$33, 2, FALSE),"WAS")</f>
        <v>DET</v>
      </c>
      <c r="I1251" t="s">
        <v>164</v>
      </c>
      <c r="J1251" t="s">
        <v>172</v>
      </c>
      <c r="K1251" t="s">
        <v>173</v>
      </c>
      <c r="L1251">
        <v>0</v>
      </c>
      <c r="M1251">
        <v>0</v>
      </c>
      <c r="N1251">
        <v>40.34375</v>
      </c>
      <c r="O1251">
        <v>-1.75</v>
      </c>
      <c r="P1251">
        <v>0.5</v>
      </c>
      <c r="Q1251">
        <v>31.5</v>
      </c>
      <c r="R1251">
        <v>0.6</v>
      </c>
      <c r="S1251">
        <v>3.9</v>
      </c>
      <c r="T1251">
        <v>-2.9</v>
      </c>
      <c r="U1251">
        <v>-4.2</v>
      </c>
      <c r="V1251">
        <v>0</v>
      </c>
      <c r="W1251">
        <v>0</v>
      </c>
      <c r="X1251">
        <v>0</v>
      </c>
      <c r="Y1251">
        <v>0</v>
      </c>
      <c r="Z1251">
        <v>20.399999999999999</v>
      </c>
      <c r="AA1251">
        <v>40.299999999999997</v>
      </c>
      <c r="AB1251">
        <v>283</v>
      </c>
      <c r="AC1251">
        <v>62</v>
      </c>
      <c r="AD1251">
        <v>26.2</v>
      </c>
      <c r="AE1251">
        <v>13.1</v>
      </c>
      <c r="AF1251">
        <v>65.314999999999998</v>
      </c>
      <c r="AG1251">
        <v>46.75</v>
      </c>
      <c r="AH1251">
        <v>34.286999999999999</v>
      </c>
      <c r="AI1251">
        <v>56.491</v>
      </c>
      <c r="AJ1251">
        <v>36.648000000000003</v>
      </c>
      <c r="AK1251">
        <v>43.253</v>
      </c>
      <c r="AL1251">
        <v>4.4870000000000001</v>
      </c>
      <c r="AM1251">
        <v>34.286999999999999</v>
      </c>
      <c r="AN1251">
        <v>46.75</v>
      </c>
      <c r="AO1251">
        <v>65.314999999999998</v>
      </c>
      <c r="AP1251">
        <v>-4.4870000000000001</v>
      </c>
      <c r="AQ1251">
        <v>63.351999999999997</v>
      </c>
      <c r="AR1251">
        <v>43.509</v>
      </c>
      <c r="AS1251">
        <v>56.747</v>
      </c>
    </row>
    <row r="1252" spans="1:45" x14ac:dyDescent="0.25">
      <c r="A1252">
        <v>54</v>
      </c>
      <c r="B1252">
        <v>-6</v>
      </c>
      <c r="C1252">
        <v>0</v>
      </c>
      <c r="D1252">
        <v>2022</v>
      </c>
      <c r="E1252">
        <v>15</v>
      </c>
      <c r="F1252" t="str">
        <f>IFERROR(VLOOKUP(G1252, Map!$A$1:$B$33, 2, FALSE),"WAS")</f>
        <v>HOU</v>
      </c>
      <c r="G1252" t="s">
        <v>137</v>
      </c>
      <c r="H1252" t="str">
        <f>IFERROR(VLOOKUP(I1252, Map!$A$1:$B$33, 2, FALSE),"WAS")</f>
        <v>KC</v>
      </c>
      <c r="I1252" t="s">
        <v>158</v>
      </c>
      <c r="J1252" t="s">
        <v>209</v>
      </c>
      <c r="K1252" t="s">
        <v>202</v>
      </c>
      <c r="L1252">
        <v>0</v>
      </c>
      <c r="M1252">
        <v>0</v>
      </c>
      <c r="N1252">
        <v>45.8125</v>
      </c>
      <c r="O1252">
        <v>12.5</v>
      </c>
      <c r="P1252">
        <v>2.5</v>
      </c>
      <c r="Q1252">
        <v>48</v>
      </c>
      <c r="R1252">
        <v>7.1</v>
      </c>
      <c r="S1252">
        <v>12.2</v>
      </c>
      <c r="T1252">
        <v>2.2999999999999998</v>
      </c>
      <c r="U1252">
        <v>3.1</v>
      </c>
      <c r="V1252">
        <v>0</v>
      </c>
      <c r="W1252">
        <v>0</v>
      </c>
      <c r="X1252">
        <v>0</v>
      </c>
      <c r="Y1252">
        <v>0</v>
      </c>
      <c r="Z1252">
        <v>20.3</v>
      </c>
      <c r="AA1252">
        <v>36</v>
      </c>
      <c r="AB1252">
        <v>52</v>
      </c>
      <c r="AC1252">
        <v>57</v>
      </c>
      <c r="AD1252">
        <v>20.399999999999999</v>
      </c>
      <c r="AE1252">
        <v>12.1</v>
      </c>
      <c r="AF1252">
        <v>15.13</v>
      </c>
      <c r="AG1252">
        <v>67.391999999999996</v>
      </c>
      <c r="AH1252">
        <v>84.733999999999995</v>
      </c>
      <c r="AI1252">
        <v>28.087</v>
      </c>
      <c r="AJ1252">
        <v>48.658000000000001</v>
      </c>
      <c r="AK1252">
        <v>39.290999999999997</v>
      </c>
      <c r="AL1252">
        <v>-12.273999999999999</v>
      </c>
      <c r="AM1252">
        <v>84.733999999999995</v>
      </c>
      <c r="AN1252">
        <v>67.391999999999996</v>
      </c>
      <c r="AO1252">
        <v>15.13</v>
      </c>
      <c r="AP1252">
        <v>12.273999999999999</v>
      </c>
      <c r="AQ1252">
        <v>51.341999999999999</v>
      </c>
      <c r="AR1252">
        <v>71.912999999999997</v>
      </c>
      <c r="AS1252">
        <v>60.709000000000003</v>
      </c>
    </row>
    <row r="1253" spans="1:45" x14ac:dyDescent="0.25">
      <c r="A1253">
        <v>31</v>
      </c>
      <c r="B1253">
        <v>3</v>
      </c>
      <c r="C1253">
        <v>1</v>
      </c>
      <c r="D1253">
        <v>2022</v>
      </c>
      <c r="E1253">
        <v>15</v>
      </c>
      <c r="F1253" t="str">
        <f>IFERROR(VLOOKUP(G1253, Map!$A$1:$B$33, 2, FALSE),"WAS")</f>
        <v>LAC</v>
      </c>
      <c r="G1253" t="s">
        <v>160</v>
      </c>
      <c r="H1253" t="str">
        <f>IFERROR(VLOOKUP(I1253, Map!$A$1:$B$33, 2, FALSE),"WAS")</f>
        <v>TEN</v>
      </c>
      <c r="I1253" t="s">
        <v>140</v>
      </c>
      <c r="J1253" t="s">
        <v>210</v>
      </c>
      <c r="K1253" t="s">
        <v>174</v>
      </c>
      <c r="L1253">
        <v>1</v>
      </c>
      <c r="M1253">
        <v>0</v>
      </c>
      <c r="N1253">
        <v>42.3125</v>
      </c>
      <c r="O1253">
        <v>-3</v>
      </c>
      <c r="P1253">
        <v>-2.5</v>
      </c>
      <c r="Q1253">
        <v>27.5</v>
      </c>
      <c r="R1253">
        <v>9.9</v>
      </c>
      <c r="S1253">
        <v>17.3</v>
      </c>
      <c r="T1253">
        <v>3.5</v>
      </c>
      <c r="U1253">
        <v>6.9</v>
      </c>
      <c r="V1253">
        <v>0</v>
      </c>
      <c r="W1253">
        <v>0</v>
      </c>
      <c r="X1253">
        <v>0</v>
      </c>
      <c r="Y1253">
        <v>0</v>
      </c>
      <c r="Z1253">
        <v>13.4</v>
      </c>
      <c r="AA1253">
        <v>21.6</v>
      </c>
      <c r="AB1253">
        <v>341</v>
      </c>
      <c r="AC1253">
        <v>59</v>
      </c>
      <c r="AD1253">
        <v>11.8</v>
      </c>
      <c r="AE1253">
        <v>7.5</v>
      </c>
      <c r="AF1253">
        <v>60</v>
      </c>
      <c r="AG1253">
        <v>45.33</v>
      </c>
      <c r="AH1253">
        <v>39.51</v>
      </c>
      <c r="AI1253">
        <v>65.334000000000003</v>
      </c>
      <c r="AJ1253">
        <v>41.215000000000003</v>
      </c>
      <c r="AK1253">
        <v>55.898000000000003</v>
      </c>
      <c r="AL1253">
        <v>2.8719999999999999</v>
      </c>
      <c r="AM1253">
        <v>39.51</v>
      </c>
      <c r="AN1253">
        <v>45.33</v>
      </c>
      <c r="AO1253">
        <v>60</v>
      </c>
      <c r="AP1253">
        <v>-2.8719999999999999</v>
      </c>
      <c r="AQ1253">
        <v>58.784999999999997</v>
      </c>
      <c r="AR1253">
        <v>34.665999999999997</v>
      </c>
      <c r="AS1253">
        <v>44.101999999999997</v>
      </c>
    </row>
    <row r="1254" spans="1:45" x14ac:dyDescent="0.25">
      <c r="A1254">
        <v>57</v>
      </c>
      <c r="B1254">
        <v>-11</v>
      </c>
      <c r="C1254">
        <v>0</v>
      </c>
      <c r="D1254">
        <v>2022</v>
      </c>
      <c r="E1254">
        <v>15</v>
      </c>
      <c r="F1254" t="str">
        <f>IFERROR(VLOOKUP(G1254, Map!$A$1:$B$33, 2, FALSE),"WAS")</f>
        <v>TB</v>
      </c>
      <c r="G1254" t="s">
        <v>141</v>
      </c>
      <c r="H1254" t="str">
        <f>IFERROR(VLOOKUP(I1254, Map!$A$1:$B$33, 2, FALSE),"WAS")</f>
        <v>CIN</v>
      </c>
      <c r="I1254" t="s">
        <v>161</v>
      </c>
      <c r="J1254" t="s">
        <v>186</v>
      </c>
      <c r="K1254" t="s">
        <v>176</v>
      </c>
      <c r="L1254">
        <v>0</v>
      </c>
      <c r="M1254">
        <v>0</v>
      </c>
      <c r="N1254">
        <v>44.25</v>
      </c>
      <c r="O1254">
        <v>3.5</v>
      </c>
      <c r="P1254">
        <v>3</v>
      </c>
      <c r="Q1254">
        <v>43.5</v>
      </c>
      <c r="R1254">
        <v>16</v>
      </c>
      <c r="S1254">
        <v>18.7</v>
      </c>
      <c r="T1254">
        <v>13</v>
      </c>
      <c r="U1254">
        <v>14.3</v>
      </c>
      <c r="V1254">
        <v>2.2999999999999998</v>
      </c>
      <c r="W1254">
        <v>0</v>
      </c>
      <c r="X1254">
        <v>3</v>
      </c>
      <c r="Y1254">
        <v>2.2999999999999998</v>
      </c>
      <c r="Z1254">
        <v>19.7</v>
      </c>
      <c r="AA1254">
        <v>32</v>
      </c>
      <c r="AB1254">
        <v>12</v>
      </c>
      <c r="AC1254">
        <v>71</v>
      </c>
      <c r="AD1254">
        <v>23.2</v>
      </c>
      <c r="AE1254">
        <v>12.5</v>
      </c>
      <c r="AF1254">
        <v>32.649000000000001</v>
      </c>
      <c r="AG1254">
        <v>93.552999999999997</v>
      </c>
      <c r="AH1254">
        <v>66.994</v>
      </c>
      <c r="AI1254">
        <v>53.198</v>
      </c>
      <c r="AJ1254">
        <v>26.472999999999999</v>
      </c>
      <c r="AK1254">
        <v>23.85</v>
      </c>
      <c r="AL1254">
        <v>-5.15</v>
      </c>
      <c r="AM1254">
        <v>66.994</v>
      </c>
      <c r="AN1254">
        <v>93.552999999999997</v>
      </c>
      <c r="AO1254">
        <v>32.649000000000001</v>
      </c>
      <c r="AP1254">
        <v>5.15</v>
      </c>
      <c r="AQ1254">
        <v>73.527000000000001</v>
      </c>
      <c r="AR1254">
        <v>46.802</v>
      </c>
      <c r="AS1254">
        <v>76.150000000000006</v>
      </c>
    </row>
    <row r="1255" spans="1:45" x14ac:dyDescent="0.25">
      <c r="A1255">
        <v>39</v>
      </c>
      <c r="B1255">
        <v>3</v>
      </c>
      <c r="C1255">
        <v>1</v>
      </c>
      <c r="D1255">
        <v>2022</v>
      </c>
      <c r="E1255">
        <v>15</v>
      </c>
      <c r="F1255" t="str">
        <f>IFERROR(VLOOKUP(G1255, Map!$A$1:$B$33, 2, FALSE),"WAS")</f>
        <v>NO</v>
      </c>
      <c r="G1255" t="s">
        <v>168</v>
      </c>
      <c r="H1255" t="str">
        <f>IFERROR(VLOOKUP(I1255, Map!$A$1:$B$33, 2, FALSE),"WAS")</f>
        <v>ATL</v>
      </c>
      <c r="I1255" t="s">
        <v>167</v>
      </c>
      <c r="J1255" t="s">
        <v>192</v>
      </c>
      <c r="K1255" t="s">
        <v>188</v>
      </c>
      <c r="L1255">
        <v>1</v>
      </c>
      <c r="M1255">
        <v>0</v>
      </c>
      <c r="N1255">
        <v>40.375</v>
      </c>
      <c r="O1255">
        <v>-4.53125</v>
      </c>
      <c r="P1255">
        <v>-3</v>
      </c>
      <c r="Q1255">
        <v>40.5</v>
      </c>
      <c r="R1255">
        <v>9.3000000000000007</v>
      </c>
      <c r="S1255">
        <v>11</v>
      </c>
      <c r="T1255">
        <v>6.8</v>
      </c>
      <c r="U1255">
        <v>4.7</v>
      </c>
      <c r="V1255">
        <v>0</v>
      </c>
      <c r="W1255">
        <v>0</v>
      </c>
      <c r="X1255">
        <v>0</v>
      </c>
      <c r="Y1255">
        <v>0</v>
      </c>
      <c r="Z1255">
        <v>21.6</v>
      </c>
      <c r="AA1255">
        <v>39.200000000000003</v>
      </c>
      <c r="AB1255">
        <v>15</v>
      </c>
      <c r="AC1255">
        <v>50</v>
      </c>
      <c r="AD1255">
        <v>31.1</v>
      </c>
      <c r="AE1255">
        <v>16.7</v>
      </c>
      <c r="AF1255">
        <v>66.373000000000005</v>
      </c>
      <c r="AG1255">
        <v>39.44</v>
      </c>
      <c r="AH1255">
        <v>33.247</v>
      </c>
      <c r="AI1255">
        <v>49.259</v>
      </c>
      <c r="AJ1255">
        <v>75.697999999999993</v>
      </c>
      <c r="AK1255">
        <v>63.226999999999997</v>
      </c>
      <c r="AL1255">
        <v>4.8170000000000002</v>
      </c>
      <c r="AM1255">
        <v>33.247</v>
      </c>
      <c r="AN1255">
        <v>39.44</v>
      </c>
      <c r="AO1255">
        <v>66.373000000000005</v>
      </c>
      <c r="AP1255">
        <v>-4.8170000000000002</v>
      </c>
      <c r="AQ1255">
        <v>24.302</v>
      </c>
      <c r="AR1255">
        <v>50.741</v>
      </c>
      <c r="AS1255">
        <v>36.773000000000003</v>
      </c>
    </row>
    <row r="1256" spans="1:45" x14ac:dyDescent="0.25">
      <c r="A1256">
        <v>36</v>
      </c>
      <c r="B1256">
        <v>12</v>
      </c>
      <c r="C1256">
        <v>1</v>
      </c>
      <c r="D1256">
        <v>2022</v>
      </c>
      <c r="E1256">
        <v>15</v>
      </c>
      <c r="F1256" t="str">
        <f>IFERROR(VLOOKUP(G1256, Map!$A$1:$B$33, 2, FALSE),"WAS")</f>
        <v>GB</v>
      </c>
      <c r="G1256" t="s">
        <v>154</v>
      </c>
      <c r="H1256" t="str">
        <f>IFERROR(VLOOKUP(I1256, Map!$A$1:$B$33, 2, FALSE),"WAS")</f>
        <v>LA</v>
      </c>
      <c r="I1256" t="s">
        <v>155</v>
      </c>
      <c r="J1256" t="s">
        <v>200</v>
      </c>
      <c r="K1256" t="s">
        <v>178</v>
      </c>
      <c r="L1256">
        <v>1</v>
      </c>
      <c r="M1256">
        <v>0</v>
      </c>
      <c r="N1256">
        <v>37.21875</v>
      </c>
      <c r="O1256">
        <v>-7.53125</v>
      </c>
      <c r="P1256">
        <v>-7.5</v>
      </c>
      <c r="Q1256">
        <v>39.5</v>
      </c>
      <c r="R1256">
        <v>-8.1</v>
      </c>
      <c r="S1256">
        <v>-3.9</v>
      </c>
      <c r="T1256">
        <v>-12.1</v>
      </c>
      <c r="U1256">
        <v>-13.3</v>
      </c>
      <c r="V1256">
        <v>2.2000000000000002</v>
      </c>
      <c r="W1256">
        <v>1.54</v>
      </c>
      <c r="X1256">
        <v>9</v>
      </c>
      <c r="Y1256">
        <v>0</v>
      </c>
      <c r="Z1256">
        <v>18.600000000000001</v>
      </c>
      <c r="AA1256">
        <v>37.1</v>
      </c>
      <c r="AB1256">
        <v>234</v>
      </c>
      <c r="AC1256">
        <v>79</v>
      </c>
      <c r="AD1256">
        <v>25.4</v>
      </c>
      <c r="AE1256">
        <v>13.3</v>
      </c>
      <c r="AF1256">
        <v>78.048000000000002</v>
      </c>
      <c r="AG1256">
        <v>49.521999999999998</v>
      </c>
      <c r="AH1256">
        <v>21.738</v>
      </c>
      <c r="AI1256">
        <v>75.570999999999998</v>
      </c>
      <c r="AJ1256">
        <v>68.394000000000005</v>
      </c>
      <c r="AK1256">
        <v>83.956999999999994</v>
      </c>
      <c r="AL1256">
        <v>8.9920000000000009</v>
      </c>
      <c r="AM1256">
        <v>21.738</v>
      </c>
      <c r="AN1256">
        <v>49.521999999999998</v>
      </c>
      <c r="AO1256">
        <v>78.048000000000002</v>
      </c>
      <c r="AP1256">
        <v>-8.9920000000000009</v>
      </c>
      <c r="AQ1256">
        <v>31.606000000000002</v>
      </c>
      <c r="AR1256">
        <v>24.428999999999998</v>
      </c>
      <c r="AS1256">
        <v>16.042999999999999</v>
      </c>
    </row>
    <row r="1257" spans="1:45" x14ac:dyDescent="0.25">
      <c r="A1257">
        <v>34</v>
      </c>
      <c r="B1257">
        <v>-8</v>
      </c>
      <c r="C1257">
        <v>0</v>
      </c>
      <c r="D1257">
        <v>2022</v>
      </c>
      <c r="E1257">
        <v>15</v>
      </c>
      <c r="F1257" t="str">
        <f>IFERROR(VLOOKUP(G1257, Map!$A$1:$B$33, 2, FALSE),"WAS")</f>
        <v>SEA</v>
      </c>
      <c r="G1257" t="s">
        <v>144</v>
      </c>
      <c r="H1257" t="str">
        <f>IFERROR(VLOOKUP(I1257, Map!$A$1:$B$33, 2, FALSE),"WAS")</f>
        <v>SF</v>
      </c>
      <c r="I1257" t="s">
        <v>143</v>
      </c>
      <c r="J1257" t="s">
        <v>182</v>
      </c>
      <c r="K1257" t="s">
        <v>197</v>
      </c>
      <c r="L1257">
        <v>0</v>
      </c>
      <c r="M1257">
        <v>0</v>
      </c>
      <c r="N1257">
        <v>39.59375</v>
      </c>
      <c r="O1257">
        <v>3.25</v>
      </c>
      <c r="P1257">
        <v>3</v>
      </c>
      <c r="Q1257">
        <v>35.5</v>
      </c>
      <c r="R1257">
        <v>1.3</v>
      </c>
      <c r="S1257">
        <v>5.6</v>
      </c>
      <c r="T1257">
        <v>-1.9</v>
      </c>
      <c r="U1257">
        <v>-2.2000000000000002</v>
      </c>
      <c r="V1257">
        <v>0</v>
      </c>
      <c r="W1257">
        <v>0</v>
      </c>
      <c r="X1257">
        <v>0</v>
      </c>
      <c r="Y1257">
        <v>0</v>
      </c>
      <c r="Z1257">
        <v>14.4</v>
      </c>
      <c r="AA1257">
        <v>24.5</v>
      </c>
      <c r="AB1257">
        <v>45</v>
      </c>
      <c r="AC1257">
        <v>81</v>
      </c>
      <c r="AD1257">
        <v>15.2</v>
      </c>
      <c r="AE1257">
        <v>7.8</v>
      </c>
      <c r="AF1257">
        <v>46.872</v>
      </c>
      <c r="AG1257">
        <v>15.163</v>
      </c>
      <c r="AH1257">
        <v>52.500999999999998</v>
      </c>
      <c r="AI1257">
        <v>24.832000000000001</v>
      </c>
      <c r="AJ1257">
        <v>11.896000000000001</v>
      </c>
      <c r="AK1257">
        <v>16.946000000000002</v>
      </c>
      <c r="AL1257">
        <v>-0.88600000000000001</v>
      </c>
      <c r="AM1257">
        <v>52.500999999999998</v>
      </c>
      <c r="AN1257">
        <v>15.163</v>
      </c>
      <c r="AO1257">
        <v>46.872</v>
      </c>
      <c r="AP1257">
        <v>0.88600000000000001</v>
      </c>
      <c r="AQ1257">
        <v>88.103999999999999</v>
      </c>
      <c r="AR1257">
        <v>75.168000000000006</v>
      </c>
      <c r="AS1257">
        <v>83.054000000000002</v>
      </c>
    </row>
    <row r="1258" spans="1:45" x14ac:dyDescent="0.25">
      <c r="A1258">
        <v>74</v>
      </c>
      <c r="B1258">
        <v>6</v>
      </c>
      <c r="C1258">
        <v>1</v>
      </c>
      <c r="D1258">
        <v>2022</v>
      </c>
      <c r="E1258">
        <v>15</v>
      </c>
      <c r="F1258" t="str">
        <f>IFERROR(VLOOKUP(G1258, Map!$A$1:$B$33, 2, FALSE),"WAS")</f>
        <v>JAX</v>
      </c>
      <c r="G1258" t="s">
        <v>139</v>
      </c>
      <c r="H1258" t="str">
        <f>IFERROR(VLOOKUP(I1258, Map!$A$1:$B$33, 2, FALSE),"WAS")</f>
        <v>DAL</v>
      </c>
      <c r="I1258" t="s">
        <v>150</v>
      </c>
      <c r="J1258" t="s">
        <v>220</v>
      </c>
      <c r="K1258" t="s">
        <v>184</v>
      </c>
      <c r="L1258">
        <v>1</v>
      </c>
      <c r="M1258">
        <v>0</v>
      </c>
      <c r="N1258">
        <v>46.125</v>
      </c>
      <c r="O1258">
        <v>3.6875</v>
      </c>
      <c r="P1258">
        <v>2.5</v>
      </c>
      <c r="Q1258">
        <v>47.5</v>
      </c>
      <c r="R1258">
        <v>11.1</v>
      </c>
      <c r="S1258">
        <v>14.8</v>
      </c>
      <c r="T1258">
        <v>7.5</v>
      </c>
      <c r="U1258">
        <v>8.1</v>
      </c>
      <c r="V1258">
        <v>0</v>
      </c>
      <c r="W1258">
        <v>0</v>
      </c>
      <c r="X1258">
        <v>0</v>
      </c>
      <c r="Y1258">
        <v>0</v>
      </c>
      <c r="Z1258">
        <v>18</v>
      </c>
      <c r="AA1258">
        <v>28.4</v>
      </c>
      <c r="AB1258">
        <v>318</v>
      </c>
      <c r="AC1258">
        <v>63</v>
      </c>
      <c r="AD1258">
        <v>20.8</v>
      </c>
      <c r="AE1258">
        <v>11.3</v>
      </c>
      <c r="AF1258">
        <v>22.364000000000001</v>
      </c>
      <c r="AG1258">
        <v>78.070999999999998</v>
      </c>
      <c r="AH1258">
        <v>77.418000000000006</v>
      </c>
      <c r="AI1258">
        <v>44.692</v>
      </c>
      <c r="AJ1258">
        <v>63.277000000000001</v>
      </c>
      <c r="AK1258">
        <v>57.997999999999998</v>
      </c>
      <c r="AL1258">
        <v>-8.8439999999999994</v>
      </c>
      <c r="AM1258">
        <v>77.418000000000006</v>
      </c>
      <c r="AN1258">
        <v>78.070999999999998</v>
      </c>
      <c r="AO1258">
        <v>22.364000000000001</v>
      </c>
      <c r="AP1258">
        <v>8.8439999999999994</v>
      </c>
      <c r="AQ1258">
        <v>36.722999999999999</v>
      </c>
      <c r="AR1258">
        <v>55.308</v>
      </c>
      <c r="AS1258">
        <v>42.002000000000002</v>
      </c>
    </row>
    <row r="1259" spans="1:45" x14ac:dyDescent="0.25">
      <c r="A1259">
        <v>32</v>
      </c>
      <c r="B1259">
        <v>-8</v>
      </c>
      <c r="C1259">
        <v>0</v>
      </c>
      <c r="D1259">
        <v>2022</v>
      </c>
      <c r="E1259">
        <v>15</v>
      </c>
      <c r="F1259" t="str">
        <f>IFERROR(VLOOKUP(G1259, Map!$A$1:$B$33, 2, FALSE),"WAS")</f>
        <v>WAS</v>
      </c>
      <c r="G1259" t="s">
        <v>148</v>
      </c>
      <c r="H1259" t="str">
        <f>IFERROR(VLOOKUP(I1259, Map!$A$1:$B$33, 2, FALSE),"WAS")</f>
        <v>NYG</v>
      </c>
      <c r="I1259" t="s">
        <v>149</v>
      </c>
      <c r="J1259" t="s">
        <v>205</v>
      </c>
      <c r="K1259" t="s">
        <v>219</v>
      </c>
      <c r="L1259">
        <v>0</v>
      </c>
      <c r="M1259">
        <v>0</v>
      </c>
      <c r="N1259">
        <v>40.200000000000003</v>
      </c>
      <c r="O1259">
        <v>-3.7</v>
      </c>
      <c r="P1259">
        <v>1.5</v>
      </c>
      <c r="Q1259">
        <v>38.5</v>
      </c>
      <c r="R1259">
        <v>0.4</v>
      </c>
      <c r="S1259">
        <v>4.9000000000000004</v>
      </c>
      <c r="T1259">
        <v>-3.3</v>
      </c>
      <c r="U1259">
        <v>-4.5</v>
      </c>
      <c r="V1259">
        <v>0</v>
      </c>
      <c r="W1259">
        <v>0</v>
      </c>
      <c r="X1259">
        <v>0</v>
      </c>
      <c r="Y1259">
        <v>0</v>
      </c>
      <c r="Z1259">
        <v>18.7</v>
      </c>
      <c r="AA1259">
        <v>36.4</v>
      </c>
      <c r="AB1259">
        <v>291</v>
      </c>
      <c r="AC1259">
        <v>58</v>
      </c>
      <c r="AD1259">
        <v>25.8</v>
      </c>
      <c r="AE1259">
        <v>13.1</v>
      </c>
      <c r="AF1259">
        <v>65.674000000000007</v>
      </c>
      <c r="AG1259">
        <v>39.865000000000002</v>
      </c>
      <c r="AH1259">
        <v>33.935000000000002</v>
      </c>
      <c r="AI1259">
        <v>49.411000000000001</v>
      </c>
      <c r="AJ1259">
        <v>23.731999999999999</v>
      </c>
      <c r="AK1259">
        <v>29.420999999999999</v>
      </c>
      <c r="AL1259">
        <v>4.5910000000000002</v>
      </c>
      <c r="AM1259">
        <v>33.935000000000002</v>
      </c>
      <c r="AN1259">
        <v>39.865000000000002</v>
      </c>
      <c r="AO1259">
        <v>65.674000000000007</v>
      </c>
      <c r="AP1259">
        <v>-4.5910000000000002</v>
      </c>
      <c r="AQ1259">
        <v>76.268000000000001</v>
      </c>
      <c r="AR1259">
        <v>50.588999999999999</v>
      </c>
      <c r="AS1259">
        <v>70.578999999999994</v>
      </c>
    </row>
    <row r="1260" spans="1:45" x14ac:dyDescent="0.25">
      <c r="A1260">
        <v>16</v>
      </c>
      <c r="B1260">
        <v>10</v>
      </c>
      <c r="C1260">
        <v>1</v>
      </c>
      <c r="D1260">
        <v>2022</v>
      </c>
      <c r="E1260">
        <v>15</v>
      </c>
      <c r="F1260" t="str">
        <f>IFERROR(VLOOKUP(G1260, Map!$A$1:$B$33, 2, FALSE),"WAS")</f>
        <v>CLE</v>
      </c>
      <c r="G1260" t="s">
        <v>162</v>
      </c>
      <c r="H1260" t="str">
        <f>IFERROR(VLOOKUP(I1260, Map!$A$1:$B$33, 2, FALSE),"WAS")</f>
        <v>BAL</v>
      </c>
      <c r="I1260" t="s">
        <v>146</v>
      </c>
      <c r="J1260" t="s">
        <v>171</v>
      </c>
      <c r="K1260" t="s">
        <v>181</v>
      </c>
      <c r="L1260">
        <v>1</v>
      </c>
      <c r="M1260">
        <v>0</v>
      </c>
      <c r="N1260">
        <v>35.59375</v>
      </c>
      <c r="O1260">
        <v>-3.125</v>
      </c>
      <c r="P1260">
        <v>-2.5</v>
      </c>
      <c r="Q1260">
        <v>25.5</v>
      </c>
      <c r="R1260">
        <v>-0.3</v>
      </c>
      <c r="S1260">
        <v>2.1</v>
      </c>
      <c r="T1260">
        <v>-2.5</v>
      </c>
      <c r="U1260">
        <v>-6</v>
      </c>
      <c r="V1260">
        <v>0.5</v>
      </c>
      <c r="W1260">
        <v>0.35</v>
      </c>
      <c r="X1260">
        <v>2</v>
      </c>
      <c r="Y1260">
        <v>0</v>
      </c>
      <c r="Z1260">
        <v>24.9</v>
      </c>
      <c r="AA1260">
        <v>40.299999999999997</v>
      </c>
      <c r="AB1260">
        <v>231</v>
      </c>
      <c r="AC1260">
        <v>67</v>
      </c>
      <c r="AD1260">
        <v>32.700000000000003</v>
      </c>
      <c r="AE1260">
        <v>19.899999999999999</v>
      </c>
      <c r="AF1260">
        <v>53.662999999999997</v>
      </c>
      <c r="AG1260">
        <v>49.774000000000001</v>
      </c>
      <c r="AH1260">
        <v>45.718000000000004</v>
      </c>
      <c r="AI1260">
        <v>81.501000000000005</v>
      </c>
      <c r="AJ1260">
        <v>55.101999999999997</v>
      </c>
      <c r="AK1260">
        <v>80.724000000000004</v>
      </c>
      <c r="AL1260">
        <v>1.04</v>
      </c>
      <c r="AM1260">
        <v>45.718000000000004</v>
      </c>
      <c r="AN1260">
        <v>49.774000000000001</v>
      </c>
      <c r="AO1260">
        <v>53.662999999999997</v>
      </c>
      <c r="AP1260">
        <v>-1.04</v>
      </c>
      <c r="AQ1260">
        <v>44.898000000000003</v>
      </c>
      <c r="AR1260">
        <v>18.498999999999999</v>
      </c>
      <c r="AS1260">
        <v>19.276</v>
      </c>
    </row>
    <row r="1261" spans="1:45" x14ac:dyDescent="0.25">
      <c r="A1261">
        <v>40</v>
      </c>
      <c r="B1261">
        <v>-8</v>
      </c>
      <c r="C1261">
        <v>0</v>
      </c>
      <c r="D1261">
        <v>2022</v>
      </c>
      <c r="E1261">
        <v>15</v>
      </c>
      <c r="F1261" t="str">
        <f>IFERROR(VLOOKUP(G1261, Map!$A$1:$B$33, 2, FALSE),"WAS")</f>
        <v>CAR</v>
      </c>
      <c r="G1261" t="s">
        <v>142</v>
      </c>
      <c r="H1261" t="str">
        <f>IFERROR(VLOOKUP(I1261, Map!$A$1:$B$33, 2, FALSE),"WAS")</f>
        <v>PIT</v>
      </c>
      <c r="I1261" t="s">
        <v>145</v>
      </c>
      <c r="J1261" t="s">
        <v>185</v>
      </c>
      <c r="K1261" t="s">
        <v>170</v>
      </c>
      <c r="L1261">
        <v>0</v>
      </c>
      <c r="M1261">
        <v>0</v>
      </c>
      <c r="N1261">
        <v>35.03125</v>
      </c>
      <c r="O1261">
        <v>-1.78125</v>
      </c>
      <c r="P1261">
        <v>-2.5</v>
      </c>
      <c r="Q1261">
        <v>37</v>
      </c>
      <c r="R1261">
        <v>2.8</v>
      </c>
      <c r="S1261">
        <v>7.5</v>
      </c>
      <c r="T1261">
        <v>-2.6</v>
      </c>
      <c r="U1261">
        <v>-1.3</v>
      </c>
      <c r="V1261">
        <v>0</v>
      </c>
      <c r="W1261">
        <v>0</v>
      </c>
      <c r="X1261">
        <v>0</v>
      </c>
      <c r="Y1261">
        <v>0</v>
      </c>
      <c r="Z1261">
        <v>15.9</v>
      </c>
      <c r="AA1261">
        <v>27.7</v>
      </c>
      <c r="AB1261">
        <v>286</v>
      </c>
      <c r="AC1261">
        <v>64</v>
      </c>
      <c r="AD1261">
        <v>19.600000000000001</v>
      </c>
      <c r="AE1261">
        <v>10.199999999999999</v>
      </c>
      <c r="AF1261">
        <v>54.32</v>
      </c>
      <c r="AG1261">
        <v>45.344000000000001</v>
      </c>
      <c r="AH1261">
        <v>45.070999999999998</v>
      </c>
      <c r="AI1261">
        <v>20.904</v>
      </c>
      <c r="AJ1261">
        <v>42.545000000000002</v>
      </c>
      <c r="AK1261">
        <v>21.972000000000001</v>
      </c>
      <c r="AL1261">
        <v>1.226</v>
      </c>
      <c r="AM1261">
        <v>45.070999999999998</v>
      </c>
      <c r="AN1261">
        <v>45.344000000000001</v>
      </c>
      <c r="AO1261">
        <v>54.32</v>
      </c>
      <c r="AP1261">
        <v>-1.226</v>
      </c>
      <c r="AQ1261">
        <v>57.454999999999998</v>
      </c>
      <c r="AR1261">
        <v>79.096000000000004</v>
      </c>
      <c r="AS1261">
        <v>78.028000000000006</v>
      </c>
    </row>
    <row r="1262" spans="1:45" x14ac:dyDescent="0.25">
      <c r="A1262">
        <v>54</v>
      </c>
      <c r="B1262">
        <v>6</v>
      </c>
      <c r="C1262">
        <v>1</v>
      </c>
      <c r="D1262">
        <v>2022</v>
      </c>
      <c r="E1262">
        <v>15</v>
      </c>
      <c r="F1262" t="str">
        <f>IFERROR(VLOOKUP(G1262, Map!$A$1:$B$33, 2, FALSE),"WAS")</f>
        <v>LV</v>
      </c>
      <c r="G1262" t="s">
        <v>157</v>
      </c>
      <c r="H1262" t="str">
        <f>IFERROR(VLOOKUP(I1262, Map!$A$1:$B$33, 2, FALSE),"WAS")</f>
        <v>NE</v>
      </c>
      <c r="I1262" t="s">
        <v>151</v>
      </c>
      <c r="J1262" t="s">
        <v>179</v>
      </c>
      <c r="K1262" t="s">
        <v>187</v>
      </c>
      <c r="L1262">
        <v>1</v>
      </c>
      <c r="M1262">
        <v>0</v>
      </c>
      <c r="N1262">
        <v>45.066666666666698</v>
      </c>
      <c r="O1262">
        <v>-1.4666666666666699</v>
      </c>
      <c r="P1262">
        <v>0.5</v>
      </c>
      <c r="Q1262">
        <v>42.5</v>
      </c>
      <c r="R1262">
        <v>4.0999999999999996</v>
      </c>
      <c r="S1262">
        <v>9.5</v>
      </c>
      <c r="T1262">
        <v>-1.4</v>
      </c>
      <c r="U1262">
        <v>0.2</v>
      </c>
      <c r="V1262">
        <v>0</v>
      </c>
      <c r="W1262">
        <v>0</v>
      </c>
      <c r="X1262">
        <v>0</v>
      </c>
      <c r="Y1262">
        <v>0</v>
      </c>
      <c r="Z1262">
        <v>9.9</v>
      </c>
      <c r="AA1262">
        <v>13.3</v>
      </c>
      <c r="AB1262">
        <v>275</v>
      </c>
      <c r="AC1262">
        <v>44</v>
      </c>
      <c r="AD1262">
        <v>10.1</v>
      </c>
      <c r="AE1262">
        <v>6.3</v>
      </c>
      <c r="AF1262">
        <v>63.091000000000001</v>
      </c>
      <c r="AG1262">
        <v>42.027000000000001</v>
      </c>
      <c r="AH1262">
        <v>36.478000000000002</v>
      </c>
      <c r="AI1262">
        <v>72.296000000000006</v>
      </c>
      <c r="AJ1262">
        <v>42.947000000000003</v>
      </c>
      <c r="AK1262">
        <v>62.689</v>
      </c>
      <c r="AL1262">
        <v>3.7949999999999999</v>
      </c>
      <c r="AM1262">
        <v>36.478000000000002</v>
      </c>
      <c r="AN1262">
        <v>42.027000000000001</v>
      </c>
      <c r="AO1262">
        <v>63.091000000000001</v>
      </c>
      <c r="AP1262">
        <v>-3.7949999999999999</v>
      </c>
      <c r="AQ1262">
        <v>57.052999999999997</v>
      </c>
      <c r="AR1262">
        <v>27.704000000000001</v>
      </c>
      <c r="AS1262">
        <v>37.311</v>
      </c>
    </row>
    <row r="1263" spans="1:45" x14ac:dyDescent="0.25">
      <c r="A1263">
        <v>75</v>
      </c>
      <c r="B1263">
        <v>3</v>
      </c>
      <c r="C1263">
        <v>1</v>
      </c>
      <c r="D1263">
        <v>2022</v>
      </c>
      <c r="E1263">
        <v>15</v>
      </c>
      <c r="F1263" t="str">
        <f>IFERROR(VLOOKUP(G1263, Map!$A$1:$B$33, 2, FALSE),"WAS")</f>
        <v>MIN</v>
      </c>
      <c r="G1263" t="s">
        <v>153</v>
      </c>
      <c r="H1263" t="str">
        <f>IFERROR(VLOOKUP(I1263, Map!$A$1:$B$33, 2, FALSE),"WAS")</f>
        <v>IND</v>
      </c>
      <c r="I1263" t="s">
        <v>138</v>
      </c>
      <c r="J1263" t="s">
        <v>214</v>
      </c>
      <c r="K1263" t="s">
        <v>177</v>
      </c>
      <c r="L1263">
        <v>1</v>
      </c>
      <c r="M1263">
        <v>0</v>
      </c>
      <c r="N1263">
        <v>45.96875</v>
      </c>
      <c r="O1263">
        <v>-2.96875</v>
      </c>
      <c r="P1263">
        <v>2.5</v>
      </c>
      <c r="Q1263">
        <v>46.5</v>
      </c>
      <c r="R1263">
        <v>-5.5</v>
      </c>
      <c r="S1263">
        <v>-2.6</v>
      </c>
      <c r="T1263">
        <v>-8</v>
      </c>
      <c r="U1263">
        <v>-10.7</v>
      </c>
      <c r="V1263">
        <v>2</v>
      </c>
      <c r="W1263">
        <v>1.4</v>
      </c>
      <c r="X1263">
        <v>12</v>
      </c>
      <c r="Y1263">
        <v>0</v>
      </c>
      <c r="Z1263">
        <v>16.899999999999999</v>
      </c>
      <c r="AA1263">
        <v>31</v>
      </c>
      <c r="AB1263">
        <v>289</v>
      </c>
      <c r="AC1263">
        <v>84</v>
      </c>
      <c r="AD1263">
        <v>27.5</v>
      </c>
      <c r="AE1263">
        <v>14.6</v>
      </c>
      <c r="AF1263">
        <v>72.954999999999998</v>
      </c>
      <c r="AG1263">
        <v>70.363</v>
      </c>
      <c r="AH1263">
        <v>26.765000000000001</v>
      </c>
      <c r="AI1263">
        <v>74.692999999999998</v>
      </c>
      <c r="AJ1263">
        <v>43.04</v>
      </c>
      <c r="AK1263">
        <v>37.808</v>
      </c>
      <c r="AL1263">
        <v>7.0279999999999996</v>
      </c>
      <c r="AM1263">
        <v>26.765000000000001</v>
      </c>
      <c r="AN1263">
        <v>70.363</v>
      </c>
      <c r="AO1263">
        <v>72.954999999999998</v>
      </c>
      <c r="AP1263">
        <v>-7.0279999999999996</v>
      </c>
      <c r="AQ1263">
        <v>56.96</v>
      </c>
      <c r="AR1263">
        <v>25.306999999999999</v>
      </c>
      <c r="AS1263">
        <v>62.192</v>
      </c>
    </row>
    <row r="1264" spans="1:45" x14ac:dyDescent="0.25">
      <c r="A1264">
        <v>61</v>
      </c>
      <c r="B1264">
        <v>3</v>
      </c>
      <c r="C1264">
        <v>1</v>
      </c>
      <c r="D1264">
        <v>2022</v>
      </c>
      <c r="E1264">
        <v>15</v>
      </c>
      <c r="F1264" t="str">
        <f>IFERROR(VLOOKUP(G1264, Map!$A$1:$B$33, 2, FALSE),"WAS")</f>
        <v>BUF</v>
      </c>
      <c r="G1264" t="s">
        <v>165</v>
      </c>
      <c r="H1264" t="str">
        <f>IFERROR(VLOOKUP(I1264, Map!$A$1:$B$33, 2, FALSE),"WAS")</f>
        <v>MIA</v>
      </c>
      <c r="I1264" t="s">
        <v>152</v>
      </c>
      <c r="J1264" t="s">
        <v>180</v>
      </c>
      <c r="K1264" t="s">
        <v>175</v>
      </c>
      <c r="L1264">
        <v>1</v>
      </c>
      <c r="M1264">
        <v>0</v>
      </c>
      <c r="N1264">
        <v>42.46875</v>
      </c>
      <c r="O1264">
        <v>-6.40625</v>
      </c>
      <c r="P1264">
        <v>-3</v>
      </c>
      <c r="Q1264">
        <v>42</v>
      </c>
      <c r="R1264">
        <v>2.9</v>
      </c>
      <c r="S1264">
        <v>7.7</v>
      </c>
      <c r="T1264">
        <v>-2.5</v>
      </c>
      <c r="U1264">
        <v>-1.2</v>
      </c>
      <c r="V1264">
        <v>0</v>
      </c>
      <c r="W1264">
        <v>0</v>
      </c>
      <c r="X1264">
        <v>0</v>
      </c>
      <c r="Y1264">
        <v>0</v>
      </c>
      <c r="Z1264">
        <v>16.399999999999999</v>
      </c>
      <c r="AA1264">
        <v>29.2</v>
      </c>
      <c r="AB1264">
        <v>281</v>
      </c>
      <c r="AC1264">
        <v>65</v>
      </c>
      <c r="AD1264">
        <v>19.8</v>
      </c>
      <c r="AE1264">
        <v>10.4</v>
      </c>
      <c r="AF1264">
        <v>77.507000000000005</v>
      </c>
      <c r="AG1264">
        <v>98.063000000000002</v>
      </c>
      <c r="AH1264">
        <v>22.273</v>
      </c>
      <c r="AI1264">
        <v>29.745999999999999</v>
      </c>
      <c r="AJ1264">
        <v>77.016999999999996</v>
      </c>
      <c r="AK1264">
        <v>52.656999999999996</v>
      </c>
      <c r="AL1264">
        <v>8.7940000000000005</v>
      </c>
      <c r="AM1264">
        <v>22.273</v>
      </c>
      <c r="AN1264">
        <v>98.063000000000002</v>
      </c>
      <c r="AO1264">
        <v>77.507000000000005</v>
      </c>
      <c r="AP1264">
        <v>-8.7940000000000005</v>
      </c>
      <c r="AQ1264">
        <v>22.983000000000001</v>
      </c>
      <c r="AR1264">
        <v>70.254000000000005</v>
      </c>
      <c r="AS1264">
        <v>47.343000000000004</v>
      </c>
    </row>
    <row r="1265" spans="1:45" x14ac:dyDescent="0.25">
      <c r="A1265">
        <v>45</v>
      </c>
      <c r="B1265">
        <v>-5</v>
      </c>
      <c r="C1265">
        <v>0</v>
      </c>
      <c r="D1265">
        <v>2022</v>
      </c>
      <c r="E1265">
        <v>15</v>
      </c>
      <c r="F1265" t="str">
        <f>IFERROR(VLOOKUP(G1265, Map!$A$1:$B$33, 2, FALSE),"WAS")</f>
        <v>CHI</v>
      </c>
      <c r="G1265" t="s">
        <v>163</v>
      </c>
      <c r="H1265" t="str">
        <f>IFERROR(VLOOKUP(I1265, Map!$A$1:$B$33, 2, FALSE),"WAS")</f>
        <v>PHI</v>
      </c>
      <c r="I1265" t="s">
        <v>147</v>
      </c>
      <c r="J1265" t="s">
        <v>216</v>
      </c>
      <c r="K1265" t="s">
        <v>206</v>
      </c>
      <c r="L1265">
        <v>0</v>
      </c>
      <c r="M1265">
        <v>0</v>
      </c>
      <c r="N1265">
        <v>44.125</v>
      </c>
      <c r="O1265">
        <v>8.125</v>
      </c>
      <c r="P1265">
        <v>8.5</v>
      </c>
      <c r="Q1265">
        <v>37.5</v>
      </c>
      <c r="R1265">
        <v>-6.2</v>
      </c>
      <c r="S1265">
        <v>-4.5</v>
      </c>
      <c r="T1265">
        <v>-9.1</v>
      </c>
      <c r="U1265">
        <v>-13</v>
      </c>
      <c r="V1265">
        <v>0</v>
      </c>
      <c r="W1265">
        <v>0</v>
      </c>
      <c r="X1265">
        <v>0</v>
      </c>
      <c r="Y1265">
        <v>0</v>
      </c>
      <c r="Z1265">
        <v>28.6</v>
      </c>
      <c r="AA1265">
        <v>41.8</v>
      </c>
      <c r="AB1265">
        <v>258</v>
      </c>
      <c r="AC1265">
        <v>65</v>
      </c>
      <c r="AD1265">
        <v>35.9</v>
      </c>
      <c r="AE1265">
        <v>23.5</v>
      </c>
      <c r="AF1265">
        <v>15.706</v>
      </c>
      <c r="AG1265">
        <v>53.887</v>
      </c>
      <c r="AH1265">
        <v>84.150999999999996</v>
      </c>
      <c r="AI1265">
        <v>52.487000000000002</v>
      </c>
      <c r="AJ1265">
        <v>19.762</v>
      </c>
      <c r="AK1265">
        <v>32.098999999999997</v>
      </c>
      <c r="AL1265">
        <v>-11.917999999999999</v>
      </c>
      <c r="AM1265">
        <v>84.150999999999996</v>
      </c>
      <c r="AN1265">
        <v>53.887</v>
      </c>
      <c r="AO1265">
        <v>15.706</v>
      </c>
      <c r="AP1265">
        <v>11.917999999999999</v>
      </c>
      <c r="AQ1265">
        <v>80.238</v>
      </c>
      <c r="AR1265">
        <v>47.512999999999998</v>
      </c>
      <c r="AS1265">
        <v>67.900999999999996</v>
      </c>
    </row>
    <row r="1266" spans="1:45" x14ac:dyDescent="0.25">
      <c r="A1266">
        <v>26</v>
      </c>
      <c r="B1266">
        <v>8</v>
      </c>
      <c r="C1266">
        <v>1</v>
      </c>
      <c r="D1266">
        <v>2022</v>
      </c>
      <c r="E1266">
        <v>16</v>
      </c>
      <c r="F1266" t="str">
        <f>IFERROR(VLOOKUP(G1266, Map!$A$1:$B$33, 2, FALSE),"WAS")</f>
        <v>BAL</v>
      </c>
      <c r="G1266" t="s">
        <v>146</v>
      </c>
      <c r="H1266" t="str">
        <f>IFERROR(VLOOKUP(I1266, Map!$A$1:$B$33, 2, FALSE),"WAS")</f>
        <v>ATL</v>
      </c>
      <c r="I1266" t="s">
        <v>167</v>
      </c>
      <c r="J1266" t="s">
        <v>181</v>
      </c>
      <c r="K1266" t="s">
        <v>188</v>
      </c>
      <c r="L1266">
        <v>1</v>
      </c>
      <c r="M1266">
        <v>0</v>
      </c>
      <c r="N1266">
        <v>32.911764705882398</v>
      </c>
      <c r="O1266">
        <v>-6.3529411764705896</v>
      </c>
      <c r="P1266">
        <v>-6.5</v>
      </c>
      <c r="Q1266">
        <v>27.5</v>
      </c>
      <c r="R1266">
        <v>-11.1</v>
      </c>
      <c r="S1266">
        <v>-5.9</v>
      </c>
      <c r="T1266">
        <v>-14.3</v>
      </c>
      <c r="U1266">
        <v>-18.8</v>
      </c>
      <c r="V1266">
        <v>0</v>
      </c>
      <c r="W1266">
        <v>0</v>
      </c>
      <c r="X1266">
        <v>0</v>
      </c>
      <c r="Y1266">
        <v>0</v>
      </c>
      <c r="Z1266">
        <v>31.7</v>
      </c>
      <c r="AA1266">
        <v>62.3</v>
      </c>
      <c r="AB1266">
        <v>267</v>
      </c>
      <c r="AC1266">
        <v>31</v>
      </c>
      <c r="AD1266">
        <v>48.6</v>
      </c>
      <c r="AE1266">
        <v>25.6</v>
      </c>
      <c r="AF1266">
        <v>67.227999999999994</v>
      </c>
      <c r="AG1266">
        <v>24.887</v>
      </c>
      <c r="AH1266">
        <v>32.405000000000001</v>
      </c>
      <c r="AI1266">
        <v>84.643000000000001</v>
      </c>
      <c r="AJ1266">
        <v>66.468000000000004</v>
      </c>
      <c r="AK1266">
        <v>78.051000000000002</v>
      </c>
      <c r="AL1266">
        <v>5.0919999999999996</v>
      </c>
      <c r="AM1266">
        <v>32.405000000000001</v>
      </c>
      <c r="AN1266">
        <v>24.887</v>
      </c>
      <c r="AO1266">
        <v>67.227999999999994</v>
      </c>
      <c r="AP1266">
        <v>-5.0919999999999996</v>
      </c>
      <c r="AQ1266">
        <v>33.531999999999996</v>
      </c>
      <c r="AR1266">
        <v>15.356999999999999</v>
      </c>
      <c r="AS1266">
        <v>21.949000000000002</v>
      </c>
    </row>
    <row r="1267" spans="1:45" x14ac:dyDescent="0.25">
      <c r="A1267">
        <v>74</v>
      </c>
      <c r="B1267">
        <v>6</v>
      </c>
      <c r="C1267">
        <v>1</v>
      </c>
      <c r="D1267">
        <v>2022</v>
      </c>
      <c r="E1267">
        <v>16</v>
      </c>
      <c r="F1267" t="str">
        <f>IFERROR(VLOOKUP(G1267, Map!$A$1:$B$33, 2, FALSE),"WAS")</f>
        <v>DAL</v>
      </c>
      <c r="G1267" t="s">
        <v>150</v>
      </c>
      <c r="H1267" t="str">
        <f>IFERROR(VLOOKUP(I1267, Map!$A$1:$B$33, 2, FALSE),"WAS")</f>
        <v>PHI</v>
      </c>
      <c r="I1267" t="s">
        <v>147</v>
      </c>
      <c r="J1267" t="s">
        <v>184</v>
      </c>
      <c r="K1267" t="s">
        <v>206</v>
      </c>
      <c r="L1267">
        <v>1</v>
      </c>
      <c r="M1267">
        <v>0</v>
      </c>
      <c r="N1267">
        <v>46.382352941176499</v>
      </c>
      <c r="O1267">
        <v>-3.8529411764705901</v>
      </c>
      <c r="P1267">
        <v>-1.5</v>
      </c>
      <c r="Q1267">
        <v>46</v>
      </c>
      <c r="R1267">
        <v>-3.8</v>
      </c>
      <c r="S1267">
        <v>1.2</v>
      </c>
      <c r="T1267">
        <v>-6.7</v>
      </c>
      <c r="U1267">
        <v>-9</v>
      </c>
      <c r="V1267">
        <v>0</v>
      </c>
      <c r="W1267">
        <v>0</v>
      </c>
      <c r="X1267">
        <v>0</v>
      </c>
      <c r="Y1267">
        <v>0</v>
      </c>
      <c r="Z1267">
        <v>17.5</v>
      </c>
      <c r="AA1267">
        <v>31.7</v>
      </c>
      <c r="AB1267">
        <v>319</v>
      </c>
      <c r="AC1267">
        <v>23</v>
      </c>
      <c r="AD1267">
        <v>18.3</v>
      </c>
      <c r="AE1267">
        <v>8.8000000000000007</v>
      </c>
      <c r="AF1267">
        <v>75.088999999999999</v>
      </c>
      <c r="AG1267">
        <v>87.915000000000006</v>
      </c>
      <c r="AH1267">
        <v>24.661999999999999</v>
      </c>
      <c r="AI1267">
        <v>50.143999999999998</v>
      </c>
      <c r="AJ1267">
        <v>64.134</v>
      </c>
      <c r="AK1267">
        <v>58.677999999999997</v>
      </c>
      <c r="AL1267">
        <v>7.8330000000000002</v>
      </c>
      <c r="AM1267">
        <v>24.661999999999999</v>
      </c>
      <c r="AN1267">
        <v>87.915000000000006</v>
      </c>
      <c r="AO1267">
        <v>75.088999999999999</v>
      </c>
      <c r="AP1267">
        <v>-7.8330000000000002</v>
      </c>
      <c r="AQ1267">
        <v>35.866</v>
      </c>
      <c r="AR1267">
        <v>49.856000000000002</v>
      </c>
      <c r="AS1267">
        <v>41.322000000000003</v>
      </c>
    </row>
    <row r="1268" spans="1:45" x14ac:dyDescent="0.25">
      <c r="A1268">
        <v>22</v>
      </c>
      <c r="B1268">
        <v>-16</v>
      </c>
      <c r="C1268">
        <v>0</v>
      </c>
      <c r="D1268">
        <v>2022</v>
      </c>
      <c r="E1268">
        <v>16</v>
      </c>
      <c r="F1268" t="str">
        <f>IFERROR(VLOOKUP(G1268, Map!$A$1:$B$33, 2, FALSE),"WAS")</f>
        <v>NYJ</v>
      </c>
      <c r="G1268" t="s">
        <v>166</v>
      </c>
      <c r="H1268" t="str">
        <f>IFERROR(VLOOKUP(I1268, Map!$A$1:$B$33, 2, FALSE),"WAS")</f>
        <v>JAX</v>
      </c>
      <c r="I1268" t="s">
        <v>139</v>
      </c>
      <c r="J1268" t="s">
        <v>172</v>
      </c>
      <c r="K1268" t="s">
        <v>220</v>
      </c>
      <c r="L1268">
        <v>0</v>
      </c>
      <c r="M1268">
        <v>0</v>
      </c>
      <c r="N1268">
        <v>33.882352941176499</v>
      </c>
      <c r="O1268">
        <v>-0.94117647058823495</v>
      </c>
      <c r="P1268">
        <v>1.5</v>
      </c>
      <c r="Q1268">
        <v>23.5</v>
      </c>
      <c r="R1268">
        <v>6.2</v>
      </c>
      <c r="S1268">
        <v>12.8</v>
      </c>
      <c r="T1268">
        <v>-9.6</v>
      </c>
      <c r="U1268">
        <v>0.9</v>
      </c>
      <c r="V1268">
        <v>27</v>
      </c>
      <c r="W1268">
        <v>0.49</v>
      </c>
      <c r="X1268">
        <v>20</v>
      </c>
      <c r="Y1268">
        <v>26.3</v>
      </c>
      <c r="Z1268">
        <v>40</v>
      </c>
      <c r="AA1268">
        <v>76</v>
      </c>
      <c r="AB1268">
        <v>173</v>
      </c>
      <c r="AC1268">
        <v>88</v>
      </c>
      <c r="AD1268">
        <v>59.3</v>
      </c>
      <c r="AE1268">
        <v>29.7</v>
      </c>
      <c r="AF1268">
        <v>62.06</v>
      </c>
      <c r="AG1268">
        <v>38.802999999999997</v>
      </c>
      <c r="AH1268">
        <v>37.482999999999997</v>
      </c>
      <c r="AI1268">
        <v>40.106000000000002</v>
      </c>
      <c r="AJ1268">
        <v>8.4930000000000003</v>
      </c>
      <c r="AK1268">
        <v>15.695</v>
      </c>
      <c r="AL1268">
        <v>3.496</v>
      </c>
      <c r="AM1268">
        <v>37.482999999999997</v>
      </c>
      <c r="AN1268">
        <v>38.802999999999997</v>
      </c>
      <c r="AO1268">
        <v>62.06</v>
      </c>
      <c r="AP1268">
        <v>-3.496</v>
      </c>
      <c r="AQ1268">
        <v>91.507000000000005</v>
      </c>
      <c r="AR1268">
        <v>59.893999999999998</v>
      </c>
      <c r="AS1268">
        <v>84.305000000000007</v>
      </c>
    </row>
    <row r="1269" spans="1:45" x14ac:dyDescent="0.25">
      <c r="A1269">
        <v>57</v>
      </c>
      <c r="B1269">
        <v>17</v>
      </c>
      <c r="C1269">
        <v>1</v>
      </c>
      <c r="D1269">
        <v>2022</v>
      </c>
      <c r="E1269">
        <v>16</v>
      </c>
      <c r="F1269" t="str">
        <f>IFERROR(VLOOKUP(G1269, Map!$A$1:$B$33, 2, FALSE),"WAS")</f>
        <v>SF</v>
      </c>
      <c r="G1269" t="s">
        <v>143</v>
      </c>
      <c r="H1269" t="str">
        <f>IFERROR(VLOOKUP(I1269, Map!$A$1:$B$33, 2, FALSE),"WAS")</f>
        <v>WAS</v>
      </c>
      <c r="I1269" t="s">
        <v>148</v>
      </c>
      <c r="J1269" t="s">
        <v>197</v>
      </c>
      <c r="K1269" t="s">
        <v>205</v>
      </c>
      <c r="L1269">
        <v>1</v>
      </c>
      <c r="M1269">
        <v>0</v>
      </c>
      <c r="N1269">
        <v>38.28125</v>
      </c>
      <c r="O1269">
        <v>-6.59375</v>
      </c>
      <c r="P1269">
        <v>-6</v>
      </c>
      <c r="Q1269">
        <v>36.5</v>
      </c>
      <c r="R1269">
        <v>9.3000000000000007</v>
      </c>
      <c r="S1269">
        <v>13.1</v>
      </c>
      <c r="T1269">
        <v>5.8</v>
      </c>
      <c r="U1269">
        <v>8</v>
      </c>
      <c r="V1269">
        <v>0</v>
      </c>
      <c r="W1269">
        <v>0</v>
      </c>
      <c r="X1269">
        <v>0</v>
      </c>
      <c r="Y1269">
        <v>0</v>
      </c>
      <c r="Z1269">
        <v>8.1999999999999993</v>
      </c>
      <c r="AA1269">
        <v>16.600000000000001</v>
      </c>
      <c r="AB1269">
        <v>211</v>
      </c>
      <c r="AC1269">
        <v>92</v>
      </c>
      <c r="AD1269">
        <v>10</v>
      </c>
      <c r="AE1269">
        <v>5</v>
      </c>
      <c r="AF1269">
        <v>69.027000000000001</v>
      </c>
      <c r="AG1269">
        <v>50.305</v>
      </c>
      <c r="AH1269">
        <v>30.635999999999999</v>
      </c>
      <c r="AI1269">
        <v>83.001999999999995</v>
      </c>
      <c r="AJ1269">
        <v>67.641999999999996</v>
      </c>
      <c r="AK1269">
        <v>85.75</v>
      </c>
      <c r="AL1269">
        <v>5.6669999999999998</v>
      </c>
      <c r="AM1269">
        <v>30.635999999999999</v>
      </c>
      <c r="AN1269">
        <v>50.305</v>
      </c>
      <c r="AO1269">
        <v>69.027000000000001</v>
      </c>
      <c r="AP1269">
        <v>-5.6669999999999998</v>
      </c>
      <c r="AQ1269">
        <v>32.357999999999997</v>
      </c>
      <c r="AR1269">
        <v>16.998000000000001</v>
      </c>
      <c r="AS1269">
        <v>14.25</v>
      </c>
    </row>
    <row r="1270" spans="1:45" x14ac:dyDescent="0.25">
      <c r="A1270">
        <v>23</v>
      </c>
      <c r="B1270">
        <v>-17</v>
      </c>
      <c r="C1270">
        <v>0</v>
      </c>
      <c r="D1270">
        <v>2022</v>
      </c>
      <c r="E1270">
        <v>16</v>
      </c>
      <c r="F1270" t="str">
        <f>IFERROR(VLOOKUP(G1270, Map!$A$1:$B$33, 2, FALSE),"WAS")</f>
        <v>IND</v>
      </c>
      <c r="G1270" t="s">
        <v>138</v>
      </c>
      <c r="H1270" t="str">
        <f>IFERROR(VLOOKUP(I1270, Map!$A$1:$B$33, 2, FALSE),"WAS")</f>
        <v>LAC</v>
      </c>
      <c r="I1270" t="s">
        <v>160</v>
      </c>
      <c r="J1270" t="s">
        <v>177</v>
      </c>
      <c r="K1270" t="s">
        <v>210</v>
      </c>
      <c r="L1270">
        <v>0</v>
      </c>
      <c r="M1270">
        <v>0</v>
      </c>
      <c r="N1270">
        <v>41.058823529411796</v>
      </c>
      <c r="O1270">
        <v>4.1176470588235299</v>
      </c>
      <c r="P1270">
        <v>3.5</v>
      </c>
      <c r="Q1270">
        <v>24.5</v>
      </c>
      <c r="R1270">
        <v>-4.3</v>
      </c>
      <c r="S1270">
        <v>0.9</v>
      </c>
      <c r="T1270">
        <v>-9.5</v>
      </c>
      <c r="U1270">
        <v>-8.5</v>
      </c>
      <c r="V1270">
        <v>0.1</v>
      </c>
      <c r="W1270">
        <v>7.0000000000000007E-2</v>
      </c>
      <c r="X1270">
        <v>1</v>
      </c>
      <c r="Y1270">
        <v>0</v>
      </c>
      <c r="Z1270">
        <v>17.899999999999999</v>
      </c>
      <c r="AA1270">
        <v>34.9</v>
      </c>
      <c r="AB1270">
        <v>219</v>
      </c>
      <c r="AC1270">
        <v>77</v>
      </c>
      <c r="AD1270">
        <v>14.8</v>
      </c>
      <c r="AE1270">
        <v>7.6</v>
      </c>
      <c r="AF1270">
        <v>27.53</v>
      </c>
      <c r="AG1270">
        <v>49.521999999999998</v>
      </c>
      <c r="AH1270">
        <v>72.183999999999997</v>
      </c>
      <c r="AI1270">
        <v>65.510999999999996</v>
      </c>
      <c r="AJ1270">
        <v>0.70799999999999996</v>
      </c>
      <c r="AK1270">
        <v>14.72</v>
      </c>
      <c r="AL1270">
        <v>-6.8639999999999999</v>
      </c>
      <c r="AM1270">
        <v>72.183999999999997</v>
      </c>
      <c r="AN1270">
        <v>49.521999999999998</v>
      </c>
      <c r="AO1270">
        <v>27.53</v>
      </c>
      <c r="AP1270">
        <v>6.8639999999999999</v>
      </c>
      <c r="AQ1270">
        <v>99.292000000000002</v>
      </c>
      <c r="AR1270">
        <v>34.488999999999997</v>
      </c>
      <c r="AS1270">
        <v>85.28</v>
      </c>
    </row>
    <row r="1271" spans="1:45" x14ac:dyDescent="0.25">
      <c r="A1271">
        <v>23</v>
      </c>
      <c r="B1271">
        <v>3</v>
      </c>
      <c r="C1271">
        <v>1</v>
      </c>
      <c r="D1271">
        <v>2022</v>
      </c>
      <c r="E1271">
        <v>16</v>
      </c>
      <c r="F1271" t="str">
        <f>IFERROR(VLOOKUP(G1271, Map!$A$1:$B$33, 2, FALSE),"WAS")</f>
        <v>PIT</v>
      </c>
      <c r="G1271" t="s">
        <v>145</v>
      </c>
      <c r="H1271" t="str">
        <f>IFERROR(VLOOKUP(I1271, Map!$A$1:$B$33, 2, FALSE),"WAS")</f>
        <v>LV</v>
      </c>
      <c r="I1271" t="s">
        <v>157</v>
      </c>
      <c r="J1271" t="s">
        <v>170</v>
      </c>
      <c r="K1271" t="s">
        <v>179</v>
      </c>
      <c r="L1271">
        <v>1</v>
      </c>
      <c r="M1271">
        <v>0</v>
      </c>
      <c r="N1271">
        <v>37.34375</v>
      </c>
      <c r="O1271">
        <v>-2.46875</v>
      </c>
      <c r="P1271">
        <v>-2</v>
      </c>
      <c r="Q1271">
        <v>24.5</v>
      </c>
      <c r="R1271">
        <v>-9.9</v>
      </c>
      <c r="S1271">
        <v>-6.4</v>
      </c>
      <c r="T1271">
        <v>-13.3</v>
      </c>
      <c r="U1271">
        <v>-16.8</v>
      </c>
      <c r="V1271">
        <v>0.3</v>
      </c>
      <c r="W1271">
        <v>0.21</v>
      </c>
      <c r="X1271">
        <v>3</v>
      </c>
      <c r="Y1271">
        <v>0</v>
      </c>
      <c r="Z1271">
        <v>27.6</v>
      </c>
      <c r="AA1271">
        <v>56.2</v>
      </c>
      <c r="AB1271">
        <v>240</v>
      </c>
      <c r="AC1271">
        <v>55</v>
      </c>
      <c r="AD1271">
        <v>47.7</v>
      </c>
      <c r="AE1271">
        <v>21.7</v>
      </c>
      <c r="AF1271">
        <v>44.844000000000001</v>
      </c>
      <c r="AG1271">
        <v>86.15</v>
      </c>
      <c r="AH1271">
        <v>54.569000000000003</v>
      </c>
      <c r="AI1271">
        <v>84.448999999999998</v>
      </c>
      <c r="AJ1271">
        <v>42.143000000000001</v>
      </c>
      <c r="AK1271">
        <v>56.127000000000002</v>
      </c>
      <c r="AL1271">
        <v>-1.4590000000000001</v>
      </c>
      <c r="AM1271">
        <v>54.569000000000003</v>
      </c>
      <c r="AN1271">
        <v>86.15</v>
      </c>
      <c r="AO1271">
        <v>44.844000000000001</v>
      </c>
      <c r="AP1271">
        <v>1.4590000000000001</v>
      </c>
      <c r="AQ1271">
        <v>57.856999999999999</v>
      </c>
      <c r="AR1271">
        <v>15.551</v>
      </c>
      <c r="AS1271">
        <v>43.872999999999998</v>
      </c>
    </row>
    <row r="1272" spans="1:45" x14ac:dyDescent="0.25">
      <c r="A1272">
        <v>34</v>
      </c>
      <c r="B1272">
        <v>14</v>
      </c>
      <c r="C1272">
        <v>1</v>
      </c>
      <c r="D1272">
        <v>2022</v>
      </c>
      <c r="E1272">
        <v>16</v>
      </c>
      <c r="F1272" t="str">
        <f>IFERROR(VLOOKUP(G1272, Map!$A$1:$B$33, 2, FALSE),"WAS")</f>
        <v>KC</v>
      </c>
      <c r="G1272" t="s">
        <v>158</v>
      </c>
      <c r="H1272" t="str">
        <f>IFERROR(VLOOKUP(I1272, Map!$A$1:$B$33, 2, FALSE),"WAS")</f>
        <v>SEA</v>
      </c>
      <c r="I1272" t="s">
        <v>144</v>
      </c>
      <c r="J1272" t="s">
        <v>202</v>
      </c>
      <c r="K1272" t="s">
        <v>182</v>
      </c>
      <c r="L1272">
        <v>1</v>
      </c>
      <c r="M1272">
        <v>0</v>
      </c>
      <c r="N1272">
        <v>46.352941176470601</v>
      </c>
      <c r="O1272">
        <v>-9.6470588235294095</v>
      </c>
      <c r="P1272">
        <v>-9.5</v>
      </c>
      <c r="Q1272">
        <v>35.5</v>
      </c>
      <c r="R1272">
        <v>-12.1</v>
      </c>
      <c r="S1272">
        <v>-6.1</v>
      </c>
      <c r="T1272">
        <v>-15.2</v>
      </c>
      <c r="U1272">
        <v>-18.8</v>
      </c>
      <c r="V1272">
        <v>0</v>
      </c>
      <c r="W1272">
        <v>0</v>
      </c>
      <c r="X1272">
        <v>0</v>
      </c>
      <c r="Y1272">
        <v>0</v>
      </c>
      <c r="Z1272">
        <v>25</v>
      </c>
      <c r="AA1272">
        <v>44.6</v>
      </c>
      <c r="AB1272">
        <v>294</v>
      </c>
      <c r="AC1272">
        <v>46</v>
      </c>
      <c r="AD1272">
        <v>37.4</v>
      </c>
      <c r="AE1272">
        <v>19.8</v>
      </c>
      <c r="AF1272">
        <v>87.096999999999994</v>
      </c>
      <c r="AG1272">
        <v>50.530999999999999</v>
      </c>
      <c r="AH1272">
        <v>12.788</v>
      </c>
      <c r="AI1272">
        <v>93.53</v>
      </c>
      <c r="AJ1272">
        <v>56.465000000000003</v>
      </c>
      <c r="AK1272">
        <v>87.852000000000004</v>
      </c>
      <c r="AL1272">
        <v>13.589</v>
      </c>
      <c r="AM1272">
        <v>12.788</v>
      </c>
      <c r="AN1272">
        <v>50.530999999999999</v>
      </c>
      <c r="AO1272">
        <v>87.096999999999994</v>
      </c>
      <c r="AP1272">
        <v>-13.589</v>
      </c>
      <c r="AQ1272">
        <v>43.534999999999997</v>
      </c>
      <c r="AR1272">
        <v>6.47</v>
      </c>
      <c r="AS1272">
        <v>12.148</v>
      </c>
    </row>
    <row r="1273" spans="1:45" x14ac:dyDescent="0.25">
      <c r="A1273">
        <v>65</v>
      </c>
      <c r="B1273">
        <v>37</v>
      </c>
      <c r="C1273">
        <v>1</v>
      </c>
      <c r="D1273">
        <v>2022</v>
      </c>
      <c r="E1273">
        <v>16</v>
      </c>
      <c r="F1273" t="str">
        <f>IFERROR(VLOOKUP(G1273, Map!$A$1:$B$33, 2, FALSE),"WAS")</f>
        <v>LA</v>
      </c>
      <c r="G1273" t="s">
        <v>155</v>
      </c>
      <c r="H1273" t="str">
        <f>IFERROR(VLOOKUP(I1273, Map!$A$1:$B$33, 2, FALSE),"WAS")</f>
        <v>DEN</v>
      </c>
      <c r="I1273" t="s">
        <v>159</v>
      </c>
      <c r="J1273" t="s">
        <v>178</v>
      </c>
      <c r="K1273" t="s">
        <v>183</v>
      </c>
      <c r="L1273">
        <v>1</v>
      </c>
      <c r="M1273">
        <v>0</v>
      </c>
      <c r="N1273">
        <v>34.852941176470601</v>
      </c>
      <c r="O1273">
        <v>0.41176470588235298</v>
      </c>
      <c r="P1273">
        <v>1.5</v>
      </c>
      <c r="Q1273">
        <v>35.5</v>
      </c>
      <c r="R1273">
        <v>15.1</v>
      </c>
      <c r="S1273">
        <v>27.1</v>
      </c>
      <c r="T1273">
        <v>7.8</v>
      </c>
      <c r="U1273">
        <v>12.6</v>
      </c>
      <c r="V1273">
        <v>0</v>
      </c>
      <c r="W1273">
        <v>0</v>
      </c>
      <c r="X1273">
        <v>0</v>
      </c>
      <c r="Y1273">
        <v>0</v>
      </c>
      <c r="Z1273">
        <v>11.9</v>
      </c>
      <c r="AA1273">
        <v>19.8</v>
      </c>
      <c r="AB1273">
        <v>345</v>
      </c>
      <c r="AC1273">
        <v>52</v>
      </c>
      <c r="AD1273">
        <v>13</v>
      </c>
      <c r="AE1273">
        <v>8.1</v>
      </c>
      <c r="AF1273">
        <v>51.508000000000003</v>
      </c>
      <c r="AG1273">
        <v>16.875</v>
      </c>
      <c r="AH1273">
        <v>47.847999999999999</v>
      </c>
      <c r="AI1273">
        <v>99.043000000000006</v>
      </c>
      <c r="AJ1273">
        <v>90.602000000000004</v>
      </c>
      <c r="AK1273">
        <v>99.307000000000002</v>
      </c>
      <c r="AL1273">
        <v>0.432</v>
      </c>
      <c r="AM1273">
        <v>47.847999999999999</v>
      </c>
      <c r="AN1273">
        <v>16.875</v>
      </c>
      <c r="AO1273">
        <v>51.508000000000003</v>
      </c>
      <c r="AP1273">
        <v>-0.432</v>
      </c>
      <c r="AQ1273">
        <v>9.3979999999999997</v>
      </c>
      <c r="AR1273">
        <v>0.95699999999999996</v>
      </c>
      <c r="AS1273">
        <v>0.69299999999999995</v>
      </c>
    </row>
    <row r="1274" spans="1:45" x14ac:dyDescent="0.25">
      <c r="A1274">
        <v>33</v>
      </c>
      <c r="B1274">
        <v>-5</v>
      </c>
      <c r="C1274">
        <v>0</v>
      </c>
      <c r="D1274">
        <v>2022</v>
      </c>
      <c r="E1274">
        <v>16</v>
      </c>
      <c r="F1274" t="str">
        <f>IFERROR(VLOOKUP(G1274, Map!$A$1:$B$33, 2, FALSE),"WAS")</f>
        <v>TEN</v>
      </c>
      <c r="G1274" t="s">
        <v>140</v>
      </c>
      <c r="H1274" t="str">
        <f>IFERROR(VLOOKUP(I1274, Map!$A$1:$B$33, 2, FALSE),"WAS")</f>
        <v>HOU</v>
      </c>
      <c r="I1274" t="s">
        <v>137</v>
      </c>
      <c r="J1274" t="s">
        <v>174</v>
      </c>
      <c r="K1274" t="s">
        <v>209</v>
      </c>
      <c r="L1274">
        <v>0</v>
      </c>
      <c r="M1274">
        <v>0</v>
      </c>
      <c r="N1274">
        <v>32.470588235294102</v>
      </c>
      <c r="O1274">
        <v>-2.9411764705882399</v>
      </c>
      <c r="P1274">
        <v>-3</v>
      </c>
      <c r="Q1274">
        <v>34</v>
      </c>
      <c r="R1274">
        <v>-10.6</v>
      </c>
      <c r="S1274">
        <v>-3.1</v>
      </c>
      <c r="T1274">
        <v>-15.5</v>
      </c>
      <c r="U1274">
        <v>-16.7</v>
      </c>
      <c r="V1274">
        <v>0</v>
      </c>
      <c r="W1274">
        <v>0</v>
      </c>
      <c r="X1274">
        <v>0</v>
      </c>
      <c r="Y1274">
        <v>0</v>
      </c>
      <c r="Z1274">
        <v>19.8</v>
      </c>
      <c r="AA1274">
        <v>36.700000000000003</v>
      </c>
      <c r="AB1274">
        <v>262</v>
      </c>
      <c r="AC1274">
        <v>47</v>
      </c>
      <c r="AD1274">
        <v>30.7</v>
      </c>
      <c r="AE1274">
        <v>16.100000000000001</v>
      </c>
      <c r="AF1274">
        <v>55.36</v>
      </c>
      <c r="AG1274">
        <v>3.8740000000000001</v>
      </c>
      <c r="AH1274">
        <v>44.048999999999999</v>
      </c>
      <c r="AI1274">
        <v>71.337999999999994</v>
      </c>
      <c r="AJ1274">
        <v>12.993</v>
      </c>
      <c r="AK1274">
        <v>37.86</v>
      </c>
      <c r="AL1274">
        <v>1.5229999999999999</v>
      </c>
      <c r="AM1274">
        <v>44.048999999999999</v>
      </c>
      <c r="AN1274">
        <v>3.8740000000000001</v>
      </c>
      <c r="AO1274">
        <v>55.36</v>
      </c>
      <c r="AP1274">
        <v>-1.5229999999999999</v>
      </c>
      <c r="AQ1274">
        <v>87.007000000000005</v>
      </c>
      <c r="AR1274">
        <v>28.661999999999999</v>
      </c>
      <c r="AS1274">
        <v>62.14</v>
      </c>
    </row>
    <row r="1275" spans="1:45" x14ac:dyDescent="0.25">
      <c r="A1275">
        <v>40</v>
      </c>
      <c r="B1275">
        <v>-4</v>
      </c>
      <c r="C1275">
        <v>0</v>
      </c>
      <c r="D1275">
        <v>2022</v>
      </c>
      <c r="E1275">
        <v>16</v>
      </c>
      <c r="F1275" t="str">
        <f>IFERROR(VLOOKUP(G1275, Map!$A$1:$B$33, 2, FALSE),"WAS")</f>
        <v>NE</v>
      </c>
      <c r="G1275" t="s">
        <v>151</v>
      </c>
      <c r="H1275" t="str">
        <f>IFERROR(VLOOKUP(I1275, Map!$A$1:$B$33, 2, FALSE),"WAS")</f>
        <v>CIN</v>
      </c>
      <c r="I1275" t="s">
        <v>161</v>
      </c>
      <c r="J1275" t="s">
        <v>187</v>
      </c>
      <c r="K1275" t="s">
        <v>176</v>
      </c>
      <c r="L1275">
        <v>0</v>
      </c>
      <c r="M1275">
        <v>0</v>
      </c>
      <c r="N1275">
        <v>38.823529411764703</v>
      </c>
      <c r="O1275">
        <v>2.5588235294117601</v>
      </c>
      <c r="P1275">
        <v>2.5</v>
      </c>
      <c r="Q1275">
        <v>39.5</v>
      </c>
      <c r="R1275">
        <v>-8.9</v>
      </c>
      <c r="S1275">
        <v>1.2</v>
      </c>
      <c r="T1275">
        <v>-12.9</v>
      </c>
      <c r="U1275">
        <v>-15.8</v>
      </c>
      <c r="V1275">
        <v>0</v>
      </c>
      <c r="W1275">
        <v>0</v>
      </c>
      <c r="X1275">
        <v>0</v>
      </c>
      <c r="Y1275">
        <v>0</v>
      </c>
      <c r="Z1275">
        <v>34.9</v>
      </c>
      <c r="AA1275">
        <v>75.599999999999994</v>
      </c>
      <c r="AB1275">
        <v>238</v>
      </c>
      <c r="AC1275">
        <v>38</v>
      </c>
      <c r="AD1275">
        <v>49</v>
      </c>
      <c r="AE1275">
        <v>21.3</v>
      </c>
      <c r="AF1275">
        <v>30.372</v>
      </c>
      <c r="AG1275">
        <v>90.540999999999997</v>
      </c>
      <c r="AH1275">
        <v>69.305999999999997</v>
      </c>
      <c r="AI1275">
        <v>45.674999999999997</v>
      </c>
      <c r="AJ1275">
        <v>17.731000000000002</v>
      </c>
      <c r="AK1275">
        <v>24.135999999999999</v>
      </c>
      <c r="AL1275">
        <v>-5.8789999999999996</v>
      </c>
      <c r="AM1275">
        <v>69.305999999999997</v>
      </c>
      <c r="AN1275">
        <v>90.540999999999997</v>
      </c>
      <c r="AO1275">
        <v>30.372</v>
      </c>
      <c r="AP1275">
        <v>5.8789999999999996</v>
      </c>
      <c r="AQ1275">
        <v>82.269000000000005</v>
      </c>
      <c r="AR1275">
        <v>54.325000000000003</v>
      </c>
      <c r="AS1275">
        <v>75.864000000000004</v>
      </c>
    </row>
    <row r="1276" spans="1:45" x14ac:dyDescent="0.25">
      <c r="A1276">
        <v>60</v>
      </c>
      <c r="B1276">
        <v>14</v>
      </c>
      <c r="C1276">
        <v>1</v>
      </c>
      <c r="D1276">
        <v>2022</v>
      </c>
      <c r="E1276">
        <v>16</v>
      </c>
      <c r="F1276" t="str">
        <f>IFERROR(VLOOKUP(G1276, Map!$A$1:$B$33, 2, FALSE),"WAS")</f>
        <v>CAR</v>
      </c>
      <c r="G1276" t="s">
        <v>142</v>
      </c>
      <c r="H1276" t="str">
        <f>IFERROR(VLOOKUP(I1276, Map!$A$1:$B$33, 2, FALSE),"WAS")</f>
        <v>DET</v>
      </c>
      <c r="I1276" t="s">
        <v>164</v>
      </c>
      <c r="J1276" t="s">
        <v>185</v>
      </c>
      <c r="K1276" t="s">
        <v>173</v>
      </c>
      <c r="L1276">
        <v>1</v>
      </c>
      <c r="M1276">
        <v>0</v>
      </c>
      <c r="N1276">
        <v>41.705882352941202</v>
      </c>
      <c r="O1276">
        <v>1.1470588235294099</v>
      </c>
      <c r="P1276">
        <v>2</v>
      </c>
      <c r="Q1276">
        <v>43.5</v>
      </c>
      <c r="R1276">
        <v>-8.3000000000000007</v>
      </c>
      <c r="S1276">
        <v>-1.7</v>
      </c>
      <c r="T1276">
        <v>-13</v>
      </c>
      <c r="U1276">
        <v>-14.7</v>
      </c>
      <c r="V1276">
        <v>0</v>
      </c>
      <c r="W1276">
        <v>0</v>
      </c>
      <c r="X1276">
        <v>0</v>
      </c>
      <c r="Y1276">
        <v>0</v>
      </c>
      <c r="Z1276">
        <v>20.8</v>
      </c>
      <c r="AA1276">
        <v>47.5</v>
      </c>
      <c r="AB1276">
        <v>271</v>
      </c>
      <c r="AC1276">
        <v>33</v>
      </c>
      <c r="AD1276">
        <v>33.299999999999997</v>
      </c>
      <c r="AE1276">
        <v>16.8</v>
      </c>
      <c r="AF1276">
        <v>58.164999999999999</v>
      </c>
      <c r="AG1276">
        <v>18.678999999999998</v>
      </c>
      <c r="AH1276">
        <v>41.301000000000002</v>
      </c>
      <c r="AI1276">
        <v>48.468000000000004</v>
      </c>
      <c r="AJ1276">
        <v>97.516999999999996</v>
      </c>
      <c r="AK1276">
        <v>90.584000000000003</v>
      </c>
      <c r="AL1276">
        <v>2.3410000000000002</v>
      </c>
      <c r="AM1276">
        <v>41.301000000000002</v>
      </c>
      <c r="AN1276">
        <v>18.678999999999998</v>
      </c>
      <c r="AO1276">
        <v>58.164999999999999</v>
      </c>
      <c r="AP1276">
        <v>-2.3410000000000002</v>
      </c>
      <c r="AQ1276">
        <v>2.4830000000000001</v>
      </c>
      <c r="AR1276">
        <v>51.531999999999996</v>
      </c>
      <c r="AS1276">
        <v>9.4160000000000004</v>
      </c>
    </row>
    <row r="1277" spans="1:45" x14ac:dyDescent="0.25">
      <c r="A1277">
        <v>35</v>
      </c>
      <c r="B1277">
        <v>-3</v>
      </c>
      <c r="C1277">
        <v>0</v>
      </c>
      <c r="D1277">
        <v>2022</v>
      </c>
      <c r="E1277">
        <v>16</v>
      </c>
      <c r="F1277" t="str">
        <f>IFERROR(VLOOKUP(G1277, Map!$A$1:$B$33, 2, FALSE),"WAS")</f>
        <v>ARI</v>
      </c>
      <c r="G1277" t="s">
        <v>156</v>
      </c>
      <c r="H1277" t="str">
        <f>IFERROR(VLOOKUP(I1277, Map!$A$1:$B$33, 2, FALSE),"WAS")</f>
        <v>TB</v>
      </c>
      <c r="I1277" t="s">
        <v>141</v>
      </c>
      <c r="J1277" t="s">
        <v>190</v>
      </c>
      <c r="K1277" t="s">
        <v>186</v>
      </c>
      <c r="L1277">
        <v>0</v>
      </c>
      <c r="M1277">
        <v>0</v>
      </c>
      <c r="N1277">
        <v>38.852941176470601</v>
      </c>
      <c r="O1277">
        <v>6.5588235294117698</v>
      </c>
      <c r="P1277">
        <v>2.5</v>
      </c>
      <c r="Q1277">
        <v>36.5</v>
      </c>
      <c r="R1277">
        <v>19.100000000000001</v>
      </c>
      <c r="S1277">
        <v>26.4</v>
      </c>
      <c r="T1277">
        <v>14.7</v>
      </c>
      <c r="U1277">
        <v>17.100000000000001</v>
      </c>
      <c r="V1277">
        <v>0</v>
      </c>
      <c r="W1277">
        <v>0</v>
      </c>
      <c r="X1277">
        <v>0</v>
      </c>
      <c r="Y1277">
        <v>0</v>
      </c>
      <c r="Z1277">
        <v>9.4</v>
      </c>
      <c r="AA1277">
        <v>15.5</v>
      </c>
      <c r="AB1277">
        <v>4</v>
      </c>
      <c r="AC1277">
        <v>39</v>
      </c>
      <c r="AD1277">
        <v>10.3</v>
      </c>
      <c r="AE1277">
        <v>4.7</v>
      </c>
      <c r="AF1277">
        <v>24.378</v>
      </c>
      <c r="AG1277">
        <v>44.984999999999999</v>
      </c>
      <c r="AH1277">
        <v>75.379000000000005</v>
      </c>
      <c r="AI1277">
        <v>72.763999999999996</v>
      </c>
      <c r="AJ1277">
        <v>11.484</v>
      </c>
      <c r="AK1277">
        <v>44.267000000000003</v>
      </c>
      <c r="AL1277">
        <v>-8.0239999999999991</v>
      </c>
      <c r="AM1277">
        <v>75.379000000000005</v>
      </c>
      <c r="AN1277">
        <v>44.984999999999999</v>
      </c>
      <c r="AO1277">
        <v>24.378</v>
      </c>
      <c r="AP1277">
        <v>8.0239999999999991</v>
      </c>
      <c r="AQ1277">
        <v>88.516000000000005</v>
      </c>
      <c r="AR1277">
        <v>27.236000000000001</v>
      </c>
      <c r="AS1277">
        <v>55.732999999999997</v>
      </c>
    </row>
    <row r="1278" spans="1:45" x14ac:dyDescent="0.25">
      <c r="A1278">
        <v>48</v>
      </c>
      <c r="B1278">
        <v>-22</v>
      </c>
      <c r="C1278">
        <v>0</v>
      </c>
      <c r="D1278">
        <v>2022</v>
      </c>
      <c r="E1278">
        <v>16</v>
      </c>
      <c r="F1278" t="str">
        <f>IFERROR(VLOOKUP(G1278, Map!$A$1:$B$33, 2, FALSE),"WAS")</f>
        <v>CHI</v>
      </c>
      <c r="G1278" t="s">
        <v>163</v>
      </c>
      <c r="H1278" t="str">
        <f>IFERROR(VLOOKUP(I1278, Map!$A$1:$B$33, 2, FALSE),"WAS")</f>
        <v>BUF</v>
      </c>
      <c r="I1278" t="s">
        <v>165</v>
      </c>
      <c r="J1278" t="s">
        <v>216</v>
      </c>
      <c r="K1278" t="s">
        <v>180</v>
      </c>
      <c r="L1278">
        <v>0</v>
      </c>
      <c r="M1278">
        <v>0</v>
      </c>
      <c r="N1278">
        <v>38.117647058823501</v>
      </c>
      <c r="O1278">
        <v>8.0882352941176503</v>
      </c>
      <c r="P1278">
        <v>8</v>
      </c>
      <c r="Q1278">
        <v>40.5</v>
      </c>
      <c r="R1278">
        <v>-15.7</v>
      </c>
      <c r="S1278">
        <v>-9.6</v>
      </c>
      <c r="T1278">
        <v>-18.8</v>
      </c>
      <c r="U1278">
        <v>-24.7</v>
      </c>
      <c r="V1278">
        <v>0.2</v>
      </c>
      <c r="W1278">
        <v>0.14000000000000001</v>
      </c>
      <c r="X1278">
        <v>2</v>
      </c>
      <c r="Y1278">
        <v>0</v>
      </c>
      <c r="Z1278">
        <v>43.3</v>
      </c>
      <c r="AA1278">
        <v>67.7</v>
      </c>
      <c r="AB1278">
        <v>267</v>
      </c>
      <c r="AC1278">
        <v>55</v>
      </c>
      <c r="AD1278">
        <v>54.2</v>
      </c>
      <c r="AE1278">
        <v>35.299999999999997</v>
      </c>
      <c r="AF1278">
        <v>15.456</v>
      </c>
      <c r="AG1278">
        <v>46.802999999999997</v>
      </c>
      <c r="AH1278">
        <v>84.403000000000006</v>
      </c>
      <c r="AI1278">
        <v>41.847999999999999</v>
      </c>
      <c r="AJ1278">
        <v>4.8129999999999997</v>
      </c>
      <c r="AK1278">
        <v>17.841000000000001</v>
      </c>
      <c r="AL1278">
        <v>-12.077</v>
      </c>
      <c r="AM1278">
        <v>84.403000000000006</v>
      </c>
      <c r="AN1278">
        <v>46.802999999999997</v>
      </c>
      <c r="AO1278">
        <v>15.456</v>
      </c>
      <c r="AP1278">
        <v>12.077</v>
      </c>
      <c r="AQ1278">
        <v>95.186999999999998</v>
      </c>
      <c r="AR1278">
        <v>58.152000000000001</v>
      </c>
      <c r="AS1278">
        <v>82.159000000000006</v>
      </c>
    </row>
    <row r="1279" spans="1:45" x14ac:dyDescent="0.25">
      <c r="A1279">
        <v>51</v>
      </c>
      <c r="B1279">
        <v>3</v>
      </c>
      <c r="C1279">
        <v>1</v>
      </c>
      <c r="D1279">
        <v>2022</v>
      </c>
      <c r="E1279">
        <v>16</v>
      </c>
      <c r="F1279" t="str">
        <f>IFERROR(VLOOKUP(G1279, Map!$A$1:$B$33, 2, FALSE),"WAS")</f>
        <v>MIN</v>
      </c>
      <c r="G1279" t="s">
        <v>153</v>
      </c>
      <c r="H1279" t="str">
        <f>IFERROR(VLOOKUP(I1279, Map!$A$1:$B$33, 2, FALSE),"WAS")</f>
        <v>NYG</v>
      </c>
      <c r="I1279" t="s">
        <v>149</v>
      </c>
      <c r="J1279" t="s">
        <v>214</v>
      </c>
      <c r="K1279" t="s">
        <v>219</v>
      </c>
      <c r="L1279">
        <v>1</v>
      </c>
      <c r="M1279">
        <v>0</v>
      </c>
      <c r="N1279">
        <v>45.470588235294102</v>
      </c>
      <c r="O1279">
        <v>-4</v>
      </c>
      <c r="P1279">
        <v>-2.5</v>
      </c>
      <c r="Q1279">
        <v>47.5</v>
      </c>
      <c r="R1279">
        <v>-19.2</v>
      </c>
      <c r="S1279">
        <v>-16.5</v>
      </c>
      <c r="T1279">
        <v>-21.2</v>
      </c>
      <c r="U1279">
        <v>-26.2</v>
      </c>
      <c r="V1279">
        <v>0</v>
      </c>
      <c r="W1279">
        <v>0</v>
      </c>
      <c r="X1279">
        <v>0</v>
      </c>
      <c r="Y1279">
        <v>0</v>
      </c>
      <c r="Z1279">
        <v>27.8</v>
      </c>
      <c r="AA1279">
        <v>50</v>
      </c>
      <c r="AB1279">
        <v>308</v>
      </c>
      <c r="AC1279">
        <v>68</v>
      </c>
      <c r="AD1279">
        <v>39.200000000000003</v>
      </c>
      <c r="AE1279">
        <v>21.1</v>
      </c>
      <c r="AF1279">
        <v>69.665000000000006</v>
      </c>
      <c r="AG1279">
        <v>27.978000000000002</v>
      </c>
      <c r="AH1279">
        <v>30.007000000000001</v>
      </c>
      <c r="AI1279">
        <v>51.575000000000003</v>
      </c>
      <c r="AJ1279">
        <v>56.234999999999999</v>
      </c>
      <c r="AK1279">
        <v>57.747</v>
      </c>
      <c r="AL1279">
        <v>5.8819999999999997</v>
      </c>
      <c r="AM1279">
        <v>30.007000000000001</v>
      </c>
      <c r="AN1279">
        <v>27.978000000000002</v>
      </c>
      <c r="AO1279">
        <v>69.665000000000006</v>
      </c>
      <c r="AP1279">
        <v>-5.8819999999999997</v>
      </c>
      <c r="AQ1279">
        <v>43.765000000000001</v>
      </c>
      <c r="AR1279">
        <v>48.424999999999997</v>
      </c>
      <c r="AS1279">
        <v>42.253</v>
      </c>
    </row>
    <row r="1280" spans="1:45" x14ac:dyDescent="0.25">
      <c r="A1280">
        <v>46</v>
      </c>
      <c r="B1280">
        <v>-6</v>
      </c>
      <c r="C1280">
        <v>0</v>
      </c>
      <c r="D1280">
        <v>2022</v>
      </c>
      <c r="E1280">
        <v>16</v>
      </c>
      <c r="F1280" t="str">
        <f>IFERROR(VLOOKUP(G1280, Map!$A$1:$B$33, 2, FALSE),"WAS")</f>
        <v>MIA</v>
      </c>
      <c r="G1280" t="s">
        <v>152</v>
      </c>
      <c r="H1280" t="str">
        <f>IFERROR(VLOOKUP(I1280, Map!$A$1:$B$33, 2, FALSE),"WAS")</f>
        <v>GB</v>
      </c>
      <c r="I1280" t="s">
        <v>154</v>
      </c>
      <c r="J1280" t="s">
        <v>175</v>
      </c>
      <c r="K1280" t="s">
        <v>200</v>
      </c>
      <c r="L1280">
        <v>0</v>
      </c>
      <c r="M1280">
        <v>0</v>
      </c>
      <c r="N1280">
        <v>46.03125</v>
      </c>
      <c r="O1280">
        <v>-3</v>
      </c>
      <c r="P1280">
        <v>-3.5</v>
      </c>
      <c r="Q1280">
        <v>46.5</v>
      </c>
      <c r="R1280">
        <v>7.7</v>
      </c>
      <c r="S1280">
        <v>9.1999999999999993</v>
      </c>
      <c r="T1280">
        <v>6.4</v>
      </c>
      <c r="U1280">
        <v>3.6</v>
      </c>
      <c r="V1280">
        <v>5.9</v>
      </c>
      <c r="W1280">
        <v>0</v>
      </c>
      <c r="X1280">
        <v>12</v>
      </c>
      <c r="Y1280">
        <v>5.9</v>
      </c>
      <c r="Z1280">
        <v>17.600000000000001</v>
      </c>
      <c r="AA1280">
        <v>32.4</v>
      </c>
      <c r="AB1280">
        <v>332</v>
      </c>
      <c r="AC1280">
        <v>65</v>
      </c>
      <c r="AD1280">
        <v>28.1</v>
      </c>
      <c r="AE1280">
        <v>14.9</v>
      </c>
      <c r="AF1280">
        <v>58.533000000000001</v>
      </c>
      <c r="AG1280">
        <v>95.078000000000003</v>
      </c>
      <c r="AH1280">
        <v>40.945</v>
      </c>
      <c r="AI1280">
        <v>61.593000000000004</v>
      </c>
      <c r="AJ1280">
        <v>29.456</v>
      </c>
      <c r="AK1280">
        <v>36.082000000000001</v>
      </c>
      <c r="AL1280">
        <v>2.4500000000000002</v>
      </c>
      <c r="AM1280">
        <v>40.945</v>
      </c>
      <c r="AN1280">
        <v>95.078000000000003</v>
      </c>
      <c r="AO1280">
        <v>58.533000000000001</v>
      </c>
      <c r="AP1280">
        <v>-2.4500000000000002</v>
      </c>
      <c r="AQ1280">
        <v>70.543999999999997</v>
      </c>
      <c r="AR1280">
        <v>38.406999999999996</v>
      </c>
      <c r="AS1280">
        <v>63.917999999999999</v>
      </c>
    </row>
    <row r="1281" spans="1:45" x14ac:dyDescent="0.25">
      <c r="A1281">
        <v>27</v>
      </c>
      <c r="B1281">
        <v>-7</v>
      </c>
      <c r="C1281">
        <v>0</v>
      </c>
      <c r="D1281">
        <v>2022</v>
      </c>
      <c r="E1281">
        <v>16</v>
      </c>
      <c r="F1281" t="str">
        <f>IFERROR(VLOOKUP(G1281, Map!$A$1:$B$33, 2, FALSE),"WAS")</f>
        <v>CLE</v>
      </c>
      <c r="G1281" t="s">
        <v>162</v>
      </c>
      <c r="H1281" t="str">
        <f>IFERROR(VLOOKUP(I1281, Map!$A$1:$B$33, 2, FALSE),"WAS")</f>
        <v>NO</v>
      </c>
      <c r="I1281" t="s">
        <v>168</v>
      </c>
      <c r="J1281" t="s">
        <v>171</v>
      </c>
      <c r="K1281" t="s">
        <v>192</v>
      </c>
      <c r="L1281">
        <v>0</v>
      </c>
      <c r="M1281">
        <v>0</v>
      </c>
      <c r="N1281">
        <v>30.029411764705898</v>
      </c>
      <c r="O1281">
        <v>-2.3529411764705901</v>
      </c>
      <c r="P1281">
        <v>-3</v>
      </c>
      <c r="Q1281">
        <v>28.5</v>
      </c>
      <c r="R1281">
        <v>-16</v>
      </c>
      <c r="S1281">
        <v>-12.2</v>
      </c>
      <c r="T1281">
        <v>-18.3</v>
      </c>
      <c r="U1281">
        <v>-26.5</v>
      </c>
      <c r="V1281">
        <v>0.9</v>
      </c>
      <c r="W1281">
        <v>0.63</v>
      </c>
      <c r="X1281">
        <v>8</v>
      </c>
      <c r="Y1281">
        <v>0</v>
      </c>
      <c r="Z1281">
        <v>52.7</v>
      </c>
      <c r="AA1281">
        <v>87.8</v>
      </c>
      <c r="AB1281">
        <v>228</v>
      </c>
      <c r="AC1281">
        <v>73</v>
      </c>
      <c r="AD1281">
        <v>74.8</v>
      </c>
      <c r="AE1281">
        <v>46.2</v>
      </c>
      <c r="AF1281">
        <v>60.551000000000002</v>
      </c>
      <c r="AG1281">
        <v>60.905000000000001</v>
      </c>
      <c r="AH1281">
        <v>38.963999999999999</v>
      </c>
      <c r="AI1281">
        <v>70.754999999999995</v>
      </c>
      <c r="AJ1281">
        <v>11.194000000000001</v>
      </c>
      <c r="AK1281">
        <v>34.225999999999999</v>
      </c>
      <c r="AL1281">
        <v>3.03</v>
      </c>
      <c r="AM1281">
        <v>38.963999999999999</v>
      </c>
      <c r="AN1281">
        <v>60.905000000000001</v>
      </c>
      <c r="AO1281">
        <v>60.551000000000002</v>
      </c>
      <c r="AP1281">
        <v>-3.03</v>
      </c>
      <c r="AQ1281">
        <v>88.805999999999997</v>
      </c>
      <c r="AR1281">
        <v>29.245000000000001</v>
      </c>
      <c r="AS1281">
        <v>65.774000000000001</v>
      </c>
    </row>
    <row r="1282" spans="1:45" x14ac:dyDescent="0.25">
      <c r="A1282">
        <v>30</v>
      </c>
      <c r="B1282">
        <v>-10</v>
      </c>
      <c r="C1282">
        <v>0</v>
      </c>
      <c r="D1282">
        <v>2022</v>
      </c>
      <c r="E1282">
        <v>17</v>
      </c>
      <c r="F1282" t="str">
        <f>IFERROR(VLOOKUP(G1282, Map!$A$1:$B$33, 2, FALSE),"WAS")</f>
        <v>PHI</v>
      </c>
      <c r="G1282" t="s">
        <v>147</v>
      </c>
      <c r="H1282" t="str">
        <f>IFERROR(VLOOKUP(I1282, Map!$A$1:$B$33, 2, FALSE),"WAS")</f>
        <v>NO</v>
      </c>
      <c r="I1282" t="s">
        <v>168</v>
      </c>
      <c r="J1282" t="s">
        <v>206</v>
      </c>
      <c r="K1282" t="s">
        <v>192</v>
      </c>
      <c r="L1282">
        <v>0</v>
      </c>
      <c r="M1282">
        <v>0</v>
      </c>
      <c r="N1282">
        <v>38.65625</v>
      </c>
      <c r="O1282">
        <v>-3.84375</v>
      </c>
      <c r="P1282">
        <v>-4.5</v>
      </c>
      <c r="Q1282">
        <v>31.5</v>
      </c>
      <c r="R1282">
        <v>10.8</v>
      </c>
      <c r="S1282">
        <v>13.5</v>
      </c>
      <c r="T1282">
        <v>7.4</v>
      </c>
      <c r="U1282">
        <v>8.6999999999999993</v>
      </c>
      <c r="V1282">
        <v>9.6</v>
      </c>
      <c r="W1282">
        <v>0</v>
      </c>
      <c r="X1282">
        <v>5</v>
      </c>
      <c r="Y1282">
        <v>9.6</v>
      </c>
      <c r="Z1282">
        <v>15.6</v>
      </c>
      <c r="AA1282">
        <v>30.2</v>
      </c>
      <c r="AB1282">
        <v>268</v>
      </c>
      <c r="AC1282">
        <v>86</v>
      </c>
      <c r="AD1282">
        <v>22.3</v>
      </c>
      <c r="AE1282">
        <v>11.5</v>
      </c>
      <c r="AF1282">
        <v>65.536000000000001</v>
      </c>
      <c r="AG1282">
        <v>80.644999999999996</v>
      </c>
      <c r="AH1282">
        <v>34.07</v>
      </c>
      <c r="AI1282">
        <v>70.403999999999996</v>
      </c>
      <c r="AJ1282">
        <v>5.0090000000000003</v>
      </c>
      <c r="AK1282">
        <v>22.471</v>
      </c>
      <c r="AL1282">
        <v>4.5439999999999996</v>
      </c>
      <c r="AM1282">
        <v>34.07</v>
      </c>
      <c r="AN1282">
        <v>80.644999999999996</v>
      </c>
      <c r="AO1282">
        <v>65.536000000000001</v>
      </c>
      <c r="AP1282">
        <v>-4.5439999999999996</v>
      </c>
      <c r="AQ1282">
        <v>94.991</v>
      </c>
      <c r="AR1282">
        <v>29.596</v>
      </c>
      <c r="AS1282">
        <v>77.528999999999996</v>
      </c>
    </row>
    <row r="1283" spans="1:45" x14ac:dyDescent="0.25">
      <c r="A1283">
        <v>40</v>
      </c>
      <c r="B1283">
        <v>-14</v>
      </c>
      <c r="C1283">
        <v>0</v>
      </c>
      <c r="D1283">
        <v>2022</v>
      </c>
      <c r="E1283">
        <v>17</v>
      </c>
      <c r="F1283" t="str">
        <f>IFERROR(VLOOKUP(G1283, Map!$A$1:$B$33, 2, FALSE),"WAS")</f>
        <v>TEN</v>
      </c>
      <c r="G1283" t="s">
        <v>140</v>
      </c>
      <c r="H1283" t="str">
        <f>IFERROR(VLOOKUP(I1283, Map!$A$1:$B$33, 2, FALSE),"WAS")</f>
        <v>DAL</v>
      </c>
      <c r="I1283" t="s">
        <v>150</v>
      </c>
      <c r="J1283" t="s">
        <v>174</v>
      </c>
      <c r="K1283" t="s">
        <v>184</v>
      </c>
      <c r="L1283">
        <v>0</v>
      </c>
      <c r="M1283">
        <v>0</v>
      </c>
      <c r="N1283">
        <v>38.125</v>
      </c>
      <c r="O1283">
        <v>11.96875</v>
      </c>
      <c r="P1283">
        <v>9.5</v>
      </c>
      <c r="Q1283">
        <v>40</v>
      </c>
      <c r="R1283">
        <v>13.1</v>
      </c>
      <c r="S1283">
        <v>17.3</v>
      </c>
      <c r="T1283">
        <v>10.3</v>
      </c>
      <c r="U1283">
        <v>10.7</v>
      </c>
      <c r="V1283">
        <v>0.8</v>
      </c>
      <c r="W1283">
        <v>0</v>
      </c>
      <c r="X1283">
        <v>2</v>
      </c>
      <c r="Y1283">
        <v>0.8</v>
      </c>
      <c r="Z1283">
        <v>18.399999999999999</v>
      </c>
      <c r="AA1283">
        <v>32</v>
      </c>
      <c r="AB1283">
        <v>160</v>
      </c>
      <c r="AC1283">
        <v>77</v>
      </c>
      <c r="AD1283">
        <v>26.2</v>
      </c>
      <c r="AE1283">
        <v>14.5</v>
      </c>
      <c r="AF1283">
        <v>6.9989999999999997</v>
      </c>
      <c r="AG1283">
        <v>8.9019999999999992</v>
      </c>
      <c r="AH1283">
        <v>92.941999999999993</v>
      </c>
      <c r="AI1283">
        <v>29.346</v>
      </c>
      <c r="AJ1283">
        <v>24.797999999999998</v>
      </c>
      <c r="AK1283">
        <v>19.968</v>
      </c>
      <c r="AL1283">
        <v>-18.344000000000001</v>
      </c>
      <c r="AM1283">
        <v>92.941999999999993</v>
      </c>
      <c r="AN1283">
        <v>8.9019999999999992</v>
      </c>
      <c r="AO1283">
        <v>6.9989999999999997</v>
      </c>
      <c r="AP1283">
        <v>18.344000000000001</v>
      </c>
      <c r="AQ1283">
        <v>75.201999999999998</v>
      </c>
      <c r="AR1283">
        <v>70.653999999999996</v>
      </c>
      <c r="AS1283">
        <v>80.031999999999996</v>
      </c>
    </row>
    <row r="1284" spans="1:45" x14ac:dyDescent="0.25">
      <c r="A1284">
        <v>54</v>
      </c>
      <c r="B1284">
        <v>6</v>
      </c>
      <c r="C1284">
        <v>1</v>
      </c>
      <c r="D1284">
        <v>2022</v>
      </c>
      <c r="E1284">
        <v>17</v>
      </c>
      <c r="F1284" t="str">
        <f>IFERROR(VLOOKUP(G1284, Map!$A$1:$B$33, 2, FALSE),"WAS")</f>
        <v>TB</v>
      </c>
      <c r="G1284" t="s">
        <v>141</v>
      </c>
      <c r="H1284" t="str">
        <f>IFERROR(VLOOKUP(I1284, Map!$A$1:$B$33, 2, FALSE),"WAS")</f>
        <v>CAR</v>
      </c>
      <c r="I1284" t="s">
        <v>142</v>
      </c>
      <c r="J1284" t="s">
        <v>186</v>
      </c>
      <c r="K1284" t="s">
        <v>185</v>
      </c>
      <c r="L1284">
        <v>1</v>
      </c>
      <c r="M1284">
        <v>0</v>
      </c>
      <c r="N1284">
        <v>38.8125</v>
      </c>
      <c r="O1284">
        <v>-3.4375</v>
      </c>
      <c r="P1284">
        <v>-3.5</v>
      </c>
      <c r="Q1284">
        <v>39.5</v>
      </c>
      <c r="R1284">
        <v>21.2</v>
      </c>
      <c r="S1284">
        <v>24.3</v>
      </c>
      <c r="T1284">
        <v>19.3</v>
      </c>
      <c r="U1284">
        <v>24</v>
      </c>
      <c r="V1284">
        <v>0.6</v>
      </c>
      <c r="W1284">
        <v>0</v>
      </c>
      <c r="X1284">
        <v>4</v>
      </c>
      <c r="Y1284">
        <v>0.6</v>
      </c>
      <c r="Z1284">
        <v>19.100000000000001</v>
      </c>
      <c r="AA1284">
        <v>29.5</v>
      </c>
      <c r="AB1284">
        <v>208</v>
      </c>
      <c r="AC1284">
        <v>95</v>
      </c>
      <c r="AD1284">
        <v>17.3</v>
      </c>
      <c r="AE1284">
        <v>8.9</v>
      </c>
      <c r="AF1284">
        <v>51.927999999999997</v>
      </c>
      <c r="AG1284">
        <v>59.392000000000003</v>
      </c>
      <c r="AH1284">
        <v>47.433999999999997</v>
      </c>
      <c r="AI1284">
        <v>61.860999999999997</v>
      </c>
      <c r="AJ1284">
        <v>69.713999999999999</v>
      </c>
      <c r="AK1284">
        <v>61.493000000000002</v>
      </c>
      <c r="AL1284">
        <v>0.53700000000000003</v>
      </c>
      <c r="AM1284">
        <v>47.433999999999997</v>
      </c>
      <c r="AN1284">
        <v>59.392000000000003</v>
      </c>
      <c r="AO1284">
        <v>51.927999999999997</v>
      </c>
      <c r="AP1284">
        <v>-0.53700000000000003</v>
      </c>
      <c r="AQ1284">
        <v>30.286000000000001</v>
      </c>
      <c r="AR1284">
        <v>38.139000000000003</v>
      </c>
      <c r="AS1284">
        <v>38.506999999999998</v>
      </c>
    </row>
    <row r="1285" spans="1:45" x14ac:dyDescent="0.25">
      <c r="A1285">
        <v>51</v>
      </c>
      <c r="B1285">
        <v>31</v>
      </c>
      <c r="C1285">
        <v>1</v>
      </c>
      <c r="D1285">
        <v>2022</v>
      </c>
      <c r="E1285">
        <v>17</v>
      </c>
      <c r="F1285" t="str">
        <f>IFERROR(VLOOKUP(G1285, Map!$A$1:$B$33, 2, FALSE),"WAS")</f>
        <v>DET</v>
      </c>
      <c r="G1285" t="s">
        <v>164</v>
      </c>
      <c r="H1285" t="str">
        <f>IFERROR(VLOOKUP(I1285, Map!$A$1:$B$33, 2, FALSE),"WAS")</f>
        <v>CHI</v>
      </c>
      <c r="I1285" t="s">
        <v>163</v>
      </c>
      <c r="J1285" t="s">
        <v>173</v>
      </c>
      <c r="K1285" t="s">
        <v>216</v>
      </c>
      <c r="L1285">
        <v>1</v>
      </c>
      <c r="M1285">
        <v>0</v>
      </c>
      <c r="N1285">
        <v>49.90625</v>
      </c>
      <c r="O1285">
        <v>-5.40625</v>
      </c>
      <c r="P1285">
        <v>-4</v>
      </c>
      <c r="Q1285">
        <v>51.5</v>
      </c>
      <c r="R1285">
        <v>2</v>
      </c>
      <c r="S1285">
        <v>7.2</v>
      </c>
      <c r="T1285">
        <v>-2.6</v>
      </c>
      <c r="U1285">
        <v>-1.4</v>
      </c>
      <c r="V1285">
        <v>1.5</v>
      </c>
      <c r="W1285">
        <v>0.56000000000000005</v>
      </c>
      <c r="X1285">
        <v>2</v>
      </c>
      <c r="Y1285">
        <v>0.7</v>
      </c>
      <c r="Z1285">
        <v>18</v>
      </c>
      <c r="AA1285">
        <v>28.8</v>
      </c>
      <c r="AB1285">
        <v>229</v>
      </c>
      <c r="AC1285">
        <v>94</v>
      </c>
      <c r="AD1285">
        <v>16.7</v>
      </c>
      <c r="AE1285">
        <v>10.1</v>
      </c>
      <c r="AF1285">
        <v>69.171000000000006</v>
      </c>
      <c r="AG1285">
        <v>17.603999999999999</v>
      </c>
      <c r="AH1285">
        <v>30.495000000000001</v>
      </c>
      <c r="AI1285">
        <v>74.111999999999995</v>
      </c>
      <c r="AJ1285">
        <v>95.962999999999994</v>
      </c>
      <c r="AK1285">
        <v>96.281999999999996</v>
      </c>
      <c r="AL1285">
        <v>5.7359999999999998</v>
      </c>
      <c r="AM1285">
        <v>30.495000000000001</v>
      </c>
      <c r="AN1285">
        <v>17.603999999999999</v>
      </c>
      <c r="AO1285">
        <v>69.171000000000006</v>
      </c>
      <c r="AP1285">
        <v>-5.7359999999999998</v>
      </c>
      <c r="AQ1285">
        <v>4.0369999999999999</v>
      </c>
      <c r="AR1285">
        <v>25.888000000000002</v>
      </c>
      <c r="AS1285">
        <v>3.718</v>
      </c>
    </row>
    <row r="1286" spans="1:45" x14ac:dyDescent="0.25">
      <c r="A1286">
        <v>44</v>
      </c>
      <c r="B1286">
        <v>2</v>
      </c>
      <c r="C1286">
        <v>1</v>
      </c>
      <c r="D1286">
        <v>2022</v>
      </c>
      <c r="E1286">
        <v>17</v>
      </c>
      <c r="F1286" t="str">
        <f>IFERROR(VLOOKUP(G1286, Map!$A$1:$B$33, 2, FALSE),"WAS")</f>
        <v>NE</v>
      </c>
      <c r="G1286" t="s">
        <v>151</v>
      </c>
      <c r="H1286" t="str">
        <f>IFERROR(VLOOKUP(I1286, Map!$A$1:$B$33, 2, FALSE),"WAS")</f>
        <v>MIA</v>
      </c>
      <c r="I1286" t="s">
        <v>152</v>
      </c>
      <c r="J1286" t="s">
        <v>187</v>
      </c>
      <c r="K1286" t="s">
        <v>175</v>
      </c>
      <c r="L1286">
        <v>1</v>
      </c>
      <c r="M1286">
        <v>0</v>
      </c>
      <c r="N1286">
        <v>38.84375</v>
      </c>
      <c r="O1286">
        <v>-2.6875</v>
      </c>
      <c r="P1286">
        <v>-1.5</v>
      </c>
      <c r="Q1286">
        <v>38.5</v>
      </c>
      <c r="R1286">
        <v>9.9</v>
      </c>
      <c r="S1286">
        <v>11.1</v>
      </c>
      <c r="T1286">
        <v>5.9</v>
      </c>
      <c r="U1286">
        <v>7.3</v>
      </c>
      <c r="V1286">
        <v>11</v>
      </c>
      <c r="W1286">
        <v>0</v>
      </c>
      <c r="X1286">
        <v>10</v>
      </c>
      <c r="Y1286">
        <v>11</v>
      </c>
      <c r="Z1286">
        <v>21.2</v>
      </c>
      <c r="AA1286">
        <v>47.2</v>
      </c>
      <c r="AB1286">
        <v>265</v>
      </c>
      <c r="AC1286">
        <v>87</v>
      </c>
      <c r="AD1286">
        <v>32.200000000000003</v>
      </c>
      <c r="AE1286">
        <v>14.8</v>
      </c>
      <c r="AF1286">
        <v>67.393000000000001</v>
      </c>
      <c r="AG1286">
        <v>72.817999999999998</v>
      </c>
      <c r="AH1286">
        <v>32.243000000000002</v>
      </c>
      <c r="AI1286">
        <v>69.010999999999996</v>
      </c>
      <c r="AJ1286">
        <v>49.295000000000002</v>
      </c>
      <c r="AK1286">
        <v>58.26</v>
      </c>
      <c r="AL1286">
        <v>5.1449999999999996</v>
      </c>
      <c r="AM1286">
        <v>32.243000000000002</v>
      </c>
      <c r="AN1286">
        <v>72.817999999999998</v>
      </c>
      <c r="AO1286">
        <v>67.393000000000001</v>
      </c>
      <c r="AP1286">
        <v>-5.1449999999999996</v>
      </c>
      <c r="AQ1286">
        <v>50.704999999999998</v>
      </c>
      <c r="AR1286">
        <v>30.989000000000001</v>
      </c>
      <c r="AS1286">
        <v>41.74</v>
      </c>
    </row>
    <row r="1287" spans="1:45" x14ac:dyDescent="0.25">
      <c r="A1287">
        <v>34</v>
      </c>
      <c r="B1287">
        <v>-28</v>
      </c>
      <c r="C1287">
        <v>0</v>
      </c>
      <c r="D1287">
        <v>2022</v>
      </c>
      <c r="E1287">
        <v>17</v>
      </c>
      <c r="F1287" t="str">
        <f>IFERROR(VLOOKUP(G1287, Map!$A$1:$B$33, 2, FALSE),"WAS")</f>
        <v>HOU</v>
      </c>
      <c r="G1287" t="s">
        <v>137</v>
      </c>
      <c r="H1287" t="str">
        <f>IFERROR(VLOOKUP(I1287, Map!$A$1:$B$33, 2, FALSE),"WAS")</f>
        <v>JAX</v>
      </c>
      <c r="I1287" t="s">
        <v>139</v>
      </c>
      <c r="J1287" t="s">
        <v>209</v>
      </c>
      <c r="K1287" t="s">
        <v>220</v>
      </c>
      <c r="L1287">
        <v>0</v>
      </c>
      <c r="M1287">
        <v>0</v>
      </c>
      <c r="N1287">
        <v>40.75</v>
      </c>
      <c r="O1287">
        <v>4.90625</v>
      </c>
      <c r="P1287">
        <v>3.5</v>
      </c>
      <c r="Q1287">
        <v>40.5</v>
      </c>
      <c r="R1287">
        <v>19.2</v>
      </c>
      <c r="S1287">
        <v>26.1</v>
      </c>
      <c r="T1287">
        <v>14.8</v>
      </c>
      <c r="U1287">
        <v>19.7</v>
      </c>
      <c r="V1287">
        <v>0.8</v>
      </c>
      <c r="W1287">
        <v>0</v>
      </c>
      <c r="X1287">
        <v>6</v>
      </c>
      <c r="Y1287">
        <v>0.8</v>
      </c>
      <c r="Z1287">
        <v>21.2</v>
      </c>
      <c r="AA1287">
        <v>36.700000000000003</v>
      </c>
      <c r="AB1287">
        <v>190</v>
      </c>
      <c r="AC1287">
        <v>87</v>
      </c>
      <c r="AD1287">
        <v>22.5</v>
      </c>
      <c r="AE1287">
        <v>13.4</v>
      </c>
      <c r="AF1287">
        <v>31.419</v>
      </c>
      <c r="AG1287">
        <v>20.004999999999999</v>
      </c>
      <c r="AH1287">
        <v>68.238</v>
      </c>
      <c r="AI1287">
        <v>30.945</v>
      </c>
      <c r="AJ1287">
        <v>0.56499999999999995</v>
      </c>
      <c r="AK1287">
        <v>1.742</v>
      </c>
      <c r="AL1287">
        <v>-5.5289999999999999</v>
      </c>
      <c r="AM1287">
        <v>68.238</v>
      </c>
      <c r="AN1287">
        <v>20.004999999999999</v>
      </c>
      <c r="AO1287">
        <v>31.419</v>
      </c>
      <c r="AP1287">
        <v>5.5289999999999999</v>
      </c>
      <c r="AQ1287">
        <v>99.435000000000002</v>
      </c>
      <c r="AR1287">
        <v>69.055000000000007</v>
      </c>
      <c r="AS1287">
        <v>98.257999999999996</v>
      </c>
    </row>
    <row r="1288" spans="1:45" x14ac:dyDescent="0.25">
      <c r="A1288">
        <v>71</v>
      </c>
      <c r="B1288">
        <v>-3</v>
      </c>
      <c r="C1288">
        <v>0</v>
      </c>
      <c r="D1288">
        <v>2022</v>
      </c>
      <c r="E1288">
        <v>17</v>
      </c>
      <c r="F1288" t="str">
        <f>IFERROR(VLOOKUP(G1288, Map!$A$1:$B$33, 2, FALSE),"WAS")</f>
        <v>LV</v>
      </c>
      <c r="G1288" t="s">
        <v>157</v>
      </c>
      <c r="H1288" t="str">
        <f>IFERROR(VLOOKUP(I1288, Map!$A$1:$B$33, 2, FALSE),"WAS")</f>
        <v>SF</v>
      </c>
      <c r="I1288" t="s">
        <v>143</v>
      </c>
      <c r="J1288" t="s">
        <v>179</v>
      </c>
      <c r="K1288" t="s">
        <v>197</v>
      </c>
      <c r="L1288">
        <v>0</v>
      </c>
      <c r="M1288">
        <v>0</v>
      </c>
      <c r="N1288">
        <v>42.566666666666698</v>
      </c>
      <c r="O1288">
        <v>8.9</v>
      </c>
      <c r="P1288">
        <v>2.5</v>
      </c>
      <c r="Q1288">
        <v>41</v>
      </c>
      <c r="R1288">
        <v>12.6</v>
      </c>
      <c r="S1288">
        <v>16.8</v>
      </c>
      <c r="T1288">
        <v>9.6</v>
      </c>
      <c r="U1288">
        <v>9.1999999999999993</v>
      </c>
      <c r="V1288">
        <v>8.8000000000000007</v>
      </c>
      <c r="W1288">
        <v>0</v>
      </c>
      <c r="X1288">
        <v>9</v>
      </c>
      <c r="Y1288">
        <v>8.8000000000000007</v>
      </c>
      <c r="Z1288">
        <v>28.3</v>
      </c>
      <c r="AA1288">
        <v>45</v>
      </c>
      <c r="AB1288">
        <v>179</v>
      </c>
      <c r="AC1288">
        <v>68</v>
      </c>
      <c r="AD1288">
        <v>30.7</v>
      </c>
      <c r="AE1288">
        <v>17.5</v>
      </c>
      <c r="AF1288">
        <v>15.215999999999999</v>
      </c>
      <c r="AG1288">
        <v>3.4489999999999998</v>
      </c>
      <c r="AH1288">
        <v>84.646000000000001</v>
      </c>
      <c r="AI1288">
        <v>12.941000000000001</v>
      </c>
      <c r="AJ1288">
        <v>66.009</v>
      </c>
      <c r="AK1288">
        <v>34.314999999999998</v>
      </c>
      <c r="AL1288">
        <v>-12.154999999999999</v>
      </c>
      <c r="AM1288">
        <v>84.646000000000001</v>
      </c>
      <c r="AN1288">
        <v>3.4489999999999998</v>
      </c>
      <c r="AO1288">
        <v>15.215999999999999</v>
      </c>
      <c r="AP1288">
        <v>12.154999999999999</v>
      </c>
      <c r="AQ1288">
        <v>33.991</v>
      </c>
      <c r="AR1288">
        <v>87.058999999999997</v>
      </c>
      <c r="AS1288">
        <v>65.685000000000002</v>
      </c>
    </row>
    <row r="1289" spans="1:45" x14ac:dyDescent="0.25">
      <c r="A1289">
        <v>0</v>
      </c>
      <c r="B1289">
        <v>0</v>
      </c>
      <c r="C1289">
        <v>0</v>
      </c>
      <c r="D1289">
        <v>2022</v>
      </c>
      <c r="E1289">
        <v>17</v>
      </c>
      <c r="F1289" t="str">
        <f>IFERROR(VLOOKUP(G1289, Map!$A$1:$B$33, 2, FALSE),"WAS")</f>
        <v>CIN</v>
      </c>
      <c r="G1289" t="s">
        <v>161</v>
      </c>
      <c r="H1289" t="str">
        <f>IFERROR(VLOOKUP(I1289, Map!$A$1:$B$33, 2, FALSE),"WAS")</f>
        <v>BUF</v>
      </c>
      <c r="I1289" t="s">
        <v>165</v>
      </c>
      <c r="J1289" t="s">
        <v>176</v>
      </c>
      <c r="K1289" t="s">
        <v>180</v>
      </c>
      <c r="L1289">
        <v>0</v>
      </c>
      <c r="M1289">
        <v>0</v>
      </c>
      <c r="N1289">
        <v>47.84375</v>
      </c>
      <c r="O1289">
        <v>1.84375</v>
      </c>
      <c r="P1289">
        <v>1.5</v>
      </c>
      <c r="Q1289">
        <v>49.5</v>
      </c>
      <c r="R1289">
        <v>15.7</v>
      </c>
      <c r="S1289">
        <v>17.3</v>
      </c>
      <c r="T1289">
        <v>13.5</v>
      </c>
      <c r="U1289">
        <v>14.9</v>
      </c>
      <c r="V1289">
        <v>35.4</v>
      </c>
      <c r="W1289">
        <v>0</v>
      </c>
      <c r="X1289">
        <v>20</v>
      </c>
      <c r="Y1289">
        <v>35.4</v>
      </c>
      <c r="Z1289">
        <v>29.9</v>
      </c>
      <c r="AA1289">
        <v>64.8</v>
      </c>
      <c r="AB1289">
        <v>194</v>
      </c>
      <c r="AC1289">
        <v>94</v>
      </c>
      <c r="AD1289">
        <v>36.700000000000003</v>
      </c>
      <c r="AE1289">
        <v>16.100000000000001</v>
      </c>
      <c r="AF1289">
        <v>44.363999999999997</v>
      </c>
      <c r="AG1289">
        <v>49.39</v>
      </c>
      <c r="AH1289">
        <v>55.058999999999997</v>
      </c>
      <c r="AI1289">
        <v>0</v>
      </c>
      <c r="AJ1289">
        <v>0</v>
      </c>
      <c r="AK1289">
        <v>0</v>
      </c>
      <c r="AL1289">
        <v>-1.62</v>
      </c>
      <c r="AM1289">
        <v>55.058999999999997</v>
      </c>
      <c r="AN1289">
        <v>49.39</v>
      </c>
      <c r="AO1289">
        <v>44.363999999999997</v>
      </c>
      <c r="AP1289">
        <v>1.62</v>
      </c>
      <c r="AQ1289">
        <v>0</v>
      </c>
      <c r="AR1289">
        <v>0</v>
      </c>
      <c r="AS1289">
        <v>0</v>
      </c>
    </row>
    <row r="1290" spans="1:45" x14ac:dyDescent="0.25">
      <c r="A1290">
        <v>29</v>
      </c>
      <c r="B1290">
        <v>17</v>
      </c>
      <c r="C1290">
        <v>1</v>
      </c>
      <c r="D1290">
        <v>2022</v>
      </c>
      <c r="E1290">
        <v>17</v>
      </c>
      <c r="F1290" t="str">
        <f>IFERROR(VLOOKUP(G1290, Map!$A$1:$B$33, 2, FALSE),"WAS")</f>
        <v>SEA</v>
      </c>
      <c r="G1290" t="s">
        <v>144</v>
      </c>
      <c r="H1290" t="str">
        <f>IFERROR(VLOOKUP(I1290, Map!$A$1:$B$33, 2, FALSE),"WAS")</f>
        <v>NYJ</v>
      </c>
      <c r="I1290" t="s">
        <v>166</v>
      </c>
      <c r="J1290" t="s">
        <v>182</v>
      </c>
      <c r="K1290" t="s">
        <v>172</v>
      </c>
      <c r="L1290">
        <v>1</v>
      </c>
      <c r="M1290">
        <v>0</v>
      </c>
      <c r="N1290">
        <v>39.71875</v>
      </c>
      <c r="O1290">
        <v>0.21875</v>
      </c>
      <c r="P1290">
        <v>1</v>
      </c>
      <c r="Q1290">
        <v>32.5</v>
      </c>
      <c r="R1290">
        <v>5.0999999999999996</v>
      </c>
      <c r="S1290">
        <v>7.4</v>
      </c>
      <c r="T1290">
        <v>2.7</v>
      </c>
      <c r="U1290">
        <v>2.9</v>
      </c>
      <c r="V1290">
        <v>0.7</v>
      </c>
      <c r="W1290">
        <v>0</v>
      </c>
      <c r="X1290">
        <v>3</v>
      </c>
      <c r="Y1290">
        <v>0.7</v>
      </c>
      <c r="Z1290">
        <v>8</v>
      </c>
      <c r="AA1290">
        <v>13.7</v>
      </c>
      <c r="AB1290">
        <v>149</v>
      </c>
      <c r="AC1290">
        <v>94</v>
      </c>
      <c r="AD1290">
        <v>10.199999999999999</v>
      </c>
      <c r="AE1290">
        <v>5.2</v>
      </c>
      <c r="AF1290">
        <v>62.828000000000003</v>
      </c>
      <c r="AG1290">
        <v>11.528</v>
      </c>
      <c r="AH1290">
        <v>36.729999999999997</v>
      </c>
      <c r="AI1290">
        <v>92.802999999999997</v>
      </c>
      <c r="AJ1290">
        <v>66.304000000000002</v>
      </c>
      <c r="AK1290">
        <v>88.278999999999996</v>
      </c>
      <c r="AL1290">
        <v>3.71</v>
      </c>
      <c r="AM1290">
        <v>36.729999999999997</v>
      </c>
      <c r="AN1290">
        <v>11.528</v>
      </c>
      <c r="AO1290">
        <v>62.828000000000003</v>
      </c>
      <c r="AP1290">
        <v>-3.71</v>
      </c>
      <c r="AQ1290">
        <v>33.695999999999998</v>
      </c>
      <c r="AR1290">
        <v>7.1970000000000001</v>
      </c>
      <c r="AS1290">
        <v>11.721</v>
      </c>
    </row>
    <row r="1291" spans="1:45" x14ac:dyDescent="0.25">
      <c r="A1291">
        <v>41</v>
      </c>
      <c r="B1291">
        <v>21</v>
      </c>
      <c r="C1291">
        <v>1</v>
      </c>
      <c r="D1291">
        <v>2022</v>
      </c>
      <c r="E1291">
        <v>17</v>
      </c>
      <c r="F1291" t="str">
        <f>IFERROR(VLOOKUP(G1291, Map!$A$1:$B$33, 2, FALSE),"WAS")</f>
        <v>LAC</v>
      </c>
      <c r="G1291" t="s">
        <v>160</v>
      </c>
      <c r="H1291" t="str">
        <f>IFERROR(VLOOKUP(I1291, Map!$A$1:$B$33, 2, FALSE),"WAS")</f>
        <v>LA</v>
      </c>
      <c r="I1291" t="s">
        <v>155</v>
      </c>
      <c r="J1291" t="s">
        <v>210</v>
      </c>
      <c r="K1291" t="s">
        <v>178</v>
      </c>
      <c r="L1291">
        <v>1</v>
      </c>
      <c r="M1291">
        <v>0</v>
      </c>
      <c r="N1291">
        <v>38.65625</v>
      </c>
      <c r="O1291">
        <v>-7.0625</v>
      </c>
      <c r="P1291">
        <v>-6.5</v>
      </c>
      <c r="Q1291">
        <v>40.5</v>
      </c>
      <c r="R1291">
        <v>13.5</v>
      </c>
      <c r="S1291">
        <v>15.9</v>
      </c>
      <c r="T1291">
        <v>9.1</v>
      </c>
      <c r="U1291">
        <v>11.3</v>
      </c>
      <c r="V1291">
        <v>19.2</v>
      </c>
      <c r="W1291">
        <v>0</v>
      </c>
      <c r="X1291">
        <v>9</v>
      </c>
      <c r="Y1291">
        <v>19.2</v>
      </c>
      <c r="Z1291">
        <v>45.5</v>
      </c>
      <c r="AA1291">
        <v>69.5</v>
      </c>
      <c r="AB1291">
        <v>229</v>
      </c>
      <c r="AC1291">
        <v>85</v>
      </c>
      <c r="AD1291">
        <v>31.3</v>
      </c>
      <c r="AE1291">
        <v>17.399999999999999</v>
      </c>
      <c r="AF1291">
        <v>76.48</v>
      </c>
      <c r="AG1291">
        <v>72.738</v>
      </c>
      <c r="AH1291">
        <v>23.286000000000001</v>
      </c>
      <c r="AI1291">
        <v>50.392000000000003</v>
      </c>
      <c r="AJ1291">
        <v>94.323999999999998</v>
      </c>
      <c r="AK1291">
        <v>90.448999999999998</v>
      </c>
      <c r="AL1291">
        <v>8.36</v>
      </c>
      <c r="AM1291">
        <v>23.286000000000001</v>
      </c>
      <c r="AN1291">
        <v>72.738</v>
      </c>
      <c r="AO1291">
        <v>76.48</v>
      </c>
      <c r="AP1291">
        <v>-8.36</v>
      </c>
      <c r="AQ1291">
        <v>5.6760000000000002</v>
      </c>
      <c r="AR1291">
        <v>49.607999999999997</v>
      </c>
      <c r="AS1291">
        <v>9.5510000000000002</v>
      </c>
    </row>
    <row r="1292" spans="1:45" x14ac:dyDescent="0.25">
      <c r="A1292">
        <v>34</v>
      </c>
      <c r="B1292">
        <v>-14</v>
      </c>
      <c r="C1292">
        <v>0</v>
      </c>
      <c r="D1292">
        <v>2022</v>
      </c>
      <c r="E1292">
        <v>17</v>
      </c>
      <c r="F1292" t="str">
        <f>IFERROR(VLOOKUP(G1292, Map!$A$1:$B$33, 2, FALSE),"WAS")</f>
        <v>WAS</v>
      </c>
      <c r="G1292" t="s">
        <v>148</v>
      </c>
      <c r="H1292" t="str">
        <f>IFERROR(VLOOKUP(I1292, Map!$A$1:$B$33, 2, FALSE),"WAS")</f>
        <v>CLE</v>
      </c>
      <c r="I1292" t="s">
        <v>162</v>
      </c>
      <c r="J1292" t="s">
        <v>205</v>
      </c>
      <c r="K1292" t="s">
        <v>171</v>
      </c>
      <c r="L1292">
        <v>0</v>
      </c>
      <c r="M1292">
        <v>0</v>
      </c>
      <c r="N1292">
        <v>40.566666666666698</v>
      </c>
      <c r="O1292">
        <v>-0.86666666666666703</v>
      </c>
      <c r="P1292">
        <v>-1</v>
      </c>
      <c r="Q1292">
        <v>31.5</v>
      </c>
      <c r="R1292">
        <v>11.8</v>
      </c>
      <c r="S1292">
        <v>15.9</v>
      </c>
      <c r="T1292">
        <v>7.7</v>
      </c>
      <c r="U1292">
        <v>10.3</v>
      </c>
      <c r="V1292">
        <v>5.5</v>
      </c>
      <c r="W1292">
        <v>0</v>
      </c>
      <c r="X1292">
        <v>5</v>
      </c>
      <c r="Y1292">
        <v>5.5</v>
      </c>
      <c r="Z1292">
        <v>15</v>
      </c>
      <c r="AA1292">
        <v>28.4</v>
      </c>
      <c r="AB1292">
        <v>272</v>
      </c>
      <c r="AC1292">
        <v>85</v>
      </c>
      <c r="AD1292">
        <v>18</v>
      </c>
      <c r="AE1292">
        <v>8.8000000000000007</v>
      </c>
      <c r="AF1292">
        <v>51.414000000000001</v>
      </c>
      <c r="AG1292">
        <v>53.98</v>
      </c>
      <c r="AH1292">
        <v>47.935000000000002</v>
      </c>
      <c r="AI1292">
        <v>29.06</v>
      </c>
      <c r="AJ1292">
        <v>27.283999999999999</v>
      </c>
      <c r="AK1292">
        <v>20.664000000000001</v>
      </c>
      <c r="AL1292">
        <v>0.4</v>
      </c>
      <c r="AM1292">
        <v>47.935000000000002</v>
      </c>
      <c r="AN1292">
        <v>53.98</v>
      </c>
      <c r="AO1292">
        <v>51.414000000000001</v>
      </c>
      <c r="AP1292">
        <v>-0.4</v>
      </c>
      <c r="AQ1292">
        <v>72.715999999999994</v>
      </c>
      <c r="AR1292">
        <v>70.94</v>
      </c>
      <c r="AS1292">
        <v>79.335999999999999</v>
      </c>
    </row>
    <row r="1293" spans="1:45" x14ac:dyDescent="0.25">
      <c r="A1293">
        <v>48</v>
      </c>
      <c r="B1293">
        <v>28</v>
      </c>
      <c r="C1293">
        <v>1</v>
      </c>
      <c r="D1293">
        <v>2022</v>
      </c>
      <c r="E1293">
        <v>17</v>
      </c>
      <c r="F1293" t="str">
        <f>IFERROR(VLOOKUP(G1293, Map!$A$1:$B$33, 2, FALSE),"WAS")</f>
        <v>NYG</v>
      </c>
      <c r="G1293" t="s">
        <v>149</v>
      </c>
      <c r="H1293" t="str">
        <f>IFERROR(VLOOKUP(I1293, Map!$A$1:$B$33, 2, FALSE),"WAS")</f>
        <v>IND</v>
      </c>
      <c r="I1293" t="s">
        <v>138</v>
      </c>
      <c r="J1293" t="s">
        <v>219</v>
      </c>
      <c r="K1293" t="s">
        <v>177</v>
      </c>
      <c r="L1293">
        <v>1</v>
      </c>
      <c r="M1293">
        <v>0</v>
      </c>
      <c r="N1293">
        <v>36.533333333333303</v>
      </c>
      <c r="O1293">
        <v>-6.4666666666666703</v>
      </c>
      <c r="P1293">
        <v>-4.5</v>
      </c>
      <c r="Q1293">
        <v>38.5</v>
      </c>
      <c r="R1293">
        <v>10.1</v>
      </c>
      <c r="S1293">
        <v>11.5</v>
      </c>
      <c r="T1293">
        <v>5.2</v>
      </c>
      <c r="U1293">
        <v>7.7</v>
      </c>
      <c r="V1293">
        <v>5.9</v>
      </c>
      <c r="W1293">
        <v>0</v>
      </c>
      <c r="X1293">
        <v>7</v>
      </c>
      <c r="Y1293">
        <v>5.9</v>
      </c>
      <c r="Z1293">
        <v>16.7</v>
      </c>
      <c r="AA1293">
        <v>31.7</v>
      </c>
      <c r="AB1293">
        <v>276</v>
      </c>
      <c r="AC1293">
        <v>86</v>
      </c>
      <c r="AD1293">
        <v>25</v>
      </c>
      <c r="AE1293">
        <v>12.8</v>
      </c>
      <c r="AF1293">
        <v>80.155000000000001</v>
      </c>
      <c r="AG1293">
        <v>35.911000000000001</v>
      </c>
      <c r="AH1293">
        <v>19.657</v>
      </c>
      <c r="AI1293">
        <v>91.350999999999999</v>
      </c>
      <c r="AJ1293">
        <v>86.72</v>
      </c>
      <c r="AK1293">
        <v>97.55</v>
      </c>
      <c r="AL1293">
        <v>9.8650000000000002</v>
      </c>
      <c r="AM1293">
        <v>19.657</v>
      </c>
      <c r="AN1293">
        <v>35.911000000000001</v>
      </c>
      <c r="AO1293">
        <v>80.155000000000001</v>
      </c>
      <c r="AP1293">
        <v>-9.8650000000000002</v>
      </c>
      <c r="AQ1293">
        <v>13.28</v>
      </c>
      <c r="AR1293">
        <v>8.6489999999999991</v>
      </c>
      <c r="AS1293">
        <v>2.4500000000000002</v>
      </c>
    </row>
    <row r="1294" spans="1:45" x14ac:dyDescent="0.25">
      <c r="A1294">
        <v>51</v>
      </c>
      <c r="B1294">
        <v>3</v>
      </c>
      <c r="C1294">
        <v>1</v>
      </c>
      <c r="D1294">
        <v>2022</v>
      </c>
      <c r="E1294">
        <v>17</v>
      </c>
      <c r="F1294" t="str">
        <f>IFERROR(VLOOKUP(G1294, Map!$A$1:$B$33, 2, FALSE),"WAS")</f>
        <v>KC</v>
      </c>
      <c r="G1294" t="s">
        <v>158</v>
      </c>
      <c r="H1294" t="str">
        <f>IFERROR(VLOOKUP(I1294, Map!$A$1:$B$33, 2, FALSE),"WAS")</f>
        <v>DEN</v>
      </c>
      <c r="I1294" t="s">
        <v>159</v>
      </c>
      <c r="J1294" t="s">
        <v>202</v>
      </c>
      <c r="K1294" t="s">
        <v>183</v>
      </c>
      <c r="L1294">
        <v>1</v>
      </c>
      <c r="M1294">
        <v>0</v>
      </c>
      <c r="N1294">
        <v>43.0625</v>
      </c>
      <c r="O1294">
        <v>-11.28125</v>
      </c>
      <c r="P1294">
        <v>-2.5</v>
      </c>
      <c r="Q1294">
        <v>43.5</v>
      </c>
      <c r="R1294">
        <v>5.3</v>
      </c>
      <c r="S1294">
        <v>11.8</v>
      </c>
      <c r="T1294">
        <v>0.2</v>
      </c>
      <c r="U1294">
        <v>2.6</v>
      </c>
      <c r="V1294">
        <v>0</v>
      </c>
      <c r="W1294">
        <v>0</v>
      </c>
      <c r="X1294">
        <v>0</v>
      </c>
      <c r="Y1294">
        <v>0</v>
      </c>
      <c r="Z1294">
        <v>11.8</v>
      </c>
      <c r="AA1294">
        <v>22.3</v>
      </c>
      <c r="AB1294">
        <v>159</v>
      </c>
      <c r="AC1294">
        <v>91</v>
      </c>
      <c r="AD1294">
        <v>15.3</v>
      </c>
      <c r="AE1294">
        <v>8.5</v>
      </c>
      <c r="AF1294">
        <v>90.69</v>
      </c>
      <c r="AG1294">
        <v>94.468000000000004</v>
      </c>
      <c r="AH1294">
        <v>9.2289999999999992</v>
      </c>
      <c r="AI1294">
        <v>68.786000000000001</v>
      </c>
      <c r="AJ1294">
        <v>70.513000000000005</v>
      </c>
      <c r="AK1294">
        <v>60.182000000000002</v>
      </c>
      <c r="AL1294">
        <v>16.245999999999999</v>
      </c>
      <c r="AM1294">
        <v>9.2289999999999992</v>
      </c>
      <c r="AN1294">
        <v>94.468000000000004</v>
      </c>
      <c r="AO1294">
        <v>90.69</v>
      </c>
      <c r="AP1294">
        <v>-16.245999999999999</v>
      </c>
      <c r="AQ1294">
        <v>29.486999999999998</v>
      </c>
      <c r="AR1294">
        <v>31.213999999999999</v>
      </c>
      <c r="AS1294">
        <v>39.817999999999998</v>
      </c>
    </row>
    <row r="1295" spans="1:45" x14ac:dyDescent="0.25">
      <c r="A1295">
        <v>29</v>
      </c>
      <c r="B1295">
        <v>-3</v>
      </c>
      <c r="C1295">
        <v>0</v>
      </c>
      <c r="D1295">
        <v>2022</v>
      </c>
      <c r="E1295">
        <v>17</v>
      </c>
      <c r="F1295" t="str">
        <f>IFERROR(VLOOKUP(G1295, Map!$A$1:$B$33, 2, FALSE),"WAS")</f>
        <v>BAL</v>
      </c>
      <c r="G1295" t="s">
        <v>146</v>
      </c>
      <c r="H1295" t="str">
        <f>IFERROR(VLOOKUP(I1295, Map!$A$1:$B$33, 2, FALSE),"WAS")</f>
        <v>PIT</v>
      </c>
      <c r="I1295" t="s">
        <v>145</v>
      </c>
      <c r="J1295" t="s">
        <v>181</v>
      </c>
      <c r="K1295" t="s">
        <v>170</v>
      </c>
      <c r="L1295">
        <v>0</v>
      </c>
      <c r="M1295">
        <v>0</v>
      </c>
      <c r="N1295">
        <v>32.9375</v>
      </c>
      <c r="O1295">
        <v>-1</v>
      </c>
      <c r="P1295">
        <v>-1</v>
      </c>
      <c r="Q1295">
        <v>30.5</v>
      </c>
      <c r="R1295">
        <v>9.6</v>
      </c>
      <c r="S1295">
        <v>15.4</v>
      </c>
      <c r="T1295">
        <v>5.2</v>
      </c>
      <c r="U1295">
        <v>7.7</v>
      </c>
      <c r="V1295">
        <v>0</v>
      </c>
      <c r="W1295">
        <v>0</v>
      </c>
      <c r="X1295">
        <v>0</v>
      </c>
      <c r="Y1295">
        <v>0</v>
      </c>
      <c r="Z1295">
        <v>13.3</v>
      </c>
      <c r="AA1295">
        <v>22</v>
      </c>
      <c r="AB1295">
        <v>262</v>
      </c>
      <c r="AC1295">
        <v>86</v>
      </c>
      <c r="AD1295">
        <v>14.2</v>
      </c>
      <c r="AE1295">
        <v>8</v>
      </c>
      <c r="AF1295">
        <v>50.043999999999997</v>
      </c>
      <c r="AG1295">
        <v>53.237000000000002</v>
      </c>
      <c r="AH1295">
        <v>49.302</v>
      </c>
      <c r="AI1295">
        <v>32.203000000000003</v>
      </c>
      <c r="AJ1295">
        <v>47.802</v>
      </c>
      <c r="AK1295">
        <v>43.508000000000003</v>
      </c>
      <c r="AL1295">
        <v>1.2E-2</v>
      </c>
      <c r="AM1295">
        <v>49.302</v>
      </c>
      <c r="AN1295">
        <v>53.237000000000002</v>
      </c>
      <c r="AO1295">
        <v>50.043999999999997</v>
      </c>
      <c r="AP1295">
        <v>-1.2E-2</v>
      </c>
      <c r="AQ1295">
        <v>52.198</v>
      </c>
      <c r="AR1295">
        <v>67.796999999999997</v>
      </c>
      <c r="AS1295">
        <v>56.491999999999997</v>
      </c>
    </row>
    <row r="1296" spans="1:45" x14ac:dyDescent="0.25">
      <c r="A1296">
        <v>39</v>
      </c>
      <c r="B1296">
        <v>1</v>
      </c>
      <c r="C1296">
        <v>1</v>
      </c>
      <c r="D1296">
        <v>2022</v>
      </c>
      <c r="E1296">
        <v>17</v>
      </c>
      <c r="F1296" t="str">
        <f>IFERROR(VLOOKUP(G1296, Map!$A$1:$B$33, 2, FALSE),"WAS")</f>
        <v>ATL</v>
      </c>
      <c r="G1296" t="s">
        <v>167</v>
      </c>
      <c r="H1296" t="str">
        <f>IFERROR(VLOOKUP(I1296, Map!$A$1:$B$33, 2, FALSE),"WAS")</f>
        <v>ARI</v>
      </c>
      <c r="I1296" t="s">
        <v>156</v>
      </c>
      <c r="J1296" t="s">
        <v>188</v>
      </c>
      <c r="K1296" t="s">
        <v>190</v>
      </c>
      <c r="L1296">
        <v>1</v>
      </c>
      <c r="M1296">
        <v>0</v>
      </c>
      <c r="N1296">
        <v>37.96875</v>
      </c>
      <c r="O1296">
        <v>-5.53125</v>
      </c>
      <c r="P1296">
        <v>-3.5</v>
      </c>
      <c r="Q1296">
        <v>39.5</v>
      </c>
      <c r="R1296">
        <v>13.1</v>
      </c>
      <c r="S1296">
        <v>18.5</v>
      </c>
      <c r="T1296">
        <v>8.8000000000000007</v>
      </c>
      <c r="U1296">
        <v>12.4</v>
      </c>
      <c r="V1296">
        <v>1.1000000000000001</v>
      </c>
      <c r="W1296">
        <v>0</v>
      </c>
      <c r="X1296">
        <v>4</v>
      </c>
      <c r="Y1296">
        <v>1.1000000000000001</v>
      </c>
      <c r="Z1296">
        <v>13.4</v>
      </c>
      <c r="AA1296">
        <v>27</v>
      </c>
      <c r="AB1296">
        <v>246</v>
      </c>
      <c r="AC1296">
        <v>90</v>
      </c>
      <c r="AD1296">
        <v>14.9</v>
      </c>
      <c r="AE1296">
        <v>8.1</v>
      </c>
      <c r="AF1296">
        <v>81.778000000000006</v>
      </c>
      <c r="AG1296">
        <v>3.8210000000000002</v>
      </c>
      <c r="AH1296">
        <v>18.050999999999998</v>
      </c>
      <c r="AI1296">
        <v>52.332000000000001</v>
      </c>
      <c r="AJ1296">
        <v>39.594999999999999</v>
      </c>
      <c r="AK1296">
        <v>51.255000000000003</v>
      </c>
      <c r="AL1296">
        <v>10.619</v>
      </c>
      <c r="AM1296">
        <v>18.050999999999998</v>
      </c>
      <c r="AN1296">
        <v>3.8210000000000002</v>
      </c>
      <c r="AO1296">
        <v>81.778000000000006</v>
      </c>
      <c r="AP1296">
        <v>-10.619</v>
      </c>
      <c r="AQ1296">
        <v>60.405000000000001</v>
      </c>
      <c r="AR1296">
        <v>47.667999999999999</v>
      </c>
      <c r="AS1296">
        <v>48.744999999999997</v>
      </c>
    </row>
    <row r="1297" spans="1:45" x14ac:dyDescent="0.25">
      <c r="A1297">
        <v>58</v>
      </c>
      <c r="B1297">
        <v>24</v>
      </c>
      <c r="C1297">
        <v>1</v>
      </c>
      <c r="D1297">
        <v>2022</v>
      </c>
      <c r="E1297">
        <v>17</v>
      </c>
      <c r="F1297" t="str">
        <f>IFERROR(VLOOKUP(G1297, Map!$A$1:$B$33, 2, FALSE),"WAS")</f>
        <v>GB</v>
      </c>
      <c r="G1297" t="s">
        <v>154</v>
      </c>
      <c r="H1297" t="str">
        <f>IFERROR(VLOOKUP(I1297, Map!$A$1:$B$33, 2, FALSE),"WAS")</f>
        <v>MIN</v>
      </c>
      <c r="I1297" t="s">
        <v>153</v>
      </c>
      <c r="J1297" t="s">
        <v>200</v>
      </c>
      <c r="K1297" t="s">
        <v>214</v>
      </c>
      <c r="L1297">
        <v>1</v>
      </c>
      <c r="M1297">
        <v>0</v>
      </c>
      <c r="N1297">
        <v>44.65625</v>
      </c>
      <c r="O1297">
        <v>-5.125</v>
      </c>
      <c r="P1297">
        <v>-3</v>
      </c>
      <c r="Q1297">
        <v>46.5</v>
      </c>
      <c r="R1297">
        <v>0.6</v>
      </c>
      <c r="S1297">
        <v>4.4000000000000004</v>
      </c>
      <c r="T1297">
        <v>-2.5</v>
      </c>
      <c r="U1297">
        <v>-3.2</v>
      </c>
      <c r="V1297">
        <v>0.5</v>
      </c>
      <c r="W1297">
        <v>0.35</v>
      </c>
      <c r="X1297">
        <v>3</v>
      </c>
      <c r="Y1297">
        <v>0</v>
      </c>
      <c r="Z1297">
        <v>16.7</v>
      </c>
      <c r="AA1297">
        <v>34.200000000000003</v>
      </c>
      <c r="AB1297">
        <v>217</v>
      </c>
      <c r="AC1297">
        <v>84</v>
      </c>
      <c r="AD1297">
        <v>19.600000000000001</v>
      </c>
      <c r="AE1297">
        <v>10.199999999999999</v>
      </c>
      <c r="AF1297">
        <v>60.043999999999997</v>
      </c>
      <c r="AG1297">
        <v>87.384</v>
      </c>
      <c r="AH1297">
        <v>39.466000000000001</v>
      </c>
      <c r="AI1297">
        <v>99.171999999999997</v>
      </c>
      <c r="AJ1297">
        <v>45.832000000000001</v>
      </c>
      <c r="AK1297">
        <v>98.016000000000005</v>
      </c>
      <c r="AL1297">
        <v>2.8860000000000001</v>
      </c>
      <c r="AM1297">
        <v>39.466000000000001</v>
      </c>
      <c r="AN1297">
        <v>87.384</v>
      </c>
      <c r="AO1297">
        <v>60.043999999999997</v>
      </c>
      <c r="AP1297">
        <v>-2.8860000000000001</v>
      </c>
      <c r="AQ1297">
        <v>54.167999999999999</v>
      </c>
      <c r="AR1297">
        <v>0.82799999999999996</v>
      </c>
      <c r="AS1297">
        <v>1.984</v>
      </c>
    </row>
    <row r="1298" spans="1:45" x14ac:dyDescent="0.25">
      <c r="A1298">
        <v>43</v>
      </c>
      <c r="B1298">
        <v>11</v>
      </c>
      <c r="C1298">
        <v>1</v>
      </c>
      <c r="D1298">
        <v>2022</v>
      </c>
      <c r="E1298">
        <v>18</v>
      </c>
      <c r="F1298" t="str">
        <f>IFERROR(VLOOKUP(G1298, Map!$A$1:$B$33, 2, FALSE),"WAS")</f>
        <v>CIN</v>
      </c>
      <c r="G1298" t="s">
        <v>161</v>
      </c>
      <c r="H1298" t="str">
        <f>IFERROR(VLOOKUP(I1298, Map!$A$1:$B$33, 2, FALSE),"WAS")</f>
        <v>BAL</v>
      </c>
      <c r="I1298" t="s">
        <v>146</v>
      </c>
      <c r="J1298" t="s">
        <v>176</v>
      </c>
      <c r="K1298" t="s">
        <v>181</v>
      </c>
      <c r="L1298">
        <v>1</v>
      </c>
      <c r="M1298">
        <v>0</v>
      </c>
      <c r="N1298">
        <v>37.09375</v>
      </c>
      <c r="O1298">
        <v>-9.96875</v>
      </c>
      <c r="P1298">
        <v>-6.5</v>
      </c>
      <c r="Q1298">
        <v>38.5</v>
      </c>
      <c r="R1298">
        <v>1</v>
      </c>
      <c r="S1298">
        <v>4.0999999999999996</v>
      </c>
      <c r="T1298">
        <v>-1.7</v>
      </c>
      <c r="U1298">
        <v>-2.8</v>
      </c>
      <c r="V1298">
        <v>0.6</v>
      </c>
      <c r="W1298">
        <v>0</v>
      </c>
      <c r="X1298">
        <v>3</v>
      </c>
      <c r="Y1298">
        <v>0.6</v>
      </c>
      <c r="Z1298">
        <v>10.5</v>
      </c>
      <c r="AA1298">
        <v>20.5</v>
      </c>
      <c r="AB1298">
        <v>62</v>
      </c>
      <c r="AC1298">
        <v>72</v>
      </c>
      <c r="AD1298">
        <v>17.5</v>
      </c>
      <c r="AE1298">
        <v>8.3000000000000007</v>
      </c>
      <c r="AF1298">
        <v>75.019000000000005</v>
      </c>
      <c r="AG1298">
        <v>93.831000000000003</v>
      </c>
      <c r="AH1298">
        <v>24.733000000000001</v>
      </c>
      <c r="AI1298">
        <v>98.024000000000001</v>
      </c>
      <c r="AJ1298">
        <v>32.741</v>
      </c>
      <c r="AK1298">
        <v>85.712000000000003</v>
      </c>
      <c r="AL1298">
        <v>7.8010000000000002</v>
      </c>
      <c r="AM1298">
        <v>24.733000000000001</v>
      </c>
      <c r="AN1298">
        <v>93.831000000000003</v>
      </c>
      <c r="AO1298">
        <v>75.019000000000005</v>
      </c>
      <c r="AP1298">
        <v>-7.8010000000000002</v>
      </c>
      <c r="AQ1298">
        <v>67.259</v>
      </c>
      <c r="AR1298">
        <v>1.976</v>
      </c>
      <c r="AS1298">
        <v>14.288</v>
      </c>
    </row>
    <row r="1299" spans="1:45" x14ac:dyDescent="0.25">
      <c r="A1299">
        <v>36</v>
      </c>
      <c r="B1299">
        <v>4</v>
      </c>
      <c r="C1299">
        <v>1</v>
      </c>
      <c r="D1299">
        <v>2022</v>
      </c>
      <c r="E1299">
        <v>18</v>
      </c>
      <c r="F1299" t="str">
        <f>IFERROR(VLOOKUP(G1299, Map!$A$1:$B$33, 2, FALSE),"WAS")</f>
        <v>JAX</v>
      </c>
      <c r="G1299" t="s">
        <v>139</v>
      </c>
      <c r="H1299" t="str">
        <f>IFERROR(VLOOKUP(I1299, Map!$A$1:$B$33, 2, FALSE),"WAS")</f>
        <v>TEN</v>
      </c>
      <c r="I1299" t="s">
        <v>140</v>
      </c>
      <c r="J1299" t="s">
        <v>220</v>
      </c>
      <c r="K1299" t="s">
        <v>174</v>
      </c>
      <c r="L1299">
        <v>1</v>
      </c>
      <c r="M1299">
        <v>0</v>
      </c>
      <c r="N1299">
        <v>36.766666666666701</v>
      </c>
      <c r="O1299">
        <v>-5.4666666666666703</v>
      </c>
      <c r="P1299">
        <v>-4</v>
      </c>
      <c r="Q1299">
        <v>37.5</v>
      </c>
      <c r="R1299">
        <v>12.8</v>
      </c>
      <c r="S1299">
        <v>21</v>
      </c>
      <c r="T1299">
        <v>7.4</v>
      </c>
      <c r="U1299">
        <v>11.9</v>
      </c>
      <c r="V1299">
        <v>0</v>
      </c>
      <c r="W1299">
        <v>0</v>
      </c>
      <c r="X1299">
        <v>0</v>
      </c>
      <c r="Y1299">
        <v>0</v>
      </c>
      <c r="Z1299">
        <v>10.7</v>
      </c>
      <c r="AA1299">
        <v>18.7</v>
      </c>
      <c r="AB1299">
        <v>110</v>
      </c>
      <c r="AC1299">
        <v>84</v>
      </c>
      <c r="AD1299">
        <v>11.8</v>
      </c>
      <c r="AE1299">
        <v>5.9</v>
      </c>
      <c r="AF1299">
        <v>84.81</v>
      </c>
      <c r="AG1299">
        <v>35.261000000000003</v>
      </c>
      <c r="AH1299">
        <v>15.052</v>
      </c>
      <c r="AI1299">
        <v>78.188999999999993</v>
      </c>
      <c r="AJ1299">
        <v>27.074000000000002</v>
      </c>
      <c r="AK1299">
        <v>58.47</v>
      </c>
      <c r="AL1299">
        <v>12.175000000000001</v>
      </c>
      <c r="AM1299">
        <v>15.052</v>
      </c>
      <c r="AN1299">
        <v>35.261000000000003</v>
      </c>
      <c r="AO1299">
        <v>84.81</v>
      </c>
      <c r="AP1299">
        <v>-12.175000000000001</v>
      </c>
      <c r="AQ1299">
        <v>72.926000000000002</v>
      </c>
      <c r="AR1299">
        <v>21.811</v>
      </c>
      <c r="AS1299">
        <v>41.53</v>
      </c>
    </row>
    <row r="1300" spans="1:45" x14ac:dyDescent="0.25">
      <c r="A1300">
        <v>17</v>
      </c>
      <c r="B1300">
        <v>5</v>
      </c>
      <c r="C1300">
        <v>1</v>
      </c>
      <c r="D1300">
        <v>2022</v>
      </c>
      <c r="E1300">
        <v>18</v>
      </c>
      <c r="F1300" t="str">
        <f>IFERROR(VLOOKUP(G1300, Map!$A$1:$B$33, 2, FALSE),"WAS")</f>
        <v>MIA</v>
      </c>
      <c r="G1300" t="s">
        <v>152</v>
      </c>
      <c r="H1300" t="str">
        <f>IFERROR(VLOOKUP(I1300, Map!$A$1:$B$33, 2, FALSE),"WAS")</f>
        <v>NYJ</v>
      </c>
      <c r="I1300" t="s">
        <v>166</v>
      </c>
      <c r="J1300" t="s">
        <v>175</v>
      </c>
      <c r="K1300" t="s">
        <v>172</v>
      </c>
      <c r="L1300">
        <v>1</v>
      </c>
      <c r="M1300">
        <v>0</v>
      </c>
      <c r="N1300">
        <v>33.5625</v>
      </c>
      <c r="O1300">
        <v>-3.09375</v>
      </c>
      <c r="P1300">
        <v>-1.5</v>
      </c>
      <c r="Q1300">
        <v>16.5</v>
      </c>
      <c r="R1300">
        <v>20.100000000000001</v>
      </c>
      <c r="S1300">
        <v>25.3</v>
      </c>
      <c r="T1300">
        <v>16.100000000000001</v>
      </c>
      <c r="U1300">
        <v>20.7</v>
      </c>
      <c r="V1300">
        <v>0</v>
      </c>
      <c r="W1300">
        <v>0</v>
      </c>
      <c r="X1300">
        <v>0</v>
      </c>
      <c r="Y1300">
        <v>0</v>
      </c>
      <c r="Z1300">
        <v>12.4</v>
      </c>
      <c r="AA1300">
        <v>27</v>
      </c>
      <c r="AB1300">
        <v>64</v>
      </c>
      <c r="AC1300">
        <v>75</v>
      </c>
      <c r="AD1300">
        <v>17</v>
      </c>
      <c r="AE1300">
        <v>8.6999999999999993</v>
      </c>
      <c r="AF1300">
        <v>39.292000000000002</v>
      </c>
      <c r="AG1300">
        <v>4.8159999999999998</v>
      </c>
      <c r="AH1300">
        <v>60.228999999999999</v>
      </c>
      <c r="AI1300">
        <v>75.495999999999995</v>
      </c>
      <c r="AJ1300">
        <v>31.084</v>
      </c>
      <c r="AK1300">
        <v>58.302</v>
      </c>
      <c r="AL1300">
        <v>-3.0760000000000001</v>
      </c>
      <c r="AM1300">
        <v>60.228999999999999</v>
      </c>
      <c r="AN1300">
        <v>4.8159999999999998</v>
      </c>
      <c r="AO1300">
        <v>39.292000000000002</v>
      </c>
      <c r="AP1300">
        <v>3.0760000000000001</v>
      </c>
      <c r="AQ1300">
        <v>68.915999999999997</v>
      </c>
      <c r="AR1300">
        <v>24.504000000000001</v>
      </c>
      <c r="AS1300">
        <v>41.698</v>
      </c>
    </row>
    <row r="1301" spans="1:45" x14ac:dyDescent="0.25">
      <c r="A1301">
        <v>47</v>
      </c>
      <c r="B1301">
        <v>13</v>
      </c>
      <c r="C1301">
        <v>1</v>
      </c>
      <c r="D1301">
        <v>2022</v>
      </c>
      <c r="E1301">
        <v>18</v>
      </c>
      <c r="F1301" t="str">
        <f>IFERROR(VLOOKUP(G1301, Map!$A$1:$B$33, 2, FALSE),"WAS")</f>
        <v>ATL</v>
      </c>
      <c r="G1301" t="s">
        <v>167</v>
      </c>
      <c r="H1301" t="str">
        <f>IFERROR(VLOOKUP(I1301, Map!$A$1:$B$33, 2, FALSE),"WAS")</f>
        <v>TB</v>
      </c>
      <c r="I1301" t="s">
        <v>141</v>
      </c>
      <c r="J1301" t="s">
        <v>188</v>
      </c>
      <c r="K1301" t="s">
        <v>186</v>
      </c>
      <c r="L1301">
        <v>1</v>
      </c>
      <c r="M1301">
        <v>0</v>
      </c>
      <c r="N1301">
        <v>38.3125</v>
      </c>
      <c r="O1301">
        <v>-5.5</v>
      </c>
      <c r="P1301">
        <v>-3.5</v>
      </c>
      <c r="Q1301">
        <v>39.5</v>
      </c>
      <c r="R1301">
        <v>10.9</v>
      </c>
      <c r="S1301">
        <v>15.2</v>
      </c>
      <c r="T1301">
        <v>8.1999999999999993</v>
      </c>
      <c r="U1301">
        <v>8.6999999999999993</v>
      </c>
      <c r="V1301">
        <v>5.3</v>
      </c>
      <c r="W1301">
        <v>0</v>
      </c>
      <c r="X1301">
        <v>3</v>
      </c>
      <c r="Y1301">
        <v>5.3</v>
      </c>
      <c r="Z1301">
        <v>16.7</v>
      </c>
      <c r="AA1301">
        <v>28.1</v>
      </c>
      <c r="AB1301">
        <v>176</v>
      </c>
      <c r="AC1301">
        <v>75</v>
      </c>
      <c r="AD1301">
        <v>16.600000000000001</v>
      </c>
      <c r="AE1301">
        <v>9.3000000000000007</v>
      </c>
      <c r="AF1301">
        <v>47.033999999999999</v>
      </c>
      <c r="AG1301">
        <v>93.248000000000005</v>
      </c>
      <c r="AH1301">
        <v>52.34</v>
      </c>
      <c r="AI1301">
        <v>74.39</v>
      </c>
      <c r="AJ1301">
        <v>65.382000000000005</v>
      </c>
      <c r="AK1301">
        <v>75.805999999999997</v>
      </c>
      <c r="AL1301">
        <v>-0.83399999999999996</v>
      </c>
      <c r="AM1301">
        <v>52.34</v>
      </c>
      <c r="AN1301">
        <v>93.248000000000005</v>
      </c>
      <c r="AO1301">
        <v>47.033999999999999</v>
      </c>
      <c r="AP1301">
        <v>0.83399999999999996</v>
      </c>
      <c r="AQ1301">
        <v>34.618000000000002</v>
      </c>
      <c r="AR1301">
        <v>25.61</v>
      </c>
      <c r="AS1301">
        <v>24.193999999999999</v>
      </c>
    </row>
    <row r="1302" spans="1:45" x14ac:dyDescent="0.25">
      <c r="A1302">
        <v>59</v>
      </c>
      <c r="B1302">
        <v>3</v>
      </c>
      <c r="C1302">
        <v>1</v>
      </c>
      <c r="D1302">
        <v>2022</v>
      </c>
      <c r="E1302">
        <v>18</v>
      </c>
      <c r="F1302" t="str">
        <f>IFERROR(VLOOKUP(G1302, Map!$A$1:$B$33, 2, FALSE),"WAS")</f>
        <v>DEN</v>
      </c>
      <c r="G1302" t="s">
        <v>159</v>
      </c>
      <c r="H1302" t="str">
        <f>IFERROR(VLOOKUP(I1302, Map!$A$1:$B$33, 2, FALSE),"WAS")</f>
        <v>LAC</v>
      </c>
      <c r="I1302" t="s">
        <v>160</v>
      </c>
      <c r="J1302" t="s">
        <v>183</v>
      </c>
      <c r="K1302" t="s">
        <v>210</v>
      </c>
      <c r="L1302">
        <v>1</v>
      </c>
      <c r="M1302">
        <v>0</v>
      </c>
      <c r="N1302">
        <v>37.84375</v>
      </c>
      <c r="O1302">
        <v>-5.03125</v>
      </c>
      <c r="P1302">
        <v>3.5</v>
      </c>
      <c r="Q1302">
        <v>38.5</v>
      </c>
      <c r="R1302">
        <v>-6.4</v>
      </c>
      <c r="S1302">
        <v>6.1</v>
      </c>
      <c r="T1302">
        <v>-13.5</v>
      </c>
      <c r="U1302">
        <v>-11</v>
      </c>
      <c r="V1302">
        <v>0</v>
      </c>
      <c r="W1302">
        <v>0</v>
      </c>
      <c r="X1302">
        <v>0</v>
      </c>
      <c r="Y1302">
        <v>0</v>
      </c>
      <c r="Z1302">
        <v>14.7</v>
      </c>
      <c r="AA1302">
        <v>17.3</v>
      </c>
      <c r="AB1302">
        <v>198</v>
      </c>
      <c r="AC1302">
        <v>68</v>
      </c>
      <c r="AD1302">
        <v>12.2</v>
      </c>
      <c r="AE1302">
        <v>8.9</v>
      </c>
      <c r="AF1302">
        <v>23.693999999999999</v>
      </c>
      <c r="AG1302">
        <v>42.518000000000001</v>
      </c>
      <c r="AH1302">
        <v>76.069999999999993</v>
      </c>
      <c r="AI1302">
        <v>52.36</v>
      </c>
      <c r="AJ1302">
        <v>81.572000000000003</v>
      </c>
      <c r="AK1302">
        <v>60.033999999999999</v>
      </c>
      <c r="AL1302">
        <v>-8.3089999999999993</v>
      </c>
      <c r="AM1302">
        <v>76.069999999999993</v>
      </c>
      <c r="AN1302">
        <v>42.518000000000001</v>
      </c>
      <c r="AO1302">
        <v>23.693999999999999</v>
      </c>
      <c r="AP1302">
        <v>8.3089999999999993</v>
      </c>
      <c r="AQ1302">
        <v>18.428000000000001</v>
      </c>
      <c r="AR1302">
        <v>47.64</v>
      </c>
      <c r="AS1302">
        <v>39.966000000000001</v>
      </c>
    </row>
    <row r="1303" spans="1:45" x14ac:dyDescent="0.25">
      <c r="A1303">
        <v>42</v>
      </c>
      <c r="B1303">
        <v>14</v>
      </c>
      <c r="C1303">
        <v>1</v>
      </c>
      <c r="D1303">
        <v>2022</v>
      </c>
      <c r="E1303">
        <v>18</v>
      </c>
      <c r="F1303" t="str">
        <f>IFERROR(VLOOKUP(G1303, Map!$A$1:$B$33, 2, FALSE),"WAS")</f>
        <v>PIT</v>
      </c>
      <c r="G1303" t="s">
        <v>145</v>
      </c>
      <c r="H1303" t="str">
        <f>IFERROR(VLOOKUP(I1303, Map!$A$1:$B$33, 2, FALSE),"WAS")</f>
        <v>CLE</v>
      </c>
      <c r="I1303" t="s">
        <v>162</v>
      </c>
      <c r="J1303" t="s">
        <v>170</v>
      </c>
      <c r="K1303" t="s">
        <v>171</v>
      </c>
      <c r="L1303">
        <v>1</v>
      </c>
      <c r="M1303">
        <v>0</v>
      </c>
      <c r="N1303">
        <v>37.34375</v>
      </c>
      <c r="O1303">
        <v>-2.96875</v>
      </c>
      <c r="P1303">
        <v>-1.5</v>
      </c>
      <c r="Q1303">
        <v>38.5</v>
      </c>
      <c r="R1303">
        <v>1</v>
      </c>
      <c r="S1303">
        <v>5.4</v>
      </c>
      <c r="T1303">
        <v>-3.1</v>
      </c>
      <c r="U1303">
        <v>-2.5</v>
      </c>
      <c r="V1303">
        <v>0</v>
      </c>
      <c r="W1303">
        <v>0</v>
      </c>
      <c r="X1303">
        <v>0</v>
      </c>
      <c r="Y1303">
        <v>0</v>
      </c>
      <c r="Z1303">
        <v>9.4</v>
      </c>
      <c r="AA1303">
        <v>23</v>
      </c>
      <c r="AB1303">
        <v>36</v>
      </c>
      <c r="AC1303">
        <v>76</v>
      </c>
      <c r="AD1303">
        <v>15.1</v>
      </c>
      <c r="AE1303">
        <v>6.5</v>
      </c>
      <c r="AF1303">
        <v>57.673000000000002</v>
      </c>
      <c r="AG1303">
        <v>76.186999999999998</v>
      </c>
      <c r="AH1303">
        <v>41.783999999999999</v>
      </c>
      <c r="AI1303">
        <v>58.478999999999999</v>
      </c>
      <c r="AJ1303">
        <v>71.423000000000002</v>
      </c>
      <c r="AK1303">
        <v>77.849999999999994</v>
      </c>
      <c r="AL1303">
        <v>2.1869999999999998</v>
      </c>
      <c r="AM1303">
        <v>41.783999999999999</v>
      </c>
      <c r="AN1303">
        <v>76.186999999999998</v>
      </c>
      <c r="AO1303">
        <v>57.673000000000002</v>
      </c>
      <c r="AP1303">
        <v>-2.1869999999999998</v>
      </c>
      <c r="AQ1303">
        <v>28.577000000000002</v>
      </c>
      <c r="AR1303">
        <v>41.521000000000001</v>
      </c>
      <c r="AS1303">
        <v>22.15</v>
      </c>
    </row>
    <row r="1304" spans="1:45" x14ac:dyDescent="0.25">
      <c r="A1304">
        <v>17</v>
      </c>
      <c r="B1304">
        <v>-3</v>
      </c>
      <c r="C1304">
        <v>0</v>
      </c>
      <c r="D1304">
        <v>2022</v>
      </c>
      <c r="E1304">
        <v>18</v>
      </c>
      <c r="F1304" t="str">
        <f>IFERROR(VLOOKUP(G1304, Map!$A$1:$B$33, 2, FALSE),"WAS")</f>
        <v>NO</v>
      </c>
      <c r="G1304" t="s">
        <v>168</v>
      </c>
      <c r="H1304" t="str">
        <f>IFERROR(VLOOKUP(I1304, Map!$A$1:$B$33, 2, FALSE),"WAS")</f>
        <v>CAR</v>
      </c>
      <c r="I1304" t="s">
        <v>142</v>
      </c>
      <c r="J1304" t="s">
        <v>192</v>
      </c>
      <c r="K1304" t="s">
        <v>185</v>
      </c>
      <c r="L1304">
        <v>0</v>
      </c>
      <c r="M1304">
        <v>0</v>
      </c>
      <c r="N1304">
        <v>37.40625</v>
      </c>
      <c r="O1304">
        <v>-2.90625</v>
      </c>
      <c r="P1304">
        <v>2.5</v>
      </c>
      <c r="Q1304">
        <v>18.5</v>
      </c>
      <c r="R1304">
        <v>17</v>
      </c>
      <c r="S1304">
        <v>19.2</v>
      </c>
      <c r="T1304">
        <v>15.6</v>
      </c>
      <c r="U1304">
        <v>17.3</v>
      </c>
      <c r="V1304">
        <v>4.7</v>
      </c>
      <c r="W1304">
        <v>0</v>
      </c>
      <c r="X1304">
        <v>6</v>
      </c>
      <c r="Y1304">
        <v>4.7</v>
      </c>
      <c r="Z1304">
        <v>16.8</v>
      </c>
      <c r="AA1304">
        <v>28.4</v>
      </c>
      <c r="AB1304">
        <v>175</v>
      </c>
      <c r="AC1304">
        <v>92</v>
      </c>
      <c r="AD1304">
        <v>20.7</v>
      </c>
      <c r="AE1304">
        <v>11.5</v>
      </c>
      <c r="AF1304">
        <v>60.892000000000003</v>
      </c>
      <c r="AG1304">
        <v>76.531999999999996</v>
      </c>
      <c r="AH1304">
        <v>38.628999999999998</v>
      </c>
      <c r="AI1304">
        <v>73.009</v>
      </c>
      <c r="AJ1304">
        <v>33.718000000000004</v>
      </c>
      <c r="AK1304">
        <v>43.298000000000002</v>
      </c>
      <c r="AL1304">
        <v>3.1339999999999999</v>
      </c>
      <c r="AM1304">
        <v>38.628999999999998</v>
      </c>
      <c r="AN1304">
        <v>76.531999999999996</v>
      </c>
      <c r="AO1304">
        <v>60.892000000000003</v>
      </c>
      <c r="AP1304">
        <v>-3.1339999999999999</v>
      </c>
      <c r="AQ1304">
        <v>66.281999999999996</v>
      </c>
      <c r="AR1304">
        <v>26.991</v>
      </c>
      <c r="AS1304">
        <v>56.701999999999998</v>
      </c>
    </row>
    <row r="1305" spans="1:45" x14ac:dyDescent="0.25">
      <c r="A1305">
        <v>36</v>
      </c>
      <c r="B1305">
        <v>-4</v>
      </c>
      <c r="C1305">
        <v>0</v>
      </c>
      <c r="D1305">
        <v>2022</v>
      </c>
      <c r="E1305">
        <v>18</v>
      </c>
      <c r="F1305" t="str">
        <f>IFERROR(VLOOKUP(G1305, Map!$A$1:$B$33, 2, FALSE),"WAS")</f>
        <v>GB</v>
      </c>
      <c r="G1305" t="s">
        <v>154</v>
      </c>
      <c r="H1305" t="str">
        <f>IFERROR(VLOOKUP(I1305, Map!$A$1:$B$33, 2, FALSE),"WAS")</f>
        <v>DET</v>
      </c>
      <c r="I1305" t="s">
        <v>164</v>
      </c>
      <c r="J1305" t="s">
        <v>200</v>
      </c>
      <c r="K1305" t="s">
        <v>173</v>
      </c>
      <c r="L1305">
        <v>0</v>
      </c>
      <c r="M1305">
        <v>0</v>
      </c>
      <c r="N1305">
        <v>44.75</v>
      </c>
      <c r="O1305">
        <v>-3.71875</v>
      </c>
      <c r="P1305">
        <v>-4</v>
      </c>
      <c r="Q1305">
        <v>38.5</v>
      </c>
      <c r="R1305">
        <v>-4.4000000000000004</v>
      </c>
      <c r="S1305">
        <v>0.1</v>
      </c>
      <c r="T1305">
        <v>-6.8</v>
      </c>
      <c r="U1305">
        <v>-9.1</v>
      </c>
      <c r="V1305">
        <v>0</v>
      </c>
      <c r="W1305">
        <v>0</v>
      </c>
      <c r="X1305">
        <v>0</v>
      </c>
      <c r="Y1305">
        <v>0</v>
      </c>
      <c r="Z1305">
        <v>16.399999999999999</v>
      </c>
      <c r="AA1305">
        <v>29.5</v>
      </c>
      <c r="AB1305">
        <v>247</v>
      </c>
      <c r="AC1305">
        <v>77</v>
      </c>
      <c r="AD1305">
        <v>22.5</v>
      </c>
      <c r="AE1305">
        <v>11.2</v>
      </c>
      <c r="AF1305">
        <v>66.900000000000006</v>
      </c>
      <c r="AG1305">
        <v>68.147999999999996</v>
      </c>
      <c r="AH1305">
        <v>32.732999999999997</v>
      </c>
      <c r="AI1305">
        <v>41.158000000000001</v>
      </c>
      <c r="AJ1305">
        <v>32.729999999999997</v>
      </c>
      <c r="AK1305">
        <v>36.962000000000003</v>
      </c>
      <c r="AL1305">
        <v>4.9980000000000002</v>
      </c>
      <c r="AM1305">
        <v>32.732999999999997</v>
      </c>
      <c r="AN1305">
        <v>68.147999999999996</v>
      </c>
      <c r="AO1305">
        <v>66.900000000000006</v>
      </c>
      <c r="AP1305">
        <v>-4.9980000000000002</v>
      </c>
      <c r="AQ1305">
        <v>67.27</v>
      </c>
      <c r="AR1305">
        <v>58.841999999999999</v>
      </c>
      <c r="AS1305">
        <v>63.037999999999997</v>
      </c>
    </row>
    <row r="1306" spans="1:45" x14ac:dyDescent="0.25">
      <c r="A1306">
        <v>38</v>
      </c>
      <c r="B1306">
        <v>6</v>
      </c>
      <c r="C1306">
        <v>1</v>
      </c>
      <c r="D1306">
        <v>2022</v>
      </c>
      <c r="E1306">
        <v>18</v>
      </c>
      <c r="F1306" t="str">
        <f>IFERROR(VLOOKUP(G1306, Map!$A$1:$B$33, 2, FALSE),"WAS")</f>
        <v>PHI</v>
      </c>
      <c r="G1306" t="s">
        <v>147</v>
      </c>
      <c r="H1306" t="str">
        <f>IFERROR(VLOOKUP(I1306, Map!$A$1:$B$33, 2, FALSE),"WAS")</f>
        <v>NYG</v>
      </c>
      <c r="I1306" t="s">
        <v>149</v>
      </c>
      <c r="J1306" t="s">
        <v>206</v>
      </c>
      <c r="K1306" t="s">
        <v>219</v>
      </c>
      <c r="L1306">
        <v>1</v>
      </c>
      <c r="M1306">
        <v>0</v>
      </c>
      <c r="N1306">
        <v>39.5625</v>
      </c>
      <c r="O1306">
        <v>-15</v>
      </c>
      <c r="P1306">
        <v>-13.5</v>
      </c>
      <c r="Q1306">
        <v>34.5</v>
      </c>
      <c r="R1306">
        <v>2.5</v>
      </c>
      <c r="S1306">
        <v>5.6</v>
      </c>
      <c r="T1306">
        <v>-1.7</v>
      </c>
      <c r="U1306">
        <v>-1.3</v>
      </c>
      <c r="V1306">
        <v>0</v>
      </c>
      <c r="W1306">
        <v>0</v>
      </c>
      <c r="X1306">
        <v>0</v>
      </c>
      <c r="Y1306">
        <v>0</v>
      </c>
      <c r="Z1306">
        <v>13.1</v>
      </c>
      <c r="AA1306">
        <v>23</v>
      </c>
      <c r="AB1306">
        <v>301</v>
      </c>
      <c r="AC1306">
        <v>69</v>
      </c>
      <c r="AD1306">
        <v>17.399999999999999</v>
      </c>
      <c r="AE1306">
        <v>8.4</v>
      </c>
      <c r="AF1306">
        <v>92.662999999999997</v>
      </c>
      <c r="AG1306">
        <v>48.381999999999998</v>
      </c>
      <c r="AH1306">
        <v>7.2750000000000004</v>
      </c>
      <c r="AI1306">
        <v>66.739999999999995</v>
      </c>
      <c r="AJ1306">
        <v>56.831000000000003</v>
      </c>
      <c r="AK1306">
        <v>82.581999999999994</v>
      </c>
      <c r="AL1306">
        <v>17.942</v>
      </c>
      <c r="AM1306">
        <v>7.2750000000000004</v>
      </c>
      <c r="AN1306">
        <v>48.381999999999998</v>
      </c>
      <c r="AO1306">
        <v>92.662999999999997</v>
      </c>
      <c r="AP1306">
        <v>-17.942</v>
      </c>
      <c r="AQ1306">
        <v>43.168999999999997</v>
      </c>
      <c r="AR1306">
        <v>33.26</v>
      </c>
      <c r="AS1306">
        <v>17.417999999999999</v>
      </c>
    </row>
    <row r="1307" spans="1:45" x14ac:dyDescent="0.25">
      <c r="A1307">
        <v>32</v>
      </c>
      <c r="B1307">
        <v>20</v>
      </c>
      <c r="C1307">
        <v>1</v>
      </c>
      <c r="D1307">
        <v>2022</v>
      </c>
      <c r="E1307">
        <v>18</v>
      </c>
      <c r="F1307" t="str">
        <f>IFERROR(VLOOKUP(G1307, Map!$A$1:$B$33, 2, FALSE),"WAS")</f>
        <v>WAS</v>
      </c>
      <c r="G1307" t="s">
        <v>148</v>
      </c>
      <c r="H1307" t="str">
        <f>IFERROR(VLOOKUP(I1307, Map!$A$1:$B$33, 2, FALSE),"WAS")</f>
        <v>DAL</v>
      </c>
      <c r="I1307" t="s">
        <v>150</v>
      </c>
      <c r="J1307" t="s">
        <v>205</v>
      </c>
      <c r="K1307" t="s">
        <v>184</v>
      </c>
      <c r="L1307">
        <v>1</v>
      </c>
      <c r="M1307">
        <v>0</v>
      </c>
      <c r="N1307">
        <v>40.700000000000003</v>
      </c>
      <c r="O1307">
        <v>6.0333333333333297</v>
      </c>
      <c r="P1307">
        <v>5.5</v>
      </c>
      <c r="Q1307">
        <v>38.5</v>
      </c>
      <c r="R1307">
        <v>2.2000000000000002</v>
      </c>
      <c r="S1307">
        <v>6.1</v>
      </c>
      <c r="T1307">
        <v>-2.4</v>
      </c>
      <c r="U1307">
        <v>-1.6</v>
      </c>
      <c r="V1307">
        <v>0</v>
      </c>
      <c r="W1307">
        <v>0</v>
      </c>
      <c r="X1307">
        <v>0</v>
      </c>
      <c r="Y1307">
        <v>0</v>
      </c>
      <c r="Z1307">
        <v>14.1</v>
      </c>
      <c r="AA1307">
        <v>25.9</v>
      </c>
      <c r="AB1307">
        <v>286</v>
      </c>
      <c r="AC1307">
        <v>71</v>
      </c>
      <c r="AD1307">
        <v>17.600000000000001</v>
      </c>
      <c r="AE1307">
        <v>8.6999999999999993</v>
      </c>
      <c r="AF1307">
        <v>10.534000000000001</v>
      </c>
      <c r="AG1307">
        <v>52.347999999999999</v>
      </c>
      <c r="AH1307">
        <v>89.373999999999995</v>
      </c>
      <c r="AI1307">
        <v>97.162000000000006</v>
      </c>
      <c r="AJ1307">
        <v>29.573</v>
      </c>
      <c r="AK1307">
        <v>88.192999999999998</v>
      </c>
      <c r="AL1307">
        <v>-15.17</v>
      </c>
      <c r="AM1307">
        <v>89.373999999999995</v>
      </c>
      <c r="AN1307">
        <v>52.347999999999999</v>
      </c>
      <c r="AO1307">
        <v>10.534000000000001</v>
      </c>
      <c r="AP1307">
        <v>15.17</v>
      </c>
      <c r="AQ1307">
        <v>70.427000000000007</v>
      </c>
      <c r="AR1307">
        <v>2.8380000000000001</v>
      </c>
      <c r="AS1307">
        <v>11.807</v>
      </c>
    </row>
    <row r="1308" spans="1:45" x14ac:dyDescent="0.25">
      <c r="A1308">
        <v>63</v>
      </c>
      <c r="B1308">
        <v>-1</v>
      </c>
      <c r="C1308">
        <v>0</v>
      </c>
      <c r="D1308">
        <v>2022</v>
      </c>
      <c r="E1308">
        <v>18</v>
      </c>
      <c r="F1308" t="str">
        <f>IFERROR(VLOOKUP(G1308, Map!$A$1:$B$33, 2, FALSE),"WAS")</f>
        <v>IND</v>
      </c>
      <c r="G1308" t="s">
        <v>138</v>
      </c>
      <c r="H1308" t="str">
        <f>IFERROR(VLOOKUP(I1308, Map!$A$1:$B$33, 2, FALSE),"WAS")</f>
        <v>HOU</v>
      </c>
      <c r="I1308" t="s">
        <v>137</v>
      </c>
      <c r="J1308" t="s">
        <v>177</v>
      </c>
      <c r="K1308" t="s">
        <v>209</v>
      </c>
      <c r="L1308">
        <v>0</v>
      </c>
      <c r="M1308">
        <v>0</v>
      </c>
      <c r="N1308">
        <v>36.90625</v>
      </c>
      <c r="O1308">
        <v>-2.5625</v>
      </c>
      <c r="P1308">
        <v>0</v>
      </c>
      <c r="Q1308">
        <v>36.5</v>
      </c>
      <c r="R1308">
        <v>0</v>
      </c>
      <c r="S1308">
        <v>2.9</v>
      </c>
      <c r="T1308">
        <v>-2.1</v>
      </c>
      <c r="U1308">
        <v>-4</v>
      </c>
      <c r="V1308">
        <v>0.4</v>
      </c>
      <c r="W1308">
        <v>0.28000000000000003</v>
      </c>
      <c r="X1308">
        <v>3</v>
      </c>
      <c r="Y1308">
        <v>0</v>
      </c>
      <c r="Z1308">
        <v>12.6</v>
      </c>
      <c r="AA1308">
        <v>21.6</v>
      </c>
      <c r="AB1308">
        <v>53</v>
      </c>
      <c r="AC1308">
        <v>74</v>
      </c>
      <c r="AD1308">
        <v>17</v>
      </c>
      <c r="AE1308">
        <v>8.6</v>
      </c>
      <c r="AF1308">
        <v>26.085999999999999</v>
      </c>
      <c r="AG1308">
        <v>0.59699999999999998</v>
      </c>
      <c r="AH1308">
        <v>73.647000000000006</v>
      </c>
      <c r="AI1308">
        <v>74.986000000000004</v>
      </c>
      <c r="AJ1308">
        <v>35.667999999999999</v>
      </c>
      <c r="AK1308">
        <v>54.066000000000003</v>
      </c>
      <c r="AL1308">
        <v>-7.37</v>
      </c>
      <c r="AM1308">
        <v>73.647000000000006</v>
      </c>
      <c r="AN1308">
        <v>0.59699999999999998</v>
      </c>
      <c r="AO1308">
        <v>26.085999999999999</v>
      </c>
      <c r="AP1308">
        <v>7.37</v>
      </c>
      <c r="AQ1308">
        <v>64.331999999999994</v>
      </c>
      <c r="AR1308">
        <v>25.013999999999999</v>
      </c>
      <c r="AS1308">
        <v>45.933999999999997</v>
      </c>
    </row>
    <row r="1309" spans="1:45" x14ac:dyDescent="0.25">
      <c r="A1309">
        <v>42</v>
      </c>
      <c r="B1309">
        <v>-16</v>
      </c>
      <c r="C1309">
        <v>0</v>
      </c>
      <c r="D1309">
        <v>2022</v>
      </c>
      <c r="E1309">
        <v>18</v>
      </c>
      <c r="F1309" t="str">
        <f>IFERROR(VLOOKUP(G1309, Map!$A$1:$B$33, 2, FALSE),"WAS")</f>
        <v>CHI</v>
      </c>
      <c r="G1309" t="s">
        <v>163</v>
      </c>
      <c r="H1309" t="str">
        <f>IFERROR(VLOOKUP(I1309, Map!$A$1:$B$33, 2, FALSE),"WAS")</f>
        <v>MIN</v>
      </c>
      <c r="I1309" t="s">
        <v>153</v>
      </c>
      <c r="J1309" t="s">
        <v>216</v>
      </c>
      <c r="K1309" t="s">
        <v>214</v>
      </c>
      <c r="L1309">
        <v>0</v>
      </c>
      <c r="M1309">
        <v>0</v>
      </c>
      <c r="N1309">
        <v>40</v>
      </c>
      <c r="O1309">
        <v>6.875</v>
      </c>
      <c r="P1309">
        <v>6.5</v>
      </c>
      <c r="Q1309">
        <v>41.5</v>
      </c>
      <c r="R1309">
        <v>-0.7</v>
      </c>
      <c r="S1309">
        <v>1.3</v>
      </c>
      <c r="T1309">
        <v>-2.2999999999999998</v>
      </c>
      <c r="U1309">
        <v>-4.0999999999999996</v>
      </c>
      <c r="V1309">
        <v>0</v>
      </c>
      <c r="W1309">
        <v>0</v>
      </c>
      <c r="X1309">
        <v>0</v>
      </c>
      <c r="Y1309">
        <v>0</v>
      </c>
      <c r="Z1309">
        <v>11.8</v>
      </c>
      <c r="AA1309">
        <v>19.100000000000001</v>
      </c>
      <c r="AB1309">
        <v>287</v>
      </c>
      <c r="AC1309">
        <v>84</v>
      </c>
      <c r="AD1309">
        <v>10.5</v>
      </c>
      <c r="AE1309">
        <v>5.6</v>
      </c>
      <c r="AF1309">
        <v>15.465</v>
      </c>
      <c r="AG1309">
        <v>8.9019999999999992</v>
      </c>
      <c r="AH1309">
        <v>84.394999999999996</v>
      </c>
      <c r="AI1309">
        <v>17.117000000000001</v>
      </c>
      <c r="AJ1309">
        <v>16.984000000000002</v>
      </c>
      <c r="AK1309">
        <v>9.1470000000000002</v>
      </c>
      <c r="AL1309">
        <v>-12.004</v>
      </c>
      <c r="AM1309">
        <v>84.394999999999996</v>
      </c>
      <c r="AN1309">
        <v>8.9019999999999992</v>
      </c>
      <c r="AO1309">
        <v>15.465</v>
      </c>
      <c r="AP1309">
        <v>12.004</v>
      </c>
      <c r="AQ1309">
        <v>83.016000000000005</v>
      </c>
      <c r="AR1309">
        <v>82.882999999999996</v>
      </c>
      <c r="AS1309">
        <v>90.852999999999994</v>
      </c>
    </row>
    <row r="1310" spans="1:45" x14ac:dyDescent="0.25">
      <c r="A1310">
        <v>58</v>
      </c>
      <c r="B1310">
        <v>12</v>
      </c>
      <c r="C1310">
        <v>1</v>
      </c>
      <c r="D1310">
        <v>2022</v>
      </c>
      <c r="E1310">
        <v>18</v>
      </c>
      <c r="F1310" t="str">
        <f>IFERROR(VLOOKUP(G1310, Map!$A$1:$B$33, 2, FALSE),"WAS")</f>
        <v>BUF</v>
      </c>
      <c r="G1310" t="s">
        <v>165</v>
      </c>
      <c r="H1310" t="str">
        <f>IFERROR(VLOOKUP(I1310, Map!$A$1:$B$33, 2, FALSE),"WAS")</f>
        <v>NE</v>
      </c>
      <c r="I1310" t="s">
        <v>151</v>
      </c>
      <c r="J1310" t="s">
        <v>180</v>
      </c>
      <c r="K1310" t="s">
        <v>187</v>
      </c>
      <c r="L1310">
        <v>1</v>
      </c>
      <c r="M1310">
        <v>0</v>
      </c>
      <c r="N1310">
        <v>42.09375</v>
      </c>
      <c r="O1310">
        <v>-7.625</v>
      </c>
      <c r="P1310">
        <v>-7.5</v>
      </c>
      <c r="Q1310">
        <v>42.5</v>
      </c>
      <c r="R1310">
        <v>7</v>
      </c>
      <c r="S1310">
        <v>10.4</v>
      </c>
      <c r="T1310">
        <v>4.8</v>
      </c>
      <c r="U1310">
        <v>4.3</v>
      </c>
      <c r="V1310">
        <v>1.7</v>
      </c>
      <c r="W1310">
        <v>0</v>
      </c>
      <c r="X1310">
        <v>4</v>
      </c>
      <c r="Y1310">
        <v>1.7</v>
      </c>
      <c r="Z1310">
        <v>11.2</v>
      </c>
      <c r="AA1310">
        <v>22.3</v>
      </c>
      <c r="AB1310">
        <v>83</v>
      </c>
      <c r="AC1310">
        <v>79</v>
      </c>
      <c r="AD1310">
        <v>14.6</v>
      </c>
      <c r="AE1310">
        <v>8</v>
      </c>
      <c r="AF1310">
        <v>80.978999999999999</v>
      </c>
      <c r="AG1310">
        <v>91.191000000000003</v>
      </c>
      <c r="AH1310">
        <v>18.841000000000001</v>
      </c>
      <c r="AI1310">
        <v>51.997</v>
      </c>
      <c r="AJ1310">
        <v>64.751000000000005</v>
      </c>
      <c r="AK1310">
        <v>79.741</v>
      </c>
      <c r="AL1310">
        <v>10.263999999999999</v>
      </c>
      <c r="AM1310">
        <v>18.841000000000001</v>
      </c>
      <c r="AN1310">
        <v>91.191000000000003</v>
      </c>
      <c r="AO1310">
        <v>80.978999999999999</v>
      </c>
      <c r="AP1310">
        <v>-10.263999999999999</v>
      </c>
      <c r="AQ1310">
        <v>35.249000000000002</v>
      </c>
      <c r="AR1310">
        <v>48.003</v>
      </c>
      <c r="AS1310">
        <v>20.259</v>
      </c>
    </row>
    <row r="1311" spans="1:45" x14ac:dyDescent="0.25">
      <c r="A1311">
        <v>51</v>
      </c>
      <c r="B1311">
        <v>25</v>
      </c>
      <c r="C1311">
        <v>1</v>
      </c>
      <c r="D1311">
        <v>2022</v>
      </c>
      <c r="E1311">
        <v>18</v>
      </c>
      <c r="F1311" t="str">
        <f>IFERROR(VLOOKUP(G1311, Map!$A$1:$B$33, 2, FALSE),"WAS")</f>
        <v>SF</v>
      </c>
      <c r="G1311" t="s">
        <v>143</v>
      </c>
      <c r="H1311" t="str">
        <f>IFERROR(VLOOKUP(I1311, Map!$A$1:$B$33, 2, FALSE),"WAS")</f>
        <v>ARI</v>
      </c>
      <c r="I1311" t="s">
        <v>156</v>
      </c>
      <c r="J1311" t="s">
        <v>197</v>
      </c>
      <c r="K1311" t="s">
        <v>190</v>
      </c>
      <c r="L1311">
        <v>1</v>
      </c>
      <c r="M1311">
        <v>0</v>
      </c>
      <c r="N1311">
        <v>38.4375</v>
      </c>
      <c r="O1311">
        <v>-14.125</v>
      </c>
      <c r="P1311">
        <v>-13.5</v>
      </c>
      <c r="Q1311">
        <v>39.5</v>
      </c>
      <c r="R1311">
        <v>12.8</v>
      </c>
      <c r="S1311">
        <v>17.100000000000001</v>
      </c>
      <c r="T1311">
        <v>11.3</v>
      </c>
      <c r="U1311">
        <v>9.8000000000000007</v>
      </c>
      <c r="V1311">
        <v>30.6</v>
      </c>
      <c r="W1311">
        <v>0</v>
      </c>
      <c r="X1311">
        <v>17</v>
      </c>
      <c r="Y1311">
        <v>30.6</v>
      </c>
      <c r="Z1311">
        <v>29.1</v>
      </c>
      <c r="AA1311">
        <v>51.8</v>
      </c>
      <c r="AB1311">
        <v>132</v>
      </c>
      <c r="AC1311">
        <v>78</v>
      </c>
      <c r="AD1311">
        <v>34.4</v>
      </c>
      <c r="AE1311">
        <v>18.899999999999999</v>
      </c>
      <c r="AF1311">
        <v>91.001999999999995</v>
      </c>
      <c r="AG1311">
        <v>29.026</v>
      </c>
      <c r="AH1311">
        <v>8.9209999999999994</v>
      </c>
      <c r="AI1311">
        <v>90.587999999999994</v>
      </c>
      <c r="AJ1311">
        <v>82.724999999999994</v>
      </c>
      <c r="AK1311">
        <v>92.816999999999993</v>
      </c>
      <c r="AL1311">
        <v>16.350999999999999</v>
      </c>
      <c r="AM1311">
        <v>8.9209999999999994</v>
      </c>
      <c r="AN1311">
        <v>29.026</v>
      </c>
      <c r="AO1311">
        <v>91.001999999999995</v>
      </c>
      <c r="AP1311">
        <v>-16.350999999999999</v>
      </c>
      <c r="AQ1311">
        <v>17.274999999999999</v>
      </c>
      <c r="AR1311">
        <v>9.4120000000000008</v>
      </c>
      <c r="AS1311">
        <v>7.1829999999999998</v>
      </c>
    </row>
    <row r="1312" spans="1:45" x14ac:dyDescent="0.25">
      <c r="A1312">
        <v>44</v>
      </c>
      <c r="B1312">
        <v>-18</v>
      </c>
      <c r="C1312">
        <v>0</v>
      </c>
      <c r="D1312">
        <v>2022</v>
      </c>
      <c r="E1312">
        <v>18</v>
      </c>
      <c r="F1312" t="str">
        <f>IFERROR(VLOOKUP(G1312, Map!$A$1:$B$33, 2, FALSE),"WAS")</f>
        <v>LV</v>
      </c>
      <c r="G1312" t="s">
        <v>157</v>
      </c>
      <c r="H1312" t="str">
        <f>IFERROR(VLOOKUP(I1312, Map!$A$1:$B$33, 2, FALSE),"WAS")</f>
        <v>KC</v>
      </c>
      <c r="I1312" t="s">
        <v>158</v>
      </c>
      <c r="J1312" t="s">
        <v>179</v>
      </c>
      <c r="K1312" t="s">
        <v>202</v>
      </c>
      <c r="L1312">
        <v>0</v>
      </c>
      <c r="M1312">
        <v>0</v>
      </c>
      <c r="N1312">
        <v>51.6666666666667</v>
      </c>
      <c r="O1312">
        <v>9.4</v>
      </c>
      <c r="P1312">
        <v>8.5</v>
      </c>
      <c r="Q1312">
        <v>48.5</v>
      </c>
      <c r="R1312">
        <v>8.1</v>
      </c>
      <c r="S1312">
        <v>11.9</v>
      </c>
      <c r="T1312">
        <v>5.0999999999999996</v>
      </c>
      <c r="U1312">
        <v>5.7</v>
      </c>
      <c r="V1312">
        <v>0</v>
      </c>
      <c r="W1312">
        <v>0</v>
      </c>
      <c r="X1312">
        <v>0</v>
      </c>
      <c r="Y1312">
        <v>0</v>
      </c>
      <c r="Z1312">
        <v>9.4</v>
      </c>
      <c r="AA1312">
        <v>22.7</v>
      </c>
      <c r="AB1312">
        <v>297</v>
      </c>
      <c r="AC1312">
        <v>64</v>
      </c>
      <c r="AD1312">
        <v>8.1</v>
      </c>
      <c r="AE1312">
        <v>4</v>
      </c>
      <c r="AF1312">
        <v>10.11</v>
      </c>
      <c r="AG1312">
        <v>57.786999999999999</v>
      </c>
      <c r="AH1312">
        <v>89.802000000000007</v>
      </c>
      <c r="AI1312">
        <v>6.06</v>
      </c>
      <c r="AJ1312">
        <v>18.111999999999998</v>
      </c>
      <c r="AK1312">
        <v>6.7889999999999997</v>
      </c>
      <c r="AL1312">
        <v>-15.55</v>
      </c>
      <c r="AM1312">
        <v>89.802000000000007</v>
      </c>
      <c r="AN1312">
        <v>57.786999999999999</v>
      </c>
      <c r="AO1312">
        <v>10.11</v>
      </c>
      <c r="AP1312">
        <v>15.55</v>
      </c>
      <c r="AQ1312">
        <v>81.888000000000005</v>
      </c>
      <c r="AR1312">
        <v>93.94</v>
      </c>
      <c r="AS1312">
        <v>93.210999999999999</v>
      </c>
    </row>
    <row r="1313" spans="1:45" x14ac:dyDescent="0.25">
      <c r="A1313">
        <v>35</v>
      </c>
      <c r="B1313">
        <v>3</v>
      </c>
      <c r="C1313">
        <v>1</v>
      </c>
      <c r="D1313">
        <v>2022</v>
      </c>
      <c r="E1313">
        <v>18</v>
      </c>
      <c r="F1313" t="str">
        <f>IFERROR(VLOOKUP(G1313, Map!$A$1:$B$33, 2, FALSE),"WAS")</f>
        <v>SEA</v>
      </c>
      <c r="G1313" t="s">
        <v>144</v>
      </c>
      <c r="H1313" t="str">
        <f>IFERROR(VLOOKUP(I1313, Map!$A$1:$B$33, 2, FALSE),"WAS")</f>
        <v>LA</v>
      </c>
      <c r="I1313" t="s">
        <v>155</v>
      </c>
      <c r="J1313" t="s">
        <v>182</v>
      </c>
      <c r="K1313" t="s">
        <v>178</v>
      </c>
      <c r="L1313">
        <v>1</v>
      </c>
      <c r="M1313">
        <v>0</v>
      </c>
      <c r="N1313">
        <v>39.6875</v>
      </c>
      <c r="O1313">
        <v>-4.75</v>
      </c>
      <c r="P1313">
        <v>-3.5</v>
      </c>
      <c r="Q1313">
        <v>36.5</v>
      </c>
      <c r="R1313">
        <v>6.5</v>
      </c>
      <c r="S1313">
        <v>8.5</v>
      </c>
      <c r="T1313">
        <v>3.8</v>
      </c>
      <c r="U1313">
        <v>3.5</v>
      </c>
      <c r="V1313">
        <v>6.8</v>
      </c>
      <c r="W1313">
        <v>0</v>
      </c>
      <c r="X1313">
        <v>15</v>
      </c>
      <c r="Y1313">
        <v>6.8</v>
      </c>
      <c r="Z1313">
        <v>28.1</v>
      </c>
      <c r="AA1313">
        <v>46.4</v>
      </c>
      <c r="AB1313">
        <v>126</v>
      </c>
      <c r="AC1313">
        <v>85</v>
      </c>
      <c r="AD1313">
        <v>20</v>
      </c>
      <c r="AE1313">
        <v>11.2</v>
      </c>
      <c r="AF1313">
        <v>66.278999999999996</v>
      </c>
      <c r="AG1313">
        <v>56.62</v>
      </c>
      <c r="AH1313">
        <v>33.340000000000003</v>
      </c>
      <c r="AI1313">
        <v>67.197000000000003</v>
      </c>
      <c r="AJ1313">
        <v>32.783999999999999</v>
      </c>
      <c r="AK1313">
        <v>55.872999999999998</v>
      </c>
      <c r="AL1313">
        <v>4.7830000000000004</v>
      </c>
      <c r="AM1313">
        <v>33.340000000000003</v>
      </c>
      <c r="AN1313">
        <v>56.62</v>
      </c>
      <c r="AO1313">
        <v>66.278999999999996</v>
      </c>
      <c r="AP1313">
        <v>-4.7830000000000004</v>
      </c>
      <c r="AQ1313">
        <v>67.215999999999994</v>
      </c>
      <c r="AR1313">
        <v>32.802999999999997</v>
      </c>
      <c r="AS1313">
        <v>44.127000000000002</v>
      </c>
    </row>
    <row r="1314" spans="1:45" x14ac:dyDescent="0.25">
      <c r="A1314">
        <v>31</v>
      </c>
      <c r="B1314">
        <v>1</v>
      </c>
      <c r="C1314">
        <v>1</v>
      </c>
      <c r="D1314">
        <v>2023</v>
      </c>
      <c r="E1314">
        <v>1</v>
      </c>
      <c r="F1314" t="str">
        <f>IFERROR(VLOOKUP(G1314, Map!$A$1:$B$33, 2, FALSE),"WAS")</f>
        <v>NO</v>
      </c>
      <c r="G1314" t="s">
        <v>168</v>
      </c>
      <c r="H1314" t="str">
        <f>IFERROR(VLOOKUP(I1314, Map!$A$1:$B$33, 2, FALSE),"WAS")</f>
        <v>TEN</v>
      </c>
      <c r="I1314" t="s">
        <v>140</v>
      </c>
      <c r="J1314" t="s">
        <v>192</v>
      </c>
      <c r="K1314" t="s">
        <v>174</v>
      </c>
      <c r="L1314">
        <v>1</v>
      </c>
      <c r="M1314">
        <v>0</v>
      </c>
      <c r="N1314">
        <v>38.6388888888889</v>
      </c>
      <c r="O1314">
        <v>-2.6111111111111098</v>
      </c>
      <c r="P1314">
        <v>-1</v>
      </c>
      <c r="Q1314">
        <v>32.5</v>
      </c>
      <c r="R1314">
        <v>27.9</v>
      </c>
      <c r="S1314">
        <v>31.5</v>
      </c>
      <c r="T1314">
        <v>24.4</v>
      </c>
      <c r="U1314">
        <v>30.8</v>
      </c>
      <c r="V1314">
        <v>0</v>
      </c>
      <c r="W1314">
        <v>0</v>
      </c>
      <c r="X1314">
        <v>0</v>
      </c>
      <c r="Y1314">
        <v>0</v>
      </c>
      <c r="Z1314">
        <v>14.8</v>
      </c>
      <c r="AA1314">
        <v>27.4</v>
      </c>
      <c r="AB1314">
        <v>19</v>
      </c>
      <c r="AC1314">
        <v>63</v>
      </c>
      <c r="AD1314">
        <v>17.8</v>
      </c>
      <c r="AE1314">
        <v>8.6</v>
      </c>
      <c r="AF1314">
        <v>53.378999999999998</v>
      </c>
      <c r="AG1314">
        <v>55.780999999999999</v>
      </c>
      <c r="AH1314">
        <v>46.25</v>
      </c>
      <c r="AI1314">
        <v>82.965999999999994</v>
      </c>
      <c r="AJ1314">
        <v>37.659999999999997</v>
      </c>
      <c r="AK1314">
        <v>56.832000000000001</v>
      </c>
      <c r="AL1314">
        <v>1.2869999999999999</v>
      </c>
      <c r="AM1314">
        <v>46.25</v>
      </c>
      <c r="AN1314">
        <v>55.780999999999999</v>
      </c>
      <c r="AO1314">
        <v>53.378999999999998</v>
      </c>
      <c r="AP1314">
        <v>-1.2869999999999999</v>
      </c>
      <c r="AQ1314">
        <v>62.34</v>
      </c>
      <c r="AR1314">
        <v>17.033999999999999</v>
      </c>
      <c r="AS1314">
        <v>43.167999999999999</v>
      </c>
    </row>
    <row r="1315" spans="1:45" x14ac:dyDescent="0.25">
      <c r="A1315">
        <v>34</v>
      </c>
      <c r="B1315">
        <v>14</v>
      </c>
      <c r="C1315">
        <v>1</v>
      </c>
      <c r="D1315">
        <v>2023</v>
      </c>
      <c r="E1315">
        <v>1</v>
      </c>
      <c r="F1315" t="str">
        <f>IFERROR(VLOOKUP(G1315, Map!$A$1:$B$33, 2, FALSE),"WAS")</f>
        <v>ATL</v>
      </c>
      <c r="G1315" t="s">
        <v>167</v>
      </c>
      <c r="H1315" t="str">
        <f>IFERROR(VLOOKUP(I1315, Map!$A$1:$B$33, 2, FALSE),"WAS")</f>
        <v>CAR</v>
      </c>
      <c r="I1315" t="s">
        <v>142</v>
      </c>
      <c r="J1315" t="s">
        <v>188</v>
      </c>
      <c r="K1315" t="s">
        <v>185</v>
      </c>
      <c r="L1315">
        <v>1</v>
      </c>
      <c r="M1315">
        <v>0</v>
      </c>
      <c r="N1315">
        <v>38.6111111111111</v>
      </c>
      <c r="O1315">
        <v>-3.1111111111111098</v>
      </c>
      <c r="P1315">
        <v>-1.5</v>
      </c>
      <c r="Q1315">
        <v>36.5</v>
      </c>
      <c r="R1315">
        <v>23.2</v>
      </c>
      <c r="S1315">
        <v>28.9</v>
      </c>
      <c r="T1315">
        <v>19.3</v>
      </c>
      <c r="U1315">
        <v>25.9</v>
      </c>
      <c r="V1315">
        <v>0.2</v>
      </c>
      <c r="W1315">
        <v>0</v>
      </c>
      <c r="X1315">
        <v>2</v>
      </c>
      <c r="Y1315">
        <v>0.2</v>
      </c>
      <c r="Z1315">
        <v>12.7</v>
      </c>
      <c r="AA1315">
        <v>24.5</v>
      </c>
      <c r="AB1315">
        <v>80</v>
      </c>
      <c r="AC1315">
        <v>81</v>
      </c>
      <c r="AD1315">
        <v>17.3</v>
      </c>
      <c r="AE1315">
        <v>7</v>
      </c>
      <c r="AF1315">
        <v>55.911000000000001</v>
      </c>
      <c r="AG1315">
        <v>20.837</v>
      </c>
      <c r="AH1315">
        <v>43.738</v>
      </c>
      <c r="AI1315">
        <v>89.033000000000001</v>
      </c>
      <c r="AJ1315">
        <v>36.747</v>
      </c>
      <c r="AK1315">
        <v>76.147000000000006</v>
      </c>
      <c r="AL1315">
        <v>2.2029999999999998</v>
      </c>
      <c r="AM1315">
        <v>43.738</v>
      </c>
      <c r="AN1315">
        <v>20.837</v>
      </c>
      <c r="AO1315">
        <v>55.911000000000001</v>
      </c>
      <c r="AP1315">
        <v>-2.2029999999999998</v>
      </c>
      <c r="AQ1315">
        <v>63.253</v>
      </c>
      <c r="AR1315">
        <v>10.967000000000001</v>
      </c>
      <c r="AS1315">
        <v>23.853000000000002</v>
      </c>
    </row>
    <row r="1316" spans="1:45" x14ac:dyDescent="0.25">
      <c r="A1316">
        <v>58</v>
      </c>
      <c r="B1316">
        <v>-18</v>
      </c>
      <c r="C1316">
        <v>0</v>
      </c>
      <c r="D1316">
        <v>2023</v>
      </c>
      <c r="E1316">
        <v>1</v>
      </c>
      <c r="F1316" t="str">
        <f>IFERROR(VLOOKUP(G1316, Map!$A$1:$B$33, 2, FALSE),"WAS")</f>
        <v>CHI</v>
      </c>
      <c r="G1316" t="s">
        <v>163</v>
      </c>
      <c r="H1316" t="str">
        <f>IFERROR(VLOOKUP(I1316, Map!$A$1:$B$33, 2, FALSE),"WAS")</f>
        <v>GB</v>
      </c>
      <c r="I1316" t="s">
        <v>154</v>
      </c>
      <c r="J1316" t="s">
        <v>216</v>
      </c>
      <c r="K1316" t="s">
        <v>200</v>
      </c>
      <c r="L1316">
        <v>0</v>
      </c>
      <c r="M1316">
        <v>0</v>
      </c>
      <c r="N1316">
        <v>40.6111111111111</v>
      </c>
      <c r="O1316">
        <v>-0.63888888888888895</v>
      </c>
      <c r="P1316">
        <v>-1</v>
      </c>
      <c r="Q1316">
        <v>40.5</v>
      </c>
      <c r="R1316">
        <v>18.2</v>
      </c>
      <c r="S1316">
        <v>23.1</v>
      </c>
      <c r="T1316">
        <v>13.2</v>
      </c>
      <c r="U1316">
        <v>18.7</v>
      </c>
      <c r="V1316">
        <v>0</v>
      </c>
      <c r="W1316">
        <v>0</v>
      </c>
      <c r="X1316">
        <v>0</v>
      </c>
      <c r="Y1316">
        <v>0</v>
      </c>
      <c r="Z1316">
        <v>14.9</v>
      </c>
      <c r="AA1316">
        <v>26.6</v>
      </c>
      <c r="AB1316">
        <v>69</v>
      </c>
      <c r="AC1316">
        <v>79</v>
      </c>
      <c r="AD1316">
        <v>15</v>
      </c>
      <c r="AE1316">
        <v>8.1</v>
      </c>
      <c r="AF1316">
        <v>51.515000000000001</v>
      </c>
      <c r="AG1316">
        <v>52.969000000000001</v>
      </c>
      <c r="AH1316">
        <v>48.097999999999999</v>
      </c>
      <c r="AI1316">
        <v>22.401</v>
      </c>
      <c r="AJ1316">
        <v>17.683</v>
      </c>
      <c r="AK1316">
        <v>11.228999999999999</v>
      </c>
      <c r="AL1316">
        <v>0.61599999999999999</v>
      </c>
      <c r="AM1316">
        <v>48.097999999999999</v>
      </c>
      <c r="AN1316">
        <v>52.969000000000001</v>
      </c>
      <c r="AO1316">
        <v>51.515000000000001</v>
      </c>
      <c r="AP1316">
        <v>-0.61599999999999999</v>
      </c>
      <c r="AQ1316">
        <v>82.316999999999993</v>
      </c>
      <c r="AR1316">
        <v>77.599000000000004</v>
      </c>
      <c r="AS1316">
        <v>88.771000000000001</v>
      </c>
    </row>
    <row r="1317" spans="1:45" x14ac:dyDescent="0.25">
      <c r="A1317">
        <v>52</v>
      </c>
      <c r="B1317">
        <v>-10</v>
      </c>
      <c r="C1317">
        <v>0</v>
      </c>
      <c r="D1317">
        <v>2023</v>
      </c>
      <c r="E1317">
        <v>1</v>
      </c>
      <c r="F1317" t="str">
        <f>IFERROR(VLOOKUP(G1317, Map!$A$1:$B$33, 2, FALSE),"WAS")</f>
        <v>IND</v>
      </c>
      <c r="G1317" t="s">
        <v>138</v>
      </c>
      <c r="H1317" t="str">
        <f>IFERROR(VLOOKUP(I1317, Map!$A$1:$B$33, 2, FALSE),"WAS")</f>
        <v>JAX</v>
      </c>
      <c r="I1317" t="s">
        <v>139</v>
      </c>
      <c r="J1317" t="s">
        <v>177</v>
      </c>
      <c r="K1317" t="s">
        <v>220</v>
      </c>
      <c r="L1317">
        <v>0</v>
      </c>
      <c r="M1317">
        <v>0</v>
      </c>
      <c r="N1317">
        <v>42.625</v>
      </c>
      <c r="O1317">
        <v>3.75</v>
      </c>
      <c r="P1317">
        <v>3.5</v>
      </c>
      <c r="Q1317">
        <v>43.5</v>
      </c>
      <c r="R1317">
        <v>19.100000000000001</v>
      </c>
      <c r="S1317">
        <v>25.4</v>
      </c>
      <c r="T1317">
        <v>13.8</v>
      </c>
      <c r="U1317">
        <v>19.5</v>
      </c>
      <c r="V1317">
        <v>0</v>
      </c>
      <c r="W1317">
        <v>0</v>
      </c>
      <c r="X1317">
        <v>0</v>
      </c>
      <c r="Y1317">
        <v>0</v>
      </c>
      <c r="Z1317">
        <v>10.6</v>
      </c>
      <c r="AA1317">
        <v>23</v>
      </c>
      <c r="AB1317">
        <v>35</v>
      </c>
      <c r="AC1317">
        <v>75</v>
      </c>
      <c r="AD1317">
        <v>15.5</v>
      </c>
      <c r="AE1317">
        <v>7.1</v>
      </c>
      <c r="AF1317">
        <v>35.195</v>
      </c>
      <c r="AG1317">
        <v>45.872</v>
      </c>
      <c r="AH1317">
        <v>64.522000000000006</v>
      </c>
      <c r="AI1317">
        <v>87.147000000000006</v>
      </c>
      <c r="AJ1317">
        <v>4.0570000000000004</v>
      </c>
      <c r="AK1317">
        <v>32.338999999999999</v>
      </c>
      <c r="AL1317">
        <v>-5.4109999999999996</v>
      </c>
      <c r="AM1317">
        <v>64.522000000000006</v>
      </c>
      <c r="AN1317">
        <v>45.872</v>
      </c>
      <c r="AO1317">
        <v>35.195</v>
      </c>
      <c r="AP1317">
        <v>5.4109999999999996</v>
      </c>
      <c r="AQ1317">
        <v>95.942999999999998</v>
      </c>
      <c r="AR1317">
        <v>12.853</v>
      </c>
      <c r="AS1317">
        <v>67.661000000000001</v>
      </c>
    </row>
    <row r="1318" spans="1:45" x14ac:dyDescent="0.25">
      <c r="A1318">
        <v>45</v>
      </c>
      <c r="B1318">
        <v>-5</v>
      </c>
      <c r="C1318">
        <v>0</v>
      </c>
      <c r="D1318">
        <v>2023</v>
      </c>
      <c r="E1318">
        <v>1</v>
      </c>
      <c r="F1318" t="str">
        <f>IFERROR(VLOOKUP(G1318, Map!$A$1:$B$33, 2, FALSE),"WAS")</f>
        <v>NE</v>
      </c>
      <c r="G1318" t="s">
        <v>151</v>
      </c>
      <c r="H1318" t="str">
        <f>IFERROR(VLOOKUP(I1318, Map!$A$1:$B$33, 2, FALSE),"WAS")</f>
        <v>PHI</v>
      </c>
      <c r="I1318" t="s">
        <v>147</v>
      </c>
      <c r="J1318" t="s">
        <v>187</v>
      </c>
      <c r="K1318" t="s">
        <v>206</v>
      </c>
      <c r="L1318">
        <v>0</v>
      </c>
      <c r="M1318">
        <v>0</v>
      </c>
      <c r="N1318">
        <v>42.0555555555556</v>
      </c>
      <c r="O1318">
        <v>3.7777777777777799</v>
      </c>
      <c r="P1318">
        <v>3.5</v>
      </c>
      <c r="Q1318">
        <v>43.5</v>
      </c>
      <c r="R1318">
        <v>21.8</v>
      </c>
      <c r="S1318">
        <v>24.9</v>
      </c>
      <c r="T1318">
        <v>20.8</v>
      </c>
      <c r="U1318">
        <v>25.3</v>
      </c>
      <c r="V1318">
        <v>11</v>
      </c>
      <c r="W1318">
        <v>0</v>
      </c>
      <c r="X1318">
        <v>10</v>
      </c>
      <c r="Y1318">
        <v>11</v>
      </c>
      <c r="Z1318">
        <v>10</v>
      </c>
      <c r="AA1318">
        <v>31.7</v>
      </c>
      <c r="AB1318">
        <v>190</v>
      </c>
      <c r="AC1318">
        <v>96</v>
      </c>
      <c r="AD1318">
        <v>15.7</v>
      </c>
      <c r="AE1318">
        <v>6.3</v>
      </c>
      <c r="AF1318">
        <v>37.828000000000003</v>
      </c>
      <c r="AG1318">
        <v>45.207999999999998</v>
      </c>
      <c r="AH1318">
        <v>61.869</v>
      </c>
      <c r="AI1318">
        <v>79.760000000000005</v>
      </c>
      <c r="AJ1318">
        <v>16.773</v>
      </c>
      <c r="AK1318">
        <v>34.152000000000001</v>
      </c>
      <c r="AL1318">
        <v>-4.4009999999999998</v>
      </c>
      <c r="AM1318">
        <v>61.869</v>
      </c>
      <c r="AN1318">
        <v>45.207999999999998</v>
      </c>
      <c r="AO1318">
        <v>37.828000000000003</v>
      </c>
      <c r="AP1318">
        <v>4.4009999999999998</v>
      </c>
      <c r="AQ1318">
        <v>83.227000000000004</v>
      </c>
      <c r="AR1318">
        <v>20.239999999999998</v>
      </c>
      <c r="AS1318">
        <v>65.847999999999999</v>
      </c>
    </row>
    <row r="1319" spans="1:45" x14ac:dyDescent="0.25">
      <c r="A1319">
        <v>36</v>
      </c>
      <c r="B1319">
        <v>4</v>
      </c>
      <c r="C1319">
        <v>1</v>
      </c>
      <c r="D1319">
        <v>2023</v>
      </c>
      <c r="E1319">
        <v>1</v>
      </c>
      <c r="F1319" t="str">
        <f>IFERROR(VLOOKUP(G1319, Map!$A$1:$B$33, 2, FALSE),"WAS")</f>
        <v>WAS</v>
      </c>
      <c r="G1319" t="s">
        <v>148</v>
      </c>
      <c r="H1319" t="str">
        <f>IFERROR(VLOOKUP(I1319, Map!$A$1:$B$33, 2, FALSE),"WAS")</f>
        <v>ARI</v>
      </c>
      <c r="I1319" t="s">
        <v>156</v>
      </c>
      <c r="J1319" t="s">
        <v>205</v>
      </c>
      <c r="K1319" t="s">
        <v>190</v>
      </c>
      <c r="L1319">
        <v>1</v>
      </c>
      <c r="M1319">
        <v>0</v>
      </c>
      <c r="N1319">
        <v>38.375</v>
      </c>
      <c r="O1319">
        <v>-6.71875</v>
      </c>
      <c r="P1319">
        <v>-6</v>
      </c>
      <c r="Q1319">
        <v>37.5</v>
      </c>
      <c r="R1319">
        <v>22.6</v>
      </c>
      <c r="S1319">
        <v>26.6</v>
      </c>
      <c r="T1319">
        <v>20.9</v>
      </c>
      <c r="U1319">
        <v>25.7</v>
      </c>
      <c r="V1319">
        <v>32.5</v>
      </c>
      <c r="W1319">
        <v>0</v>
      </c>
      <c r="X1319">
        <v>16</v>
      </c>
      <c r="Y1319">
        <v>32.5</v>
      </c>
      <c r="Z1319">
        <v>10.7</v>
      </c>
      <c r="AA1319">
        <v>25.6</v>
      </c>
      <c r="AB1319">
        <v>132</v>
      </c>
      <c r="AC1319">
        <v>86</v>
      </c>
      <c r="AD1319">
        <v>16.3</v>
      </c>
      <c r="AE1319">
        <v>6</v>
      </c>
      <c r="AF1319">
        <v>73.131</v>
      </c>
      <c r="AG1319">
        <v>19.991</v>
      </c>
      <c r="AH1319">
        <v>26.655000000000001</v>
      </c>
      <c r="AI1319">
        <v>95.984999999999999</v>
      </c>
      <c r="AJ1319">
        <v>16.036000000000001</v>
      </c>
      <c r="AK1319">
        <v>60.863999999999997</v>
      </c>
      <c r="AL1319">
        <v>8.9160000000000004</v>
      </c>
      <c r="AM1319">
        <v>26.655000000000001</v>
      </c>
      <c r="AN1319">
        <v>19.991</v>
      </c>
      <c r="AO1319">
        <v>73.131</v>
      </c>
      <c r="AP1319">
        <v>-8.9160000000000004</v>
      </c>
      <c r="AQ1319">
        <v>83.963999999999999</v>
      </c>
      <c r="AR1319">
        <v>4.0149999999999997</v>
      </c>
      <c r="AS1319">
        <v>39.136000000000003</v>
      </c>
    </row>
    <row r="1320" spans="1:45" x14ac:dyDescent="0.25">
      <c r="A1320">
        <v>37</v>
      </c>
      <c r="B1320">
        <v>-23</v>
      </c>
      <c r="C1320">
        <v>0</v>
      </c>
      <c r="D1320">
        <v>2023</v>
      </c>
      <c r="E1320">
        <v>1</v>
      </c>
      <c r="F1320" t="str">
        <f>IFERROR(VLOOKUP(G1320, Map!$A$1:$B$33, 2, FALSE),"WAS")</f>
        <v>PIT</v>
      </c>
      <c r="G1320" t="s">
        <v>145</v>
      </c>
      <c r="H1320" t="str">
        <f>IFERROR(VLOOKUP(I1320, Map!$A$1:$B$33, 2, FALSE),"WAS")</f>
        <v>SF</v>
      </c>
      <c r="I1320" t="s">
        <v>143</v>
      </c>
      <c r="J1320" t="s">
        <v>170</v>
      </c>
      <c r="K1320" t="s">
        <v>197</v>
      </c>
      <c r="L1320">
        <v>0</v>
      </c>
      <c r="M1320">
        <v>0</v>
      </c>
      <c r="N1320">
        <v>39.1388888888889</v>
      </c>
      <c r="O1320">
        <v>2.6111111111111098</v>
      </c>
      <c r="P1320">
        <v>1</v>
      </c>
      <c r="Q1320">
        <v>40.5</v>
      </c>
      <c r="R1320">
        <v>20.6</v>
      </c>
      <c r="S1320">
        <v>24.5</v>
      </c>
      <c r="T1320">
        <v>17.399999999999999</v>
      </c>
      <c r="U1320">
        <v>22.6</v>
      </c>
      <c r="V1320">
        <v>14.3</v>
      </c>
      <c r="W1320">
        <v>0</v>
      </c>
      <c r="X1320">
        <v>12</v>
      </c>
      <c r="Y1320">
        <v>14.3</v>
      </c>
      <c r="Z1320">
        <v>9</v>
      </c>
      <c r="AA1320">
        <v>22.7</v>
      </c>
      <c r="AB1320">
        <v>348</v>
      </c>
      <c r="AC1320">
        <v>85</v>
      </c>
      <c r="AD1320">
        <v>15.9</v>
      </c>
      <c r="AE1320">
        <v>6.4</v>
      </c>
      <c r="AF1320">
        <v>43.773000000000003</v>
      </c>
      <c r="AG1320">
        <v>73.373999999999995</v>
      </c>
      <c r="AH1320">
        <v>55.875</v>
      </c>
      <c r="AI1320">
        <v>18.98</v>
      </c>
      <c r="AJ1320">
        <v>6.827</v>
      </c>
      <c r="AK1320">
        <v>4.923</v>
      </c>
      <c r="AL1320">
        <v>-2.19</v>
      </c>
      <c r="AM1320">
        <v>55.875</v>
      </c>
      <c r="AN1320">
        <v>73.373999999999995</v>
      </c>
      <c r="AO1320">
        <v>43.773000000000003</v>
      </c>
      <c r="AP1320">
        <v>2.19</v>
      </c>
      <c r="AQ1320">
        <v>93.173000000000002</v>
      </c>
      <c r="AR1320">
        <v>81.02</v>
      </c>
      <c r="AS1320">
        <v>95.076999999999998</v>
      </c>
    </row>
    <row r="1321" spans="1:45" x14ac:dyDescent="0.25">
      <c r="A1321">
        <v>40</v>
      </c>
      <c r="B1321">
        <v>-40</v>
      </c>
      <c r="C1321">
        <v>0</v>
      </c>
      <c r="D1321">
        <v>2023</v>
      </c>
      <c r="E1321">
        <v>1</v>
      </c>
      <c r="F1321" t="str">
        <f>IFERROR(VLOOKUP(G1321, Map!$A$1:$B$33, 2, FALSE),"WAS")</f>
        <v>NYG</v>
      </c>
      <c r="G1321" t="s">
        <v>149</v>
      </c>
      <c r="H1321" t="str">
        <f>IFERROR(VLOOKUP(I1321, Map!$A$1:$B$33, 2, FALSE),"WAS")</f>
        <v>DAL</v>
      </c>
      <c r="I1321" t="s">
        <v>150</v>
      </c>
      <c r="J1321" t="s">
        <v>219</v>
      </c>
      <c r="K1321" t="s">
        <v>184</v>
      </c>
      <c r="L1321">
        <v>0</v>
      </c>
      <c r="M1321">
        <v>0</v>
      </c>
      <c r="N1321">
        <v>42.21875</v>
      </c>
      <c r="O1321">
        <v>5.28125</v>
      </c>
      <c r="P1321">
        <v>2</v>
      </c>
      <c r="Q1321">
        <v>41.5</v>
      </c>
      <c r="R1321">
        <v>22.5</v>
      </c>
      <c r="S1321">
        <v>27.8</v>
      </c>
      <c r="T1321">
        <v>19.600000000000001</v>
      </c>
      <c r="U1321">
        <v>25.7</v>
      </c>
      <c r="V1321">
        <v>14.8</v>
      </c>
      <c r="W1321">
        <v>0</v>
      </c>
      <c r="X1321">
        <v>13</v>
      </c>
      <c r="Y1321">
        <v>14.8</v>
      </c>
      <c r="Z1321">
        <v>9.6999999999999993</v>
      </c>
      <c r="AA1321">
        <v>21.6</v>
      </c>
      <c r="AB1321">
        <v>46</v>
      </c>
      <c r="AC1321">
        <v>87</v>
      </c>
      <c r="AD1321">
        <v>14</v>
      </c>
      <c r="AE1321">
        <v>4.7</v>
      </c>
      <c r="AF1321">
        <v>44.341999999999999</v>
      </c>
      <c r="AG1321">
        <v>68.957999999999998</v>
      </c>
      <c r="AH1321">
        <v>55.302</v>
      </c>
      <c r="AI1321">
        <v>21.645</v>
      </c>
      <c r="AJ1321">
        <v>1.6890000000000001</v>
      </c>
      <c r="AK1321">
        <v>0.252</v>
      </c>
      <c r="AL1321">
        <v>-1.982</v>
      </c>
      <c r="AM1321">
        <v>55.302</v>
      </c>
      <c r="AN1321">
        <v>68.957999999999998</v>
      </c>
      <c r="AO1321">
        <v>44.341999999999999</v>
      </c>
      <c r="AP1321">
        <v>1.982</v>
      </c>
      <c r="AQ1321">
        <v>98.311000000000007</v>
      </c>
      <c r="AR1321">
        <v>78.355000000000004</v>
      </c>
      <c r="AS1321">
        <v>99.748000000000005</v>
      </c>
    </row>
    <row r="1322" spans="1:45" x14ac:dyDescent="0.25">
      <c r="A1322">
        <v>33</v>
      </c>
      <c r="B1322">
        <v>-1</v>
      </c>
      <c r="C1322">
        <v>0</v>
      </c>
      <c r="D1322">
        <v>2023</v>
      </c>
      <c r="E1322">
        <v>1</v>
      </c>
      <c r="F1322" t="str">
        <f>IFERROR(VLOOKUP(G1322, Map!$A$1:$B$33, 2, FALSE),"WAS")</f>
        <v>DEN</v>
      </c>
      <c r="G1322" t="s">
        <v>159</v>
      </c>
      <c r="H1322" t="str">
        <f>IFERROR(VLOOKUP(I1322, Map!$A$1:$B$33, 2, FALSE),"WAS")</f>
        <v>LV</v>
      </c>
      <c r="I1322" t="s">
        <v>157</v>
      </c>
      <c r="J1322" t="s">
        <v>183</v>
      </c>
      <c r="K1322" t="s">
        <v>179</v>
      </c>
      <c r="L1322">
        <v>0</v>
      </c>
      <c r="M1322">
        <v>0</v>
      </c>
      <c r="N1322">
        <v>42.941176470588204</v>
      </c>
      <c r="O1322">
        <v>-2.8823529411764701</v>
      </c>
      <c r="P1322">
        <v>1.5</v>
      </c>
      <c r="Q1322">
        <v>34.5</v>
      </c>
      <c r="R1322">
        <v>17.8</v>
      </c>
      <c r="S1322">
        <v>29.1</v>
      </c>
      <c r="T1322">
        <v>12.4</v>
      </c>
      <c r="U1322">
        <v>16.2</v>
      </c>
      <c r="V1322">
        <v>1.5</v>
      </c>
      <c r="W1322">
        <v>0</v>
      </c>
      <c r="X1322">
        <v>3</v>
      </c>
      <c r="Y1322">
        <v>1.5</v>
      </c>
      <c r="Z1322">
        <v>21.3</v>
      </c>
      <c r="AA1322">
        <v>36.700000000000003</v>
      </c>
      <c r="AB1322">
        <v>5</v>
      </c>
      <c r="AC1322">
        <v>58</v>
      </c>
      <c r="AD1322">
        <v>17.7</v>
      </c>
      <c r="AE1322">
        <v>8.8000000000000007</v>
      </c>
      <c r="AF1322">
        <v>59.054000000000002</v>
      </c>
      <c r="AG1322">
        <v>49.283999999999999</v>
      </c>
      <c r="AH1322">
        <v>40.619</v>
      </c>
      <c r="AI1322">
        <v>33.036999999999999</v>
      </c>
      <c r="AJ1322">
        <v>67.274000000000001</v>
      </c>
      <c r="AK1322">
        <v>41.616999999999997</v>
      </c>
      <c r="AL1322">
        <v>3.3530000000000002</v>
      </c>
      <c r="AM1322">
        <v>40.619</v>
      </c>
      <c r="AN1322">
        <v>49.283999999999999</v>
      </c>
      <c r="AO1322">
        <v>59.054000000000002</v>
      </c>
      <c r="AP1322">
        <v>-3.3530000000000002</v>
      </c>
      <c r="AQ1322">
        <v>32.725999999999999</v>
      </c>
      <c r="AR1322">
        <v>66.962999999999994</v>
      </c>
      <c r="AS1322">
        <v>58.383000000000003</v>
      </c>
    </row>
    <row r="1323" spans="1:45" x14ac:dyDescent="0.25">
      <c r="A1323">
        <v>43</v>
      </c>
      <c r="B1323">
        <v>-17</v>
      </c>
      <c r="C1323">
        <v>0</v>
      </c>
      <c r="D1323">
        <v>2023</v>
      </c>
      <c r="E1323">
        <v>1</v>
      </c>
      <c r="F1323" t="str">
        <f>IFERROR(VLOOKUP(G1323, Map!$A$1:$B$33, 2, FALSE),"WAS")</f>
        <v>SEA</v>
      </c>
      <c r="G1323" t="s">
        <v>144</v>
      </c>
      <c r="H1323" t="str">
        <f>IFERROR(VLOOKUP(I1323, Map!$A$1:$B$33, 2, FALSE),"WAS")</f>
        <v>LA</v>
      </c>
      <c r="I1323" t="s">
        <v>155</v>
      </c>
      <c r="J1323" t="s">
        <v>182</v>
      </c>
      <c r="K1323" t="s">
        <v>178</v>
      </c>
      <c r="L1323">
        <v>0</v>
      </c>
      <c r="M1323">
        <v>0</v>
      </c>
      <c r="N1323">
        <v>42.382352941176499</v>
      </c>
      <c r="O1323">
        <v>-3.2058823529411802</v>
      </c>
      <c r="P1323">
        <v>-4</v>
      </c>
      <c r="Q1323">
        <v>44</v>
      </c>
      <c r="R1323">
        <v>17.8</v>
      </c>
      <c r="S1323">
        <v>26.8</v>
      </c>
      <c r="T1323">
        <v>12.8</v>
      </c>
      <c r="U1323">
        <v>17.3</v>
      </c>
      <c r="V1323">
        <v>0</v>
      </c>
      <c r="W1323">
        <v>0</v>
      </c>
      <c r="X1323">
        <v>0</v>
      </c>
      <c r="Y1323">
        <v>0</v>
      </c>
      <c r="Z1323">
        <v>15.5</v>
      </c>
      <c r="AA1323">
        <v>28.4</v>
      </c>
      <c r="AB1323">
        <v>203</v>
      </c>
      <c r="AC1323">
        <v>73</v>
      </c>
      <c r="AD1323">
        <v>17.2</v>
      </c>
      <c r="AE1323">
        <v>9</v>
      </c>
      <c r="AF1323">
        <v>62.677</v>
      </c>
      <c r="AG1323">
        <v>67.116</v>
      </c>
      <c r="AH1323">
        <v>37.026000000000003</v>
      </c>
      <c r="AI1323">
        <v>17.114999999999998</v>
      </c>
      <c r="AJ1323">
        <v>47.423999999999999</v>
      </c>
      <c r="AK1323">
        <v>22.710999999999999</v>
      </c>
      <c r="AL1323">
        <v>4.7060000000000004</v>
      </c>
      <c r="AM1323">
        <v>37.026000000000003</v>
      </c>
      <c r="AN1323">
        <v>67.116</v>
      </c>
      <c r="AO1323">
        <v>62.677</v>
      </c>
      <c r="AP1323">
        <v>-4.7060000000000004</v>
      </c>
      <c r="AQ1323">
        <v>52.576000000000001</v>
      </c>
      <c r="AR1323">
        <v>82.885000000000005</v>
      </c>
      <c r="AS1323">
        <v>77.289000000000001</v>
      </c>
    </row>
    <row r="1324" spans="1:45" x14ac:dyDescent="0.25">
      <c r="A1324">
        <v>34</v>
      </c>
      <c r="B1324">
        <v>16</v>
      </c>
      <c r="C1324">
        <v>1</v>
      </c>
      <c r="D1324">
        <v>2023</v>
      </c>
      <c r="E1324">
        <v>1</v>
      </c>
      <c r="F1324" t="str">
        <f>IFERROR(VLOOKUP(G1324, Map!$A$1:$B$33, 2, FALSE),"WAS")</f>
        <v>BAL</v>
      </c>
      <c r="G1324" t="s">
        <v>146</v>
      </c>
      <c r="H1324" t="str">
        <f>IFERROR(VLOOKUP(I1324, Map!$A$1:$B$33, 2, FALSE),"WAS")</f>
        <v>HOU</v>
      </c>
      <c r="I1324" t="s">
        <v>137</v>
      </c>
      <c r="J1324" t="s">
        <v>181</v>
      </c>
      <c r="K1324" t="s">
        <v>209</v>
      </c>
      <c r="L1324">
        <v>1</v>
      </c>
      <c r="M1324">
        <v>0</v>
      </c>
      <c r="N1324">
        <v>40.8611111111111</v>
      </c>
      <c r="O1324">
        <v>-9.3333333333333304</v>
      </c>
      <c r="P1324">
        <v>-8.5</v>
      </c>
      <c r="Q1324">
        <v>35.5</v>
      </c>
      <c r="R1324">
        <v>22.7</v>
      </c>
      <c r="S1324">
        <v>26</v>
      </c>
      <c r="T1324">
        <v>20.9</v>
      </c>
      <c r="U1324">
        <v>25.6</v>
      </c>
      <c r="V1324">
        <v>13</v>
      </c>
      <c r="W1324">
        <v>0</v>
      </c>
      <c r="X1324">
        <v>15</v>
      </c>
      <c r="Y1324">
        <v>13</v>
      </c>
      <c r="Z1324">
        <v>12</v>
      </c>
      <c r="AA1324">
        <v>23</v>
      </c>
      <c r="AB1324">
        <v>190</v>
      </c>
      <c r="AC1324">
        <v>83</v>
      </c>
      <c r="AD1324">
        <v>14.7</v>
      </c>
      <c r="AE1324">
        <v>5.3</v>
      </c>
      <c r="AF1324">
        <v>73.498999999999995</v>
      </c>
      <c r="AG1324">
        <v>59.817</v>
      </c>
      <c r="AH1324">
        <v>26.29</v>
      </c>
      <c r="AI1324">
        <v>91.778999999999996</v>
      </c>
      <c r="AJ1324">
        <v>53.584000000000003</v>
      </c>
      <c r="AK1324">
        <v>83.141999999999996</v>
      </c>
      <c r="AL1324">
        <v>9.077</v>
      </c>
      <c r="AM1324">
        <v>26.29</v>
      </c>
      <c r="AN1324">
        <v>59.817</v>
      </c>
      <c r="AO1324">
        <v>73.498999999999995</v>
      </c>
      <c r="AP1324">
        <v>-9.077</v>
      </c>
      <c r="AQ1324">
        <v>46.415999999999997</v>
      </c>
      <c r="AR1324">
        <v>8.2210000000000001</v>
      </c>
      <c r="AS1324">
        <v>16.858000000000001</v>
      </c>
    </row>
    <row r="1325" spans="1:45" x14ac:dyDescent="0.25">
      <c r="A1325">
        <v>37</v>
      </c>
      <c r="B1325">
        <v>-3</v>
      </c>
      <c r="C1325">
        <v>0</v>
      </c>
      <c r="D1325">
        <v>2023</v>
      </c>
      <c r="E1325">
        <v>1</v>
      </c>
      <c r="F1325" t="str">
        <f>IFERROR(VLOOKUP(G1325, Map!$A$1:$B$33, 2, FALSE),"WAS")</f>
        <v>MIN</v>
      </c>
      <c r="G1325" t="s">
        <v>153</v>
      </c>
      <c r="H1325" t="str">
        <f>IFERROR(VLOOKUP(I1325, Map!$A$1:$B$33, 2, FALSE),"WAS")</f>
        <v>TB</v>
      </c>
      <c r="I1325" t="s">
        <v>141</v>
      </c>
      <c r="J1325" t="s">
        <v>214</v>
      </c>
      <c r="K1325" t="s">
        <v>186</v>
      </c>
      <c r="L1325">
        <v>0</v>
      </c>
      <c r="M1325">
        <v>0</v>
      </c>
      <c r="N1325">
        <v>42.088235294117602</v>
      </c>
      <c r="O1325">
        <v>-4.6176470588235299</v>
      </c>
      <c r="P1325">
        <v>-4</v>
      </c>
      <c r="Q1325">
        <v>40.5</v>
      </c>
      <c r="R1325">
        <v>18.5</v>
      </c>
      <c r="S1325">
        <v>23.6</v>
      </c>
      <c r="T1325">
        <v>14</v>
      </c>
      <c r="U1325">
        <v>17.8</v>
      </c>
      <c r="V1325">
        <v>0.1</v>
      </c>
      <c r="W1325">
        <v>0</v>
      </c>
      <c r="X1325">
        <v>1</v>
      </c>
      <c r="Y1325">
        <v>0.1</v>
      </c>
      <c r="Z1325">
        <v>14.7</v>
      </c>
      <c r="AA1325">
        <v>32.4</v>
      </c>
      <c r="AB1325">
        <v>5</v>
      </c>
      <c r="AC1325">
        <v>70</v>
      </c>
      <c r="AD1325">
        <v>23</v>
      </c>
      <c r="AE1325">
        <v>10.5</v>
      </c>
      <c r="AF1325">
        <v>67.106999999999999</v>
      </c>
      <c r="AG1325">
        <v>57.113999999999997</v>
      </c>
      <c r="AH1325">
        <v>32.631</v>
      </c>
      <c r="AI1325">
        <v>62.154000000000003</v>
      </c>
      <c r="AJ1325">
        <v>35.932000000000002</v>
      </c>
      <c r="AK1325">
        <v>40.886000000000003</v>
      </c>
      <c r="AL1325">
        <v>6.4210000000000003</v>
      </c>
      <c r="AM1325">
        <v>32.631</v>
      </c>
      <c r="AN1325">
        <v>57.113999999999997</v>
      </c>
      <c r="AO1325">
        <v>67.106999999999999</v>
      </c>
      <c r="AP1325">
        <v>-6.4210000000000003</v>
      </c>
      <c r="AQ1325">
        <v>64.067999999999998</v>
      </c>
      <c r="AR1325">
        <v>37.845999999999997</v>
      </c>
      <c r="AS1325">
        <v>59.113999999999997</v>
      </c>
    </row>
    <row r="1326" spans="1:45" x14ac:dyDescent="0.25">
      <c r="A1326">
        <v>27</v>
      </c>
      <c r="B1326">
        <v>21</v>
      </c>
      <c r="C1326">
        <v>1</v>
      </c>
      <c r="D1326">
        <v>2023</v>
      </c>
      <c r="E1326">
        <v>1</v>
      </c>
      <c r="F1326" t="str">
        <f>IFERROR(VLOOKUP(G1326, Map!$A$1:$B$33, 2, FALSE),"WAS")</f>
        <v>CLE</v>
      </c>
      <c r="G1326" t="s">
        <v>162</v>
      </c>
      <c r="H1326" t="str">
        <f>IFERROR(VLOOKUP(I1326, Map!$A$1:$B$33, 2, FALSE),"WAS")</f>
        <v>CIN</v>
      </c>
      <c r="I1326" t="s">
        <v>161</v>
      </c>
      <c r="J1326" t="s">
        <v>171</v>
      </c>
      <c r="K1326" t="s">
        <v>176</v>
      </c>
      <c r="L1326">
        <v>1</v>
      </c>
      <c r="M1326">
        <v>0</v>
      </c>
      <c r="N1326">
        <v>42.970588235294102</v>
      </c>
      <c r="O1326">
        <v>0.17647058823529399</v>
      </c>
      <c r="P1326">
        <v>0</v>
      </c>
      <c r="Q1326">
        <v>29.5</v>
      </c>
      <c r="R1326">
        <v>19.3</v>
      </c>
      <c r="S1326">
        <v>20.7</v>
      </c>
      <c r="T1326">
        <v>18.5</v>
      </c>
      <c r="U1326">
        <v>19.7</v>
      </c>
      <c r="V1326">
        <v>2.1</v>
      </c>
      <c r="W1326">
        <v>0</v>
      </c>
      <c r="X1326">
        <v>11</v>
      </c>
      <c r="Y1326">
        <v>2.1</v>
      </c>
      <c r="Z1326">
        <v>16.899999999999999</v>
      </c>
      <c r="AA1326">
        <v>24.1</v>
      </c>
      <c r="AB1326">
        <v>356</v>
      </c>
      <c r="AC1326">
        <v>85</v>
      </c>
      <c r="AD1326">
        <v>18.2</v>
      </c>
      <c r="AE1326">
        <v>12.6</v>
      </c>
      <c r="AF1326">
        <v>40.484000000000002</v>
      </c>
      <c r="AG1326">
        <v>65.977000000000004</v>
      </c>
      <c r="AH1326">
        <v>59.191000000000003</v>
      </c>
      <c r="AI1326">
        <v>93.296999999999997</v>
      </c>
      <c r="AJ1326">
        <v>27.794</v>
      </c>
      <c r="AK1326">
        <v>81.888000000000005</v>
      </c>
      <c r="AL1326">
        <v>-3.403</v>
      </c>
      <c r="AM1326">
        <v>59.191000000000003</v>
      </c>
      <c r="AN1326">
        <v>65.977000000000004</v>
      </c>
      <c r="AO1326">
        <v>40.484000000000002</v>
      </c>
      <c r="AP1326">
        <v>3.403</v>
      </c>
      <c r="AQ1326">
        <v>72.206000000000003</v>
      </c>
      <c r="AR1326">
        <v>6.7030000000000003</v>
      </c>
      <c r="AS1326">
        <v>18.111999999999998</v>
      </c>
    </row>
    <row r="1327" spans="1:45" x14ac:dyDescent="0.25">
      <c r="A1327">
        <v>70</v>
      </c>
      <c r="B1327">
        <v>-2</v>
      </c>
      <c r="C1327">
        <v>0</v>
      </c>
      <c r="D1327">
        <v>2023</v>
      </c>
      <c r="E1327">
        <v>1</v>
      </c>
      <c r="F1327" t="str">
        <f>IFERROR(VLOOKUP(G1327, Map!$A$1:$B$33, 2, FALSE),"WAS")</f>
        <v>LAC</v>
      </c>
      <c r="G1327" t="s">
        <v>160</v>
      </c>
      <c r="H1327" t="str">
        <f>IFERROR(VLOOKUP(I1327, Map!$A$1:$B$33, 2, FALSE),"WAS")</f>
        <v>MIA</v>
      </c>
      <c r="I1327" t="s">
        <v>152</v>
      </c>
      <c r="J1327" t="s">
        <v>210</v>
      </c>
      <c r="K1327" t="s">
        <v>175</v>
      </c>
      <c r="L1327">
        <v>0</v>
      </c>
      <c r="M1327">
        <v>0</v>
      </c>
      <c r="N1327">
        <v>48.5</v>
      </c>
      <c r="O1327">
        <v>-2.3611111111111098</v>
      </c>
      <c r="P1327">
        <v>1.5</v>
      </c>
      <c r="Q1327">
        <v>49.5</v>
      </c>
      <c r="R1327">
        <v>25.1</v>
      </c>
      <c r="S1327">
        <v>31.8</v>
      </c>
      <c r="T1327">
        <v>22.2</v>
      </c>
      <c r="U1327">
        <v>26.4</v>
      </c>
      <c r="V1327">
        <v>2.9</v>
      </c>
      <c r="W1327">
        <v>0</v>
      </c>
      <c r="X1327">
        <v>3</v>
      </c>
      <c r="Y1327">
        <v>2.9</v>
      </c>
      <c r="Z1327">
        <v>25.3</v>
      </c>
      <c r="AA1327">
        <v>45.4</v>
      </c>
      <c r="AB1327">
        <v>231</v>
      </c>
      <c r="AC1327">
        <v>62</v>
      </c>
      <c r="AD1327">
        <v>20.7</v>
      </c>
      <c r="AE1327">
        <v>10.1</v>
      </c>
      <c r="AF1327">
        <v>55.383000000000003</v>
      </c>
      <c r="AG1327">
        <v>77.128</v>
      </c>
      <c r="AH1327">
        <v>44.261000000000003</v>
      </c>
      <c r="AI1327">
        <v>8.0090000000000003</v>
      </c>
      <c r="AJ1327">
        <v>77.665000000000006</v>
      </c>
      <c r="AK1327">
        <v>41.546999999999997</v>
      </c>
      <c r="AL1327">
        <v>2.0110000000000001</v>
      </c>
      <c r="AM1327">
        <v>44.261000000000003</v>
      </c>
      <c r="AN1327">
        <v>77.128</v>
      </c>
      <c r="AO1327">
        <v>55.383000000000003</v>
      </c>
      <c r="AP1327">
        <v>-2.0110000000000001</v>
      </c>
      <c r="AQ1327">
        <v>22.335000000000001</v>
      </c>
      <c r="AR1327">
        <v>91.991</v>
      </c>
      <c r="AS1327">
        <v>58.453000000000003</v>
      </c>
    </row>
    <row r="1328" spans="1:45" x14ac:dyDescent="0.25">
      <c r="A1328">
        <v>41</v>
      </c>
      <c r="B1328">
        <v>-1</v>
      </c>
      <c r="C1328">
        <v>0</v>
      </c>
      <c r="D1328">
        <v>2023</v>
      </c>
      <c r="E1328">
        <v>1</v>
      </c>
      <c r="F1328" t="str">
        <f>IFERROR(VLOOKUP(G1328, Map!$A$1:$B$33, 2, FALSE),"WAS")</f>
        <v>KC</v>
      </c>
      <c r="G1328" t="s">
        <v>158</v>
      </c>
      <c r="H1328" t="str">
        <f>IFERROR(VLOOKUP(I1328, Map!$A$1:$B$33, 2, FALSE),"WAS")</f>
        <v>DET</v>
      </c>
      <c r="I1328" t="s">
        <v>164</v>
      </c>
      <c r="J1328" t="s">
        <v>202</v>
      </c>
      <c r="K1328" t="s">
        <v>173</v>
      </c>
      <c r="L1328">
        <v>0</v>
      </c>
      <c r="M1328">
        <v>0</v>
      </c>
      <c r="N1328">
        <v>49.125</v>
      </c>
      <c r="O1328">
        <v>-4.09375</v>
      </c>
      <c r="P1328">
        <v>1</v>
      </c>
      <c r="Q1328">
        <v>42.5</v>
      </c>
      <c r="R1328">
        <v>22.2</v>
      </c>
      <c r="S1328">
        <v>28.1</v>
      </c>
      <c r="T1328">
        <v>16.7</v>
      </c>
      <c r="U1328">
        <v>21.8</v>
      </c>
      <c r="V1328">
        <v>0</v>
      </c>
      <c r="W1328">
        <v>0</v>
      </c>
      <c r="X1328">
        <v>0</v>
      </c>
      <c r="Y1328">
        <v>0</v>
      </c>
      <c r="Z1328">
        <v>12.9</v>
      </c>
      <c r="AA1328">
        <v>27.4</v>
      </c>
      <c r="AB1328">
        <v>79</v>
      </c>
      <c r="AC1328">
        <v>56</v>
      </c>
      <c r="AD1328">
        <v>20</v>
      </c>
      <c r="AE1328">
        <v>9.9</v>
      </c>
      <c r="AF1328">
        <v>66.2</v>
      </c>
      <c r="AG1328">
        <v>78.507000000000005</v>
      </c>
      <c r="AH1328">
        <v>33.530999999999999</v>
      </c>
      <c r="AI1328">
        <v>63.040999999999997</v>
      </c>
      <c r="AJ1328">
        <v>32.555999999999997</v>
      </c>
      <c r="AK1328">
        <v>42.656999999999996</v>
      </c>
      <c r="AL1328">
        <v>6.0629999999999997</v>
      </c>
      <c r="AM1328">
        <v>33.530999999999999</v>
      </c>
      <c r="AN1328">
        <v>78.507000000000005</v>
      </c>
      <c r="AO1328">
        <v>66.2</v>
      </c>
      <c r="AP1328">
        <v>-6.0629999999999997</v>
      </c>
      <c r="AQ1328">
        <v>67.444000000000003</v>
      </c>
      <c r="AR1328">
        <v>36.959000000000003</v>
      </c>
      <c r="AS1328">
        <v>57.343000000000004</v>
      </c>
    </row>
    <row r="1329" spans="1:45" x14ac:dyDescent="0.25">
      <c r="A1329">
        <v>38</v>
      </c>
      <c r="B1329">
        <v>6</v>
      </c>
      <c r="C1329">
        <v>1</v>
      </c>
      <c r="D1329">
        <v>2023</v>
      </c>
      <c r="E1329">
        <v>1</v>
      </c>
      <c r="F1329" t="str">
        <f>IFERROR(VLOOKUP(G1329, Map!$A$1:$B$33, 2, FALSE),"WAS")</f>
        <v>NYJ</v>
      </c>
      <c r="G1329" t="s">
        <v>166</v>
      </c>
      <c r="H1329" t="str">
        <f>IFERROR(VLOOKUP(I1329, Map!$A$1:$B$33, 2, FALSE),"WAS")</f>
        <v>BUF</v>
      </c>
      <c r="I1329" t="s">
        <v>165</v>
      </c>
      <c r="J1329" t="s">
        <v>172</v>
      </c>
      <c r="K1329" t="s">
        <v>180</v>
      </c>
      <c r="L1329">
        <v>1</v>
      </c>
      <c r="M1329">
        <v>0</v>
      </c>
      <c r="N1329">
        <v>42.029411764705898</v>
      </c>
      <c r="O1329">
        <v>1.79411764705882</v>
      </c>
      <c r="P1329">
        <v>1</v>
      </c>
      <c r="Q1329">
        <v>37.5</v>
      </c>
      <c r="R1329">
        <v>22.8</v>
      </c>
      <c r="S1329">
        <v>28.2</v>
      </c>
      <c r="T1329">
        <v>18.8</v>
      </c>
      <c r="U1329">
        <v>25.4</v>
      </c>
      <c r="V1329">
        <v>0.4</v>
      </c>
      <c r="W1329">
        <v>0</v>
      </c>
      <c r="X1329">
        <v>3</v>
      </c>
      <c r="Y1329">
        <v>0.4</v>
      </c>
      <c r="Z1329">
        <v>8.1999999999999993</v>
      </c>
      <c r="AA1329">
        <v>20.5</v>
      </c>
      <c r="AB1329">
        <v>327</v>
      </c>
      <c r="AC1329">
        <v>81</v>
      </c>
      <c r="AD1329">
        <v>14.3</v>
      </c>
      <c r="AE1329">
        <v>5.9</v>
      </c>
      <c r="AF1329">
        <v>42.048000000000002</v>
      </c>
      <c r="AG1329">
        <v>56.497999999999998</v>
      </c>
      <c r="AH1329">
        <v>57.613999999999997</v>
      </c>
      <c r="AI1329">
        <v>74.308999999999997</v>
      </c>
      <c r="AJ1329">
        <v>36.692999999999998</v>
      </c>
      <c r="AK1329">
        <v>61.715000000000003</v>
      </c>
      <c r="AL1329">
        <v>-2.8239999999999998</v>
      </c>
      <c r="AM1329">
        <v>57.613999999999997</v>
      </c>
      <c r="AN1329">
        <v>56.497999999999998</v>
      </c>
      <c r="AO1329">
        <v>42.048000000000002</v>
      </c>
      <c r="AP1329">
        <v>2.8239999999999998</v>
      </c>
      <c r="AQ1329">
        <v>63.307000000000002</v>
      </c>
      <c r="AR1329">
        <v>25.690999999999999</v>
      </c>
      <c r="AS1329">
        <v>38.284999999999997</v>
      </c>
    </row>
    <row r="1330" spans="1:45" x14ac:dyDescent="0.25">
      <c r="A1330">
        <v>51</v>
      </c>
      <c r="B1330">
        <v>3</v>
      </c>
      <c r="C1330">
        <v>1</v>
      </c>
      <c r="D1330">
        <v>2023</v>
      </c>
      <c r="E1330">
        <v>2</v>
      </c>
      <c r="F1330" t="str">
        <f>IFERROR(VLOOKUP(G1330, Map!$A$1:$B$33, 2, FALSE),"WAS")</f>
        <v>TEN</v>
      </c>
      <c r="G1330" t="s">
        <v>140</v>
      </c>
      <c r="H1330" t="str">
        <f>IFERROR(VLOOKUP(I1330, Map!$A$1:$B$33, 2, FALSE),"WAS")</f>
        <v>LAC</v>
      </c>
      <c r="I1330" t="s">
        <v>160</v>
      </c>
      <c r="J1330" t="s">
        <v>174</v>
      </c>
      <c r="K1330" t="s">
        <v>210</v>
      </c>
      <c r="L1330">
        <v>1</v>
      </c>
      <c r="M1330">
        <v>0</v>
      </c>
      <c r="N1330">
        <v>39.464285714285701</v>
      </c>
      <c r="O1330">
        <v>2.46428571428571</v>
      </c>
      <c r="P1330">
        <v>2.5</v>
      </c>
      <c r="Q1330">
        <v>0</v>
      </c>
      <c r="R1330">
        <v>19.8</v>
      </c>
      <c r="S1330">
        <v>24.7</v>
      </c>
      <c r="T1330">
        <v>15.5</v>
      </c>
      <c r="U1330">
        <v>20.8</v>
      </c>
      <c r="V1330">
        <v>1.2</v>
      </c>
      <c r="W1330">
        <v>0</v>
      </c>
      <c r="X1330">
        <v>2</v>
      </c>
      <c r="Y1330">
        <v>1.2</v>
      </c>
      <c r="Z1330">
        <v>14.3</v>
      </c>
      <c r="AA1330">
        <v>29.2</v>
      </c>
      <c r="AB1330">
        <v>300</v>
      </c>
      <c r="AC1330">
        <v>81</v>
      </c>
      <c r="AD1330">
        <v>16.8</v>
      </c>
      <c r="AE1330">
        <v>7.7</v>
      </c>
      <c r="AF1330">
        <v>36.904000000000003</v>
      </c>
      <c r="AG1330">
        <v>55.313000000000002</v>
      </c>
      <c r="AH1330">
        <v>62.8</v>
      </c>
      <c r="AI1330">
        <v>42.878999999999998</v>
      </c>
      <c r="AJ1330">
        <v>60.386000000000003</v>
      </c>
      <c r="AK1330">
        <v>55.000999999999998</v>
      </c>
      <c r="AL1330">
        <v>-4.6760000000000002</v>
      </c>
      <c r="AM1330">
        <v>62.8</v>
      </c>
      <c r="AN1330">
        <v>55.313000000000002</v>
      </c>
      <c r="AO1330">
        <v>36.904000000000003</v>
      </c>
      <c r="AP1330">
        <v>4.6760000000000002</v>
      </c>
      <c r="AQ1330">
        <v>39.613999999999997</v>
      </c>
      <c r="AR1330">
        <v>57.121000000000002</v>
      </c>
      <c r="AS1330">
        <v>44.999000000000002</v>
      </c>
    </row>
    <row r="1331" spans="1:45" x14ac:dyDescent="0.25">
      <c r="A1331">
        <v>49</v>
      </c>
      <c r="B1331">
        <v>1</v>
      </c>
      <c r="C1331">
        <v>1</v>
      </c>
      <c r="D1331">
        <v>2023</v>
      </c>
      <c r="E1331">
        <v>2</v>
      </c>
      <c r="F1331" t="str">
        <f>IFERROR(VLOOKUP(G1331, Map!$A$1:$B$33, 2, FALSE),"WAS")</f>
        <v>ATL</v>
      </c>
      <c r="G1331" t="s">
        <v>167</v>
      </c>
      <c r="H1331" t="str">
        <f>IFERROR(VLOOKUP(I1331, Map!$A$1:$B$33, 2, FALSE),"WAS")</f>
        <v>GB</v>
      </c>
      <c r="I1331" t="s">
        <v>154</v>
      </c>
      <c r="J1331" t="s">
        <v>188</v>
      </c>
      <c r="K1331" t="s">
        <v>200</v>
      </c>
      <c r="L1331">
        <v>1</v>
      </c>
      <c r="M1331">
        <v>0</v>
      </c>
      <c r="N1331">
        <v>36.961538461538503</v>
      </c>
      <c r="O1331">
        <v>-2.2307692307692299</v>
      </c>
      <c r="P1331">
        <v>-1</v>
      </c>
      <c r="Q1331">
        <v>36.5</v>
      </c>
      <c r="R1331">
        <v>20.7</v>
      </c>
      <c r="S1331">
        <v>25.3</v>
      </c>
      <c r="T1331">
        <v>17.8</v>
      </c>
      <c r="U1331">
        <v>21.8</v>
      </c>
      <c r="V1331">
        <v>2</v>
      </c>
      <c r="W1331">
        <v>0</v>
      </c>
      <c r="X1331">
        <v>8</v>
      </c>
      <c r="Y1331">
        <v>2</v>
      </c>
      <c r="Z1331">
        <v>18.899999999999999</v>
      </c>
      <c r="AA1331">
        <v>36</v>
      </c>
      <c r="AB1331">
        <v>312</v>
      </c>
      <c r="AC1331">
        <v>81</v>
      </c>
      <c r="AD1331">
        <v>21.4</v>
      </c>
      <c r="AE1331">
        <v>11.1</v>
      </c>
      <c r="AF1331">
        <v>51.482999999999997</v>
      </c>
      <c r="AG1331">
        <v>45.027999999999999</v>
      </c>
      <c r="AH1331">
        <v>48.13</v>
      </c>
      <c r="AI1331">
        <v>26.611999999999998</v>
      </c>
      <c r="AJ1331">
        <v>60.448</v>
      </c>
      <c r="AK1331">
        <v>49.692</v>
      </c>
      <c r="AL1331">
        <v>0.59499999999999997</v>
      </c>
      <c r="AM1331">
        <v>48.13</v>
      </c>
      <c r="AN1331">
        <v>45.027999999999999</v>
      </c>
      <c r="AO1331">
        <v>51.482999999999997</v>
      </c>
      <c r="AP1331">
        <v>-0.59499999999999997</v>
      </c>
      <c r="AQ1331">
        <v>39.552</v>
      </c>
      <c r="AR1331">
        <v>73.388000000000005</v>
      </c>
      <c r="AS1331">
        <v>50.308</v>
      </c>
    </row>
    <row r="1332" spans="1:45" x14ac:dyDescent="0.25">
      <c r="A1332">
        <v>51</v>
      </c>
      <c r="B1332">
        <v>-11</v>
      </c>
      <c r="C1332">
        <v>0</v>
      </c>
      <c r="D1332">
        <v>2023</v>
      </c>
      <c r="E1332">
        <v>2</v>
      </c>
      <c r="F1332" t="str">
        <f>IFERROR(VLOOKUP(G1332, Map!$A$1:$B$33, 2, FALSE),"WAS")</f>
        <v>HOU</v>
      </c>
      <c r="G1332" t="s">
        <v>137</v>
      </c>
      <c r="H1332" t="str">
        <f>IFERROR(VLOOKUP(I1332, Map!$A$1:$B$33, 2, FALSE),"WAS")</f>
        <v>IND</v>
      </c>
      <c r="I1332" t="s">
        <v>138</v>
      </c>
      <c r="J1332" t="s">
        <v>209</v>
      </c>
      <c r="K1332" t="s">
        <v>177</v>
      </c>
      <c r="L1332">
        <v>0</v>
      </c>
      <c r="M1332">
        <v>0</v>
      </c>
      <c r="N1332">
        <v>38</v>
      </c>
      <c r="O1332">
        <v>0</v>
      </c>
      <c r="P1332">
        <v>0</v>
      </c>
      <c r="Q1332">
        <v>39.5</v>
      </c>
      <c r="R1332">
        <v>26.6</v>
      </c>
      <c r="S1332">
        <v>31.5</v>
      </c>
      <c r="T1332">
        <v>22.4</v>
      </c>
      <c r="U1332">
        <v>30.1</v>
      </c>
      <c r="V1332">
        <v>0.8</v>
      </c>
      <c r="W1332">
        <v>0</v>
      </c>
      <c r="X1332">
        <v>2</v>
      </c>
      <c r="Y1332">
        <v>0.8</v>
      </c>
      <c r="Z1332">
        <v>12.1</v>
      </c>
      <c r="AA1332">
        <v>24.1</v>
      </c>
      <c r="AB1332">
        <v>9</v>
      </c>
      <c r="AC1332">
        <v>73</v>
      </c>
      <c r="AD1332">
        <v>14.9</v>
      </c>
      <c r="AE1332">
        <v>7.3</v>
      </c>
      <c r="AF1332">
        <v>53.009</v>
      </c>
      <c r="AG1332">
        <v>38.148000000000003</v>
      </c>
      <c r="AH1332">
        <v>46.616</v>
      </c>
      <c r="AI1332">
        <v>13.093</v>
      </c>
      <c r="AJ1332">
        <v>31.687000000000001</v>
      </c>
      <c r="AK1332">
        <v>14.048</v>
      </c>
      <c r="AL1332">
        <v>1.135</v>
      </c>
      <c r="AM1332">
        <v>46.616</v>
      </c>
      <c r="AN1332">
        <v>38.148000000000003</v>
      </c>
      <c r="AO1332">
        <v>53.009</v>
      </c>
      <c r="AP1332">
        <v>-1.135</v>
      </c>
      <c r="AQ1332">
        <v>68.313000000000002</v>
      </c>
      <c r="AR1332">
        <v>86.906999999999996</v>
      </c>
      <c r="AS1332">
        <v>85.951999999999998</v>
      </c>
    </row>
    <row r="1333" spans="1:45" x14ac:dyDescent="0.25">
      <c r="A1333">
        <v>51</v>
      </c>
      <c r="B1333">
        <v>-3</v>
      </c>
      <c r="C1333">
        <v>0</v>
      </c>
      <c r="D1333">
        <v>2023</v>
      </c>
      <c r="E1333">
        <v>2</v>
      </c>
      <c r="F1333" t="str">
        <f>IFERROR(VLOOKUP(G1333, Map!$A$1:$B$33, 2, FALSE),"WAS")</f>
        <v>CIN</v>
      </c>
      <c r="G1333" t="s">
        <v>161</v>
      </c>
      <c r="H1333" t="str">
        <f>IFERROR(VLOOKUP(I1333, Map!$A$1:$B$33, 2, FALSE),"WAS")</f>
        <v>BAL</v>
      </c>
      <c r="I1333" t="s">
        <v>146</v>
      </c>
      <c r="J1333" t="s">
        <v>176</v>
      </c>
      <c r="K1333" t="s">
        <v>181</v>
      </c>
      <c r="L1333">
        <v>0</v>
      </c>
      <c r="M1333">
        <v>0</v>
      </c>
      <c r="N1333">
        <v>38.857142857142897</v>
      </c>
      <c r="O1333">
        <v>-2.8571428571428599</v>
      </c>
      <c r="P1333">
        <v>-0.5</v>
      </c>
      <c r="Q1333">
        <v>0</v>
      </c>
      <c r="R1333">
        <v>19.3</v>
      </c>
      <c r="S1333">
        <v>24.1</v>
      </c>
      <c r="T1333">
        <v>14.7</v>
      </c>
      <c r="U1333">
        <v>19.2</v>
      </c>
      <c r="V1333">
        <v>2.6</v>
      </c>
      <c r="W1333">
        <v>0</v>
      </c>
      <c r="X1333">
        <v>6</v>
      </c>
      <c r="Y1333">
        <v>2.6</v>
      </c>
      <c r="Z1333">
        <v>8.6999999999999993</v>
      </c>
      <c r="AA1333">
        <v>20.9</v>
      </c>
      <c r="AB1333">
        <v>344</v>
      </c>
      <c r="AC1333">
        <v>67</v>
      </c>
      <c r="AD1333">
        <v>15</v>
      </c>
      <c r="AE1333">
        <v>6</v>
      </c>
      <c r="AF1333">
        <v>51.451000000000001</v>
      </c>
      <c r="AG1333">
        <v>93.444999999999993</v>
      </c>
      <c r="AH1333">
        <v>48.161999999999999</v>
      </c>
      <c r="AI1333">
        <v>21.317</v>
      </c>
      <c r="AJ1333">
        <v>51.247</v>
      </c>
      <c r="AK1333">
        <v>36.695</v>
      </c>
      <c r="AL1333">
        <v>0.58299999999999996</v>
      </c>
      <c r="AM1333">
        <v>48.161999999999999</v>
      </c>
      <c r="AN1333">
        <v>93.444999999999993</v>
      </c>
      <c r="AO1333">
        <v>51.451000000000001</v>
      </c>
      <c r="AP1333">
        <v>-0.58299999999999996</v>
      </c>
      <c r="AQ1333">
        <v>48.753</v>
      </c>
      <c r="AR1333">
        <v>78.683000000000007</v>
      </c>
      <c r="AS1333">
        <v>63.305</v>
      </c>
    </row>
    <row r="1334" spans="1:45" x14ac:dyDescent="0.25">
      <c r="A1334">
        <v>26</v>
      </c>
      <c r="B1334">
        <v>-8</v>
      </c>
      <c r="C1334">
        <v>0</v>
      </c>
      <c r="D1334">
        <v>2023</v>
      </c>
      <c r="E1334">
        <v>2</v>
      </c>
      <c r="F1334" t="str">
        <f>IFERROR(VLOOKUP(G1334, Map!$A$1:$B$33, 2, FALSE),"WAS")</f>
        <v>JAX</v>
      </c>
      <c r="G1334" t="s">
        <v>139</v>
      </c>
      <c r="H1334" t="str">
        <f>IFERROR(VLOOKUP(I1334, Map!$A$1:$B$33, 2, FALSE),"WAS")</f>
        <v>KC</v>
      </c>
      <c r="I1334" t="s">
        <v>158</v>
      </c>
      <c r="J1334" t="s">
        <v>220</v>
      </c>
      <c r="K1334" t="s">
        <v>202</v>
      </c>
      <c r="L1334">
        <v>0</v>
      </c>
      <c r="M1334">
        <v>0</v>
      </c>
      <c r="N1334">
        <v>40.884615384615401</v>
      </c>
      <c r="O1334">
        <v>3.3846153846153801</v>
      </c>
      <c r="P1334">
        <v>2.5</v>
      </c>
      <c r="Q1334">
        <v>0</v>
      </c>
      <c r="R1334">
        <v>26</v>
      </c>
      <c r="S1334">
        <v>29.7</v>
      </c>
      <c r="T1334">
        <v>23.3</v>
      </c>
      <c r="U1334">
        <v>30.1</v>
      </c>
      <c r="V1334">
        <v>16.100000000000001</v>
      </c>
      <c r="W1334">
        <v>0</v>
      </c>
      <c r="X1334">
        <v>6</v>
      </c>
      <c r="Y1334">
        <v>16.100000000000001</v>
      </c>
      <c r="Z1334">
        <v>15.2</v>
      </c>
      <c r="AA1334">
        <v>32.799999999999997</v>
      </c>
      <c r="AB1334">
        <v>178</v>
      </c>
      <c r="AC1334">
        <v>82</v>
      </c>
      <c r="AD1334">
        <v>16.399999999999999</v>
      </c>
      <c r="AE1334">
        <v>7.9</v>
      </c>
      <c r="AF1334">
        <v>38.439</v>
      </c>
      <c r="AG1334">
        <v>85.06</v>
      </c>
      <c r="AH1334">
        <v>61.252000000000002</v>
      </c>
      <c r="AI1334">
        <v>51.978000000000002</v>
      </c>
      <c r="AJ1334">
        <v>12.343999999999999</v>
      </c>
      <c r="AK1334">
        <v>31.186</v>
      </c>
      <c r="AL1334">
        <v>-4.1020000000000003</v>
      </c>
      <c r="AM1334">
        <v>61.252000000000002</v>
      </c>
      <c r="AN1334">
        <v>85.06</v>
      </c>
      <c r="AO1334">
        <v>38.439</v>
      </c>
      <c r="AP1334">
        <v>4.1020000000000003</v>
      </c>
      <c r="AQ1334">
        <v>87.656000000000006</v>
      </c>
      <c r="AR1334">
        <v>48.021999999999998</v>
      </c>
      <c r="AS1334">
        <v>68.813999999999993</v>
      </c>
    </row>
    <row r="1335" spans="1:45" x14ac:dyDescent="0.25">
      <c r="A1335">
        <v>44</v>
      </c>
      <c r="B1335">
        <v>10</v>
      </c>
      <c r="C1335">
        <v>1</v>
      </c>
      <c r="D1335">
        <v>2023</v>
      </c>
      <c r="E1335">
        <v>2</v>
      </c>
      <c r="F1335" t="str">
        <f>IFERROR(VLOOKUP(G1335, Map!$A$1:$B$33, 2, FALSE),"WAS")</f>
        <v>TB</v>
      </c>
      <c r="G1335" t="s">
        <v>141</v>
      </c>
      <c r="H1335" t="str">
        <f>IFERROR(VLOOKUP(I1335, Map!$A$1:$B$33, 2, FALSE),"WAS")</f>
        <v>CHI</v>
      </c>
      <c r="I1335" t="s">
        <v>163</v>
      </c>
      <c r="J1335" t="s">
        <v>186</v>
      </c>
      <c r="K1335" t="s">
        <v>216</v>
      </c>
      <c r="L1335">
        <v>1</v>
      </c>
      <c r="M1335">
        <v>0</v>
      </c>
      <c r="N1335">
        <v>34.692307692307701</v>
      </c>
      <c r="O1335">
        <v>-2.0384615384615401</v>
      </c>
      <c r="P1335">
        <v>1</v>
      </c>
      <c r="Q1335">
        <v>0</v>
      </c>
      <c r="R1335">
        <v>28.7</v>
      </c>
      <c r="S1335">
        <v>34.1</v>
      </c>
      <c r="T1335">
        <v>25</v>
      </c>
      <c r="U1335">
        <v>32.9</v>
      </c>
      <c r="V1335">
        <v>1.5</v>
      </c>
      <c r="W1335">
        <v>0</v>
      </c>
      <c r="X1335">
        <v>3</v>
      </c>
      <c r="Y1335">
        <v>1.5</v>
      </c>
      <c r="Z1335">
        <v>20.100000000000001</v>
      </c>
      <c r="AA1335">
        <v>38.9</v>
      </c>
      <c r="AB1335">
        <v>322</v>
      </c>
      <c r="AC1335">
        <v>73</v>
      </c>
      <c r="AD1335">
        <v>21.9</v>
      </c>
      <c r="AE1335">
        <v>10.199999999999999</v>
      </c>
      <c r="AF1335">
        <v>52.09</v>
      </c>
      <c r="AG1335">
        <v>44.889000000000003</v>
      </c>
      <c r="AH1335">
        <v>47.527999999999999</v>
      </c>
      <c r="AI1335">
        <v>78.878</v>
      </c>
      <c r="AJ1335">
        <v>73.459000000000003</v>
      </c>
      <c r="AK1335">
        <v>73.668000000000006</v>
      </c>
      <c r="AL1335">
        <v>0.80900000000000005</v>
      </c>
      <c r="AM1335">
        <v>47.527999999999999</v>
      </c>
      <c r="AN1335">
        <v>44.889000000000003</v>
      </c>
      <c r="AO1335">
        <v>52.09</v>
      </c>
      <c r="AP1335">
        <v>-0.80900000000000005</v>
      </c>
      <c r="AQ1335">
        <v>26.541</v>
      </c>
      <c r="AR1335">
        <v>21.122</v>
      </c>
      <c r="AS1335">
        <v>26.332000000000001</v>
      </c>
    </row>
    <row r="1336" spans="1:45" x14ac:dyDescent="0.25">
      <c r="A1336">
        <v>40</v>
      </c>
      <c r="B1336">
        <v>20</v>
      </c>
      <c r="C1336">
        <v>1</v>
      </c>
      <c r="D1336">
        <v>2023</v>
      </c>
      <c r="E1336">
        <v>2</v>
      </c>
      <c r="F1336" t="str">
        <f>IFERROR(VLOOKUP(G1336, Map!$A$1:$B$33, 2, FALSE),"WAS")</f>
        <v>DAL</v>
      </c>
      <c r="G1336" t="s">
        <v>150</v>
      </c>
      <c r="H1336" t="str">
        <f>IFERROR(VLOOKUP(I1336, Map!$A$1:$B$33, 2, FALSE),"WAS")</f>
        <v>NYJ</v>
      </c>
      <c r="I1336" t="s">
        <v>166</v>
      </c>
      <c r="J1336" t="s">
        <v>184</v>
      </c>
      <c r="K1336" t="s">
        <v>172</v>
      </c>
      <c r="L1336">
        <v>1</v>
      </c>
      <c r="M1336">
        <v>0</v>
      </c>
      <c r="N1336">
        <v>33.285714285714299</v>
      </c>
      <c r="O1336">
        <v>-7.96428571428571</v>
      </c>
      <c r="P1336">
        <v>-3</v>
      </c>
      <c r="Q1336">
        <v>0</v>
      </c>
      <c r="R1336">
        <v>24.7</v>
      </c>
      <c r="S1336">
        <v>30.3</v>
      </c>
      <c r="T1336">
        <v>20.2</v>
      </c>
      <c r="U1336">
        <v>27</v>
      </c>
      <c r="V1336">
        <v>0</v>
      </c>
      <c r="W1336">
        <v>0</v>
      </c>
      <c r="X1336">
        <v>0</v>
      </c>
      <c r="Y1336">
        <v>0</v>
      </c>
      <c r="Z1336">
        <v>8.8000000000000007</v>
      </c>
      <c r="AA1336">
        <v>20.5</v>
      </c>
      <c r="AB1336">
        <v>350</v>
      </c>
      <c r="AC1336">
        <v>69</v>
      </c>
      <c r="AD1336">
        <v>13.2</v>
      </c>
      <c r="AE1336">
        <v>6.2</v>
      </c>
      <c r="AF1336">
        <v>68.007000000000005</v>
      </c>
      <c r="AG1336">
        <v>50.292000000000002</v>
      </c>
      <c r="AH1336">
        <v>31.738</v>
      </c>
      <c r="AI1336">
        <v>94.046000000000006</v>
      </c>
      <c r="AJ1336">
        <v>73.911000000000001</v>
      </c>
      <c r="AK1336">
        <v>87.926000000000002</v>
      </c>
      <c r="AL1336">
        <v>6.6710000000000003</v>
      </c>
      <c r="AM1336">
        <v>31.738</v>
      </c>
      <c r="AN1336">
        <v>50.292000000000002</v>
      </c>
      <c r="AO1336">
        <v>68.007000000000005</v>
      </c>
      <c r="AP1336">
        <v>-6.6710000000000003</v>
      </c>
      <c r="AQ1336">
        <v>26.088999999999999</v>
      </c>
      <c r="AR1336">
        <v>5.9539999999999997</v>
      </c>
      <c r="AS1336">
        <v>12.074</v>
      </c>
    </row>
    <row r="1337" spans="1:45" x14ac:dyDescent="0.25">
      <c r="A1337">
        <v>59</v>
      </c>
      <c r="B1337">
        <v>-3</v>
      </c>
      <c r="C1337">
        <v>0</v>
      </c>
      <c r="D1337">
        <v>2023</v>
      </c>
      <c r="E1337">
        <v>2</v>
      </c>
      <c r="F1337" t="str">
        <f>IFERROR(VLOOKUP(G1337, Map!$A$1:$B$33, 2, FALSE),"WAS")</f>
        <v>ARI</v>
      </c>
      <c r="G1337" t="s">
        <v>156</v>
      </c>
      <c r="H1337" t="str">
        <f>IFERROR(VLOOKUP(I1337, Map!$A$1:$B$33, 2, FALSE),"WAS")</f>
        <v>NYG</v>
      </c>
      <c r="I1337" t="s">
        <v>149</v>
      </c>
      <c r="J1337" t="s">
        <v>190</v>
      </c>
      <c r="K1337" t="s">
        <v>219</v>
      </c>
      <c r="L1337">
        <v>0</v>
      </c>
      <c r="M1337">
        <v>0</v>
      </c>
      <c r="N1337">
        <v>35.464285714285701</v>
      </c>
      <c r="O1337">
        <v>4.1071428571428603</v>
      </c>
      <c r="P1337">
        <v>2.5</v>
      </c>
      <c r="Q1337">
        <v>0</v>
      </c>
      <c r="R1337">
        <v>19</v>
      </c>
      <c r="S1337">
        <v>24.7</v>
      </c>
      <c r="T1337">
        <v>17</v>
      </c>
      <c r="U1337">
        <v>20.3</v>
      </c>
      <c r="V1337">
        <v>0.3</v>
      </c>
      <c r="W1337">
        <v>0</v>
      </c>
      <c r="X1337">
        <v>3</v>
      </c>
      <c r="Y1337">
        <v>0.3</v>
      </c>
      <c r="Z1337">
        <v>11.1</v>
      </c>
      <c r="AA1337">
        <v>32.4</v>
      </c>
      <c r="AB1337">
        <v>199</v>
      </c>
      <c r="AC1337">
        <v>83</v>
      </c>
      <c r="AD1337">
        <v>15.9</v>
      </c>
      <c r="AE1337">
        <v>5.8</v>
      </c>
      <c r="AF1337">
        <v>35.058</v>
      </c>
      <c r="AG1337">
        <v>8.4770000000000003</v>
      </c>
      <c r="AH1337">
        <v>64.661000000000001</v>
      </c>
      <c r="AI1337">
        <v>31.079000000000001</v>
      </c>
      <c r="AJ1337">
        <v>78.763999999999996</v>
      </c>
      <c r="AK1337">
        <v>52.329000000000001</v>
      </c>
      <c r="AL1337">
        <v>-5.3760000000000003</v>
      </c>
      <c r="AM1337">
        <v>64.661000000000001</v>
      </c>
      <c r="AN1337">
        <v>8.4770000000000003</v>
      </c>
      <c r="AO1337">
        <v>35.058</v>
      </c>
      <c r="AP1337">
        <v>5.3760000000000003</v>
      </c>
      <c r="AQ1337">
        <v>21.236000000000001</v>
      </c>
      <c r="AR1337">
        <v>68.921000000000006</v>
      </c>
      <c r="AS1337">
        <v>47.670999999999999</v>
      </c>
    </row>
    <row r="1338" spans="1:45" x14ac:dyDescent="0.25">
      <c r="A1338">
        <v>37</v>
      </c>
      <c r="B1338">
        <v>-3</v>
      </c>
      <c r="C1338">
        <v>0</v>
      </c>
      <c r="D1338">
        <v>2023</v>
      </c>
      <c r="E1338">
        <v>2</v>
      </c>
      <c r="F1338" t="str">
        <f>IFERROR(VLOOKUP(G1338, Map!$A$1:$B$33, 2, FALSE),"WAS")</f>
        <v>CAR</v>
      </c>
      <c r="G1338" t="s">
        <v>142</v>
      </c>
      <c r="H1338" t="str">
        <f>IFERROR(VLOOKUP(I1338, Map!$A$1:$B$33, 2, FALSE),"WAS")</f>
        <v>NO</v>
      </c>
      <c r="I1338" t="s">
        <v>168</v>
      </c>
      <c r="J1338" t="s">
        <v>185</v>
      </c>
      <c r="K1338" t="s">
        <v>192</v>
      </c>
      <c r="L1338">
        <v>0</v>
      </c>
      <c r="M1338">
        <v>0</v>
      </c>
      <c r="N1338">
        <v>33.857142857142897</v>
      </c>
      <c r="O1338">
        <v>2.5714285714285698</v>
      </c>
      <c r="P1338">
        <v>-1</v>
      </c>
      <c r="Q1338">
        <v>0</v>
      </c>
      <c r="R1338">
        <v>19.8</v>
      </c>
      <c r="S1338">
        <v>25</v>
      </c>
      <c r="T1338">
        <v>15</v>
      </c>
      <c r="U1338">
        <v>20.5</v>
      </c>
      <c r="V1338">
        <v>1.3</v>
      </c>
      <c r="W1338">
        <v>0</v>
      </c>
      <c r="X1338">
        <v>6</v>
      </c>
      <c r="Y1338">
        <v>1.3</v>
      </c>
      <c r="Z1338">
        <v>14.3</v>
      </c>
      <c r="AA1338">
        <v>28.1</v>
      </c>
      <c r="AB1338">
        <v>321</v>
      </c>
      <c r="AC1338">
        <v>78</v>
      </c>
      <c r="AD1338">
        <v>18.100000000000001</v>
      </c>
      <c r="AE1338">
        <v>9</v>
      </c>
      <c r="AF1338">
        <v>37.991</v>
      </c>
      <c r="AG1338">
        <v>26.552</v>
      </c>
      <c r="AH1338">
        <v>61.704000000000001</v>
      </c>
      <c r="AI1338">
        <v>50.988999999999997</v>
      </c>
      <c r="AJ1338">
        <v>16.058</v>
      </c>
      <c r="AK1338">
        <v>35.457999999999998</v>
      </c>
      <c r="AL1338">
        <v>-4.2690000000000001</v>
      </c>
      <c r="AM1338">
        <v>61.704000000000001</v>
      </c>
      <c r="AN1338">
        <v>26.552</v>
      </c>
      <c r="AO1338">
        <v>37.991</v>
      </c>
      <c r="AP1338">
        <v>4.2690000000000001</v>
      </c>
      <c r="AQ1338">
        <v>83.941999999999993</v>
      </c>
      <c r="AR1338">
        <v>49.011000000000003</v>
      </c>
      <c r="AS1338">
        <v>64.542000000000002</v>
      </c>
    </row>
    <row r="1339" spans="1:45" x14ac:dyDescent="0.25">
      <c r="A1339">
        <v>53</v>
      </c>
      <c r="B1339">
        <v>-7</v>
      </c>
      <c r="C1339">
        <v>0</v>
      </c>
      <c r="D1339">
        <v>2023</v>
      </c>
      <c r="E1339">
        <v>2</v>
      </c>
      <c r="F1339" t="str">
        <f>IFERROR(VLOOKUP(G1339, Map!$A$1:$B$33, 2, FALSE),"WAS")</f>
        <v>LA</v>
      </c>
      <c r="G1339" t="s">
        <v>155</v>
      </c>
      <c r="H1339" t="str">
        <f>IFERROR(VLOOKUP(I1339, Map!$A$1:$B$33, 2, FALSE),"WAS")</f>
        <v>SF</v>
      </c>
      <c r="I1339" t="s">
        <v>143</v>
      </c>
      <c r="J1339" t="s">
        <v>178</v>
      </c>
      <c r="K1339" t="s">
        <v>197</v>
      </c>
      <c r="L1339">
        <v>0</v>
      </c>
      <c r="M1339">
        <v>0</v>
      </c>
      <c r="N1339">
        <v>39.071428571428598</v>
      </c>
      <c r="O1339">
        <v>6.6428571428571397</v>
      </c>
      <c r="P1339">
        <v>4</v>
      </c>
      <c r="Q1339">
        <v>0</v>
      </c>
      <c r="R1339">
        <v>20.399999999999999</v>
      </c>
      <c r="S1339">
        <v>24.1</v>
      </c>
      <c r="T1339">
        <v>18.7</v>
      </c>
      <c r="U1339">
        <v>21.3</v>
      </c>
      <c r="V1339">
        <v>0</v>
      </c>
      <c r="W1339">
        <v>0</v>
      </c>
      <c r="X1339">
        <v>0</v>
      </c>
      <c r="Y1339">
        <v>0</v>
      </c>
      <c r="Z1339">
        <v>19.8</v>
      </c>
      <c r="AA1339">
        <v>38.9</v>
      </c>
      <c r="AB1339">
        <v>226</v>
      </c>
      <c r="AC1339">
        <v>79</v>
      </c>
      <c r="AD1339">
        <v>17.5</v>
      </c>
      <c r="AE1339">
        <v>8.8000000000000007</v>
      </c>
      <c r="AF1339">
        <v>34.185000000000002</v>
      </c>
      <c r="AG1339">
        <v>93.747</v>
      </c>
      <c r="AH1339">
        <v>65.540000000000006</v>
      </c>
      <c r="AI1339">
        <v>13.907999999999999</v>
      </c>
      <c r="AJ1339">
        <v>42.747999999999998</v>
      </c>
      <c r="AK1339">
        <v>26.6</v>
      </c>
      <c r="AL1339">
        <v>-5.7119999999999997</v>
      </c>
      <c r="AM1339">
        <v>65.540000000000006</v>
      </c>
      <c r="AN1339">
        <v>93.747</v>
      </c>
      <c r="AO1339">
        <v>34.185000000000002</v>
      </c>
      <c r="AP1339">
        <v>5.7119999999999997</v>
      </c>
      <c r="AQ1339">
        <v>57.252000000000002</v>
      </c>
      <c r="AR1339">
        <v>86.091999999999999</v>
      </c>
      <c r="AS1339">
        <v>73.400000000000006</v>
      </c>
    </row>
    <row r="1340" spans="1:45" x14ac:dyDescent="0.25">
      <c r="A1340">
        <v>68</v>
      </c>
      <c r="B1340">
        <v>-6</v>
      </c>
      <c r="C1340">
        <v>0</v>
      </c>
      <c r="D1340">
        <v>2023</v>
      </c>
      <c r="E1340">
        <v>2</v>
      </c>
      <c r="F1340" t="str">
        <f>IFERROR(VLOOKUP(G1340, Map!$A$1:$B$33, 2, FALSE),"WAS")</f>
        <v>DET</v>
      </c>
      <c r="G1340" t="s">
        <v>164</v>
      </c>
      <c r="H1340" t="str">
        <f>IFERROR(VLOOKUP(I1340, Map!$A$1:$B$33, 2, FALSE),"WAS")</f>
        <v>SEA</v>
      </c>
      <c r="I1340" t="s">
        <v>144</v>
      </c>
      <c r="J1340" t="s">
        <v>173</v>
      </c>
      <c r="K1340" t="s">
        <v>182</v>
      </c>
      <c r="L1340">
        <v>0</v>
      </c>
      <c r="M1340">
        <v>0</v>
      </c>
      <c r="N1340">
        <v>41.857142857142897</v>
      </c>
      <c r="O1340">
        <v>-4</v>
      </c>
      <c r="P1340">
        <v>-2.5</v>
      </c>
      <c r="Q1340">
        <v>0</v>
      </c>
      <c r="R1340">
        <v>17.3</v>
      </c>
      <c r="S1340">
        <v>21.4</v>
      </c>
      <c r="T1340">
        <v>13.4</v>
      </c>
      <c r="U1340">
        <v>17.3</v>
      </c>
      <c r="V1340">
        <v>4.5</v>
      </c>
      <c r="W1340">
        <v>0</v>
      </c>
      <c r="X1340">
        <v>4</v>
      </c>
      <c r="Y1340">
        <v>4.5</v>
      </c>
      <c r="Z1340">
        <v>16.8</v>
      </c>
      <c r="AA1340">
        <v>33.1</v>
      </c>
      <c r="AB1340">
        <v>358</v>
      </c>
      <c r="AC1340">
        <v>79</v>
      </c>
      <c r="AD1340">
        <v>17</v>
      </c>
      <c r="AE1340">
        <v>7.3</v>
      </c>
      <c r="AF1340">
        <v>64.661000000000001</v>
      </c>
      <c r="AG1340">
        <v>60.408999999999999</v>
      </c>
      <c r="AH1340">
        <v>35.057000000000002</v>
      </c>
      <c r="AI1340">
        <v>20.338999999999999</v>
      </c>
      <c r="AJ1340">
        <v>48.122999999999998</v>
      </c>
      <c r="AK1340">
        <v>35.585000000000001</v>
      </c>
      <c r="AL1340">
        <v>5.3760000000000003</v>
      </c>
      <c r="AM1340">
        <v>35.057000000000002</v>
      </c>
      <c r="AN1340">
        <v>60.408999999999999</v>
      </c>
      <c r="AO1340">
        <v>64.661000000000001</v>
      </c>
      <c r="AP1340">
        <v>-5.3760000000000003</v>
      </c>
      <c r="AQ1340">
        <v>51.877000000000002</v>
      </c>
      <c r="AR1340">
        <v>79.661000000000001</v>
      </c>
      <c r="AS1340">
        <v>64.415000000000006</v>
      </c>
    </row>
    <row r="1341" spans="1:45" x14ac:dyDescent="0.25">
      <c r="A1341">
        <v>48</v>
      </c>
      <c r="B1341">
        <v>28</v>
      </c>
      <c r="C1341">
        <v>1</v>
      </c>
      <c r="D1341">
        <v>2023</v>
      </c>
      <c r="E1341">
        <v>2</v>
      </c>
      <c r="F1341" t="str">
        <f>IFERROR(VLOOKUP(G1341, Map!$A$1:$B$33, 2, FALSE),"WAS")</f>
        <v>BUF</v>
      </c>
      <c r="G1341" t="s">
        <v>165</v>
      </c>
      <c r="H1341" t="str">
        <f>IFERROR(VLOOKUP(I1341, Map!$A$1:$B$33, 2, FALSE),"WAS")</f>
        <v>LV</v>
      </c>
      <c r="I1341" t="s">
        <v>157</v>
      </c>
      <c r="J1341" t="s">
        <v>180</v>
      </c>
      <c r="K1341" t="s">
        <v>179</v>
      </c>
      <c r="L1341">
        <v>1</v>
      </c>
      <c r="M1341">
        <v>0</v>
      </c>
      <c r="N1341">
        <v>43.5</v>
      </c>
      <c r="O1341">
        <v>-8</v>
      </c>
      <c r="P1341">
        <v>-7.5</v>
      </c>
      <c r="Q1341">
        <v>0</v>
      </c>
      <c r="R1341">
        <v>20.100000000000001</v>
      </c>
      <c r="S1341">
        <v>22.4</v>
      </c>
      <c r="T1341">
        <v>17.600000000000001</v>
      </c>
      <c r="U1341">
        <v>20.9</v>
      </c>
      <c r="V1341">
        <v>4.5999999999999996</v>
      </c>
      <c r="W1341">
        <v>0</v>
      </c>
      <c r="X1341">
        <v>6</v>
      </c>
      <c r="Y1341">
        <v>4.5999999999999996</v>
      </c>
      <c r="Z1341">
        <v>12.4</v>
      </c>
      <c r="AA1341">
        <v>24.8</v>
      </c>
      <c r="AB1341">
        <v>190</v>
      </c>
      <c r="AC1341">
        <v>77</v>
      </c>
      <c r="AD1341">
        <v>17.7</v>
      </c>
      <c r="AE1341">
        <v>8.6</v>
      </c>
      <c r="AF1341">
        <v>71.375</v>
      </c>
      <c r="AG1341">
        <v>67.204999999999998</v>
      </c>
      <c r="AH1341">
        <v>28.396999999999998</v>
      </c>
      <c r="AI1341">
        <v>77.814999999999998</v>
      </c>
      <c r="AJ1341">
        <v>90.171999999999997</v>
      </c>
      <c r="AK1341">
        <v>94.33</v>
      </c>
      <c r="AL1341">
        <v>8.0329999999999995</v>
      </c>
      <c r="AM1341">
        <v>28.396999999999998</v>
      </c>
      <c r="AN1341">
        <v>67.204999999999998</v>
      </c>
      <c r="AO1341">
        <v>71.375</v>
      </c>
      <c r="AP1341">
        <v>-8.0329999999999995</v>
      </c>
      <c r="AQ1341">
        <v>9.8279999999999994</v>
      </c>
      <c r="AR1341">
        <v>22.184999999999999</v>
      </c>
      <c r="AS1341">
        <v>5.67</v>
      </c>
    </row>
    <row r="1342" spans="1:45" x14ac:dyDescent="0.25">
      <c r="A1342">
        <v>68</v>
      </c>
      <c r="B1342">
        <v>-2</v>
      </c>
      <c r="C1342">
        <v>0</v>
      </c>
      <c r="D1342">
        <v>2023</v>
      </c>
      <c r="E1342">
        <v>2</v>
      </c>
      <c r="F1342" t="str">
        <f>IFERROR(VLOOKUP(G1342, Map!$A$1:$B$33, 2, FALSE),"WAS")</f>
        <v>DEN</v>
      </c>
      <c r="G1342" t="s">
        <v>159</v>
      </c>
      <c r="H1342" t="str">
        <f>IFERROR(VLOOKUP(I1342, Map!$A$1:$B$33, 2, FALSE),"WAS")</f>
        <v>WAS</v>
      </c>
      <c r="I1342" t="s">
        <v>148</v>
      </c>
      <c r="J1342" t="s">
        <v>183</v>
      </c>
      <c r="K1342" t="s">
        <v>205</v>
      </c>
      <c r="L1342">
        <v>0</v>
      </c>
      <c r="M1342">
        <v>0</v>
      </c>
      <c r="N1342">
        <v>37.692307692307701</v>
      </c>
      <c r="O1342">
        <v>-2.8846153846153899</v>
      </c>
      <c r="P1342">
        <v>-3.5</v>
      </c>
      <c r="Q1342">
        <v>0</v>
      </c>
      <c r="R1342">
        <v>14.9</v>
      </c>
      <c r="S1342">
        <v>26.8</v>
      </c>
      <c r="T1342">
        <v>6.1</v>
      </c>
      <c r="U1342">
        <v>12.9</v>
      </c>
      <c r="V1342">
        <v>0</v>
      </c>
      <c r="W1342">
        <v>0</v>
      </c>
      <c r="X1342">
        <v>0</v>
      </c>
      <c r="Y1342">
        <v>0</v>
      </c>
      <c r="Z1342">
        <v>10.5</v>
      </c>
      <c r="AA1342">
        <v>21.6</v>
      </c>
      <c r="AB1342">
        <v>177</v>
      </c>
      <c r="AC1342">
        <v>54</v>
      </c>
      <c r="AD1342">
        <v>12.3</v>
      </c>
      <c r="AE1342">
        <v>5.7</v>
      </c>
      <c r="AF1342">
        <v>66.394999999999996</v>
      </c>
      <c r="AG1342">
        <v>32.042000000000002</v>
      </c>
      <c r="AH1342">
        <v>33.337000000000003</v>
      </c>
      <c r="AI1342">
        <v>17.484000000000002</v>
      </c>
      <c r="AJ1342">
        <v>55.009</v>
      </c>
      <c r="AK1342">
        <v>31.135999999999999</v>
      </c>
      <c r="AL1342">
        <v>6.0410000000000004</v>
      </c>
      <c r="AM1342">
        <v>33.337000000000003</v>
      </c>
      <c r="AN1342">
        <v>32.042000000000002</v>
      </c>
      <c r="AO1342">
        <v>66.394999999999996</v>
      </c>
      <c r="AP1342">
        <v>-6.0410000000000004</v>
      </c>
      <c r="AQ1342">
        <v>44.991</v>
      </c>
      <c r="AR1342">
        <v>82.516000000000005</v>
      </c>
      <c r="AS1342">
        <v>68.864000000000004</v>
      </c>
    </row>
    <row r="1343" spans="1:45" x14ac:dyDescent="0.25">
      <c r="A1343">
        <v>48</v>
      </c>
      <c r="B1343">
        <v>4</v>
      </c>
      <c r="C1343">
        <v>1</v>
      </c>
      <c r="D1343">
        <v>2023</v>
      </c>
      <c r="E1343">
        <v>2</v>
      </c>
      <c r="F1343" t="str">
        <f>IFERROR(VLOOKUP(G1343, Map!$A$1:$B$33, 2, FALSE),"WAS")</f>
        <v>PIT</v>
      </c>
      <c r="G1343" t="s">
        <v>145</v>
      </c>
      <c r="H1343" t="str">
        <f>IFERROR(VLOOKUP(I1343, Map!$A$1:$B$33, 2, FALSE),"WAS")</f>
        <v>CLE</v>
      </c>
      <c r="I1343" t="s">
        <v>162</v>
      </c>
      <c r="J1343" t="s">
        <v>170</v>
      </c>
      <c r="K1343" t="s">
        <v>171</v>
      </c>
      <c r="L1343">
        <v>1</v>
      </c>
      <c r="M1343">
        <v>0</v>
      </c>
      <c r="N1343">
        <v>34.178571428571402</v>
      </c>
      <c r="O1343">
        <v>1.28571428571429</v>
      </c>
      <c r="P1343">
        <v>-1</v>
      </c>
      <c r="Q1343">
        <v>0</v>
      </c>
      <c r="R1343">
        <v>15.5</v>
      </c>
      <c r="S1343">
        <v>20.399999999999999</v>
      </c>
      <c r="T1343">
        <v>10.5</v>
      </c>
      <c r="U1343">
        <v>14.7</v>
      </c>
      <c r="V1343">
        <v>0</v>
      </c>
      <c r="W1343">
        <v>0</v>
      </c>
      <c r="X1343">
        <v>0</v>
      </c>
      <c r="Y1343">
        <v>0</v>
      </c>
      <c r="Z1343">
        <v>11.9</v>
      </c>
      <c r="AA1343">
        <v>25.6</v>
      </c>
      <c r="AB1343">
        <v>289</v>
      </c>
      <c r="AC1343">
        <v>77</v>
      </c>
      <c r="AD1343">
        <v>18.3</v>
      </c>
      <c r="AE1343">
        <v>8.1</v>
      </c>
      <c r="AF1343">
        <v>40.765999999999998</v>
      </c>
      <c r="AG1343">
        <v>50.902000000000001</v>
      </c>
      <c r="AH1343">
        <v>58.905999999999999</v>
      </c>
      <c r="AI1343">
        <v>88.617999999999995</v>
      </c>
      <c r="AJ1343">
        <v>6.1449999999999996</v>
      </c>
      <c r="AK1343">
        <v>59.091000000000001</v>
      </c>
      <c r="AL1343">
        <v>-3.2450000000000001</v>
      </c>
      <c r="AM1343">
        <v>58.905999999999999</v>
      </c>
      <c r="AN1343">
        <v>50.902000000000001</v>
      </c>
      <c r="AO1343">
        <v>40.765999999999998</v>
      </c>
      <c r="AP1343">
        <v>3.2450000000000001</v>
      </c>
      <c r="AQ1343">
        <v>93.855000000000004</v>
      </c>
      <c r="AR1343">
        <v>11.382</v>
      </c>
      <c r="AS1343">
        <v>40.908999999999999</v>
      </c>
    </row>
    <row r="1344" spans="1:45" x14ac:dyDescent="0.25">
      <c r="A1344">
        <v>62</v>
      </c>
      <c r="B1344">
        <v>6</v>
      </c>
      <c r="C1344">
        <v>1</v>
      </c>
      <c r="D1344">
        <v>2023</v>
      </c>
      <c r="E1344">
        <v>2</v>
      </c>
      <c r="F1344" t="str">
        <f>IFERROR(VLOOKUP(G1344, Map!$A$1:$B$33, 2, FALSE),"WAS")</f>
        <v>PHI</v>
      </c>
      <c r="G1344" t="s">
        <v>147</v>
      </c>
      <c r="H1344" t="str">
        <f>IFERROR(VLOOKUP(I1344, Map!$A$1:$B$33, 2, FALSE),"WAS")</f>
        <v>MIN</v>
      </c>
      <c r="I1344" t="s">
        <v>153</v>
      </c>
      <c r="J1344" t="s">
        <v>206</v>
      </c>
      <c r="K1344" t="s">
        <v>214</v>
      </c>
      <c r="L1344">
        <v>1</v>
      </c>
      <c r="M1344">
        <v>0</v>
      </c>
      <c r="N1344">
        <v>40.066666666666698</v>
      </c>
      <c r="O1344">
        <v>-5.3333333333333304</v>
      </c>
      <c r="P1344">
        <v>-6</v>
      </c>
      <c r="Q1344">
        <v>0</v>
      </c>
      <c r="R1344">
        <v>18.399999999999999</v>
      </c>
      <c r="S1344">
        <v>23.6</v>
      </c>
      <c r="T1344">
        <v>13.5</v>
      </c>
      <c r="U1344">
        <v>16.3</v>
      </c>
      <c r="V1344">
        <v>0</v>
      </c>
      <c r="W1344">
        <v>0</v>
      </c>
      <c r="X1344">
        <v>0</v>
      </c>
      <c r="Y1344">
        <v>0</v>
      </c>
      <c r="Z1344">
        <v>18.5</v>
      </c>
      <c r="AA1344">
        <v>34.200000000000003</v>
      </c>
      <c r="AB1344">
        <v>1</v>
      </c>
      <c r="AC1344">
        <v>58</v>
      </c>
      <c r="AD1344">
        <v>29.6</v>
      </c>
      <c r="AE1344">
        <v>15.5</v>
      </c>
      <c r="AF1344">
        <v>64.748000000000005</v>
      </c>
      <c r="AG1344">
        <v>65.733000000000004</v>
      </c>
      <c r="AH1344">
        <v>34.970999999999997</v>
      </c>
      <c r="AI1344">
        <v>71.66</v>
      </c>
      <c r="AJ1344">
        <v>67.944999999999993</v>
      </c>
      <c r="AK1344">
        <v>78.427999999999997</v>
      </c>
      <c r="AL1344">
        <v>5.4089999999999998</v>
      </c>
      <c r="AM1344">
        <v>34.970999999999997</v>
      </c>
      <c r="AN1344">
        <v>65.733000000000004</v>
      </c>
      <c r="AO1344">
        <v>64.748000000000005</v>
      </c>
      <c r="AP1344">
        <v>-5.4089999999999998</v>
      </c>
      <c r="AQ1344">
        <v>32.055</v>
      </c>
      <c r="AR1344">
        <v>28.34</v>
      </c>
      <c r="AS1344">
        <v>21.571999999999999</v>
      </c>
    </row>
    <row r="1345" spans="1:45" x14ac:dyDescent="0.25">
      <c r="A1345">
        <v>41</v>
      </c>
      <c r="B1345">
        <v>-7</v>
      </c>
      <c r="C1345">
        <v>0</v>
      </c>
      <c r="D1345">
        <v>2023</v>
      </c>
      <c r="E1345">
        <v>2</v>
      </c>
      <c r="F1345" t="str">
        <f>IFERROR(VLOOKUP(G1345, Map!$A$1:$B$33, 2, FALSE),"WAS")</f>
        <v>NE</v>
      </c>
      <c r="G1345" t="s">
        <v>151</v>
      </c>
      <c r="H1345" t="str">
        <f>IFERROR(VLOOKUP(I1345, Map!$A$1:$B$33, 2, FALSE),"WAS")</f>
        <v>MIA</v>
      </c>
      <c r="I1345" t="s">
        <v>152</v>
      </c>
      <c r="J1345" t="s">
        <v>187</v>
      </c>
      <c r="K1345" t="s">
        <v>175</v>
      </c>
      <c r="L1345">
        <v>0</v>
      </c>
      <c r="M1345">
        <v>0</v>
      </c>
      <c r="N1345">
        <v>42.307692307692299</v>
      </c>
      <c r="O1345">
        <v>1.92307692307692</v>
      </c>
      <c r="P1345">
        <v>-0.5</v>
      </c>
      <c r="Q1345">
        <v>42.5</v>
      </c>
      <c r="R1345">
        <v>17.2</v>
      </c>
      <c r="S1345">
        <v>18.600000000000001</v>
      </c>
      <c r="T1345">
        <v>15.5</v>
      </c>
      <c r="U1345">
        <v>17.8</v>
      </c>
      <c r="V1345">
        <v>54</v>
      </c>
      <c r="W1345">
        <v>0</v>
      </c>
      <c r="X1345">
        <v>11</v>
      </c>
      <c r="Y1345">
        <v>54</v>
      </c>
      <c r="Z1345">
        <v>18.7</v>
      </c>
      <c r="AA1345">
        <v>40</v>
      </c>
      <c r="AB1345">
        <v>153</v>
      </c>
      <c r="AC1345">
        <v>93</v>
      </c>
      <c r="AD1345">
        <v>22</v>
      </c>
      <c r="AE1345">
        <v>9.9</v>
      </c>
      <c r="AF1345">
        <v>38.078000000000003</v>
      </c>
      <c r="AG1345">
        <v>59.997999999999998</v>
      </c>
      <c r="AH1345">
        <v>61.616999999999997</v>
      </c>
      <c r="AI1345">
        <v>17.457999999999998</v>
      </c>
      <c r="AJ1345">
        <v>23.116</v>
      </c>
      <c r="AK1345">
        <v>20.901</v>
      </c>
      <c r="AL1345">
        <v>-4.2370000000000001</v>
      </c>
      <c r="AM1345">
        <v>61.616999999999997</v>
      </c>
      <c r="AN1345">
        <v>59.997999999999998</v>
      </c>
      <c r="AO1345">
        <v>38.078000000000003</v>
      </c>
      <c r="AP1345">
        <v>4.2370000000000001</v>
      </c>
      <c r="AQ1345">
        <v>76.884</v>
      </c>
      <c r="AR1345">
        <v>82.542000000000002</v>
      </c>
      <c r="AS1345">
        <v>79.099000000000004</v>
      </c>
    </row>
    <row r="1346" spans="1:45" x14ac:dyDescent="0.25">
      <c r="A1346">
        <v>90</v>
      </c>
      <c r="B1346">
        <v>50</v>
      </c>
      <c r="C1346">
        <v>1</v>
      </c>
      <c r="D1346">
        <v>2023</v>
      </c>
      <c r="E1346">
        <v>3</v>
      </c>
      <c r="F1346" t="str">
        <f>IFERROR(VLOOKUP(G1346, Map!$A$1:$B$33, 2, FALSE),"WAS")</f>
        <v>MIA</v>
      </c>
      <c r="G1346" t="s">
        <v>152</v>
      </c>
      <c r="H1346" t="str">
        <f>IFERROR(VLOOKUP(I1346, Map!$A$1:$B$33, 2, FALSE),"WAS")</f>
        <v>DEN</v>
      </c>
      <c r="I1346" t="s">
        <v>159</v>
      </c>
      <c r="J1346" t="s">
        <v>175</v>
      </c>
      <c r="K1346" t="s">
        <v>183</v>
      </c>
      <c r="L1346">
        <v>1</v>
      </c>
      <c r="M1346">
        <v>0</v>
      </c>
      <c r="N1346">
        <v>43.714285714285701</v>
      </c>
      <c r="O1346">
        <v>-8.5</v>
      </c>
      <c r="P1346">
        <v>-3.5</v>
      </c>
      <c r="Q1346">
        <v>0</v>
      </c>
      <c r="R1346">
        <v>25.8</v>
      </c>
      <c r="S1346">
        <v>30.2</v>
      </c>
      <c r="T1346">
        <v>22.6</v>
      </c>
      <c r="U1346">
        <v>30.1</v>
      </c>
      <c r="V1346">
        <v>6.2</v>
      </c>
      <c r="W1346">
        <v>0</v>
      </c>
      <c r="X1346">
        <v>9</v>
      </c>
      <c r="Y1346">
        <v>6.2</v>
      </c>
      <c r="Z1346">
        <v>10.6</v>
      </c>
      <c r="AA1346">
        <v>22.3</v>
      </c>
      <c r="AB1346">
        <v>70</v>
      </c>
      <c r="AC1346">
        <v>81</v>
      </c>
      <c r="AD1346">
        <v>15.2</v>
      </c>
      <c r="AE1346">
        <v>6.4</v>
      </c>
      <c r="AF1346">
        <v>70.052999999999997</v>
      </c>
      <c r="AG1346">
        <v>56.286999999999999</v>
      </c>
      <c r="AH1346">
        <v>29.707999999999998</v>
      </c>
      <c r="AI1346">
        <v>83.86</v>
      </c>
      <c r="AJ1346">
        <v>99.203000000000003</v>
      </c>
      <c r="AK1346">
        <v>98.793000000000006</v>
      </c>
      <c r="AL1346">
        <v>7.3929999999999998</v>
      </c>
      <c r="AM1346">
        <v>29.707999999999998</v>
      </c>
      <c r="AN1346">
        <v>56.286999999999999</v>
      </c>
      <c r="AO1346">
        <v>70.052999999999997</v>
      </c>
      <c r="AP1346">
        <v>-7.3929999999999998</v>
      </c>
      <c r="AQ1346">
        <v>0.79700000000000004</v>
      </c>
      <c r="AR1346">
        <v>16.14</v>
      </c>
      <c r="AS1346">
        <v>1.2070000000000001</v>
      </c>
    </row>
    <row r="1347" spans="1:45" x14ac:dyDescent="0.25">
      <c r="A1347">
        <v>52</v>
      </c>
      <c r="B1347">
        <v>-4</v>
      </c>
      <c r="C1347">
        <v>0</v>
      </c>
      <c r="D1347">
        <v>2023</v>
      </c>
      <c r="E1347">
        <v>3</v>
      </c>
      <c r="F1347" t="str">
        <f>IFERROR(VLOOKUP(G1347, Map!$A$1:$B$33, 2, FALSE),"WAS")</f>
        <v>MIN</v>
      </c>
      <c r="G1347" t="s">
        <v>153</v>
      </c>
      <c r="H1347" t="str">
        <f>IFERROR(VLOOKUP(I1347, Map!$A$1:$B$33, 2, FALSE),"WAS")</f>
        <v>LAC</v>
      </c>
      <c r="I1347" t="s">
        <v>160</v>
      </c>
      <c r="J1347" t="s">
        <v>214</v>
      </c>
      <c r="K1347" t="s">
        <v>210</v>
      </c>
      <c r="L1347">
        <v>0</v>
      </c>
      <c r="M1347">
        <v>0</v>
      </c>
      <c r="N1347">
        <v>48.25</v>
      </c>
      <c r="O1347">
        <v>0.33333333333333298</v>
      </c>
      <c r="P1347">
        <v>0</v>
      </c>
      <c r="Q1347">
        <v>51.5</v>
      </c>
      <c r="R1347">
        <v>18.8</v>
      </c>
      <c r="S1347">
        <v>23.1</v>
      </c>
      <c r="T1347">
        <v>16.8</v>
      </c>
      <c r="U1347">
        <v>18.7</v>
      </c>
      <c r="V1347">
        <v>25.4</v>
      </c>
      <c r="W1347">
        <v>0</v>
      </c>
      <c r="X1347">
        <v>16</v>
      </c>
      <c r="Y1347">
        <v>25.4</v>
      </c>
      <c r="Z1347">
        <v>27.8</v>
      </c>
      <c r="AA1347">
        <v>55.1</v>
      </c>
      <c r="AB1347">
        <v>140</v>
      </c>
      <c r="AC1347">
        <v>86</v>
      </c>
      <c r="AD1347">
        <v>36.200000000000003</v>
      </c>
      <c r="AE1347">
        <v>15.8</v>
      </c>
      <c r="AF1347">
        <v>46.463000000000001</v>
      </c>
      <c r="AG1347">
        <v>62.426000000000002</v>
      </c>
      <c r="AH1347">
        <v>53.164000000000001</v>
      </c>
      <c r="AI1347">
        <v>21.776</v>
      </c>
      <c r="AJ1347">
        <v>51.877000000000002</v>
      </c>
      <c r="AK1347">
        <v>38.86</v>
      </c>
      <c r="AL1347">
        <v>-1.1739999999999999</v>
      </c>
      <c r="AM1347">
        <v>53.164000000000001</v>
      </c>
      <c r="AN1347">
        <v>62.426000000000002</v>
      </c>
      <c r="AO1347">
        <v>46.463000000000001</v>
      </c>
      <c r="AP1347">
        <v>1.1739999999999999</v>
      </c>
      <c r="AQ1347">
        <v>48.122999999999998</v>
      </c>
      <c r="AR1347">
        <v>78.224000000000004</v>
      </c>
      <c r="AS1347">
        <v>61.14</v>
      </c>
    </row>
    <row r="1348" spans="1:45" x14ac:dyDescent="0.25">
      <c r="A1348">
        <v>54</v>
      </c>
      <c r="B1348">
        <v>-20</v>
      </c>
      <c r="C1348">
        <v>0</v>
      </c>
      <c r="D1348">
        <v>2023</v>
      </c>
      <c r="E1348">
        <v>3</v>
      </c>
      <c r="F1348" t="str">
        <f>IFERROR(VLOOKUP(G1348, Map!$A$1:$B$33, 2, FALSE),"WAS")</f>
        <v>JAX</v>
      </c>
      <c r="G1348" t="s">
        <v>139</v>
      </c>
      <c r="H1348" t="str">
        <f>IFERROR(VLOOKUP(I1348, Map!$A$1:$B$33, 2, FALSE),"WAS")</f>
        <v>HOU</v>
      </c>
      <c r="I1348" t="s">
        <v>137</v>
      </c>
      <c r="J1348" t="s">
        <v>220</v>
      </c>
      <c r="K1348" t="s">
        <v>209</v>
      </c>
      <c r="L1348">
        <v>0</v>
      </c>
      <c r="M1348">
        <v>0</v>
      </c>
      <c r="N1348">
        <v>37.285714285714299</v>
      </c>
      <c r="O1348">
        <v>-6.3214285714285703</v>
      </c>
      <c r="P1348">
        <v>3.5</v>
      </c>
      <c r="Q1348">
        <v>0</v>
      </c>
      <c r="R1348">
        <v>25</v>
      </c>
      <c r="S1348">
        <v>31.3</v>
      </c>
      <c r="T1348">
        <v>19</v>
      </c>
      <c r="U1348">
        <v>26.3</v>
      </c>
      <c r="V1348">
        <v>0</v>
      </c>
      <c r="W1348">
        <v>0</v>
      </c>
      <c r="X1348">
        <v>0</v>
      </c>
      <c r="Y1348">
        <v>0</v>
      </c>
      <c r="Z1348">
        <v>19.899999999999999</v>
      </c>
      <c r="AA1348">
        <v>33.5</v>
      </c>
      <c r="AB1348">
        <v>196</v>
      </c>
      <c r="AC1348">
        <v>65</v>
      </c>
      <c r="AD1348">
        <v>19.899999999999999</v>
      </c>
      <c r="AE1348">
        <v>9.9</v>
      </c>
      <c r="AF1348">
        <v>71.183999999999997</v>
      </c>
      <c r="AG1348">
        <v>53.277000000000001</v>
      </c>
      <c r="AH1348">
        <v>28.585999999999999</v>
      </c>
      <c r="AI1348">
        <v>24.035</v>
      </c>
      <c r="AJ1348">
        <v>43.087000000000003</v>
      </c>
      <c r="AK1348">
        <v>10.233000000000001</v>
      </c>
      <c r="AL1348">
        <v>7.85</v>
      </c>
      <c r="AM1348">
        <v>28.585999999999999</v>
      </c>
      <c r="AN1348">
        <v>53.277000000000001</v>
      </c>
      <c r="AO1348">
        <v>71.183999999999997</v>
      </c>
      <c r="AP1348">
        <v>-7.85</v>
      </c>
      <c r="AQ1348">
        <v>56.912999999999997</v>
      </c>
      <c r="AR1348">
        <v>75.965000000000003</v>
      </c>
      <c r="AS1348">
        <v>89.766999999999996</v>
      </c>
    </row>
    <row r="1349" spans="1:45" x14ac:dyDescent="0.25">
      <c r="A1349">
        <v>42</v>
      </c>
      <c r="B1349">
        <v>18</v>
      </c>
      <c r="C1349">
        <v>1</v>
      </c>
      <c r="D1349">
        <v>2023</v>
      </c>
      <c r="E1349">
        <v>3</v>
      </c>
      <c r="F1349" t="str">
        <f>IFERROR(VLOOKUP(G1349, Map!$A$1:$B$33, 2, FALSE),"WAS")</f>
        <v>SF</v>
      </c>
      <c r="G1349" t="s">
        <v>143</v>
      </c>
      <c r="H1349" t="str">
        <f>IFERROR(VLOOKUP(I1349, Map!$A$1:$B$33, 2, FALSE),"WAS")</f>
        <v>NYG</v>
      </c>
      <c r="I1349" t="s">
        <v>149</v>
      </c>
      <c r="J1349" t="s">
        <v>197</v>
      </c>
      <c r="K1349" t="s">
        <v>219</v>
      </c>
      <c r="L1349">
        <v>1</v>
      </c>
      <c r="M1349">
        <v>0</v>
      </c>
      <c r="N1349">
        <v>40.607142857142897</v>
      </c>
      <c r="O1349">
        <v>-9.71428571428571</v>
      </c>
      <c r="P1349">
        <v>-10</v>
      </c>
      <c r="Q1349">
        <v>43</v>
      </c>
      <c r="R1349">
        <v>18.7</v>
      </c>
      <c r="S1349">
        <v>26.1</v>
      </c>
      <c r="T1349">
        <v>14.3</v>
      </c>
      <c r="U1349">
        <v>18.2</v>
      </c>
      <c r="V1349">
        <v>0</v>
      </c>
      <c r="W1349">
        <v>0</v>
      </c>
      <c r="X1349">
        <v>0</v>
      </c>
      <c r="Y1349">
        <v>0</v>
      </c>
      <c r="Z1349">
        <v>23.7</v>
      </c>
      <c r="AA1349">
        <v>40.700000000000003</v>
      </c>
      <c r="AB1349">
        <v>301</v>
      </c>
      <c r="AC1349">
        <v>66</v>
      </c>
      <c r="AD1349">
        <v>17.5</v>
      </c>
      <c r="AE1349">
        <v>8.1999999999999993</v>
      </c>
      <c r="AF1349">
        <v>80.459000000000003</v>
      </c>
      <c r="AG1349">
        <v>52.534999999999997</v>
      </c>
      <c r="AH1349">
        <v>19.385000000000002</v>
      </c>
      <c r="AI1349">
        <v>80.766999999999996</v>
      </c>
      <c r="AJ1349">
        <v>78.262</v>
      </c>
      <c r="AK1349">
        <v>81.682000000000002</v>
      </c>
      <c r="AL1349">
        <v>12.023</v>
      </c>
      <c r="AM1349">
        <v>19.385000000000002</v>
      </c>
      <c r="AN1349">
        <v>52.534999999999997</v>
      </c>
      <c r="AO1349">
        <v>80.459000000000003</v>
      </c>
      <c r="AP1349">
        <v>-12.023</v>
      </c>
      <c r="AQ1349">
        <v>21.738</v>
      </c>
      <c r="AR1349">
        <v>19.233000000000001</v>
      </c>
      <c r="AS1349">
        <v>18.318000000000001</v>
      </c>
    </row>
    <row r="1350" spans="1:45" x14ac:dyDescent="0.25">
      <c r="A1350">
        <v>25</v>
      </c>
      <c r="B1350">
        <v>-5</v>
      </c>
      <c r="C1350">
        <v>0</v>
      </c>
      <c r="D1350">
        <v>2023</v>
      </c>
      <c r="E1350">
        <v>3</v>
      </c>
      <c r="F1350" t="str">
        <f>IFERROR(VLOOKUP(G1350, Map!$A$1:$B$33, 2, FALSE),"WAS")</f>
        <v>NYJ</v>
      </c>
      <c r="G1350" t="s">
        <v>166</v>
      </c>
      <c r="H1350" t="str">
        <f>IFERROR(VLOOKUP(I1350, Map!$A$1:$B$33, 2, FALSE),"WAS")</f>
        <v>NE</v>
      </c>
      <c r="I1350" t="s">
        <v>151</v>
      </c>
      <c r="J1350" t="s">
        <v>172</v>
      </c>
      <c r="K1350" t="s">
        <v>187</v>
      </c>
      <c r="L1350">
        <v>0</v>
      </c>
      <c r="M1350">
        <v>0</v>
      </c>
      <c r="N1350">
        <v>29.928571428571399</v>
      </c>
      <c r="O1350">
        <v>2.03571428571429</v>
      </c>
      <c r="P1350">
        <v>2.5</v>
      </c>
      <c r="Q1350">
        <v>0</v>
      </c>
      <c r="R1350">
        <v>16.3</v>
      </c>
      <c r="S1350">
        <v>18.5</v>
      </c>
      <c r="T1350">
        <v>14.7</v>
      </c>
      <c r="U1350">
        <v>14.3</v>
      </c>
      <c r="V1350">
        <v>19.2</v>
      </c>
      <c r="W1350">
        <v>0</v>
      </c>
      <c r="X1350">
        <v>20</v>
      </c>
      <c r="Y1350">
        <v>19.2</v>
      </c>
      <c r="Z1350">
        <v>30.8</v>
      </c>
      <c r="AA1350">
        <v>59.4</v>
      </c>
      <c r="AB1350">
        <v>53</v>
      </c>
      <c r="AC1350">
        <v>91</v>
      </c>
      <c r="AD1350">
        <v>48.2</v>
      </c>
      <c r="AE1350">
        <v>24.8</v>
      </c>
      <c r="AF1350">
        <v>54.703000000000003</v>
      </c>
      <c r="AG1350">
        <v>15.323</v>
      </c>
      <c r="AH1350">
        <v>44.936</v>
      </c>
      <c r="AI1350">
        <v>59.887999999999998</v>
      </c>
      <c r="AJ1350">
        <v>7.9349999999999996</v>
      </c>
      <c r="AK1350">
        <v>35.31</v>
      </c>
      <c r="AL1350">
        <v>1.714</v>
      </c>
      <c r="AM1350">
        <v>44.936</v>
      </c>
      <c r="AN1350">
        <v>15.323</v>
      </c>
      <c r="AO1350">
        <v>54.703000000000003</v>
      </c>
      <c r="AP1350">
        <v>-1.714</v>
      </c>
      <c r="AQ1350">
        <v>92.064999999999998</v>
      </c>
      <c r="AR1350">
        <v>40.112000000000002</v>
      </c>
      <c r="AS1350">
        <v>64.69</v>
      </c>
    </row>
    <row r="1351" spans="1:45" x14ac:dyDescent="0.25">
      <c r="A1351">
        <v>35</v>
      </c>
      <c r="B1351">
        <v>3</v>
      </c>
      <c r="C1351">
        <v>1</v>
      </c>
      <c r="D1351">
        <v>2023</v>
      </c>
      <c r="E1351">
        <v>3</v>
      </c>
      <c r="F1351" t="str">
        <f>IFERROR(VLOOKUP(G1351, Map!$A$1:$B$33, 2, FALSE),"WAS")</f>
        <v>CIN</v>
      </c>
      <c r="G1351" t="s">
        <v>161</v>
      </c>
      <c r="H1351" t="str">
        <f>IFERROR(VLOOKUP(I1351, Map!$A$1:$B$33, 2, FALSE),"WAS")</f>
        <v>LA</v>
      </c>
      <c r="I1351" t="s">
        <v>155</v>
      </c>
      <c r="J1351" t="s">
        <v>176</v>
      </c>
      <c r="K1351" t="s">
        <v>178</v>
      </c>
      <c r="L1351">
        <v>1</v>
      </c>
      <c r="M1351">
        <v>0</v>
      </c>
      <c r="N1351">
        <v>38.035714285714299</v>
      </c>
      <c r="O1351">
        <v>-3.1071428571428599</v>
      </c>
      <c r="P1351">
        <v>-2.5</v>
      </c>
      <c r="Q1351">
        <v>0</v>
      </c>
      <c r="R1351">
        <v>20.100000000000001</v>
      </c>
      <c r="S1351">
        <v>27.5</v>
      </c>
      <c r="T1351">
        <v>14.6</v>
      </c>
      <c r="U1351">
        <v>20.7</v>
      </c>
      <c r="V1351">
        <v>6.7</v>
      </c>
      <c r="W1351">
        <v>0</v>
      </c>
      <c r="X1351">
        <v>1</v>
      </c>
      <c r="Y1351">
        <v>6.7</v>
      </c>
      <c r="Z1351">
        <v>11.8</v>
      </c>
      <c r="AA1351">
        <v>23</v>
      </c>
      <c r="AB1351">
        <v>116</v>
      </c>
      <c r="AC1351">
        <v>75</v>
      </c>
      <c r="AD1351">
        <v>17.399999999999999</v>
      </c>
      <c r="AE1351">
        <v>7.9</v>
      </c>
      <c r="AF1351">
        <v>65.260000000000005</v>
      </c>
      <c r="AG1351">
        <v>72.293000000000006</v>
      </c>
      <c r="AH1351">
        <v>34.463000000000001</v>
      </c>
      <c r="AI1351">
        <v>87.792000000000002</v>
      </c>
      <c r="AJ1351">
        <v>33.814999999999998</v>
      </c>
      <c r="AK1351">
        <v>66.783000000000001</v>
      </c>
      <c r="AL1351">
        <v>5.532</v>
      </c>
      <c r="AM1351">
        <v>34.463000000000001</v>
      </c>
      <c r="AN1351">
        <v>72.293000000000006</v>
      </c>
      <c r="AO1351">
        <v>65.260000000000005</v>
      </c>
      <c r="AP1351">
        <v>-5.532</v>
      </c>
      <c r="AQ1351">
        <v>66.185000000000002</v>
      </c>
      <c r="AR1351">
        <v>12.208</v>
      </c>
      <c r="AS1351">
        <v>33.216999999999999</v>
      </c>
    </row>
    <row r="1352" spans="1:45" x14ac:dyDescent="0.25">
      <c r="A1352">
        <v>26</v>
      </c>
      <c r="B1352">
        <v>14</v>
      </c>
      <c r="C1352">
        <v>1</v>
      </c>
      <c r="D1352">
        <v>2023</v>
      </c>
      <c r="E1352">
        <v>3</v>
      </c>
      <c r="F1352" t="str">
        <f>IFERROR(VLOOKUP(G1352, Map!$A$1:$B$33, 2, FALSE),"WAS")</f>
        <v>DET</v>
      </c>
      <c r="G1352" t="s">
        <v>164</v>
      </c>
      <c r="H1352" t="str">
        <f>IFERROR(VLOOKUP(I1352, Map!$A$1:$B$33, 2, FALSE),"WAS")</f>
        <v>ATL</v>
      </c>
      <c r="I1352" t="s">
        <v>167</v>
      </c>
      <c r="J1352" t="s">
        <v>173</v>
      </c>
      <c r="K1352" t="s">
        <v>188</v>
      </c>
      <c r="L1352">
        <v>1</v>
      </c>
      <c r="M1352">
        <v>0</v>
      </c>
      <c r="N1352">
        <v>40.214285714285701</v>
      </c>
      <c r="O1352">
        <v>-3.53571428571429</v>
      </c>
      <c r="P1352">
        <v>-2.5</v>
      </c>
      <c r="Q1352">
        <v>0</v>
      </c>
      <c r="R1352">
        <v>17.399999999999999</v>
      </c>
      <c r="S1352">
        <v>22.6</v>
      </c>
      <c r="T1352">
        <v>13.3</v>
      </c>
      <c r="U1352">
        <v>15.8</v>
      </c>
      <c r="V1352">
        <v>0</v>
      </c>
      <c r="W1352">
        <v>0</v>
      </c>
      <c r="X1352">
        <v>0</v>
      </c>
      <c r="Y1352">
        <v>0</v>
      </c>
      <c r="Z1352">
        <v>19.600000000000001</v>
      </c>
      <c r="AA1352">
        <v>34.9</v>
      </c>
      <c r="AB1352">
        <v>61</v>
      </c>
      <c r="AC1352">
        <v>72</v>
      </c>
      <c r="AD1352">
        <v>29.5</v>
      </c>
      <c r="AE1352">
        <v>15.9</v>
      </c>
      <c r="AF1352">
        <v>55.103999999999999</v>
      </c>
      <c r="AG1352">
        <v>50.241999999999997</v>
      </c>
      <c r="AH1352">
        <v>44.539000000000001</v>
      </c>
      <c r="AI1352">
        <v>90.042000000000002</v>
      </c>
      <c r="AJ1352">
        <v>43.966999999999999</v>
      </c>
      <c r="AK1352">
        <v>81.156999999999996</v>
      </c>
      <c r="AL1352">
        <v>1.855</v>
      </c>
      <c r="AM1352">
        <v>44.539000000000001</v>
      </c>
      <c r="AN1352">
        <v>50.241999999999997</v>
      </c>
      <c r="AO1352">
        <v>55.103999999999999</v>
      </c>
      <c r="AP1352">
        <v>-1.855</v>
      </c>
      <c r="AQ1352">
        <v>56.033000000000001</v>
      </c>
      <c r="AR1352">
        <v>9.9580000000000002</v>
      </c>
      <c r="AS1352">
        <v>18.843</v>
      </c>
    </row>
    <row r="1353" spans="1:45" x14ac:dyDescent="0.25">
      <c r="A1353">
        <v>41</v>
      </c>
      <c r="B1353">
        <v>-3</v>
      </c>
      <c r="C1353">
        <v>0</v>
      </c>
      <c r="D1353">
        <v>2023</v>
      </c>
      <c r="E1353">
        <v>3</v>
      </c>
      <c r="F1353" t="str">
        <f>IFERROR(VLOOKUP(G1353, Map!$A$1:$B$33, 2, FALSE),"WAS")</f>
        <v>BAL</v>
      </c>
      <c r="G1353" t="s">
        <v>146</v>
      </c>
      <c r="H1353" t="str">
        <f>IFERROR(VLOOKUP(I1353, Map!$A$1:$B$33, 2, FALSE),"WAS")</f>
        <v>IND</v>
      </c>
      <c r="I1353" t="s">
        <v>138</v>
      </c>
      <c r="J1353" t="s">
        <v>181</v>
      </c>
      <c r="K1353" t="s">
        <v>177</v>
      </c>
      <c r="L1353">
        <v>0</v>
      </c>
      <c r="M1353">
        <v>0</v>
      </c>
      <c r="N1353">
        <v>37.535714285714299</v>
      </c>
      <c r="O1353">
        <v>-6.28571428571429</v>
      </c>
      <c r="P1353">
        <v>2.5</v>
      </c>
      <c r="Q1353">
        <v>0</v>
      </c>
      <c r="R1353">
        <v>18.100000000000001</v>
      </c>
      <c r="S1353">
        <v>19.899999999999999</v>
      </c>
      <c r="T1353">
        <v>16.100000000000001</v>
      </c>
      <c r="U1353">
        <v>17.899999999999999</v>
      </c>
      <c r="V1353">
        <v>37.299999999999997</v>
      </c>
      <c r="W1353">
        <v>0</v>
      </c>
      <c r="X1353">
        <v>21</v>
      </c>
      <c r="Y1353">
        <v>37.299999999999997</v>
      </c>
      <c r="Z1353">
        <v>32.4</v>
      </c>
      <c r="AA1353">
        <v>66.599999999999994</v>
      </c>
      <c r="AB1353">
        <v>58</v>
      </c>
      <c r="AC1353">
        <v>93</v>
      </c>
      <c r="AD1353">
        <v>35.5</v>
      </c>
      <c r="AE1353">
        <v>17.399999999999999</v>
      </c>
      <c r="AF1353">
        <v>77.263999999999996</v>
      </c>
      <c r="AG1353">
        <v>57.451999999999998</v>
      </c>
      <c r="AH1353">
        <v>22.555</v>
      </c>
      <c r="AI1353">
        <v>81.611000000000004</v>
      </c>
      <c r="AJ1353">
        <v>18.245000000000001</v>
      </c>
      <c r="AK1353">
        <v>44.4</v>
      </c>
      <c r="AL1353">
        <v>10.481999999999999</v>
      </c>
      <c r="AM1353">
        <v>22.555</v>
      </c>
      <c r="AN1353">
        <v>57.451999999999998</v>
      </c>
      <c r="AO1353">
        <v>77.263999999999996</v>
      </c>
      <c r="AP1353">
        <v>-10.481999999999999</v>
      </c>
      <c r="AQ1353">
        <v>81.754999999999995</v>
      </c>
      <c r="AR1353">
        <v>18.388999999999999</v>
      </c>
      <c r="AS1353">
        <v>55.6</v>
      </c>
    </row>
    <row r="1354" spans="1:45" x14ac:dyDescent="0.25">
      <c r="A1354">
        <v>64</v>
      </c>
      <c r="B1354">
        <v>10</v>
      </c>
      <c r="C1354">
        <v>1</v>
      </c>
      <c r="D1354">
        <v>2023</v>
      </c>
      <c r="E1354">
        <v>3</v>
      </c>
      <c r="F1354" t="str">
        <f>IFERROR(VLOOKUP(G1354, Map!$A$1:$B$33, 2, FALSE),"WAS")</f>
        <v>SEA</v>
      </c>
      <c r="G1354" t="s">
        <v>144</v>
      </c>
      <c r="H1354" t="str">
        <f>IFERROR(VLOOKUP(I1354, Map!$A$1:$B$33, 2, FALSE),"WAS")</f>
        <v>CAR</v>
      </c>
      <c r="I1354" t="s">
        <v>142</v>
      </c>
      <c r="J1354" t="s">
        <v>182</v>
      </c>
      <c r="K1354" t="s">
        <v>185</v>
      </c>
      <c r="L1354">
        <v>1</v>
      </c>
      <c r="M1354">
        <v>0</v>
      </c>
      <c r="N1354">
        <v>41.25</v>
      </c>
      <c r="O1354">
        <v>-4.6071428571428603</v>
      </c>
      <c r="P1354">
        <v>-3.5</v>
      </c>
      <c r="Q1354">
        <v>42.5</v>
      </c>
      <c r="R1354">
        <v>13.7</v>
      </c>
      <c r="S1354">
        <v>17.5</v>
      </c>
      <c r="T1354">
        <v>11.5</v>
      </c>
      <c r="U1354">
        <v>13.4</v>
      </c>
      <c r="V1354">
        <v>0.8</v>
      </c>
      <c r="W1354">
        <v>0</v>
      </c>
      <c r="X1354">
        <v>5</v>
      </c>
      <c r="Y1354">
        <v>0.8</v>
      </c>
      <c r="Z1354">
        <v>16.2</v>
      </c>
      <c r="AA1354">
        <v>30.6</v>
      </c>
      <c r="AB1354">
        <v>174</v>
      </c>
      <c r="AC1354">
        <v>89</v>
      </c>
      <c r="AD1354">
        <v>15.7</v>
      </c>
      <c r="AE1354">
        <v>6.7</v>
      </c>
      <c r="AF1354">
        <v>72.489999999999995</v>
      </c>
      <c r="AG1354">
        <v>44.281999999999996</v>
      </c>
      <c r="AH1354">
        <v>27.291</v>
      </c>
      <c r="AI1354">
        <v>52.716999999999999</v>
      </c>
      <c r="AJ1354">
        <v>65.828000000000003</v>
      </c>
      <c r="AK1354">
        <v>69.248999999999995</v>
      </c>
      <c r="AL1354">
        <v>8.3889999999999993</v>
      </c>
      <c r="AM1354">
        <v>27.291</v>
      </c>
      <c r="AN1354">
        <v>44.281999999999996</v>
      </c>
      <c r="AO1354">
        <v>72.489999999999995</v>
      </c>
      <c r="AP1354">
        <v>-8.3889999999999993</v>
      </c>
      <c r="AQ1354">
        <v>34.171999999999997</v>
      </c>
      <c r="AR1354">
        <v>47.283000000000001</v>
      </c>
      <c r="AS1354">
        <v>30.751000000000001</v>
      </c>
    </row>
    <row r="1355" spans="1:45" x14ac:dyDescent="0.25">
      <c r="A1355">
        <v>51</v>
      </c>
      <c r="B1355">
        <v>31</v>
      </c>
      <c r="C1355">
        <v>1</v>
      </c>
      <c r="D1355">
        <v>2023</v>
      </c>
      <c r="E1355">
        <v>3</v>
      </c>
      <c r="F1355" t="str">
        <f>IFERROR(VLOOKUP(G1355, Map!$A$1:$B$33, 2, FALSE),"WAS")</f>
        <v>KC</v>
      </c>
      <c r="G1355" t="s">
        <v>158</v>
      </c>
      <c r="H1355" t="str">
        <f>IFERROR(VLOOKUP(I1355, Map!$A$1:$B$33, 2, FALSE),"WAS")</f>
        <v>CHI</v>
      </c>
      <c r="I1355" t="s">
        <v>163</v>
      </c>
      <c r="J1355" t="s">
        <v>202</v>
      </c>
      <c r="K1355" t="s">
        <v>216</v>
      </c>
      <c r="L1355">
        <v>1</v>
      </c>
      <c r="M1355">
        <v>0</v>
      </c>
      <c r="N1355">
        <v>41.714285714285701</v>
      </c>
      <c r="O1355">
        <v>-12.6785714285714</v>
      </c>
      <c r="P1355">
        <v>-9.5</v>
      </c>
      <c r="Q1355">
        <v>0</v>
      </c>
      <c r="R1355">
        <v>21.5</v>
      </c>
      <c r="S1355">
        <v>26.4</v>
      </c>
      <c r="T1355">
        <v>16.899999999999999</v>
      </c>
      <c r="U1355">
        <v>23.1</v>
      </c>
      <c r="V1355">
        <v>0.1</v>
      </c>
      <c r="W1355">
        <v>0</v>
      </c>
      <c r="X1355">
        <v>1</v>
      </c>
      <c r="Y1355">
        <v>0.1</v>
      </c>
      <c r="Z1355">
        <v>13.4</v>
      </c>
      <c r="AA1355">
        <v>25.6</v>
      </c>
      <c r="AB1355">
        <v>289</v>
      </c>
      <c r="AC1355">
        <v>79</v>
      </c>
      <c r="AD1355">
        <v>17.2</v>
      </c>
      <c r="AE1355">
        <v>8.1</v>
      </c>
      <c r="AF1355">
        <v>81.902000000000001</v>
      </c>
      <c r="AG1355">
        <v>58.947000000000003</v>
      </c>
      <c r="AH1355">
        <v>17.952999999999999</v>
      </c>
      <c r="AI1355">
        <v>92.653999999999996</v>
      </c>
      <c r="AJ1355">
        <v>89.918000000000006</v>
      </c>
      <c r="AK1355">
        <v>98.540999999999997</v>
      </c>
      <c r="AL1355">
        <v>12.77</v>
      </c>
      <c r="AM1355">
        <v>17.952999999999999</v>
      </c>
      <c r="AN1355">
        <v>58.947000000000003</v>
      </c>
      <c r="AO1355">
        <v>81.902000000000001</v>
      </c>
      <c r="AP1355">
        <v>-12.77</v>
      </c>
      <c r="AQ1355">
        <v>10.082000000000001</v>
      </c>
      <c r="AR1355">
        <v>7.3460000000000001</v>
      </c>
      <c r="AS1355">
        <v>1.4590000000000001</v>
      </c>
    </row>
    <row r="1356" spans="1:45" x14ac:dyDescent="0.25">
      <c r="A1356">
        <v>36</v>
      </c>
      <c r="B1356">
        <v>-14</v>
      </c>
      <c r="C1356">
        <v>0</v>
      </c>
      <c r="D1356">
        <v>2023</v>
      </c>
      <c r="E1356">
        <v>3</v>
      </c>
      <c r="F1356" t="str">
        <f>IFERROR(VLOOKUP(G1356, Map!$A$1:$B$33, 2, FALSE),"WAS")</f>
        <v>TB</v>
      </c>
      <c r="G1356" t="s">
        <v>141</v>
      </c>
      <c r="H1356" t="str">
        <f>IFERROR(VLOOKUP(I1356, Map!$A$1:$B$33, 2, FALSE),"WAS")</f>
        <v>PHI</v>
      </c>
      <c r="I1356" t="s">
        <v>147</v>
      </c>
      <c r="J1356" t="s">
        <v>186</v>
      </c>
      <c r="K1356" t="s">
        <v>206</v>
      </c>
      <c r="L1356">
        <v>0</v>
      </c>
      <c r="M1356">
        <v>0</v>
      </c>
      <c r="N1356">
        <v>37.321428571428598</v>
      </c>
      <c r="O1356">
        <v>5.8928571428571397</v>
      </c>
      <c r="P1356">
        <v>4.5</v>
      </c>
      <c r="Q1356">
        <v>0</v>
      </c>
      <c r="R1356">
        <v>26.5</v>
      </c>
      <c r="S1356">
        <v>30.5</v>
      </c>
      <c r="T1356">
        <v>23.1</v>
      </c>
      <c r="U1356">
        <v>29.7</v>
      </c>
      <c r="V1356">
        <v>4.7</v>
      </c>
      <c r="W1356">
        <v>0</v>
      </c>
      <c r="X1356">
        <v>7</v>
      </c>
      <c r="Y1356">
        <v>4.7</v>
      </c>
      <c r="Z1356">
        <v>16</v>
      </c>
      <c r="AA1356">
        <v>34.6</v>
      </c>
      <c r="AB1356">
        <v>114</v>
      </c>
      <c r="AC1356">
        <v>75</v>
      </c>
      <c r="AD1356">
        <v>24</v>
      </c>
      <c r="AE1356">
        <v>10.9</v>
      </c>
      <c r="AF1356">
        <v>29.501000000000001</v>
      </c>
      <c r="AG1356">
        <v>58.11</v>
      </c>
      <c r="AH1356">
        <v>70.262</v>
      </c>
      <c r="AI1356">
        <v>34.844999999999999</v>
      </c>
      <c r="AJ1356">
        <v>9.6210000000000004</v>
      </c>
      <c r="AK1356">
        <v>11.334</v>
      </c>
      <c r="AL1356">
        <v>-7.476</v>
      </c>
      <c r="AM1356">
        <v>70.262</v>
      </c>
      <c r="AN1356">
        <v>58.11</v>
      </c>
      <c r="AO1356">
        <v>29.501000000000001</v>
      </c>
      <c r="AP1356">
        <v>7.476</v>
      </c>
      <c r="AQ1356">
        <v>90.379000000000005</v>
      </c>
      <c r="AR1356">
        <v>65.155000000000001</v>
      </c>
      <c r="AS1356">
        <v>88.665999999999997</v>
      </c>
    </row>
    <row r="1357" spans="1:45" x14ac:dyDescent="0.25">
      <c r="A1357">
        <v>40</v>
      </c>
      <c r="B1357">
        <v>-34</v>
      </c>
      <c r="C1357">
        <v>0</v>
      </c>
      <c r="D1357">
        <v>2023</v>
      </c>
      <c r="E1357">
        <v>3</v>
      </c>
      <c r="F1357" t="str">
        <f>IFERROR(VLOOKUP(G1357, Map!$A$1:$B$33, 2, FALSE),"WAS")</f>
        <v>WAS</v>
      </c>
      <c r="G1357" t="s">
        <v>148</v>
      </c>
      <c r="H1357" t="str">
        <f>IFERROR(VLOOKUP(I1357, Map!$A$1:$B$33, 2, FALSE),"WAS")</f>
        <v>BUF</v>
      </c>
      <c r="I1357" t="s">
        <v>165</v>
      </c>
      <c r="J1357" t="s">
        <v>205</v>
      </c>
      <c r="K1357" t="s">
        <v>180</v>
      </c>
      <c r="L1357">
        <v>0</v>
      </c>
      <c r="M1357">
        <v>0</v>
      </c>
      <c r="N1357">
        <v>40.307692307692299</v>
      </c>
      <c r="O1357">
        <v>5.8076923076923102</v>
      </c>
      <c r="P1357">
        <v>4.5</v>
      </c>
      <c r="Q1357">
        <v>0</v>
      </c>
      <c r="R1357">
        <v>18.600000000000001</v>
      </c>
      <c r="S1357">
        <v>21.4</v>
      </c>
      <c r="T1357">
        <v>16.3</v>
      </c>
      <c r="U1357">
        <v>18.600000000000001</v>
      </c>
      <c r="V1357">
        <v>14.2</v>
      </c>
      <c r="W1357">
        <v>0</v>
      </c>
      <c r="X1357">
        <v>19</v>
      </c>
      <c r="Y1357">
        <v>14.2</v>
      </c>
      <c r="Z1357">
        <v>33</v>
      </c>
      <c r="AA1357">
        <v>62.6</v>
      </c>
      <c r="AB1357">
        <v>52</v>
      </c>
      <c r="AC1357">
        <v>88</v>
      </c>
      <c r="AD1357">
        <v>32.6</v>
      </c>
      <c r="AE1357">
        <v>15.6</v>
      </c>
      <c r="AF1357">
        <v>26.364000000000001</v>
      </c>
      <c r="AG1357">
        <v>55.265999999999998</v>
      </c>
      <c r="AH1357">
        <v>73.424000000000007</v>
      </c>
      <c r="AI1357">
        <v>35.564999999999998</v>
      </c>
      <c r="AJ1357">
        <v>1.8260000000000001</v>
      </c>
      <c r="AK1357">
        <v>2.9380000000000002</v>
      </c>
      <c r="AL1357">
        <v>-8.7829999999999995</v>
      </c>
      <c r="AM1357">
        <v>73.424000000000007</v>
      </c>
      <c r="AN1357">
        <v>55.265999999999998</v>
      </c>
      <c r="AO1357">
        <v>26.364000000000001</v>
      </c>
      <c r="AP1357">
        <v>8.7829999999999995</v>
      </c>
      <c r="AQ1357">
        <v>98.174000000000007</v>
      </c>
      <c r="AR1357">
        <v>64.435000000000002</v>
      </c>
      <c r="AS1357">
        <v>97.061999999999998</v>
      </c>
    </row>
    <row r="1358" spans="1:45" x14ac:dyDescent="0.25">
      <c r="A1358">
        <v>35</v>
      </c>
      <c r="B1358">
        <v>1</v>
      </c>
      <c r="C1358">
        <v>1</v>
      </c>
      <c r="D1358">
        <v>2023</v>
      </c>
      <c r="E1358">
        <v>3</v>
      </c>
      <c r="F1358" t="str">
        <f>IFERROR(VLOOKUP(G1358, Map!$A$1:$B$33, 2, FALSE),"WAS")</f>
        <v>GB</v>
      </c>
      <c r="G1358" t="s">
        <v>154</v>
      </c>
      <c r="H1358" t="str">
        <f>IFERROR(VLOOKUP(I1358, Map!$A$1:$B$33, 2, FALSE),"WAS")</f>
        <v>NO</v>
      </c>
      <c r="I1358" t="s">
        <v>168</v>
      </c>
      <c r="J1358" t="s">
        <v>200</v>
      </c>
      <c r="K1358" t="s">
        <v>192</v>
      </c>
      <c r="L1358">
        <v>1</v>
      </c>
      <c r="M1358">
        <v>0</v>
      </c>
      <c r="N1358">
        <v>38.678571428571402</v>
      </c>
      <c r="O1358">
        <v>0.75</v>
      </c>
      <c r="P1358">
        <v>1.5</v>
      </c>
      <c r="Q1358">
        <v>39.5</v>
      </c>
      <c r="R1358">
        <v>18.100000000000001</v>
      </c>
      <c r="S1358">
        <v>21.6</v>
      </c>
      <c r="T1358">
        <v>14.8</v>
      </c>
      <c r="U1358">
        <v>16.899999999999999</v>
      </c>
      <c r="V1358">
        <v>0</v>
      </c>
      <c r="W1358">
        <v>0</v>
      </c>
      <c r="X1358">
        <v>0</v>
      </c>
      <c r="Y1358">
        <v>0</v>
      </c>
      <c r="Z1358">
        <v>17.100000000000001</v>
      </c>
      <c r="AA1358">
        <v>36.4</v>
      </c>
      <c r="AB1358">
        <v>117</v>
      </c>
      <c r="AC1358">
        <v>69</v>
      </c>
      <c r="AD1358">
        <v>26.5</v>
      </c>
      <c r="AE1358">
        <v>13</v>
      </c>
      <c r="AF1358">
        <v>53.319000000000003</v>
      </c>
      <c r="AG1358">
        <v>65.012</v>
      </c>
      <c r="AH1358">
        <v>46.308999999999997</v>
      </c>
      <c r="AI1358">
        <v>61.116999999999997</v>
      </c>
      <c r="AJ1358">
        <v>40.634</v>
      </c>
      <c r="AK1358">
        <v>40.94</v>
      </c>
      <c r="AL1358">
        <v>1.2290000000000001</v>
      </c>
      <c r="AM1358">
        <v>46.308999999999997</v>
      </c>
      <c r="AN1358">
        <v>65.012</v>
      </c>
      <c r="AO1358">
        <v>53.319000000000003</v>
      </c>
      <c r="AP1358">
        <v>-1.2290000000000001</v>
      </c>
      <c r="AQ1358">
        <v>59.366</v>
      </c>
      <c r="AR1358">
        <v>38.883000000000003</v>
      </c>
      <c r="AS1358">
        <v>59.06</v>
      </c>
    </row>
    <row r="1359" spans="1:45" x14ac:dyDescent="0.25">
      <c r="A1359">
        <v>30</v>
      </c>
      <c r="B1359">
        <v>24</v>
      </c>
      <c r="C1359">
        <v>1</v>
      </c>
      <c r="D1359">
        <v>2023</v>
      </c>
      <c r="E1359">
        <v>3</v>
      </c>
      <c r="F1359" t="str">
        <f>IFERROR(VLOOKUP(G1359, Map!$A$1:$B$33, 2, FALSE),"WAS")</f>
        <v>CLE</v>
      </c>
      <c r="G1359" t="s">
        <v>162</v>
      </c>
      <c r="H1359" t="str">
        <f>IFERROR(VLOOKUP(I1359, Map!$A$1:$B$33, 2, FALSE),"WAS")</f>
        <v>TEN</v>
      </c>
      <c r="I1359" t="s">
        <v>140</v>
      </c>
      <c r="J1359" t="s">
        <v>171</v>
      </c>
      <c r="K1359" t="s">
        <v>174</v>
      </c>
      <c r="L1359">
        <v>1</v>
      </c>
      <c r="M1359">
        <v>0</v>
      </c>
      <c r="N1359">
        <v>35.428571428571402</v>
      </c>
      <c r="O1359">
        <v>-3.46428571428571</v>
      </c>
      <c r="P1359">
        <v>-3.5</v>
      </c>
      <c r="Q1359">
        <v>36.5</v>
      </c>
      <c r="R1359">
        <v>16.100000000000001</v>
      </c>
      <c r="S1359">
        <v>17.5</v>
      </c>
      <c r="T1359">
        <v>14.5</v>
      </c>
      <c r="U1359">
        <v>14.3</v>
      </c>
      <c r="V1359">
        <v>0</v>
      </c>
      <c r="W1359">
        <v>0</v>
      </c>
      <c r="X1359">
        <v>0</v>
      </c>
      <c r="Y1359">
        <v>0</v>
      </c>
      <c r="Z1359">
        <v>24.3</v>
      </c>
      <c r="AA1359">
        <v>32.799999999999997</v>
      </c>
      <c r="AB1359">
        <v>45</v>
      </c>
      <c r="AC1359">
        <v>80</v>
      </c>
      <c r="AD1359">
        <v>25.3</v>
      </c>
      <c r="AE1359">
        <v>18.3</v>
      </c>
      <c r="AF1359">
        <v>57.097999999999999</v>
      </c>
      <c r="AG1359">
        <v>50.753</v>
      </c>
      <c r="AH1359">
        <v>42.56</v>
      </c>
      <c r="AI1359">
        <v>91.718000000000004</v>
      </c>
      <c r="AJ1359">
        <v>65.721999999999994</v>
      </c>
      <c r="AK1359">
        <v>90.415999999999997</v>
      </c>
      <c r="AL1359">
        <v>2.5590000000000002</v>
      </c>
      <c r="AM1359">
        <v>42.56</v>
      </c>
      <c r="AN1359">
        <v>50.753</v>
      </c>
      <c r="AO1359">
        <v>57.097999999999999</v>
      </c>
      <c r="AP1359">
        <v>-2.5590000000000002</v>
      </c>
      <c r="AQ1359">
        <v>34.277999999999999</v>
      </c>
      <c r="AR1359">
        <v>8.282</v>
      </c>
      <c r="AS1359">
        <v>9.5839999999999996</v>
      </c>
    </row>
    <row r="1360" spans="1:45" x14ac:dyDescent="0.25">
      <c r="A1360">
        <v>44</v>
      </c>
      <c r="B1360">
        <v>12</v>
      </c>
      <c r="C1360">
        <v>1</v>
      </c>
      <c r="D1360">
        <v>2023</v>
      </c>
      <c r="E1360">
        <v>3</v>
      </c>
      <c r="F1360" t="str">
        <f>IFERROR(VLOOKUP(G1360, Map!$A$1:$B$33, 2, FALSE),"WAS")</f>
        <v>ARI</v>
      </c>
      <c r="G1360" t="s">
        <v>156</v>
      </c>
      <c r="H1360" t="str">
        <f>IFERROR(VLOOKUP(I1360, Map!$A$1:$B$33, 2, FALSE),"WAS")</f>
        <v>DAL</v>
      </c>
      <c r="I1360" t="s">
        <v>150</v>
      </c>
      <c r="J1360" t="s">
        <v>190</v>
      </c>
      <c r="K1360" t="s">
        <v>184</v>
      </c>
      <c r="L1360">
        <v>1</v>
      </c>
      <c r="M1360">
        <v>0</v>
      </c>
      <c r="N1360">
        <v>37.642857142857103</v>
      </c>
      <c r="O1360">
        <v>8.5</v>
      </c>
      <c r="P1360">
        <v>6</v>
      </c>
      <c r="Q1360">
        <v>0</v>
      </c>
      <c r="R1360">
        <v>19.5</v>
      </c>
      <c r="S1360">
        <v>26.9</v>
      </c>
      <c r="T1360">
        <v>14.3</v>
      </c>
      <c r="U1360">
        <v>20.2</v>
      </c>
      <c r="V1360">
        <v>0</v>
      </c>
      <c r="W1360">
        <v>0</v>
      </c>
      <c r="X1360">
        <v>0</v>
      </c>
      <c r="Y1360">
        <v>0</v>
      </c>
      <c r="Z1360">
        <v>12</v>
      </c>
      <c r="AA1360">
        <v>28.8</v>
      </c>
      <c r="AB1360">
        <v>209</v>
      </c>
      <c r="AC1360">
        <v>69</v>
      </c>
      <c r="AD1360">
        <v>12.9</v>
      </c>
      <c r="AE1360">
        <v>4.9000000000000004</v>
      </c>
      <c r="AF1360">
        <v>11.808999999999999</v>
      </c>
      <c r="AG1360">
        <v>48.383000000000003</v>
      </c>
      <c r="AH1360">
        <v>88.096000000000004</v>
      </c>
      <c r="AI1360">
        <v>50.887</v>
      </c>
      <c r="AJ1360">
        <v>79.305000000000007</v>
      </c>
      <c r="AK1360">
        <v>73.039000000000001</v>
      </c>
      <c r="AL1360">
        <v>-16.509</v>
      </c>
      <c r="AM1360">
        <v>88.096000000000004</v>
      </c>
      <c r="AN1360">
        <v>48.383000000000003</v>
      </c>
      <c r="AO1360">
        <v>11.808999999999999</v>
      </c>
      <c r="AP1360">
        <v>16.509</v>
      </c>
      <c r="AQ1360">
        <v>20.695</v>
      </c>
      <c r="AR1360">
        <v>49.113</v>
      </c>
      <c r="AS1360">
        <v>26.960999999999999</v>
      </c>
    </row>
    <row r="1361" spans="1:45" x14ac:dyDescent="0.25">
      <c r="A1361">
        <v>41</v>
      </c>
      <c r="B1361">
        <v>-5</v>
      </c>
      <c r="C1361">
        <v>0</v>
      </c>
      <c r="D1361">
        <v>2023</v>
      </c>
      <c r="E1361">
        <v>3</v>
      </c>
      <c r="F1361" t="str">
        <f>IFERROR(VLOOKUP(G1361, Map!$A$1:$B$33, 2, FALSE),"WAS")</f>
        <v>LV</v>
      </c>
      <c r="G1361" t="s">
        <v>157</v>
      </c>
      <c r="H1361" t="str">
        <f>IFERROR(VLOOKUP(I1361, Map!$A$1:$B$33, 2, FALSE),"WAS")</f>
        <v>PIT</v>
      </c>
      <c r="I1361" t="s">
        <v>145</v>
      </c>
      <c r="J1361" t="s">
        <v>179</v>
      </c>
      <c r="K1361" t="s">
        <v>170</v>
      </c>
      <c r="L1361">
        <v>0</v>
      </c>
      <c r="M1361">
        <v>0</v>
      </c>
      <c r="N1361">
        <v>43.615384615384599</v>
      </c>
      <c r="O1361">
        <v>-1.8846153846153799</v>
      </c>
      <c r="P1361">
        <v>-1.5</v>
      </c>
      <c r="Q1361">
        <v>42.5</v>
      </c>
      <c r="R1361">
        <v>26.8</v>
      </c>
      <c r="S1361">
        <v>33.1</v>
      </c>
      <c r="T1361">
        <v>20.9</v>
      </c>
      <c r="U1361">
        <v>24.7</v>
      </c>
      <c r="V1361">
        <v>0</v>
      </c>
      <c r="W1361">
        <v>0</v>
      </c>
      <c r="X1361">
        <v>0</v>
      </c>
      <c r="Y1361">
        <v>0</v>
      </c>
      <c r="Z1361">
        <v>9.1999999999999993</v>
      </c>
      <c r="AA1361">
        <v>22</v>
      </c>
      <c r="AB1361">
        <v>58</v>
      </c>
      <c r="AC1361">
        <v>23</v>
      </c>
      <c r="AD1361">
        <v>11.6</v>
      </c>
      <c r="AE1361">
        <v>5.5</v>
      </c>
      <c r="AF1361">
        <v>50.643999999999998</v>
      </c>
      <c r="AG1361">
        <v>53.081000000000003</v>
      </c>
      <c r="AH1361">
        <v>48.963000000000001</v>
      </c>
      <c r="AI1361">
        <v>45.695</v>
      </c>
      <c r="AJ1361">
        <v>23.154</v>
      </c>
      <c r="AK1361">
        <v>30.552</v>
      </c>
      <c r="AL1361">
        <v>0.29399999999999998</v>
      </c>
      <c r="AM1361">
        <v>48.963000000000001</v>
      </c>
      <c r="AN1361">
        <v>53.081000000000003</v>
      </c>
      <c r="AO1361">
        <v>50.643999999999998</v>
      </c>
      <c r="AP1361">
        <v>-0.29399999999999998</v>
      </c>
      <c r="AQ1361">
        <v>76.846000000000004</v>
      </c>
      <c r="AR1361">
        <v>54.305</v>
      </c>
      <c r="AS1361">
        <v>69.447999999999993</v>
      </c>
    </row>
    <row r="1362" spans="1:45" x14ac:dyDescent="0.25">
      <c r="A1362">
        <v>31</v>
      </c>
      <c r="B1362">
        <v>-25</v>
      </c>
      <c r="C1362">
        <v>0</v>
      </c>
      <c r="D1362">
        <v>2023</v>
      </c>
      <c r="E1362">
        <v>4</v>
      </c>
      <c r="F1362" t="str">
        <f>IFERROR(VLOOKUP(G1362, Map!$A$1:$B$33, 2, FALSE),"WAS")</f>
        <v>CLE</v>
      </c>
      <c r="G1362" t="s">
        <v>162</v>
      </c>
      <c r="H1362" t="str">
        <f>IFERROR(VLOOKUP(I1362, Map!$A$1:$B$33, 2, FALSE),"WAS")</f>
        <v>BAL</v>
      </c>
      <c r="I1362" t="s">
        <v>146</v>
      </c>
      <c r="J1362" t="s">
        <v>171</v>
      </c>
      <c r="K1362" t="s">
        <v>181</v>
      </c>
      <c r="L1362">
        <v>0</v>
      </c>
      <c r="M1362">
        <v>0</v>
      </c>
      <c r="N1362">
        <v>35.766666666666701</v>
      </c>
      <c r="O1362">
        <v>2.6</v>
      </c>
      <c r="P1362">
        <v>-1</v>
      </c>
      <c r="Q1362">
        <v>32.5</v>
      </c>
      <c r="R1362">
        <v>17.3</v>
      </c>
      <c r="S1362">
        <v>21</v>
      </c>
      <c r="T1362">
        <v>13.7</v>
      </c>
      <c r="U1362">
        <v>18.3</v>
      </c>
      <c r="V1362">
        <v>0</v>
      </c>
      <c r="W1362">
        <v>0</v>
      </c>
      <c r="X1362">
        <v>0</v>
      </c>
      <c r="Y1362">
        <v>0</v>
      </c>
      <c r="Z1362">
        <v>14.8</v>
      </c>
      <c r="AA1362">
        <v>22</v>
      </c>
      <c r="AB1362">
        <v>74</v>
      </c>
      <c r="AC1362">
        <v>92</v>
      </c>
      <c r="AD1362">
        <v>14.5</v>
      </c>
      <c r="AE1362">
        <v>8.1</v>
      </c>
      <c r="AF1362">
        <v>41.271000000000001</v>
      </c>
      <c r="AG1362">
        <v>79.453999999999994</v>
      </c>
      <c r="AH1362">
        <v>58.396999999999998</v>
      </c>
      <c r="AI1362">
        <v>46.448999999999998</v>
      </c>
      <c r="AJ1362">
        <v>2.4369999999999998</v>
      </c>
      <c r="AK1362">
        <v>8.1219999999999999</v>
      </c>
      <c r="AL1362">
        <v>-2.988</v>
      </c>
      <c r="AM1362">
        <v>58.396999999999998</v>
      </c>
      <c r="AN1362">
        <v>79.453999999999994</v>
      </c>
      <c r="AO1362">
        <v>41.271000000000001</v>
      </c>
      <c r="AP1362">
        <v>2.988</v>
      </c>
      <c r="AQ1362">
        <v>97.563000000000002</v>
      </c>
      <c r="AR1362">
        <v>53.551000000000002</v>
      </c>
      <c r="AS1362">
        <v>91.878</v>
      </c>
    </row>
    <row r="1363" spans="1:45" x14ac:dyDescent="0.25">
      <c r="A1363">
        <v>59</v>
      </c>
      <c r="B1363">
        <v>-3</v>
      </c>
      <c r="C1363">
        <v>0</v>
      </c>
      <c r="D1363">
        <v>2023</v>
      </c>
      <c r="E1363">
        <v>4</v>
      </c>
      <c r="F1363" t="str">
        <f>IFERROR(VLOOKUP(G1363, Map!$A$1:$B$33, 2, FALSE),"WAS")</f>
        <v>CHI</v>
      </c>
      <c r="G1363" t="s">
        <v>163</v>
      </c>
      <c r="H1363" t="str">
        <f>IFERROR(VLOOKUP(I1363, Map!$A$1:$B$33, 2, FALSE),"WAS")</f>
        <v>DEN</v>
      </c>
      <c r="I1363" t="s">
        <v>159</v>
      </c>
      <c r="J1363" t="s">
        <v>216</v>
      </c>
      <c r="K1363" t="s">
        <v>183</v>
      </c>
      <c r="L1363">
        <v>0</v>
      </c>
      <c r="M1363">
        <v>0</v>
      </c>
      <c r="N1363">
        <v>45.1666666666667</v>
      </c>
      <c r="O1363">
        <v>1.63333333333333</v>
      </c>
      <c r="P1363">
        <v>0.5</v>
      </c>
      <c r="Q1363">
        <v>45.5</v>
      </c>
      <c r="R1363">
        <v>20.2</v>
      </c>
      <c r="S1363">
        <v>24.6</v>
      </c>
      <c r="T1363">
        <v>15.8</v>
      </c>
      <c r="U1363">
        <v>21.3</v>
      </c>
      <c r="V1363">
        <v>0</v>
      </c>
      <c r="W1363">
        <v>0</v>
      </c>
      <c r="X1363">
        <v>0</v>
      </c>
      <c r="Y1363">
        <v>0</v>
      </c>
      <c r="Z1363">
        <v>13.9</v>
      </c>
      <c r="AA1363">
        <v>22.3</v>
      </c>
      <c r="AB1363">
        <v>142</v>
      </c>
      <c r="AC1363">
        <v>81</v>
      </c>
      <c r="AD1363">
        <v>16.899999999999999</v>
      </c>
      <c r="AE1363">
        <v>10.199999999999999</v>
      </c>
      <c r="AF1363">
        <v>46.723999999999997</v>
      </c>
      <c r="AG1363">
        <v>38.634999999999998</v>
      </c>
      <c r="AH1363">
        <v>52.901000000000003</v>
      </c>
      <c r="AI1363">
        <v>30.773</v>
      </c>
      <c r="AJ1363">
        <v>66.822000000000003</v>
      </c>
      <c r="AK1363">
        <v>55.917999999999999</v>
      </c>
      <c r="AL1363">
        <v>-1.07</v>
      </c>
      <c r="AM1363">
        <v>52.901000000000003</v>
      </c>
      <c r="AN1363">
        <v>38.634999999999998</v>
      </c>
      <c r="AO1363">
        <v>46.723999999999997</v>
      </c>
      <c r="AP1363">
        <v>1.07</v>
      </c>
      <c r="AQ1363">
        <v>33.177999999999997</v>
      </c>
      <c r="AR1363">
        <v>69.227000000000004</v>
      </c>
      <c r="AS1363">
        <v>44.082000000000001</v>
      </c>
    </row>
    <row r="1364" spans="1:45" x14ac:dyDescent="0.25">
      <c r="A1364">
        <v>34</v>
      </c>
      <c r="B1364">
        <v>-8</v>
      </c>
      <c r="C1364">
        <v>0</v>
      </c>
      <c r="D1364">
        <v>2023</v>
      </c>
      <c r="E1364">
        <v>4</v>
      </c>
      <c r="F1364" t="str">
        <f>IFERROR(VLOOKUP(G1364, Map!$A$1:$B$33, 2, FALSE),"WAS")</f>
        <v>CAR</v>
      </c>
      <c r="G1364" t="s">
        <v>142</v>
      </c>
      <c r="H1364" t="str">
        <f>IFERROR(VLOOKUP(I1364, Map!$A$1:$B$33, 2, FALSE),"WAS")</f>
        <v>MIN</v>
      </c>
      <c r="I1364" t="s">
        <v>153</v>
      </c>
      <c r="J1364" t="s">
        <v>185</v>
      </c>
      <c r="K1364" t="s">
        <v>214</v>
      </c>
      <c r="L1364">
        <v>0</v>
      </c>
      <c r="M1364">
        <v>0</v>
      </c>
      <c r="N1364">
        <v>42.233333333333299</v>
      </c>
      <c r="O1364">
        <v>3.6666666666666701</v>
      </c>
      <c r="P1364">
        <v>2.5</v>
      </c>
      <c r="Q1364">
        <v>39.5</v>
      </c>
      <c r="R1364">
        <v>20.100000000000001</v>
      </c>
      <c r="S1364">
        <v>26.2</v>
      </c>
      <c r="T1364">
        <v>14.8</v>
      </c>
      <c r="U1364">
        <v>20.399999999999999</v>
      </c>
      <c r="V1364">
        <v>0</v>
      </c>
      <c r="W1364">
        <v>0</v>
      </c>
      <c r="X1364">
        <v>0</v>
      </c>
      <c r="Y1364">
        <v>0</v>
      </c>
      <c r="Z1364">
        <v>12.8</v>
      </c>
      <c r="AA1364">
        <v>27.7</v>
      </c>
      <c r="AB1364">
        <v>49</v>
      </c>
      <c r="AC1364">
        <v>73</v>
      </c>
      <c r="AD1364">
        <v>17.7</v>
      </c>
      <c r="AE1364">
        <v>8.9</v>
      </c>
      <c r="AF1364">
        <v>35.835000000000001</v>
      </c>
      <c r="AG1364">
        <v>27.196999999999999</v>
      </c>
      <c r="AH1364">
        <v>63.877000000000002</v>
      </c>
      <c r="AI1364">
        <v>71.528999999999996</v>
      </c>
      <c r="AJ1364">
        <v>14.48</v>
      </c>
      <c r="AK1364">
        <v>29.228000000000002</v>
      </c>
      <c r="AL1364">
        <v>-4.9589999999999996</v>
      </c>
      <c r="AM1364">
        <v>63.877000000000002</v>
      </c>
      <c r="AN1364">
        <v>27.196999999999999</v>
      </c>
      <c r="AO1364">
        <v>35.835000000000001</v>
      </c>
      <c r="AP1364">
        <v>4.9589999999999996</v>
      </c>
      <c r="AQ1364">
        <v>85.52</v>
      </c>
      <c r="AR1364">
        <v>28.471</v>
      </c>
      <c r="AS1364">
        <v>70.772000000000006</v>
      </c>
    </row>
    <row r="1365" spans="1:45" x14ac:dyDescent="0.25">
      <c r="A1365">
        <v>54</v>
      </c>
      <c r="B1365">
        <v>-14</v>
      </c>
      <c r="C1365">
        <v>0</v>
      </c>
      <c r="D1365">
        <v>2023</v>
      </c>
      <c r="E1365">
        <v>4</v>
      </c>
      <c r="F1365" t="str">
        <f>IFERROR(VLOOKUP(G1365, Map!$A$1:$B$33, 2, FALSE),"WAS")</f>
        <v>GB</v>
      </c>
      <c r="G1365" t="s">
        <v>154</v>
      </c>
      <c r="H1365" t="str">
        <f>IFERROR(VLOOKUP(I1365, Map!$A$1:$B$33, 2, FALSE),"WAS")</f>
        <v>DET</v>
      </c>
      <c r="I1365" t="s">
        <v>164</v>
      </c>
      <c r="J1365" t="s">
        <v>200</v>
      </c>
      <c r="K1365" t="s">
        <v>173</v>
      </c>
      <c r="L1365">
        <v>0</v>
      </c>
      <c r="M1365">
        <v>0</v>
      </c>
      <c r="N1365">
        <v>43.6</v>
      </c>
      <c r="O1365">
        <v>3.56666666666667</v>
      </c>
      <c r="P1365">
        <v>1</v>
      </c>
      <c r="Q1365">
        <v>44.5</v>
      </c>
      <c r="R1365">
        <v>17.100000000000001</v>
      </c>
      <c r="S1365">
        <v>23.9</v>
      </c>
      <c r="T1365">
        <v>12.1</v>
      </c>
      <c r="U1365">
        <v>16.8</v>
      </c>
      <c r="V1365">
        <v>0.1</v>
      </c>
      <c r="W1365">
        <v>0</v>
      </c>
      <c r="X1365">
        <v>1</v>
      </c>
      <c r="Y1365">
        <v>0.1</v>
      </c>
      <c r="Z1365">
        <v>18.2</v>
      </c>
      <c r="AA1365">
        <v>33.5</v>
      </c>
      <c r="AB1365">
        <v>163</v>
      </c>
      <c r="AC1365">
        <v>80</v>
      </c>
      <c r="AD1365">
        <v>16.5</v>
      </c>
      <c r="AE1365">
        <v>8.6999999999999993</v>
      </c>
      <c r="AF1365">
        <v>45.890999999999998</v>
      </c>
      <c r="AG1365">
        <v>72.287999999999997</v>
      </c>
      <c r="AH1365">
        <v>53.74</v>
      </c>
      <c r="AI1365">
        <v>33.813000000000002</v>
      </c>
      <c r="AJ1365">
        <v>7.1959999999999997</v>
      </c>
      <c r="AK1365">
        <v>8.7729999999999997</v>
      </c>
      <c r="AL1365">
        <v>-1.361</v>
      </c>
      <c r="AM1365">
        <v>53.74</v>
      </c>
      <c r="AN1365">
        <v>72.287999999999997</v>
      </c>
      <c r="AO1365">
        <v>45.890999999999998</v>
      </c>
      <c r="AP1365">
        <v>1.361</v>
      </c>
      <c r="AQ1365">
        <v>92.804000000000002</v>
      </c>
      <c r="AR1365">
        <v>66.186999999999998</v>
      </c>
      <c r="AS1365">
        <v>91.227000000000004</v>
      </c>
    </row>
    <row r="1366" spans="1:45" x14ac:dyDescent="0.25">
      <c r="A1366">
        <v>52</v>
      </c>
      <c r="B1366">
        <v>-6</v>
      </c>
      <c r="C1366">
        <v>0</v>
      </c>
      <c r="D1366">
        <v>2023</v>
      </c>
      <c r="E1366">
        <v>4</v>
      </c>
      <c r="F1366" t="str">
        <f>IFERROR(VLOOKUP(G1366, Map!$A$1:$B$33, 2, FALSE),"WAS")</f>
        <v>IND</v>
      </c>
      <c r="G1366" t="s">
        <v>138</v>
      </c>
      <c r="H1366" t="str">
        <f>IFERROR(VLOOKUP(I1366, Map!$A$1:$B$33, 2, FALSE),"WAS")</f>
        <v>LA</v>
      </c>
      <c r="I1366" t="s">
        <v>155</v>
      </c>
      <c r="J1366" t="s">
        <v>177</v>
      </c>
      <c r="K1366" t="s">
        <v>178</v>
      </c>
      <c r="L1366">
        <v>0</v>
      </c>
      <c r="M1366">
        <v>0</v>
      </c>
      <c r="N1366">
        <v>42.066666666666698</v>
      </c>
      <c r="O1366">
        <v>0.73333333333333295</v>
      </c>
      <c r="P1366">
        <v>-0.5</v>
      </c>
      <c r="Q1366">
        <v>44.5</v>
      </c>
      <c r="R1366">
        <v>20.399999999999999</v>
      </c>
      <c r="S1366">
        <v>27.4</v>
      </c>
      <c r="T1366">
        <v>13.7</v>
      </c>
      <c r="U1366">
        <v>21.2</v>
      </c>
      <c r="V1366">
        <v>0</v>
      </c>
      <c r="W1366">
        <v>0</v>
      </c>
      <c r="X1366">
        <v>0</v>
      </c>
      <c r="Y1366">
        <v>0</v>
      </c>
      <c r="Z1366">
        <v>10.1</v>
      </c>
      <c r="AA1366">
        <v>22</v>
      </c>
      <c r="AB1366">
        <v>93</v>
      </c>
      <c r="AC1366">
        <v>74</v>
      </c>
      <c r="AD1366">
        <v>14.5</v>
      </c>
      <c r="AE1366">
        <v>7.2</v>
      </c>
      <c r="AF1366">
        <v>43.780999999999999</v>
      </c>
      <c r="AG1366">
        <v>52.552999999999997</v>
      </c>
      <c r="AH1366">
        <v>55.866999999999997</v>
      </c>
      <c r="AI1366">
        <v>18.391999999999999</v>
      </c>
      <c r="AJ1366">
        <v>52.792999999999999</v>
      </c>
      <c r="AK1366">
        <v>27.324999999999999</v>
      </c>
      <c r="AL1366">
        <v>-2.1</v>
      </c>
      <c r="AM1366">
        <v>55.866999999999997</v>
      </c>
      <c r="AN1366">
        <v>52.552999999999997</v>
      </c>
      <c r="AO1366">
        <v>43.780999999999999</v>
      </c>
      <c r="AP1366">
        <v>2.1</v>
      </c>
      <c r="AQ1366">
        <v>47.207000000000001</v>
      </c>
      <c r="AR1366">
        <v>81.608000000000004</v>
      </c>
      <c r="AS1366">
        <v>72.674999999999997</v>
      </c>
    </row>
    <row r="1367" spans="1:45" x14ac:dyDescent="0.25">
      <c r="A1367">
        <v>43</v>
      </c>
      <c r="B1367">
        <v>-3</v>
      </c>
      <c r="C1367">
        <v>0</v>
      </c>
      <c r="D1367">
        <v>2023</v>
      </c>
      <c r="E1367">
        <v>4</v>
      </c>
      <c r="F1367" t="str">
        <f>IFERROR(VLOOKUP(G1367, Map!$A$1:$B$33, 2, FALSE),"WAS")</f>
        <v>NYJ</v>
      </c>
      <c r="G1367" t="s">
        <v>166</v>
      </c>
      <c r="H1367" t="str">
        <f>IFERROR(VLOOKUP(I1367, Map!$A$1:$B$33, 2, FALSE),"WAS")</f>
        <v>KC</v>
      </c>
      <c r="I1367" t="s">
        <v>158</v>
      </c>
      <c r="J1367" t="s">
        <v>172</v>
      </c>
      <c r="K1367" t="s">
        <v>202</v>
      </c>
      <c r="L1367">
        <v>0</v>
      </c>
      <c r="M1367">
        <v>0</v>
      </c>
      <c r="N1367">
        <v>39.357142857142897</v>
      </c>
      <c r="O1367">
        <v>7</v>
      </c>
      <c r="P1367">
        <v>2.5</v>
      </c>
      <c r="Q1367">
        <v>41</v>
      </c>
      <c r="R1367">
        <v>20</v>
      </c>
      <c r="S1367">
        <v>25</v>
      </c>
      <c r="T1367">
        <v>16.3</v>
      </c>
      <c r="U1367">
        <v>20.3</v>
      </c>
      <c r="V1367">
        <v>0</v>
      </c>
      <c r="W1367">
        <v>0</v>
      </c>
      <c r="X1367">
        <v>0</v>
      </c>
      <c r="Y1367">
        <v>0</v>
      </c>
      <c r="Z1367">
        <v>13.7</v>
      </c>
      <c r="AA1367">
        <v>28.8</v>
      </c>
      <c r="AB1367">
        <v>1</v>
      </c>
      <c r="AC1367">
        <v>76</v>
      </c>
      <c r="AD1367">
        <v>21.8</v>
      </c>
      <c r="AE1367">
        <v>10.8</v>
      </c>
      <c r="AF1367">
        <v>25.574999999999999</v>
      </c>
      <c r="AG1367">
        <v>54.042999999999999</v>
      </c>
      <c r="AH1367">
        <v>74.218999999999994</v>
      </c>
      <c r="AI1367">
        <v>41.481000000000002</v>
      </c>
      <c r="AJ1367">
        <v>52.875999999999998</v>
      </c>
      <c r="AK1367">
        <v>37.664999999999999</v>
      </c>
      <c r="AL1367">
        <v>-9.0239999999999991</v>
      </c>
      <c r="AM1367">
        <v>74.218999999999994</v>
      </c>
      <c r="AN1367">
        <v>54.042999999999999</v>
      </c>
      <c r="AO1367">
        <v>25.574999999999999</v>
      </c>
      <c r="AP1367">
        <v>9.0239999999999991</v>
      </c>
      <c r="AQ1367">
        <v>47.124000000000002</v>
      </c>
      <c r="AR1367">
        <v>58.518999999999998</v>
      </c>
      <c r="AS1367">
        <v>62.335000000000001</v>
      </c>
    </row>
    <row r="1368" spans="1:45" x14ac:dyDescent="0.25">
      <c r="A1368">
        <v>65</v>
      </c>
      <c r="B1368">
        <v>3</v>
      </c>
      <c r="C1368">
        <v>1</v>
      </c>
      <c r="D1368">
        <v>2023</v>
      </c>
      <c r="E1368">
        <v>4</v>
      </c>
      <c r="F1368" t="str">
        <f>IFERROR(VLOOKUP(G1368, Map!$A$1:$B$33, 2, FALSE),"WAS")</f>
        <v>PHI</v>
      </c>
      <c r="G1368" t="s">
        <v>147</v>
      </c>
      <c r="H1368" t="str">
        <f>IFERROR(VLOOKUP(I1368, Map!$A$1:$B$33, 2, FALSE),"WAS")</f>
        <v>WAS</v>
      </c>
      <c r="I1368" t="s">
        <v>148</v>
      </c>
      <c r="J1368" t="s">
        <v>206</v>
      </c>
      <c r="K1368" t="s">
        <v>205</v>
      </c>
      <c r="L1368">
        <v>1</v>
      </c>
      <c r="M1368">
        <v>0</v>
      </c>
      <c r="N1368">
        <v>45.535714285714299</v>
      </c>
      <c r="O1368">
        <v>-8.0357142857142794</v>
      </c>
      <c r="P1368">
        <v>-2.5</v>
      </c>
      <c r="Q1368">
        <v>40.5</v>
      </c>
      <c r="R1368">
        <v>19.600000000000001</v>
      </c>
      <c r="S1368">
        <v>26.5</v>
      </c>
      <c r="T1368">
        <v>14.9</v>
      </c>
      <c r="U1368">
        <v>19.600000000000001</v>
      </c>
      <c r="V1368">
        <v>0</v>
      </c>
      <c r="W1368">
        <v>0</v>
      </c>
      <c r="X1368">
        <v>0</v>
      </c>
      <c r="Y1368">
        <v>0</v>
      </c>
      <c r="Z1368">
        <v>14.4</v>
      </c>
      <c r="AA1368">
        <v>29.2</v>
      </c>
      <c r="AB1368">
        <v>352</v>
      </c>
      <c r="AC1368">
        <v>74</v>
      </c>
      <c r="AD1368">
        <v>21</v>
      </c>
      <c r="AE1368">
        <v>11.1</v>
      </c>
      <c r="AF1368">
        <v>76.504000000000005</v>
      </c>
      <c r="AG1368">
        <v>41.448</v>
      </c>
      <c r="AH1368">
        <v>23.309000000000001</v>
      </c>
      <c r="AI1368">
        <v>22.213999999999999</v>
      </c>
      <c r="AJ1368">
        <v>78.822999999999993</v>
      </c>
      <c r="AK1368">
        <v>57.545999999999999</v>
      </c>
      <c r="AL1368">
        <v>10.023</v>
      </c>
      <c r="AM1368">
        <v>23.309000000000001</v>
      </c>
      <c r="AN1368">
        <v>41.448</v>
      </c>
      <c r="AO1368">
        <v>76.504000000000005</v>
      </c>
      <c r="AP1368">
        <v>-10.023</v>
      </c>
      <c r="AQ1368">
        <v>21.177</v>
      </c>
      <c r="AR1368">
        <v>77.786000000000001</v>
      </c>
      <c r="AS1368">
        <v>42.454000000000001</v>
      </c>
    </row>
    <row r="1369" spans="1:45" x14ac:dyDescent="0.25">
      <c r="A1369">
        <v>36</v>
      </c>
      <c r="B1369">
        <v>24</v>
      </c>
      <c r="C1369">
        <v>1</v>
      </c>
      <c r="D1369">
        <v>2023</v>
      </c>
      <c r="E1369">
        <v>4</v>
      </c>
      <c r="F1369" t="str">
        <f>IFERROR(VLOOKUP(G1369, Map!$A$1:$B$33, 2, FALSE),"WAS")</f>
        <v>HOU</v>
      </c>
      <c r="G1369" t="s">
        <v>137</v>
      </c>
      <c r="H1369" t="str">
        <f>IFERROR(VLOOKUP(I1369, Map!$A$1:$B$33, 2, FALSE),"WAS")</f>
        <v>PIT</v>
      </c>
      <c r="I1369" t="s">
        <v>145</v>
      </c>
      <c r="J1369" t="s">
        <v>209</v>
      </c>
      <c r="K1369" t="s">
        <v>170</v>
      </c>
      <c r="L1369">
        <v>1</v>
      </c>
      <c r="M1369">
        <v>0</v>
      </c>
      <c r="N1369">
        <v>37.285714285714299</v>
      </c>
      <c r="O1369">
        <v>-0.64285714285714302</v>
      </c>
      <c r="P1369">
        <v>2.5</v>
      </c>
      <c r="Q1369">
        <v>30.5</v>
      </c>
      <c r="R1369">
        <v>28.5</v>
      </c>
      <c r="S1369">
        <v>34.4</v>
      </c>
      <c r="T1369">
        <v>23.8</v>
      </c>
      <c r="U1369">
        <v>30.5</v>
      </c>
      <c r="V1369">
        <v>0</v>
      </c>
      <c r="W1369">
        <v>0</v>
      </c>
      <c r="X1369">
        <v>0</v>
      </c>
      <c r="Y1369">
        <v>0</v>
      </c>
      <c r="Z1369">
        <v>23.8</v>
      </c>
      <c r="AA1369">
        <v>42.8</v>
      </c>
      <c r="AB1369">
        <v>90</v>
      </c>
      <c r="AC1369">
        <v>65</v>
      </c>
      <c r="AD1369">
        <v>25.5</v>
      </c>
      <c r="AE1369">
        <v>14.5</v>
      </c>
      <c r="AF1369">
        <v>41.000999999999998</v>
      </c>
      <c r="AG1369">
        <v>45.776000000000003</v>
      </c>
      <c r="AH1369">
        <v>58.67</v>
      </c>
      <c r="AI1369">
        <v>91.674999999999997</v>
      </c>
      <c r="AJ1369">
        <v>66.602000000000004</v>
      </c>
      <c r="AK1369">
        <v>90.313999999999993</v>
      </c>
      <c r="AL1369">
        <v>-3.0840000000000001</v>
      </c>
      <c r="AM1369">
        <v>58.67</v>
      </c>
      <c r="AN1369">
        <v>45.776000000000003</v>
      </c>
      <c r="AO1369">
        <v>41.000999999999998</v>
      </c>
      <c r="AP1369">
        <v>3.0840000000000001</v>
      </c>
      <c r="AQ1369">
        <v>33.398000000000003</v>
      </c>
      <c r="AR1369">
        <v>8.3249999999999993</v>
      </c>
      <c r="AS1369">
        <v>9.6859999999999999</v>
      </c>
    </row>
    <row r="1370" spans="1:45" x14ac:dyDescent="0.25">
      <c r="A1370">
        <v>41</v>
      </c>
      <c r="B1370">
        <v>7</v>
      </c>
      <c r="C1370">
        <v>1</v>
      </c>
      <c r="D1370">
        <v>2023</v>
      </c>
      <c r="E1370">
        <v>4</v>
      </c>
      <c r="F1370" t="str">
        <f>IFERROR(VLOOKUP(G1370, Map!$A$1:$B$33, 2, FALSE),"WAS")</f>
        <v>LAC</v>
      </c>
      <c r="G1370" t="s">
        <v>160</v>
      </c>
      <c r="H1370" t="str">
        <f>IFERROR(VLOOKUP(I1370, Map!$A$1:$B$33, 2, FALSE),"WAS")</f>
        <v>LV</v>
      </c>
      <c r="I1370" t="s">
        <v>157</v>
      </c>
      <c r="J1370" t="s">
        <v>210</v>
      </c>
      <c r="K1370" t="s">
        <v>179</v>
      </c>
      <c r="L1370">
        <v>1</v>
      </c>
      <c r="M1370">
        <v>0</v>
      </c>
      <c r="N1370">
        <v>47.678571428571402</v>
      </c>
      <c r="O1370">
        <v>-6.71428571428571</v>
      </c>
      <c r="P1370">
        <v>-5.5</v>
      </c>
      <c r="Q1370">
        <v>41.5</v>
      </c>
      <c r="R1370">
        <v>16.8</v>
      </c>
      <c r="S1370">
        <v>20.100000000000001</v>
      </c>
      <c r="T1370">
        <v>13.8</v>
      </c>
      <c r="U1370">
        <v>16.2</v>
      </c>
      <c r="V1370">
        <v>0.9</v>
      </c>
      <c r="W1370">
        <v>0</v>
      </c>
      <c r="X1370">
        <v>7</v>
      </c>
      <c r="Y1370">
        <v>0.9</v>
      </c>
      <c r="Z1370">
        <v>20.2</v>
      </c>
      <c r="AA1370">
        <v>44.3</v>
      </c>
      <c r="AB1370">
        <v>216</v>
      </c>
      <c r="AC1370">
        <v>77</v>
      </c>
      <c r="AD1370">
        <v>18.3</v>
      </c>
      <c r="AE1370">
        <v>9.9</v>
      </c>
      <c r="AF1370">
        <v>82.058000000000007</v>
      </c>
      <c r="AG1370">
        <v>47.59</v>
      </c>
      <c r="AH1370">
        <v>17.798999999999999</v>
      </c>
      <c r="AI1370">
        <v>88.724000000000004</v>
      </c>
      <c r="AJ1370">
        <v>61.956000000000003</v>
      </c>
      <c r="AK1370">
        <v>81.078000000000003</v>
      </c>
      <c r="AL1370">
        <v>12.712</v>
      </c>
      <c r="AM1370">
        <v>17.798999999999999</v>
      </c>
      <c r="AN1370">
        <v>47.59</v>
      </c>
      <c r="AO1370">
        <v>82.058000000000007</v>
      </c>
      <c r="AP1370">
        <v>-12.712</v>
      </c>
      <c r="AQ1370">
        <v>38.043999999999997</v>
      </c>
      <c r="AR1370">
        <v>11.276</v>
      </c>
      <c r="AS1370">
        <v>18.922000000000001</v>
      </c>
    </row>
    <row r="1371" spans="1:45" x14ac:dyDescent="0.25">
      <c r="A1371">
        <v>27</v>
      </c>
      <c r="B1371">
        <v>-21</v>
      </c>
      <c r="C1371">
        <v>0</v>
      </c>
      <c r="D1371">
        <v>2023</v>
      </c>
      <c r="E1371">
        <v>4</v>
      </c>
      <c r="F1371" t="str">
        <f>IFERROR(VLOOKUP(G1371, Map!$A$1:$B$33, 2, FALSE),"WAS")</f>
        <v>NYG</v>
      </c>
      <c r="G1371" t="s">
        <v>149</v>
      </c>
      <c r="H1371" t="str">
        <f>IFERROR(VLOOKUP(I1371, Map!$A$1:$B$33, 2, FALSE),"WAS")</f>
        <v>SEA</v>
      </c>
      <c r="I1371" t="s">
        <v>144</v>
      </c>
      <c r="J1371" t="s">
        <v>219</v>
      </c>
      <c r="K1371" t="s">
        <v>182</v>
      </c>
      <c r="L1371">
        <v>0</v>
      </c>
      <c r="M1371">
        <v>0</v>
      </c>
      <c r="N1371">
        <v>40.6</v>
      </c>
      <c r="O1371">
        <v>3.6666666666666701</v>
      </c>
      <c r="P1371">
        <v>1.5</v>
      </c>
      <c r="Q1371">
        <v>28.5</v>
      </c>
      <c r="R1371">
        <v>19</v>
      </c>
      <c r="S1371">
        <v>26.8</v>
      </c>
      <c r="T1371">
        <v>12.7</v>
      </c>
      <c r="U1371">
        <v>20.2</v>
      </c>
      <c r="V1371">
        <v>0</v>
      </c>
      <c r="W1371">
        <v>0</v>
      </c>
      <c r="X1371">
        <v>0</v>
      </c>
      <c r="Y1371">
        <v>0</v>
      </c>
      <c r="Z1371">
        <v>7.3</v>
      </c>
      <c r="AA1371">
        <v>14.8</v>
      </c>
      <c r="AB1371">
        <v>266</v>
      </c>
      <c r="AC1371">
        <v>81</v>
      </c>
      <c r="AD1371">
        <v>9.5</v>
      </c>
      <c r="AE1371">
        <v>4.4000000000000004</v>
      </c>
      <c r="AF1371">
        <v>43.363</v>
      </c>
      <c r="AG1371">
        <v>41.375999999999998</v>
      </c>
      <c r="AH1371">
        <v>56.287999999999997</v>
      </c>
      <c r="AI1371">
        <v>65.816999999999993</v>
      </c>
      <c r="AJ1371">
        <v>1.595</v>
      </c>
      <c r="AK1371">
        <v>8.6039999999999992</v>
      </c>
      <c r="AL1371">
        <v>-2.2469999999999999</v>
      </c>
      <c r="AM1371">
        <v>56.287999999999997</v>
      </c>
      <c r="AN1371">
        <v>41.375999999999998</v>
      </c>
      <c r="AO1371">
        <v>43.363</v>
      </c>
      <c r="AP1371">
        <v>2.2469999999999999</v>
      </c>
      <c r="AQ1371">
        <v>98.405000000000001</v>
      </c>
      <c r="AR1371">
        <v>34.183</v>
      </c>
      <c r="AS1371">
        <v>91.396000000000001</v>
      </c>
    </row>
    <row r="1372" spans="1:45" x14ac:dyDescent="0.25">
      <c r="A1372">
        <v>35</v>
      </c>
      <c r="B1372">
        <v>-17</v>
      </c>
      <c r="C1372">
        <v>0</v>
      </c>
      <c r="D1372">
        <v>2023</v>
      </c>
      <c r="E1372">
        <v>4</v>
      </c>
      <c r="F1372" t="str">
        <f>IFERROR(VLOOKUP(G1372, Map!$A$1:$B$33, 2, FALSE),"WAS")</f>
        <v>NO</v>
      </c>
      <c r="G1372" t="s">
        <v>168</v>
      </c>
      <c r="H1372" t="str">
        <f>IFERROR(VLOOKUP(I1372, Map!$A$1:$B$33, 2, FALSE),"WAS")</f>
        <v>TB</v>
      </c>
      <c r="I1372" t="s">
        <v>141</v>
      </c>
      <c r="J1372" t="s">
        <v>192</v>
      </c>
      <c r="K1372" t="s">
        <v>186</v>
      </c>
      <c r="L1372">
        <v>0</v>
      </c>
      <c r="M1372">
        <v>0</v>
      </c>
      <c r="N1372">
        <v>37.233333333333299</v>
      </c>
      <c r="O1372">
        <v>-1.6</v>
      </c>
      <c r="P1372">
        <v>-3.5</v>
      </c>
      <c r="Q1372">
        <v>33.5</v>
      </c>
      <c r="R1372">
        <v>27</v>
      </c>
      <c r="S1372">
        <v>30.6</v>
      </c>
      <c r="T1372">
        <v>24.6</v>
      </c>
      <c r="U1372">
        <v>28.8</v>
      </c>
      <c r="V1372">
        <v>0</v>
      </c>
      <c r="W1372">
        <v>0</v>
      </c>
      <c r="X1372">
        <v>0</v>
      </c>
      <c r="Y1372">
        <v>0</v>
      </c>
      <c r="Z1372">
        <v>26.6</v>
      </c>
      <c r="AA1372">
        <v>49.3</v>
      </c>
      <c r="AB1372">
        <v>78</v>
      </c>
      <c r="AC1372">
        <v>68</v>
      </c>
      <c r="AD1372">
        <v>29.4</v>
      </c>
      <c r="AE1372">
        <v>16.2</v>
      </c>
      <c r="AF1372">
        <v>54.658000000000001</v>
      </c>
      <c r="AG1372">
        <v>56.8</v>
      </c>
      <c r="AH1372">
        <v>44.98</v>
      </c>
      <c r="AI1372">
        <v>33.545999999999999</v>
      </c>
      <c r="AJ1372">
        <v>20.677</v>
      </c>
      <c r="AK1372">
        <v>21.981999999999999</v>
      </c>
      <c r="AL1372">
        <v>1.68</v>
      </c>
      <c r="AM1372">
        <v>44.98</v>
      </c>
      <c r="AN1372">
        <v>56.8</v>
      </c>
      <c r="AO1372">
        <v>54.658000000000001</v>
      </c>
      <c r="AP1372">
        <v>-1.68</v>
      </c>
      <c r="AQ1372">
        <v>79.322999999999993</v>
      </c>
      <c r="AR1372">
        <v>66.453999999999994</v>
      </c>
      <c r="AS1372">
        <v>78.018000000000001</v>
      </c>
    </row>
    <row r="1373" spans="1:45" x14ac:dyDescent="0.25">
      <c r="A1373">
        <v>30</v>
      </c>
      <c r="B1373">
        <v>24</v>
      </c>
      <c r="C1373">
        <v>1</v>
      </c>
      <c r="D1373">
        <v>2023</v>
      </c>
      <c r="E1373">
        <v>4</v>
      </c>
      <c r="F1373" t="str">
        <f>IFERROR(VLOOKUP(G1373, Map!$A$1:$B$33, 2, FALSE),"WAS")</f>
        <v>TEN</v>
      </c>
      <c r="G1373" t="s">
        <v>140</v>
      </c>
      <c r="H1373" t="str">
        <f>IFERROR(VLOOKUP(I1373, Map!$A$1:$B$33, 2, FALSE),"WAS")</f>
        <v>CIN</v>
      </c>
      <c r="I1373" t="s">
        <v>161</v>
      </c>
      <c r="J1373" t="s">
        <v>174</v>
      </c>
      <c r="K1373" t="s">
        <v>176</v>
      </c>
      <c r="L1373">
        <v>1</v>
      </c>
      <c r="M1373">
        <v>0</v>
      </c>
      <c r="N1373">
        <v>38.4</v>
      </c>
      <c r="O1373">
        <v>-0.53333333333333299</v>
      </c>
      <c r="P1373">
        <v>1.5</v>
      </c>
      <c r="Q1373">
        <v>31.5</v>
      </c>
      <c r="R1373">
        <v>22.7</v>
      </c>
      <c r="S1373">
        <v>29.4</v>
      </c>
      <c r="T1373">
        <v>16.600000000000001</v>
      </c>
      <c r="U1373">
        <v>24.2</v>
      </c>
      <c r="V1373">
        <v>0</v>
      </c>
      <c r="W1373">
        <v>0</v>
      </c>
      <c r="X1373">
        <v>0</v>
      </c>
      <c r="Y1373">
        <v>0</v>
      </c>
      <c r="Z1373">
        <v>8</v>
      </c>
      <c r="AA1373">
        <v>17.3</v>
      </c>
      <c r="AB1373">
        <v>58</v>
      </c>
      <c r="AC1373">
        <v>70</v>
      </c>
      <c r="AD1373">
        <v>12.8</v>
      </c>
      <c r="AE1373">
        <v>6</v>
      </c>
      <c r="AF1373">
        <v>38.868000000000002</v>
      </c>
      <c r="AG1373">
        <v>62.584000000000003</v>
      </c>
      <c r="AH1373">
        <v>60.82</v>
      </c>
      <c r="AI1373">
        <v>81.703999999999994</v>
      </c>
      <c r="AJ1373">
        <v>86.430999999999997</v>
      </c>
      <c r="AK1373">
        <v>95.513999999999996</v>
      </c>
      <c r="AL1373">
        <v>-3.8490000000000002</v>
      </c>
      <c r="AM1373">
        <v>60.82</v>
      </c>
      <c r="AN1373">
        <v>62.584000000000003</v>
      </c>
      <c r="AO1373">
        <v>38.868000000000002</v>
      </c>
      <c r="AP1373">
        <v>3.8490000000000002</v>
      </c>
      <c r="AQ1373">
        <v>13.569000000000001</v>
      </c>
      <c r="AR1373">
        <v>18.295999999999999</v>
      </c>
      <c r="AS1373">
        <v>4.4859999999999998</v>
      </c>
    </row>
    <row r="1374" spans="1:45" x14ac:dyDescent="0.25">
      <c r="A1374">
        <v>68</v>
      </c>
      <c r="B1374">
        <v>28</v>
      </c>
      <c r="C1374">
        <v>1</v>
      </c>
      <c r="D1374">
        <v>2023</v>
      </c>
      <c r="E1374">
        <v>4</v>
      </c>
      <c r="F1374" t="str">
        <f>IFERROR(VLOOKUP(G1374, Map!$A$1:$B$33, 2, FALSE),"WAS")</f>
        <v>BUF</v>
      </c>
      <c r="G1374" t="s">
        <v>165</v>
      </c>
      <c r="H1374" t="str">
        <f>IFERROR(VLOOKUP(I1374, Map!$A$1:$B$33, 2, FALSE),"WAS")</f>
        <v>MIA</v>
      </c>
      <c r="I1374" t="s">
        <v>152</v>
      </c>
      <c r="J1374" t="s">
        <v>180</v>
      </c>
      <c r="K1374" t="s">
        <v>175</v>
      </c>
      <c r="L1374">
        <v>1</v>
      </c>
      <c r="M1374">
        <v>0</v>
      </c>
      <c r="N1374">
        <v>51.4</v>
      </c>
      <c r="O1374">
        <v>-6.2666666666666702</v>
      </c>
      <c r="P1374">
        <v>-2.5</v>
      </c>
      <c r="Q1374">
        <v>51.5</v>
      </c>
      <c r="R1374">
        <v>20.3</v>
      </c>
      <c r="S1374">
        <v>26.3</v>
      </c>
      <c r="T1374">
        <v>14.6</v>
      </c>
      <c r="U1374">
        <v>20.399999999999999</v>
      </c>
      <c r="V1374">
        <v>0</v>
      </c>
      <c r="W1374">
        <v>0</v>
      </c>
      <c r="X1374">
        <v>0</v>
      </c>
      <c r="Y1374">
        <v>0</v>
      </c>
      <c r="Z1374">
        <v>13.4</v>
      </c>
      <c r="AA1374">
        <v>30.2</v>
      </c>
      <c r="AB1374">
        <v>44</v>
      </c>
      <c r="AC1374">
        <v>72</v>
      </c>
      <c r="AD1374">
        <v>18.8</v>
      </c>
      <c r="AE1374">
        <v>9</v>
      </c>
      <c r="AF1374">
        <v>48.585000000000001</v>
      </c>
      <c r="AG1374">
        <v>85.344999999999999</v>
      </c>
      <c r="AH1374">
        <v>51.024000000000001</v>
      </c>
      <c r="AI1374">
        <v>52.500999999999998</v>
      </c>
      <c r="AJ1374">
        <v>98.757000000000005</v>
      </c>
      <c r="AK1374">
        <v>94.108000000000004</v>
      </c>
      <c r="AL1374">
        <v>-0.42199999999999999</v>
      </c>
      <c r="AM1374">
        <v>51.024000000000001</v>
      </c>
      <c r="AN1374">
        <v>85.344999999999999</v>
      </c>
      <c r="AO1374">
        <v>48.585000000000001</v>
      </c>
      <c r="AP1374">
        <v>0.42199999999999999</v>
      </c>
      <c r="AQ1374">
        <v>1.2430000000000001</v>
      </c>
      <c r="AR1374">
        <v>47.499000000000002</v>
      </c>
      <c r="AS1374">
        <v>5.8920000000000003</v>
      </c>
    </row>
    <row r="1375" spans="1:45" x14ac:dyDescent="0.25">
      <c r="A1375">
        <v>41</v>
      </c>
      <c r="B1375">
        <v>35</v>
      </c>
      <c r="C1375">
        <v>1</v>
      </c>
      <c r="D1375">
        <v>2023</v>
      </c>
      <c r="E1375">
        <v>4</v>
      </c>
      <c r="F1375" t="str">
        <f>IFERROR(VLOOKUP(G1375, Map!$A$1:$B$33, 2, FALSE),"WAS")</f>
        <v>DAL</v>
      </c>
      <c r="G1375" t="s">
        <v>150</v>
      </c>
      <c r="H1375" t="str">
        <f>IFERROR(VLOOKUP(I1375, Map!$A$1:$B$33, 2, FALSE),"WAS")</f>
        <v>NE</v>
      </c>
      <c r="I1375" t="s">
        <v>151</v>
      </c>
      <c r="J1375" t="s">
        <v>184</v>
      </c>
      <c r="K1375" t="s">
        <v>187</v>
      </c>
      <c r="L1375">
        <v>1</v>
      </c>
      <c r="M1375">
        <v>0</v>
      </c>
      <c r="N1375">
        <v>40.4</v>
      </c>
      <c r="O1375">
        <v>-9.4666666666666703</v>
      </c>
      <c r="P1375">
        <v>-5.5</v>
      </c>
      <c r="Q1375">
        <v>42.5</v>
      </c>
      <c r="R1375">
        <v>27.8</v>
      </c>
      <c r="S1375">
        <v>32.9</v>
      </c>
      <c r="T1375">
        <v>22</v>
      </c>
      <c r="U1375">
        <v>27.9</v>
      </c>
      <c r="V1375">
        <v>0</v>
      </c>
      <c r="W1375">
        <v>0</v>
      </c>
      <c r="X1375">
        <v>0</v>
      </c>
      <c r="Y1375">
        <v>0</v>
      </c>
      <c r="Z1375">
        <v>16.8</v>
      </c>
      <c r="AA1375">
        <v>37.1</v>
      </c>
      <c r="AB1375">
        <v>122</v>
      </c>
      <c r="AC1375">
        <v>45</v>
      </c>
      <c r="AD1375">
        <v>19.399999999999999</v>
      </c>
      <c r="AE1375">
        <v>9.5</v>
      </c>
      <c r="AF1375">
        <v>68.587999999999994</v>
      </c>
      <c r="AG1375">
        <v>53.588000000000001</v>
      </c>
      <c r="AH1375">
        <v>31.161000000000001</v>
      </c>
      <c r="AI1375">
        <v>99.436999999999998</v>
      </c>
      <c r="AJ1375">
        <v>70.897000000000006</v>
      </c>
      <c r="AK1375">
        <v>98.567999999999998</v>
      </c>
      <c r="AL1375">
        <v>6.7370000000000001</v>
      </c>
      <c r="AM1375">
        <v>31.161000000000001</v>
      </c>
      <c r="AN1375">
        <v>53.588000000000001</v>
      </c>
      <c r="AO1375">
        <v>68.587999999999994</v>
      </c>
      <c r="AP1375">
        <v>-6.7370000000000001</v>
      </c>
      <c r="AQ1375">
        <v>29.103000000000002</v>
      </c>
      <c r="AR1375">
        <v>0.56299999999999994</v>
      </c>
      <c r="AS1375">
        <v>1.4319999999999999</v>
      </c>
    </row>
    <row r="1376" spans="1:45" x14ac:dyDescent="0.25">
      <c r="A1376">
        <v>30</v>
      </c>
      <c r="B1376">
        <v>16</v>
      </c>
      <c r="C1376">
        <v>1</v>
      </c>
      <c r="D1376">
        <v>2023</v>
      </c>
      <c r="E1376">
        <v>4</v>
      </c>
      <c r="F1376" t="str">
        <f>IFERROR(VLOOKUP(G1376, Map!$A$1:$B$33, 2, FALSE),"WAS")</f>
        <v>JAX</v>
      </c>
      <c r="G1376" t="s">
        <v>139</v>
      </c>
      <c r="H1376" t="str">
        <f>IFERROR(VLOOKUP(I1376, Map!$A$1:$B$33, 2, FALSE),"WAS")</f>
        <v>ATL</v>
      </c>
      <c r="I1376" t="s">
        <v>167</v>
      </c>
      <c r="J1376" t="s">
        <v>220</v>
      </c>
      <c r="K1376" t="s">
        <v>188</v>
      </c>
      <c r="L1376">
        <v>1</v>
      </c>
      <c r="M1376">
        <v>0</v>
      </c>
      <c r="N1376">
        <v>38</v>
      </c>
      <c r="O1376">
        <v>-4.6333333333333302</v>
      </c>
      <c r="P1376">
        <v>-3</v>
      </c>
      <c r="Q1376">
        <v>29.5</v>
      </c>
      <c r="R1376">
        <v>18.2</v>
      </c>
      <c r="S1376">
        <v>22.6</v>
      </c>
      <c r="T1376">
        <v>15.5</v>
      </c>
      <c r="U1376">
        <v>17.899999999999999</v>
      </c>
      <c r="V1376">
        <v>0</v>
      </c>
      <c r="W1376">
        <v>0</v>
      </c>
      <c r="X1376">
        <v>0</v>
      </c>
      <c r="Y1376">
        <v>0</v>
      </c>
      <c r="Z1376">
        <v>22.4</v>
      </c>
      <c r="AA1376">
        <v>40.299999999999997</v>
      </c>
      <c r="AB1376">
        <v>220</v>
      </c>
      <c r="AC1376">
        <v>86</v>
      </c>
      <c r="AD1376">
        <v>26.6</v>
      </c>
      <c r="AE1376">
        <v>15.2</v>
      </c>
      <c r="AF1376">
        <v>52.207000000000001</v>
      </c>
      <c r="AG1376">
        <v>44.183999999999997</v>
      </c>
      <c r="AH1376">
        <v>47.411999999999999</v>
      </c>
      <c r="AI1376">
        <v>93.677999999999997</v>
      </c>
      <c r="AJ1376">
        <v>54.383000000000003</v>
      </c>
      <c r="AK1376">
        <v>89.043000000000006</v>
      </c>
      <c r="AL1376">
        <v>0.83099999999999996</v>
      </c>
      <c r="AM1376">
        <v>47.411999999999999</v>
      </c>
      <c r="AN1376">
        <v>44.183999999999997</v>
      </c>
      <c r="AO1376">
        <v>52.207000000000001</v>
      </c>
      <c r="AP1376">
        <v>-0.83099999999999996</v>
      </c>
      <c r="AQ1376">
        <v>45.616999999999997</v>
      </c>
      <c r="AR1376">
        <v>6.3220000000000001</v>
      </c>
      <c r="AS1376">
        <v>10.957000000000001</v>
      </c>
    </row>
    <row r="1377" spans="1:45" x14ac:dyDescent="0.25">
      <c r="A1377">
        <v>51</v>
      </c>
      <c r="B1377">
        <v>19</v>
      </c>
      <c r="C1377">
        <v>1</v>
      </c>
      <c r="D1377">
        <v>2023</v>
      </c>
      <c r="E1377">
        <v>4</v>
      </c>
      <c r="F1377" t="str">
        <f>IFERROR(VLOOKUP(G1377, Map!$A$1:$B$33, 2, FALSE),"WAS")</f>
        <v>SF</v>
      </c>
      <c r="G1377" t="s">
        <v>143</v>
      </c>
      <c r="H1377" t="str">
        <f>IFERROR(VLOOKUP(I1377, Map!$A$1:$B$33, 2, FALSE),"WAS")</f>
        <v>ARI</v>
      </c>
      <c r="I1377" t="s">
        <v>156</v>
      </c>
      <c r="J1377" t="s">
        <v>197</v>
      </c>
      <c r="K1377" t="s">
        <v>190</v>
      </c>
      <c r="L1377">
        <v>1</v>
      </c>
      <c r="M1377">
        <v>0</v>
      </c>
      <c r="N1377">
        <v>42.033333333333303</v>
      </c>
      <c r="O1377">
        <v>-14.3</v>
      </c>
      <c r="P1377">
        <v>-13.5</v>
      </c>
      <c r="Q1377">
        <v>43.5</v>
      </c>
      <c r="R1377">
        <v>16.5</v>
      </c>
      <c r="S1377">
        <v>23.3</v>
      </c>
      <c r="T1377">
        <v>11.8</v>
      </c>
      <c r="U1377">
        <v>15.6</v>
      </c>
      <c r="V1377">
        <v>0.4</v>
      </c>
      <c r="W1377">
        <v>0</v>
      </c>
      <c r="X1377">
        <v>2</v>
      </c>
      <c r="Y1377">
        <v>0.4</v>
      </c>
      <c r="Z1377">
        <v>16.100000000000001</v>
      </c>
      <c r="AA1377">
        <v>29.9</v>
      </c>
      <c r="AB1377">
        <v>252</v>
      </c>
      <c r="AC1377">
        <v>67</v>
      </c>
      <c r="AD1377">
        <v>15</v>
      </c>
      <c r="AE1377">
        <v>7.5</v>
      </c>
      <c r="AF1377">
        <v>87.335999999999999</v>
      </c>
      <c r="AG1377">
        <v>50.005000000000003</v>
      </c>
      <c r="AH1377">
        <v>12.564</v>
      </c>
      <c r="AI1377">
        <v>34.356000000000002</v>
      </c>
      <c r="AJ1377">
        <v>98.802999999999997</v>
      </c>
      <c r="AK1377">
        <v>85.57</v>
      </c>
      <c r="AL1377">
        <v>15.813000000000001</v>
      </c>
      <c r="AM1377">
        <v>12.564</v>
      </c>
      <c r="AN1377">
        <v>50.005000000000003</v>
      </c>
      <c r="AO1377">
        <v>87.335999999999999</v>
      </c>
      <c r="AP1377">
        <v>-15.813000000000001</v>
      </c>
      <c r="AQ1377">
        <v>1.1970000000000001</v>
      </c>
      <c r="AR1377">
        <v>65.644000000000005</v>
      </c>
      <c r="AS1377">
        <v>14.43</v>
      </c>
    </row>
    <row r="1378" spans="1:45" x14ac:dyDescent="0.25">
      <c r="A1378">
        <v>47</v>
      </c>
      <c r="B1378">
        <v>15</v>
      </c>
      <c r="C1378">
        <v>1</v>
      </c>
      <c r="D1378">
        <v>2023</v>
      </c>
      <c r="E1378">
        <v>5</v>
      </c>
      <c r="F1378" t="str">
        <f>IFERROR(VLOOKUP(G1378, Map!$A$1:$B$33, 2, FALSE),"WAS")</f>
        <v>MIA</v>
      </c>
      <c r="G1378" t="s">
        <v>152</v>
      </c>
      <c r="H1378" t="str">
        <f>IFERROR(VLOOKUP(I1378, Map!$A$1:$B$33, 2, FALSE),"WAS")</f>
        <v>NYG</v>
      </c>
      <c r="I1378" t="s">
        <v>149</v>
      </c>
      <c r="J1378" t="s">
        <v>175</v>
      </c>
      <c r="K1378" t="s">
        <v>219</v>
      </c>
      <c r="L1378">
        <v>1</v>
      </c>
      <c r="M1378">
        <v>0</v>
      </c>
      <c r="N1378">
        <v>42.1</v>
      </c>
      <c r="O1378">
        <v>-11.6</v>
      </c>
      <c r="P1378">
        <v>-5</v>
      </c>
      <c r="Q1378">
        <v>0</v>
      </c>
      <c r="R1378">
        <v>25.6</v>
      </c>
      <c r="S1378">
        <v>30.2</v>
      </c>
      <c r="T1378">
        <v>22.8</v>
      </c>
      <c r="U1378">
        <v>30.8</v>
      </c>
      <c r="V1378">
        <v>24.1</v>
      </c>
      <c r="W1378">
        <v>0</v>
      </c>
      <c r="X1378">
        <v>11</v>
      </c>
      <c r="Y1378">
        <v>24.1</v>
      </c>
      <c r="Z1378">
        <v>15.7</v>
      </c>
      <c r="AA1378">
        <v>34.9</v>
      </c>
      <c r="AB1378">
        <v>282</v>
      </c>
      <c r="AC1378">
        <v>90</v>
      </c>
      <c r="AD1378">
        <v>14.4</v>
      </c>
      <c r="AE1378">
        <v>5.4</v>
      </c>
      <c r="AF1378">
        <v>86.986999999999995</v>
      </c>
      <c r="AG1378">
        <v>52.87</v>
      </c>
      <c r="AH1378">
        <v>12.91</v>
      </c>
      <c r="AI1378">
        <v>80.813999999999993</v>
      </c>
      <c r="AJ1378">
        <v>88.674000000000007</v>
      </c>
      <c r="AK1378">
        <v>93.632999999999996</v>
      </c>
      <c r="AL1378">
        <v>15.477</v>
      </c>
      <c r="AM1378">
        <v>12.91</v>
      </c>
      <c r="AN1378">
        <v>52.87</v>
      </c>
      <c r="AO1378">
        <v>86.986999999999995</v>
      </c>
      <c r="AP1378">
        <v>-15.477</v>
      </c>
      <c r="AQ1378">
        <v>11.326000000000001</v>
      </c>
      <c r="AR1378">
        <v>19.186</v>
      </c>
      <c r="AS1378">
        <v>6.367</v>
      </c>
    </row>
    <row r="1379" spans="1:45" x14ac:dyDescent="0.25">
      <c r="A1379">
        <v>66</v>
      </c>
      <c r="B1379">
        <v>18</v>
      </c>
      <c r="C1379">
        <v>1</v>
      </c>
      <c r="D1379">
        <v>2023</v>
      </c>
      <c r="E1379">
        <v>5</v>
      </c>
      <c r="F1379" t="str">
        <f>IFERROR(VLOOKUP(G1379, Map!$A$1:$B$33, 2, FALSE),"WAS")</f>
        <v>DET</v>
      </c>
      <c r="G1379" t="s">
        <v>164</v>
      </c>
      <c r="H1379" t="str">
        <f>IFERROR(VLOOKUP(I1379, Map!$A$1:$B$33, 2, FALSE),"WAS")</f>
        <v>CAR</v>
      </c>
      <c r="I1379" t="s">
        <v>142</v>
      </c>
      <c r="J1379" t="s">
        <v>173</v>
      </c>
      <c r="K1379" t="s">
        <v>185</v>
      </c>
      <c r="L1379">
        <v>1</v>
      </c>
      <c r="M1379">
        <v>0</v>
      </c>
      <c r="N1379">
        <v>43.566666666666698</v>
      </c>
      <c r="O1379">
        <v>-10.6666666666667</v>
      </c>
      <c r="P1379">
        <v>-8.5</v>
      </c>
      <c r="Q1379">
        <v>42.5</v>
      </c>
      <c r="R1379">
        <v>9.1</v>
      </c>
      <c r="S1379">
        <v>13.7</v>
      </c>
      <c r="T1379">
        <v>5.7</v>
      </c>
      <c r="U1379">
        <v>3.7</v>
      </c>
      <c r="V1379">
        <v>0.1</v>
      </c>
      <c r="W1379">
        <v>0</v>
      </c>
      <c r="X1379">
        <v>1</v>
      </c>
      <c r="Y1379">
        <v>0.1</v>
      </c>
      <c r="Z1379">
        <v>30.3</v>
      </c>
      <c r="AA1379">
        <v>55.8</v>
      </c>
      <c r="AB1379">
        <v>294</v>
      </c>
      <c r="AC1379">
        <v>64</v>
      </c>
      <c r="AD1379">
        <v>45.3</v>
      </c>
      <c r="AE1379">
        <v>25.5</v>
      </c>
      <c r="AF1379">
        <v>77.186999999999998</v>
      </c>
      <c r="AG1379">
        <v>47.17</v>
      </c>
      <c r="AH1379">
        <v>22.631</v>
      </c>
      <c r="AI1379">
        <v>81.683000000000007</v>
      </c>
      <c r="AJ1379">
        <v>91.528000000000006</v>
      </c>
      <c r="AK1379">
        <v>93.725999999999999</v>
      </c>
      <c r="AL1379">
        <v>10.262</v>
      </c>
      <c r="AM1379">
        <v>22.631</v>
      </c>
      <c r="AN1379">
        <v>47.17</v>
      </c>
      <c r="AO1379">
        <v>77.186999999999998</v>
      </c>
      <c r="AP1379">
        <v>-10.262</v>
      </c>
      <c r="AQ1379">
        <v>8.4719999999999995</v>
      </c>
      <c r="AR1379">
        <v>18.317</v>
      </c>
      <c r="AS1379">
        <v>6.274</v>
      </c>
    </row>
    <row r="1380" spans="1:45" x14ac:dyDescent="0.25">
      <c r="A1380">
        <v>54</v>
      </c>
      <c r="B1380">
        <v>-14</v>
      </c>
      <c r="C1380">
        <v>0</v>
      </c>
      <c r="D1380">
        <v>2023</v>
      </c>
      <c r="E1380">
        <v>5</v>
      </c>
      <c r="F1380" t="str">
        <f>IFERROR(VLOOKUP(G1380, Map!$A$1:$B$33, 2, FALSE),"WAS")</f>
        <v>ARI</v>
      </c>
      <c r="G1380" t="s">
        <v>156</v>
      </c>
      <c r="H1380" t="str">
        <f>IFERROR(VLOOKUP(I1380, Map!$A$1:$B$33, 2, FALSE),"WAS")</f>
        <v>CIN</v>
      </c>
      <c r="I1380" t="s">
        <v>161</v>
      </c>
      <c r="J1380" t="s">
        <v>190</v>
      </c>
      <c r="K1380" t="s">
        <v>176</v>
      </c>
      <c r="L1380">
        <v>0</v>
      </c>
      <c r="M1380">
        <v>0</v>
      </c>
      <c r="N1380">
        <v>43.8333333333333</v>
      </c>
      <c r="O1380">
        <v>4.0999999999999996</v>
      </c>
      <c r="P1380">
        <v>3</v>
      </c>
      <c r="Q1380">
        <v>42.5</v>
      </c>
      <c r="R1380">
        <v>24.2</v>
      </c>
      <c r="S1380">
        <v>32.4</v>
      </c>
      <c r="T1380">
        <v>19.3</v>
      </c>
      <c r="U1380">
        <v>24.7</v>
      </c>
      <c r="V1380">
        <v>0</v>
      </c>
      <c r="W1380">
        <v>0</v>
      </c>
      <c r="X1380">
        <v>0</v>
      </c>
      <c r="Y1380">
        <v>0</v>
      </c>
      <c r="Z1380">
        <v>9.1999999999999993</v>
      </c>
      <c r="AA1380">
        <v>21.6</v>
      </c>
      <c r="AB1380">
        <v>181</v>
      </c>
      <c r="AC1380">
        <v>54</v>
      </c>
      <c r="AD1380">
        <v>11.6</v>
      </c>
      <c r="AE1380">
        <v>5.2</v>
      </c>
      <c r="AF1380">
        <v>34.978000000000002</v>
      </c>
      <c r="AG1380">
        <v>30.277000000000001</v>
      </c>
      <c r="AH1380">
        <v>64.741</v>
      </c>
      <c r="AI1380">
        <v>43.918999999999997</v>
      </c>
      <c r="AJ1380">
        <v>19.923999999999999</v>
      </c>
      <c r="AK1380">
        <v>25.361000000000001</v>
      </c>
      <c r="AL1380">
        <v>-5.242</v>
      </c>
      <c r="AM1380">
        <v>64.741</v>
      </c>
      <c r="AN1380">
        <v>30.277000000000001</v>
      </c>
      <c r="AO1380">
        <v>34.978000000000002</v>
      </c>
      <c r="AP1380">
        <v>5.242</v>
      </c>
      <c r="AQ1380">
        <v>80.075999999999993</v>
      </c>
      <c r="AR1380">
        <v>56.081000000000003</v>
      </c>
      <c r="AS1380">
        <v>74.638999999999996</v>
      </c>
    </row>
    <row r="1381" spans="1:45" x14ac:dyDescent="0.25">
      <c r="A1381">
        <v>45</v>
      </c>
      <c r="B1381">
        <v>-5</v>
      </c>
      <c r="C1381">
        <v>0</v>
      </c>
      <c r="D1381">
        <v>2023</v>
      </c>
      <c r="E1381">
        <v>5</v>
      </c>
      <c r="F1381" t="str">
        <f>IFERROR(VLOOKUP(G1381, Map!$A$1:$B$33, 2, FALSE),"WAS")</f>
        <v>BUF</v>
      </c>
      <c r="G1381" t="s">
        <v>165</v>
      </c>
      <c r="H1381" t="str">
        <f>IFERROR(VLOOKUP(I1381, Map!$A$1:$B$33, 2, FALSE),"WAS")</f>
        <v>JAX</v>
      </c>
      <c r="I1381" t="s">
        <v>139</v>
      </c>
      <c r="J1381" t="s">
        <v>180</v>
      </c>
      <c r="K1381" t="s">
        <v>220</v>
      </c>
      <c r="L1381">
        <v>0</v>
      </c>
      <c r="M1381">
        <v>0</v>
      </c>
      <c r="N1381">
        <v>44.1</v>
      </c>
      <c r="O1381">
        <v>-3.5333333333333301</v>
      </c>
      <c r="P1381">
        <v>1.5</v>
      </c>
      <c r="Q1381">
        <v>34.5</v>
      </c>
      <c r="R1381">
        <v>16.8</v>
      </c>
      <c r="S1381">
        <v>23.3</v>
      </c>
      <c r="T1381">
        <v>12.7</v>
      </c>
      <c r="U1381">
        <v>16.3</v>
      </c>
      <c r="V1381">
        <v>0</v>
      </c>
      <c r="W1381">
        <v>0</v>
      </c>
      <c r="X1381">
        <v>0</v>
      </c>
      <c r="Y1381">
        <v>0</v>
      </c>
      <c r="Z1381">
        <v>12.2</v>
      </c>
      <c r="AA1381">
        <v>21.6</v>
      </c>
      <c r="AB1381">
        <v>243</v>
      </c>
      <c r="AC1381">
        <v>79</v>
      </c>
      <c r="AD1381">
        <v>16.2</v>
      </c>
      <c r="AE1381">
        <v>8.6999999999999993</v>
      </c>
      <c r="AF1381">
        <v>79.106999999999999</v>
      </c>
      <c r="AG1381">
        <v>80.765000000000001</v>
      </c>
      <c r="AH1381">
        <v>20.725999999999999</v>
      </c>
      <c r="AI1381">
        <v>31.626000000000001</v>
      </c>
      <c r="AJ1381">
        <v>56.124000000000002</v>
      </c>
      <c r="AK1381">
        <v>32.048000000000002</v>
      </c>
      <c r="AL1381">
        <v>11.154</v>
      </c>
      <c r="AM1381">
        <v>20.725999999999999</v>
      </c>
      <c r="AN1381">
        <v>80.765000000000001</v>
      </c>
      <c r="AO1381">
        <v>79.106999999999999</v>
      </c>
      <c r="AP1381">
        <v>-11.154</v>
      </c>
      <c r="AQ1381">
        <v>43.875999999999998</v>
      </c>
      <c r="AR1381">
        <v>68.373999999999995</v>
      </c>
      <c r="AS1381">
        <v>67.951999999999998</v>
      </c>
    </row>
    <row r="1382" spans="1:45" x14ac:dyDescent="0.25">
      <c r="A1382">
        <v>34</v>
      </c>
      <c r="B1382">
        <v>-34</v>
      </c>
      <c r="C1382">
        <v>0</v>
      </c>
      <c r="D1382">
        <v>2023</v>
      </c>
      <c r="E1382">
        <v>5</v>
      </c>
      <c r="F1382" t="str">
        <f>IFERROR(VLOOKUP(G1382, Map!$A$1:$B$33, 2, FALSE),"WAS")</f>
        <v>NE</v>
      </c>
      <c r="G1382" t="s">
        <v>151</v>
      </c>
      <c r="H1382" t="str">
        <f>IFERROR(VLOOKUP(I1382, Map!$A$1:$B$33, 2, FALSE),"WAS")</f>
        <v>NO</v>
      </c>
      <c r="I1382" t="s">
        <v>168</v>
      </c>
      <c r="J1382" t="s">
        <v>187</v>
      </c>
      <c r="K1382" t="s">
        <v>192</v>
      </c>
      <c r="L1382">
        <v>0</v>
      </c>
      <c r="M1382">
        <v>0</v>
      </c>
      <c r="N1382">
        <v>35.566666666666698</v>
      </c>
      <c r="O1382">
        <v>2.8666666666666698</v>
      </c>
      <c r="P1382">
        <v>-1.5</v>
      </c>
      <c r="Q1382">
        <v>34.5</v>
      </c>
      <c r="R1382">
        <v>14</v>
      </c>
      <c r="S1382">
        <v>17.5</v>
      </c>
      <c r="T1382">
        <v>9.8000000000000007</v>
      </c>
      <c r="U1382">
        <v>11.7</v>
      </c>
      <c r="V1382">
        <v>1.2</v>
      </c>
      <c r="W1382">
        <v>0</v>
      </c>
      <c r="X1382">
        <v>3</v>
      </c>
      <c r="Y1382">
        <v>1.2</v>
      </c>
      <c r="Z1382">
        <v>20.9</v>
      </c>
      <c r="AA1382">
        <v>45.7</v>
      </c>
      <c r="AB1382">
        <v>259</v>
      </c>
      <c r="AC1382">
        <v>73</v>
      </c>
      <c r="AD1382">
        <v>35.299999999999997</v>
      </c>
      <c r="AE1382">
        <v>15.6</v>
      </c>
      <c r="AF1382">
        <v>53.701999999999998</v>
      </c>
      <c r="AG1382">
        <v>45.808</v>
      </c>
      <c r="AH1382">
        <v>45.929000000000002</v>
      </c>
      <c r="AI1382">
        <v>56.508000000000003</v>
      </c>
      <c r="AJ1382">
        <v>0.124</v>
      </c>
      <c r="AK1382">
        <v>1.853</v>
      </c>
      <c r="AL1382">
        <v>1.339</v>
      </c>
      <c r="AM1382">
        <v>45.929000000000002</v>
      </c>
      <c r="AN1382">
        <v>45.808</v>
      </c>
      <c r="AO1382">
        <v>53.701999999999998</v>
      </c>
      <c r="AP1382">
        <v>-1.339</v>
      </c>
      <c r="AQ1382">
        <v>99.876000000000005</v>
      </c>
      <c r="AR1382">
        <v>43.491999999999997</v>
      </c>
      <c r="AS1382">
        <v>98.147000000000006</v>
      </c>
    </row>
    <row r="1383" spans="1:45" x14ac:dyDescent="0.25">
      <c r="A1383">
        <v>30</v>
      </c>
      <c r="B1383">
        <v>4</v>
      </c>
      <c r="C1383">
        <v>1</v>
      </c>
      <c r="D1383">
        <v>2023</v>
      </c>
      <c r="E1383">
        <v>5</v>
      </c>
      <c r="F1383" t="str">
        <f>IFERROR(VLOOKUP(G1383, Map!$A$1:$B$33, 2, FALSE),"WAS")</f>
        <v>LV</v>
      </c>
      <c r="G1383" t="s">
        <v>157</v>
      </c>
      <c r="H1383" t="str">
        <f>IFERROR(VLOOKUP(I1383, Map!$A$1:$B$33, 2, FALSE),"WAS")</f>
        <v>GB</v>
      </c>
      <c r="I1383" t="s">
        <v>154</v>
      </c>
      <c r="J1383" t="s">
        <v>179</v>
      </c>
      <c r="K1383" t="s">
        <v>200</v>
      </c>
      <c r="L1383">
        <v>1</v>
      </c>
      <c r="M1383">
        <v>0</v>
      </c>
      <c r="N1383">
        <v>43.071428571428598</v>
      </c>
      <c r="O1383">
        <v>-1.28571428571429</v>
      </c>
      <c r="P1383">
        <v>-1</v>
      </c>
      <c r="Q1383">
        <v>31.5</v>
      </c>
      <c r="R1383">
        <v>26.3</v>
      </c>
      <c r="S1383">
        <v>33.700000000000003</v>
      </c>
      <c r="T1383">
        <v>19.2</v>
      </c>
      <c r="U1383">
        <v>22.3</v>
      </c>
      <c r="V1383">
        <v>0</v>
      </c>
      <c r="W1383">
        <v>0</v>
      </c>
      <c r="X1383">
        <v>0</v>
      </c>
      <c r="Y1383">
        <v>0</v>
      </c>
      <c r="Z1383">
        <v>32.6</v>
      </c>
      <c r="AA1383">
        <v>51.8</v>
      </c>
      <c r="AB1383">
        <v>216</v>
      </c>
      <c r="AC1383">
        <v>20</v>
      </c>
      <c r="AD1383">
        <v>23.2</v>
      </c>
      <c r="AE1383">
        <v>13.8</v>
      </c>
      <c r="AF1383">
        <v>43.561</v>
      </c>
      <c r="AG1383">
        <v>64.003</v>
      </c>
      <c r="AH1383">
        <v>56.088999999999999</v>
      </c>
      <c r="AI1383">
        <v>80.322000000000003</v>
      </c>
      <c r="AJ1383">
        <v>39.228000000000002</v>
      </c>
      <c r="AK1383">
        <v>59.183999999999997</v>
      </c>
      <c r="AL1383">
        <v>-2.1629999999999998</v>
      </c>
      <c r="AM1383">
        <v>56.088999999999999</v>
      </c>
      <c r="AN1383">
        <v>64.003</v>
      </c>
      <c r="AO1383">
        <v>43.561</v>
      </c>
      <c r="AP1383">
        <v>2.1629999999999998</v>
      </c>
      <c r="AQ1383">
        <v>60.771999999999998</v>
      </c>
      <c r="AR1383">
        <v>19.678000000000001</v>
      </c>
      <c r="AS1383">
        <v>40.816000000000003</v>
      </c>
    </row>
    <row r="1384" spans="1:45" x14ac:dyDescent="0.25">
      <c r="A1384">
        <v>27</v>
      </c>
      <c r="B1384">
        <v>7</v>
      </c>
      <c r="C1384">
        <v>1</v>
      </c>
      <c r="D1384">
        <v>2023</v>
      </c>
      <c r="E1384">
        <v>5</v>
      </c>
      <c r="F1384" t="str">
        <f>IFERROR(VLOOKUP(G1384, Map!$A$1:$B$33, 2, FALSE),"WAS")</f>
        <v>PIT</v>
      </c>
      <c r="G1384" t="s">
        <v>145</v>
      </c>
      <c r="H1384" t="str">
        <f>IFERROR(VLOOKUP(I1384, Map!$A$1:$B$33, 2, FALSE),"WAS")</f>
        <v>BAL</v>
      </c>
      <c r="I1384" t="s">
        <v>146</v>
      </c>
      <c r="J1384" t="s">
        <v>170</v>
      </c>
      <c r="K1384" t="s">
        <v>181</v>
      </c>
      <c r="L1384">
        <v>1</v>
      </c>
      <c r="M1384">
        <v>0</v>
      </c>
      <c r="N1384">
        <v>31.366666666666699</v>
      </c>
      <c r="O1384">
        <v>2.7333333333333298</v>
      </c>
      <c r="P1384">
        <v>1</v>
      </c>
      <c r="Q1384">
        <v>0</v>
      </c>
      <c r="R1384">
        <v>10</v>
      </c>
      <c r="S1384">
        <v>13.4</v>
      </c>
      <c r="T1384">
        <v>7.2</v>
      </c>
      <c r="U1384">
        <v>5.6</v>
      </c>
      <c r="V1384">
        <v>0.1</v>
      </c>
      <c r="W1384">
        <v>0</v>
      </c>
      <c r="X1384">
        <v>1</v>
      </c>
      <c r="Y1384">
        <v>0.1</v>
      </c>
      <c r="Z1384">
        <v>26.3</v>
      </c>
      <c r="AA1384">
        <v>54.7</v>
      </c>
      <c r="AB1384">
        <v>273</v>
      </c>
      <c r="AC1384">
        <v>62</v>
      </c>
      <c r="AD1384">
        <v>40.6</v>
      </c>
      <c r="AE1384">
        <v>19.3</v>
      </c>
      <c r="AF1384">
        <v>27.969000000000001</v>
      </c>
      <c r="AG1384">
        <v>81.701999999999998</v>
      </c>
      <c r="AH1384">
        <v>71.805999999999997</v>
      </c>
      <c r="AI1384">
        <v>87.707999999999998</v>
      </c>
      <c r="AJ1384">
        <v>42.104999999999997</v>
      </c>
      <c r="AK1384">
        <v>64.850999999999999</v>
      </c>
      <c r="AL1384">
        <v>-7.9619999999999997</v>
      </c>
      <c r="AM1384">
        <v>71.805999999999997</v>
      </c>
      <c r="AN1384">
        <v>81.701999999999998</v>
      </c>
      <c r="AO1384">
        <v>27.969000000000001</v>
      </c>
      <c r="AP1384">
        <v>7.9619999999999997</v>
      </c>
      <c r="AQ1384">
        <v>57.895000000000003</v>
      </c>
      <c r="AR1384">
        <v>12.292</v>
      </c>
      <c r="AS1384">
        <v>35.149000000000001</v>
      </c>
    </row>
    <row r="1385" spans="1:45" x14ac:dyDescent="0.25">
      <c r="A1385">
        <v>52</v>
      </c>
      <c r="B1385">
        <v>-10</v>
      </c>
      <c r="C1385">
        <v>0</v>
      </c>
      <c r="D1385">
        <v>2023</v>
      </c>
      <c r="E1385">
        <v>5</v>
      </c>
      <c r="F1385" t="str">
        <f>IFERROR(VLOOKUP(G1385, Map!$A$1:$B$33, 2, FALSE),"WAS")</f>
        <v>DEN</v>
      </c>
      <c r="G1385" t="s">
        <v>159</v>
      </c>
      <c r="H1385" t="str">
        <f>IFERROR(VLOOKUP(I1385, Map!$A$1:$B$33, 2, FALSE),"WAS")</f>
        <v>NYJ</v>
      </c>
      <c r="I1385" t="s">
        <v>166</v>
      </c>
      <c r="J1385" t="s">
        <v>183</v>
      </c>
      <c r="K1385" t="s">
        <v>172</v>
      </c>
      <c r="L1385">
        <v>0</v>
      </c>
      <c r="M1385">
        <v>0</v>
      </c>
      <c r="N1385">
        <v>40.633333333333297</v>
      </c>
      <c r="O1385">
        <v>-0.66666666666666696</v>
      </c>
      <c r="P1385">
        <v>1</v>
      </c>
      <c r="Q1385">
        <v>40.5</v>
      </c>
      <c r="R1385">
        <v>13.5</v>
      </c>
      <c r="S1385">
        <v>24.6</v>
      </c>
      <c r="T1385">
        <v>3.9</v>
      </c>
      <c r="U1385">
        <v>10.3</v>
      </c>
      <c r="V1385">
        <v>0</v>
      </c>
      <c r="W1385">
        <v>0</v>
      </c>
      <c r="X1385">
        <v>0</v>
      </c>
      <c r="Y1385">
        <v>0</v>
      </c>
      <c r="Z1385">
        <v>11.2</v>
      </c>
      <c r="AA1385">
        <v>24.8</v>
      </c>
      <c r="AB1385">
        <v>147</v>
      </c>
      <c r="AC1385">
        <v>43</v>
      </c>
      <c r="AD1385">
        <v>13.3</v>
      </c>
      <c r="AE1385">
        <v>6.4</v>
      </c>
      <c r="AF1385">
        <v>45.087000000000003</v>
      </c>
      <c r="AG1385">
        <v>32.792999999999999</v>
      </c>
      <c r="AH1385">
        <v>54.551000000000002</v>
      </c>
      <c r="AI1385">
        <v>59.000999999999998</v>
      </c>
      <c r="AJ1385">
        <v>8.9049999999999994</v>
      </c>
      <c r="AK1385">
        <v>24.114999999999998</v>
      </c>
      <c r="AL1385">
        <v>-1.631</v>
      </c>
      <c r="AM1385">
        <v>54.551000000000002</v>
      </c>
      <c r="AN1385">
        <v>32.792999999999999</v>
      </c>
      <c r="AO1385">
        <v>45.087000000000003</v>
      </c>
      <c r="AP1385">
        <v>1.631</v>
      </c>
      <c r="AQ1385">
        <v>91.094999999999999</v>
      </c>
      <c r="AR1385">
        <v>40.999000000000002</v>
      </c>
      <c r="AS1385">
        <v>75.885000000000005</v>
      </c>
    </row>
    <row r="1386" spans="1:45" x14ac:dyDescent="0.25">
      <c r="A1386">
        <v>47</v>
      </c>
      <c r="B1386">
        <v>-7</v>
      </c>
      <c r="C1386">
        <v>0</v>
      </c>
      <c r="D1386">
        <v>2023</v>
      </c>
      <c r="E1386">
        <v>5</v>
      </c>
      <c r="F1386" t="str">
        <f>IFERROR(VLOOKUP(G1386, Map!$A$1:$B$33, 2, FALSE),"WAS")</f>
        <v>MIN</v>
      </c>
      <c r="G1386" t="s">
        <v>153</v>
      </c>
      <c r="H1386" t="str">
        <f>IFERROR(VLOOKUP(I1386, Map!$A$1:$B$33, 2, FALSE),"WAS")</f>
        <v>KC</v>
      </c>
      <c r="I1386" t="s">
        <v>158</v>
      </c>
      <c r="J1386" t="s">
        <v>214</v>
      </c>
      <c r="K1386" t="s">
        <v>202</v>
      </c>
      <c r="L1386">
        <v>0</v>
      </c>
      <c r="M1386">
        <v>0</v>
      </c>
      <c r="N1386">
        <v>48.5</v>
      </c>
      <c r="O1386">
        <v>3.7666666666666702</v>
      </c>
      <c r="P1386">
        <v>3.5</v>
      </c>
      <c r="Q1386">
        <v>48.5</v>
      </c>
      <c r="R1386">
        <v>9.8000000000000007</v>
      </c>
      <c r="S1386">
        <v>15.2</v>
      </c>
      <c r="T1386">
        <v>6.6</v>
      </c>
      <c r="U1386">
        <v>7.1</v>
      </c>
      <c r="V1386">
        <v>0</v>
      </c>
      <c r="W1386">
        <v>0</v>
      </c>
      <c r="X1386">
        <v>0</v>
      </c>
      <c r="Y1386">
        <v>0</v>
      </c>
      <c r="Z1386">
        <v>14.2</v>
      </c>
      <c r="AA1386">
        <v>32</v>
      </c>
      <c r="AB1386">
        <v>64</v>
      </c>
      <c r="AC1386">
        <v>63</v>
      </c>
      <c r="AD1386">
        <v>16.600000000000001</v>
      </c>
      <c r="AE1386">
        <v>7.4</v>
      </c>
      <c r="AF1386">
        <v>31.756</v>
      </c>
      <c r="AG1386">
        <v>86.424999999999997</v>
      </c>
      <c r="AH1386">
        <v>67.989000000000004</v>
      </c>
      <c r="AI1386">
        <v>20.059999999999999</v>
      </c>
      <c r="AJ1386">
        <v>43.526000000000003</v>
      </c>
      <c r="AK1386">
        <v>31.524999999999999</v>
      </c>
      <c r="AL1386">
        <v>-6.4610000000000003</v>
      </c>
      <c r="AM1386">
        <v>67.989000000000004</v>
      </c>
      <c r="AN1386">
        <v>86.424999999999997</v>
      </c>
      <c r="AO1386">
        <v>31.756</v>
      </c>
      <c r="AP1386">
        <v>6.4610000000000003</v>
      </c>
      <c r="AQ1386">
        <v>56.473999999999997</v>
      </c>
      <c r="AR1386">
        <v>79.94</v>
      </c>
      <c r="AS1386">
        <v>68.474999999999994</v>
      </c>
    </row>
    <row r="1387" spans="1:45" x14ac:dyDescent="0.25">
      <c r="A1387">
        <v>39</v>
      </c>
      <c r="B1387">
        <v>7</v>
      </c>
      <c r="C1387">
        <v>1</v>
      </c>
      <c r="D1387">
        <v>2023</v>
      </c>
      <c r="E1387">
        <v>5</v>
      </c>
      <c r="F1387" t="str">
        <f>IFERROR(VLOOKUP(G1387, Map!$A$1:$B$33, 2, FALSE),"WAS")</f>
        <v>IND</v>
      </c>
      <c r="G1387" t="s">
        <v>138</v>
      </c>
      <c r="H1387" t="str">
        <f>IFERROR(VLOOKUP(I1387, Map!$A$1:$B$33, 2, FALSE),"WAS")</f>
        <v>TEN</v>
      </c>
      <c r="I1387" t="s">
        <v>140</v>
      </c>
      <c r="J1387" t="s">
        <v>177</v>
      </c>
      <c r="K1387" t="s">
        <v>174</v>
      </c>
      <c r="L1387">
        <v>1</v>
      </c>
      <c r="M1387">
        <v>0</v>
      </c>
      <c r="N1387">
        <v>39.866666666666703</v>
      </c>
      <c r="O1387">
        <v>0.83333333333333304</v>
      </c>
      <c r="P1387">
        <v>-1</v>
      </c>
      <c r="Q1387">
        <v>38.5</v>
      </c>
      <c r="R1387">
        <v>10</v>
      </c>
      <c r="S1387">
        <v>13.6</v>
      </c>
      <c r="T1387">
        <v>7.5</v>
      </c>
      <c r="U1387">
        <v>6.2</v>
      </c>
      <c r="V1387">
        <v>0</v>
      </c>
      <c r="W1387">
        <v>0</v>
      </c>
      <c r="X1387">
        <v>0</v>
      </c>
      <c r="Y1387">
        <v>0</v>
      </c>
      <c r="Z1387">
        <v>18.8</v>
      </c>
      <c r="AA1387">
        <v>37.1</v>
      </c>
      <c r="AB1387">
        <v>292</v>
      </c>
      <c r="AC1387">
        <v>53</v>
      </c>
      <c r="AD1387">
        <v>24.4</v>
      </c>
      <c r="AE1387">
        <v>12.3</v>
      </c>
      <c r="AF1387">
        <v>44.082000000000001</v>
      </c>
      <c r="AG1387">
        <v>36.927</v>
      </c>
      <c r="AH1387">
        <v>55.564</v>
      </c>
      <c r="AI1387">
        <v>37.185000000000002</v>
      </c>
      <c r="AJ1387">
        <v>80.616</v>
      </c>
      <c r="AK1387">
        <v>67.400000000000006</v>
      </c>
      <c r="AL1387">
        <v>-1.9810000000000001</v>
      </c>
      <c r="AM1387">
        <v>55.564</v>
      </c>
      <c r="AN1387">
        <v>36.927</v>
      </c>
      <c r="AO1387">
        <v>44.082000000000001</v>
      </c>
      <c r="AP1387">
        <v>1.9810000000000001</v>
      </c>
      <c r="AQ1387">
        <v>19.384</v>
      </c>
      <c r="AR1387">
        <v>62.814999999999998</v>
      </c>
      <c r="AS1387">
        <v>32.6</v>
      </c>
    </row>
    <row r="1388" spans="1:45" x14ac:dyDescent="0.25">
      <c r="A1388">
        <v>37</v>
      </c>
      <c r="B1388">
        <v>-9</v>
      </c>
      <c r="C1388">
        <v>0</v>
      </c>
      <c r="D1388">
        <v>2023</v>
      </c>
      <c r="E1388">
        <v>5</v>
      </c>
      <c r="F1388" t="str">
        <f>IFERROR(VLOOKUP(G1388, Map!$A$1:$B$33, 2, FALSE),"WAS")</f>
        <v>LA</v>
      </c>
      <c r="G1388" t="s">
        <v>155</v>
      </c>
      <c r="H1388" t="str">
        <f>IFERROR(VLOOKUP(I1388, Map!$A$1:$B$33, 2, FALSE),"WAS")</f>
        <v>PHI</v>
      </c>
      <c r="I1388" t="s">
        <v>147</v>
      </c>
      <c r="J1388" t="s">
        <v>178</v>
      </c>
      <c r="K1388" t="s">
        <v>206</v>
      </c>
      <c r="L1388">
        <v>0</v>
      </c>
      <c r="M1388">
        <v>0</v>
      </c>
      <c r="N1388">
        <v>45.366666666666703</v>
      </c>
      <c r="O1388">
        <v>4.1333333333333302</v>
      </c>
      <c r="P1388">
        <v>3.5</v>
      </c>
      <c r="Q1388">
        <v>38.5</v>
      </c>
      <c r="R1388">
        <v>21.8</v>
      </c>
      <c r="S1388">
        <v>29.9</v>
      </c>
      <c r="T1388">
        <v>16.399999999999999</v>
      </c>
      <c r="U1388">
        <v>22.7</v>
      </c>
      <c r="V1388">
        <v>0</v>
      </c>
      <c r="W1388">
        <v>0</v>
      </c>
      <c r="X1388">
        <v>0</v>
      </c>
      <c r="Y1388">
        <v>0</v>
      </c>
      <c r="Z1388">
        <v>19.5</v>
      </c>
      <c r="AA1388">
        <v>34.9</v>
      </c>
      <c r="AB1388">
        <v>244</v>
      </c>
      <c r="AC1388">
        <v>72</v>
      </c>
      <c r="AD1388">
        <v>16.100000000000001</v>
      </c>
      <c r="AE1388">
        <v>8.1</v>
      </c>
      <c r="AF1388">
        <v>44.256</v>
      </c>
      <c r="AG1388">
        <v>65.411000000000001</v>
      </c>
      <c r="AH1388">
        <v>55.389000000000003</v>
      </c>
      <c r="AI1388">
        <v>18.734999999999999</v>
      </c>
      <c r="AJ1388">
        <v>65.242000000000004</v>
      </c>
      <c r="AK1388">
        <v>28.05</v>
      </c>
      <c r="AL1388">
        <v>-1.92</v>
      </c>
      <c r="AM1388">
        <v>55.389000000000003</v>
      </c>
      <c r="AN1388">
        <v>65.411000000000001</v>
      </c>
      <c r="AO1388">
        <v>44.256</v>
      </c>
      <c r="AP1388">
        <v>1.92</v>
      </c>
      <c r="AQ1388">
        <v>34.758000000000003</v>
      </c>
      <c r="AR1388">
        <v>81.265000000000001</v>
      </c>
      <c r="AS1388">
        <v>71.95</v>
      </c>
    </row>
    <row r="1389" spans="1:45" x14ac:dyDescent="0.25">
      <c r="A1389">
        <v>40</v>
      </c>
      <c r="B1389">
        <v>2</v>
      </c>
      <c r="C1389">
        <v>1</v>
      </c>
      <c r="D1389">
        <v>2023</v>
      </c>
      <c r="E1389">
        <v>5</v>
      </c>
      <c r="F1389" t="str">
        <f>IFERROR(VLOOKUP(G1389, Map!$A$1:$B$33, 2, FALSE),"WAS")</f>
        <v>ATL</v>
      </c>
      <c r="G1389" t="s">
        <v>167</v>
      </c>
      <c r="H1389" t="str">
        <f>IFERROR(VLOOKUP(I1389, Map!$A$1:$B$33, 2, FALSE),"WAS")</f>
        <v>HOU</v>
      </c>
      <c r="I1389" t="s">
        <v>137</v>
      </c>
      <c r="J1389" t="s">
        <v>188</v>
      </c>
      <c r="K1389" t="s">
        <v>209</v>
      </c>
      <c r="L1389">
        <v>1</v>
      </c>
      <c r="M1389">
        <v>0</v>
      </c>
      <c r="N1389">
        <v>38.533333333333303</v>
      </c>
      <c r="O1389">
        <v>-2.5</v>
      </c>
      <c r="P1389">
        <v>-0.5</v>
      </c>
      <c r="Q1389">
        <v>36.5</v>
      </c>
      <c r="R1389">
        <v>13.4</v>
      </c>
      <c r="S1389">
        <v>18.5</v>
      </c>
      <c r="T1389">
        <v>7.8</v>
      </c>
      <c r="U1389">
        <v>9.9</v>
      </c>
      <c r="V1389">
        <v>0</v>
      </c>
      <c r="W1389">
        <v>0</v>
      </c>
      <c r="X1389">
        <v>0</v>
      </c>
      <c r="Y1389">
        <v>0</v>
      </c>
      <c r="Z1389">
        <v>18</v>
      </c>
      <c r="AA1389">
        <v>33.799999999999997</v>
      </c>
      <c r="AB1389">
        <v>328</v>
      </c>
      <c r="AC1389">
        <v>48</v>
      </c>
      <c r="AD1389">
        <v>25.9</v>
      </c>
      <c r="AE1389">
        <v>13.2</v>
      </c>
      <c r="AF1389">
        <v>52.584000000000003</v>
      </c>
      <c r="AG1389">
        <v>32.960999999999999</v>
      </c>
      <c r="AH1389">
        <v>47.039000000000001</v>
      </c>
      <c r="AI1389">
        <v>58.360999999999997</v>
      </c>
      <c r="AJ1389">
        <v>50.698</v>
      </c>
      <c r="AK1389">
        <v>55.212000000000003</v>
      </c>
      <c r="AL1389">
        <v>0.95399999999999996</v>
      </c>
      <c r="AM1389">
        <v>47.039000000000001</v>
      </c>
      <c r="AN1389">
        <v>32.960999999999999</v>
      </c>
      <c r="AO1389">
        <v>52.584000000000003</v>
      </c>
      <c r="AP1389">
        <v>-0.95399999999999996</v>
      </c>
      <c r="AQ1389">
        <v>49.302</v>
      </c>
      <c r="AR1389">
        <v>41.639000000000003</v>
      </c>
      <c r="AS1389">
        <v>44.787999999999997</v>
      </c>
    </row>
    <row r="1390" spans="1:45" x14ac:dyDescent="0.25">
      <c r="A1390">
        <v>52</v>
      </c>
      <c r="B1390">
        <v>32</v>
      </c>
      <c r="C1390">
        <v>1</v>
      </c>
      <c r="D1390">
        <v>2023</v>
      </c>
      <c r="E1390">
        <v>5</v>
      </c>
      <c r="F1390" t="str">
        <f>IFERROR(VLOOKUP(G1390, Map!$A$1:$B$33, 2, FALSE),"WAS")</f>
        <v>SF</v>
      </c>
      <c r="G1390" t="s">
        <v>143</v>
      </c>
      <c r="H1390" t="str">
        <f>IFERROR(VLOOKUP(I1390, Map!$A$1:$B$33, 2, FALSE),"WAS")</f>
        <v>DAL</v>
      </c>
      <c r="I1390" t="s">
        <v>150</v>
      </c>
      <c r="J1390" t="s">
        <v>197</v>
      </c>
      <c r="K1390" t="s">
        <v>184</v>
      </c>
      <c r="L1390">
        <v>1</v>
      </c>
      <c r="M1390">
        <v>0</v>
      </c>
      <c r="N1390">
        <v>43.6666666666667</v>
      </c>
      <c r="O1390">
        <v>-7.06666666666667</v>
      </c>
      <c r="P1390">
        <v>-3.5</v>
      </c>
      <c r="Q1390">
        <v>44.5</v>
      </c>
      <c r="R1390">
        <v>17.899999999999999</v>
      </c>
      <c r="S1390">
        <v>27.8</v>
      </c>
      <c r="T1390">
        <v>13.2</v>
      </c>
      <c r="U1390">
        <v>17.399999999999999</v>
      </c>
      <c r="V1390">
        <v>0</v>
      </c>
      <c r="W1390">
        <v>0</v>
      </c>
      <c r="X1390">
        <v>0</v>
      </c>
      <c r="Y1390">
        <v>0</v>
      </c>
      <c r="Z1390">
        <v>20</v>
      </c>
      <c r="AA1390">
        <v>37.1</v>
      </c>
      <c r="AB1390">
        <v>340</v>
      </c>
      <c r="AC1390">
        <v>71</v>
      </c>
      <c r="AD1390">
        <v>16.600000000000001</v>
      </c>
      <c r="AE1390">
        <v>7.5</v>
      </c>
      <c r="AF1390">
        <v>55.040999999999997</v>
      </c>
      <c r="AG1390">
        <v>93.697000000000003</v>
      </c>
      <c r="AH1390">
        <v>44.600999999999999</v>
      </c>
      <c r="AI1390">
        <v>97.111000000000004</v>
      </c>
      <c r="AJ1390">
        <v>84.447000000000003</v>
      </c>
      <c r="AK1390">
        <v>96.616</v>
      </c>
      <c r="AL1390">
        <v>1.8</v>
      </c>
      <c r="AM1390">
        <v>44.600999999999999</v>
      </c>
      <c r="AN1390">
        <v>93.697000000000003</v>
      </c>
      <c r="AO1390">
        <v>55.040999999999997</v>
      </c>
      <c r="AP1390">
        <v>-1.8</v>
      </c>
      <c r="AQ1390">
        <v>15.553000000000001</v>
      </c>
      <c r="AR1390">
        <v>2.8889999999999998</v>
      </c>
      <c r="AS1390">
        <v>3.3839999999999999</v>
      </c>
    </row>
    <row r="1391" spans="1:45" x14ac:dyDescent="0.25">
      <c r="A1391">
        <v>60</v>
      </c>
      <c r="B1391">
        <v>-20</v>
      </c>
      <c r="C1391">
        <v>0</v>
      </c>
      <c r="D1391">
        <v>2023</v>
      </c>
      <c r="E1391">
        <v>5</v>
      </c>
      <c r="F1391" t="str">
        <f>IFERROR(VLOOKUP(G1391, Map!$A$1:$B$33, 2, FALSE),"WAS")</f>
        <v>WAS</v>
      </c>
      <c r="G1391" t="s">
        <v>148</v>
      </c>
      <c r="H1391" t="str">
        <f>IFERROR(VLOOKUP(I1391, Map!$A$1:$B$33, 2, FALSE),"WAS")</f>
        <v>CHI</v>
      </c>
      <c r="I1391" t="s">
        <v>163</v>
      </c>
      <c r="J1391" t="s">
        <v>205</v>
      </c>
      <c r="K1391" t="s">
        <v>216</v>
      </c>
      <c r="L1391">
        <v>0</v>
      </c>
      <c r="M1391">
        <v>0</v>
      </c>
      <c r="N1391">
        <v>46.964285714285701</v>
      </c>
      <c r="O1391">
        <v>-3.1428571428571401</v>
      </c>
      <c r="P1391">
        <v>-4.5</v>
      </c>
      <c r="Q1391">
        <v>44.5</v>
      </c>
      <c r="R1391">
        <v>20.7</v>
      </c>
      <c r="S1391">
        <v>24.2</v>
      </c>
      <c r="T1391">
        <v>17</v>
      </c>
      <c r="U1391">
        <v>23</v>
      </c>
      <c r="V1391">
        <v>1.1000000000000001</v>
      </c>
      <c r="W1391">
        <v>0</v>
      </c>
      <c r="X1391">
        <v>5</v>
      </c>
      <c r="Y1391">
        <v>1.1000000000000001</v>
      </c>
      <c r="Z1391">
        <v>8.6999999999999993</v>
      </c>
      <c r="AA1391">
        <v>16.600000000000001</v>
      </c>
      <c r="AB1391">
        <v>152</v>
      </c>
      <c r="AC1391">
        <v>88</v>
      </c>
      <c r="AD1391">
        <v>12</v>
      </c>
      <c r="AE1391">
        <v>5.4</v>
      </c>
      <c r="AF1391">
        <v>60.76</v>
      </c>
      <c r="AG1391">
        <v>18.402000000000001</v>
      </c>
      <c r="AH1391">
        <v>38.927</v>
      </c>
      <c r="AI1391">
        <v>8.4350000000000005</v>
      </c>
      <c r="AJ1391">
        <v>27.788</v>
      </c>
      <c r="AK1391">
        <v>8.7240000000000002</v>
      </c>
      <c r="AL1391">
        <v>3.802</v>
      </c>
      <c r="AM1391">
        <v>38.927</v>
      </c>
      <c r="AN1391">
        <v>18.402000000000001</v>
      </c>
      <c r="AO1391">
        <v>60.76</v>
      </c>
      <c r="AP1391">
        <v>-3.802</v>
      </c>
      <c r="AQ1391">
        <v>72.212000000000003</v>
      </c>
      <c r="AR1391">
        <v>91.564999999999998</v>
      </c>
      <c r="AS1391">
        <v>91.275999999999996</v>
      </c>
    </row>
    <row r="1392" spans="1:45" x14ac:dyDescent="0.25">
      <c r="A1392">
        <v>57</v>
      </c>
      <c r="B1392">
        <v>17</v>
      </c>
      <c r="C1392">
        <v>1</v>
      </c>
      <c r="D1392">
        <v>2023</v>
      </c>
      <c r="E1392">
        <v>6</v>
      </c>
      <c r="F1392" t="str">
        <f>IFERROR(VLOOKUP(G1392, Map!$A$1:$B$33, 2, FALSE),"WAS")</f>
        <v>JAX</v>
      </c>
      <c r="G1392" t="s">
        <v>139</v>
      </c>
      <c r="H1392" t="str">
        <f>IFERROR(VLOOKUP(I1392, Map!$A$1:$B$33, 2, FALSE),"WAS")</f>
        <v>IND</v>
      </c>
      <c r="I1392" t="s">
        <v>138</v>
      </c>
      <c r="J1392" t="s">
        <v>220</v>
      </c>
      <c r="K1392" t="s">
        <v>177</v>
      </c>
      <c r="L1392">
        <v>1</v>
      </c>
      <c r="M1392">
        <v>0</v>
      </c>
      <c r="N1392">
        <v>40.133333333333297</v>
      </c>
      <c r="O1392">
        <v>-5.8666666666666698</v>
      </c>
      <c r="P1392">
        <v>-3.5</v>
      </c>
      <c r="Q1392">
        <v>0</v>
      </c>
      <c r="R1392">
        <v>20.2</v>
      </c>
      <c r="S1392">
        <v>22.6</v>
      </c>
      <c r="T1392">
        <v>16.5</v>
      </c>
      <c r="U1392">
        <v>20.2</v>
      </c>
      <c r="V1392">
        <v>0</v>
      </c>
      <c r="W1392">
        <v>0</v>
      </c>
      <c r="X1392">
        <v>0</v>
      </c>
      <c r="Y1392">
        <v>0</v>
      </c>
      <c r="Z1392">
        <v>18.100000000000001</v>
      </c>
      <c r="AA1392">
        <v>34.200000000000003</v>
      </c>
      <c r="AB1392">
        <v>285</v>
      </c>
      <c r="AC1392">
        <v>75</v>
      </c>
      <c r="AD1392">
        <v>26.7</v>
      </c>
      <c r="AE1392">
        <v>14.2</v>
      </c>
      <c r="AF1392">
        <v>65.384</v>
      </c>
      <c r="AG1392">
        <v>49.521000000000001</v>
      </c>
      <c r="AH1392">
        <v>34.340000000000003</v>
      </c>
      <c r="AI1392">
        <v>93.283000000000001</v>
      </c>
      <c r="AJ1392">
        <v>67.7</v>
      </c>
      <c r="AK1392">
        <v>91.561999999999998</v>
      </c>
      <c r="AL1392">
        <v>5.452</v>
      </c>
      <c r="AM1392">
        <v>34.340000000000003</v>
      </c>
      <c r="AN1392">
        <v>49.521000000000001</v>
      </c>
      <c r="AO1392">
        <v>65.384</v>
      </c>
      <c r="AP1392">
        <v>-5.452</v>
      </c>
      <c r="AQ1392">
        <v>32.299999999999997</v>
      </c>
      <c r="AR1392">
        <v>6.7169999999999996</v>
      </c>
      <c r="AS1392">
        <v>8.4380000000000006</v>
      </c>
    </row>
    <row r="1393" spans="1:45" x14ac:dyDescent="0.25">
      <c r="A1393">
        <v>30</v>
      </c>
      <c r="B1393">
        <v>4</v>
      </c>
      <c r="C1393">
        <v>1</v>
      </c>
      <c r="D1393">
        <v>2023</v>
      </c>
      <c r="E1393">
        <v>6</v>
      </c>
      <c r="F1393" t="str">
        <f>IFERROR(VLOOKUP(G1393, Map!$A$1:$B$33, 2, FALSE),"WAS")</f>
        <v>CIN</v>
      </c>
      <c r="G1393" t="s">
        <v>161</v>
      </c>
      <c r="H1393" t="str">
        <f>IFERROR(VLOOKUP(I1393, Map!$A$1:$B$33, 2, FALSE),"WAS")</f>
        <v>SEA</v>
      </c>
      <c r="I1393" t="s">
        <v>144</v>
      </c>
      <c r="J1393" t="s">
        <v>176</v>
      </c>
      <c r="K1393" t="s">
        <v>182</v>
      </c>
      <c r="L1393">
        <v>1</v>
      </c>
      <c r="M1393">
        <v>0</v>
      </c>
      <c r="N1393">
        <v>38.5</v>
      </c>
      <c r="O1393">
        <v>-2.9</v>
      </c>
      <c r="P1393">
        <v>-1.5</v>
      </c>
      <c r="Q1393">
        <v>0</v>
      </c>
      <c r="R1393">
        <v>11.7</v>
      </c>
      <c r="S1393">
        <v>14.6</v>
      </c>
      <c r="T1393">
        <v>8.1999999999999993</v>
      </c>
      <c r="U1393">
        <v>8.1999999999999993</v>
      </c>
      <c r="V1393">
        <v>0.2</v>
      </c>
      <c r="W1393">
        <v>0</v>
      </c>
      <c r="X1393">
        <v>1</v>
      </c>
      <c r="Y1393">
        <v>0.2</v>
      </c>
      <c r="Z1393">
        <v>21.7</v>
      </c>
      <c r="AA1393">
        <v>42.5</v>
      </c>
      <c r="AB1393">
        <v>346</v>
      </c>
      <c r="AC1393">
        <v>69</v>
      </c>
      <c r="AD1393">
        <v>35.6</v>
      </c>
      <c r="AE1393">
        <v>16.600000000000001</v>
      </c>
      <c r="AF1393">
        <v>46.136000000000003</v>
      </c>
      <c r="AG1393">
        <v>64.093000000000004</v>
      </c>
      <c r="AH1393">
        <v>53.493000000000002</v>
      </c>
      <c r="AI1393">
        <v>72.137</v>
      </c>
      <c r="AJ1393">
        <v>43.162999999999997</v>
      </c>
      <c r="AK1393">
        <v>58.816000000000003</v>
      </c>
      <c r="AL1393">
        <v>-1.26</v>
      </c>
      <c r="AM1393">
        <v>53.493000000000002</v>
      </c>
      <c r="AN1393">
        <v>64.093000000000004</v>
      </c>
      <c r="AO1393">
        <v>46.136000000000003</v>
      </c>
      <c r="AP1393">
        <v>1.26</v>
      </c>
      <c r="AQ1393">
        <v>56.837000000000003</v>
      </c>
      <c r="AR1393">
        <v>27.863</v>
      </c>
      <c r="AS1393">
        <v>41.183999999999997</v>
      </c>
    </row>
    <row r="1394" spans="1:45" x14ac:dyDescent="0.25">
      <c r="A1394">
        <v>26</v>
      </c>
      <c r="B1394">
        <v>-14</v>
      </c>
      <c r="C1394">
        <v>0</v>
      </c>
      <c r="D1394">
        <v>2023</v>
      </c>
      <c r="E1394">
        <v>6</v>
      </c>
      <c r="F1394" t="str">
        <f>IFERROR(VLOOKUP(G1394, Map!$A$1:$B$33, 2, FALSE),"WAS")</f>
        <v>TB</v>
      </c>
      <c r="G1394" t="s">
        <v>141</v>
      </c>
      <c r="H1394" t="str">
        <f>IFERROR(VLOOKUP(I1394, Map!$A$1:$B$33, 2, FALSE),"WAS")</f>
        <v>DET</v>
      </c>
      <c r="I1394" t="s">
        <v>164</v>
      </c>
      <c r="J1394" t="s">
        <v>186</v>
      </c>
      <c r="K1394" t="s">
        <v>173</v>
      </c>
      <c r="L1394">
        <v>0</v>
      </c>
      <c r="M1394">
        <v>0</v>
      </c>
      <c r="N1394">
        <v>35.366666666666703</v>
      </c>
      <c r="O1394">
        <v>4.2333333333333298</v>
      </c>
      <c r="P1394">
        <v>3</v>
      </c>
      <c r="Q1394">
        <v>0</v>
      </c>
      <c r="R1394">
        <v>23.4</v>
      </c>
      <c r="S1394">
        <v>25</v>
      </c>
      <c r="T1394">
        <v>21.2</v>
      </c>
      <c r="U1394">
        <v>24.3</v>
      </c>
      <c r="V1394">
        <v>0</v>
      </c>
      <c r="W1394">
        <v>0</v>
      </c>
      <c r="X1394">
        <v>0</v>
      </c>
      <c r="Y1394">
        <v>0</v>
      </c>
      <c r="Z1394">
        <v>23.4</v>
      </c>
      <c r="AA1394">
        <v>43.2</v>
      </c>
      <c r="AB1394">
        <v>300</v>
      </c>
      <c r="AC1394">
        <v>74</v>
      </c>
      <c r="AD1394">
        <v>30.6</v>
      </c>
      <c r="AE1394">
        <v>17</v>
      </c>
      <c r="AF1394">
        <v>44.606999999999999</v>
      </c>
      <c r="AG1394">
        <v>63.241999999999997</v>
      </c>
      <c r="AH1394">
        <v>55.034999999999997</v>
      </c>
      <c r="AI1394">
        <v>31.844999999999999</v>
      </c>
      <c r="AJ1394">
        <v>10.249000000000001</v>
      </c>
      <c r="AK1394">
        <v>19.818000000000001</v>
      </c>
      <c r="AL1394">
        <v>-1.7889999999999999</v>
      </c>
      <c r="AM1394">
        <v>55.034999999999997</v>
      </c>
      <c r="AN1394">
        <v>63.241999999999997</v>
      </c>
      <c r="AO1394">
        <v>44.606999999999999</v>
      </c>
      <c r="AP1394">
        <v>1.7889999999999999</v>
      </c>
      <c r="AQ1394">
        <v>89.751000000000005</v>
      </c>
      <c r="AR1394">
        <v>68.155000000000001</v>
      </c>
      <c r="AS1394">
        <v>80.182000000000002</v>
      </c>
    </row>
    <row r="1395" spans="1:45" x14ac:dyDescent="0.25">
      <c r="A1395">
        <v>40</v>
      </c>
      <c r="B1395">
        <v>-8</v>
      </c>
      <c r="C1395">
        <v>0</v>
      </c>
      <c r="D1395">
        <v>2023</v>
      </c>
      <c r="E1395">
        <v>6</v>
      </c>
      <c r="F1395" t="str">
        <f>IFERROR(VLOOKUP(G1395, Map!$A$1:$B$33, 2, FALSE),"WAS")</f>
        <v>ATL</v>
      </c>
      <c r="G1395" t="s">
        <v>167</v>
      </c>
      <c r="H1395" t="str">
        <f>IFERROR(VLOOKUP(I1395, Map!$A$1:$B$33, 2, FALSE),"WAS")</f>
        <v>WAS</v>
      </c>
      <c r="I1395" t="s">
        <v>148</v>
      </c>
      <c r="J1395" t="s">
        <v>188</v>
      </c>
      <c r="K1395" t="s">
        <v>205</v>
      </c>
      <c r="L1395">
        <v>0</v>
      </c>
      <c r="M1395">
        <v>0</v>
      </c>
      <c r="N1395">
        <v>39.25</v>
      </c>
      <c r="O1395">
        <v>-0.57142857142857195</v>
      </c>
      <c r="P1395">
        <v>-1.5</v>
      </c>
      <c r="Q1395">
        <v>0</v>
      </c>
      <c r="R1395">
        <v>14.7</v>
      </c>
      <c r="S1395">
        <v>18.3</v>
      </c>
      <c r="T1395">
        <v>11.6</v>
      </c>
      <c r="U1395">
        <v>11.3</v>
      </c>
      <c r="V1395">
        <v>0.2</v>
      </c>
      <c r="W1395">
        <v>0</v>
      </c>
      <c r="X1395">
        <v>2</v>
      </c>
      <c r="Y1395">
        <v>0.2</v>
      </c>
      <c r="Z1395">
        <v>24.4</v>
      </c>
      <c r="AA1395">
        <v>44.6</v>
      </c>
      <c r="AB1395">
        <v>314</v>
      </c>
      <c r="AC1395">
        <v>67</v>
      </c>
      <c r="AD1395">
        <v>36.799999999999997</v>
      </c>
      <c r="AE1395">
        <v>20.399999999999999</v>
      </c>
      <c r="AF1395">
        <v>57.866999999999997</v>
      </c>
      <c r="AG1395">
        <v>19.959</v>
      </c>
      <c r="AH1395">
        <v>41.796999999999997</v>
      </c>
      <c r="AI1395">
        <v>44.488999999999997</v>
      </c>
      <c r="AJ1395">
        <v>22.683</v>
      </c>
      <c r="AK1395">
        <v>24.626999999999999</v>
      </c>
      <c r="AL1395">
        <v>2.7679999999999998</v>
      </c>
      <c r="AM1395">
        <v>41.796999999999997</v>
      </c>
      <c r="AN1395">
        <v>19.959</v>
      </c>
      <c r="AO1395">
        <v>57.866999999999997</v>
      </c>
      <c r="AP1395">
        <v>-2.7679999999999998</v>
      </c>
      <c r="AQ1395">
        <v>77.316999999999993</v>
      </c>
      <c r="AR1395">
        <v>55.511000000000003</v>
      </c>
      <c r="AS1395">
        <v>75.373000000000005</v>
      </c>
    </row>
    <row r="1396" spans="1:45" x14ac:dyDescent="0.25">
      <c r="A1396">
        <v>38</v>
      </c>
      <c r="B1396">
        <v>4</v>
      </c>
      <c r="C1396">
        <v>1</v>
      </c>
      <c r="D1396">
        <v>2023</v>
      </c>
      <c r="E1396">
        <v>6</v>
      </c>
      <c r="F1396" t="str">
        <f>IFERROR(VLOOKUP(G1396, Map!$A$1:$B$33, 2, FALSE),"WAS")</f>
        <v>LV</v>
      </c>
      <c r="G1396" t="s">
        <v>157</v>
      </c>
      <c r="H1396" t="str">
        <f>IFERROR(VLOOKUP(I1396, Map!$A$1:$B$33, 2, FALSE),"WAS")</f>
        <v>NE</v>
      </c>
      <c r="I1396" t="s">
        <v>151</v>
      </c>
      <c r="J1396" t="s">
        <v>179</v>
      </c>
      <c r="K1396" t="s">
        <v>187</v>
      </c>
      <c r="L1396">
        <v>1</v>
      </c>
      <c r="M1396">
        <v>0</v>
      </c>
      <c r="N1396">
        <v>37.892857142857103</v>
      </c>
      <c r="O1396">
        <v>-2.8571428571428599</v>
      </c>
      <c r="P1396">
        <v>1</v>
      </c>
      <c r="Q1396">
        <v>0</v>
      </c>
      <c r="R1396">
        <v>21.7</v>
      </c>
      <c r="S1396">
        <v>30.2</v>
      </c>
      <c r="T1396">
        <v>15.1</v>
      </c>
      <c r="U1396">
        <v>18.5</v>
      </c>
      <c r="V1396">
        <v>0</v>
      </c>
      <c r="W1396">
        <v>0</v>
      </c>
      <c r="X1396">
        <v>0</v>
      </c>
      <c r="Y1396">
        <v>0</v>
      </c>
      <c r="Z1396">
        <v>7</v>
      </c>
      <c r="AA1396">
        <v>16.2</v>
      </c>
      <c r="AB1396">
        <v>289</v>
      </c>
      <c r="AC1396">
        <v>18</v>
      </c>
      <c r="AD1396">
        <v>9.6</v>
      </c>
      <c r="AE1396">
        <v>4.5999999999999996</v>
      </c>
      <c r="AF1396">
        <v>55.676000000000002</v>
      </c>
      <c r="AG1396">
        <v>46.170999999999999</v>
      </c>
      <c r="AH1396">
        <v>43.970999999999997</v>
      </c>
      <c r="AI1396">
        <v>55.273000000000003</v>
      </c>
      <c r="AJ1396">
        <v>48.850999999999999</v>
      </c>
      <c r="AK1396">
        <v>61.031999999999996</v>
      </c>
      <c r="AL1396">
        <v>2.0089999999999999</v>
      </c>
      <c r="AM1396">
        <v>43.970999999999997</v>
      </c>
      <c r="AN1396">
        <v>46.170999999999999</v>
      </c>
      <c r="AO1396">
        <v>55.676000000000002</v>
      </c>
      <c r="AP1396">
        <v>-2.0089999999999999</v>
      </c>
      <c r="AQ1396">
        <v>51.149000000000001</v>
      </c>
      <c r="AR1396">
        <v>44.726999999999997</v>
      </c>
      <c r="AS1396">
        <v>38.968000000000004</v>
      </c>
    </row>
    <row r="1397" spans="1:45" x14ac:dyDescent="0.25">
      <c r="A1397">
        <v>37</v>
      </c>
      <c r="B1397">
        <v>-3</v>
      </c>
      <c r="C1397">
        <v>0</v>
      </c>
      <c r="D1397">
        <v>2023</v>
      </c>
      <c r="E1397">
        <v>6</v>
      </c>
      <c r="F1397" t="str">
        <f>IFERROR(VLOOKUP(G1397, Map!$A$1:$B$33, 2, FALSE),"WAS")</f>
        <v>LAC</v>
      </c>
      <c r="G1397" t="s">
        <v>160</v>
      </c>
      <c r="H1397" t="str">
        <f>IFERROR(VLOOKUP(I1397, Map!$A$1:$B$33, 2, FALSE),"WAS")</f>
        <v>DAL</v>
      </c>
      <c r="I1397" t="s">
        <v>150</v>
      </c>
      <c r="J1397" t="s">
        <v>210</v>
      </c>
      <c r="K1397" t="s">
        <v>184</v>
      </c>
      <c r="L1397">
        <v>0</v>
      </c>
      <c r="M1397">
        <v>0</v>
      </c>
      <c r="N1397">
        <v>42.033333333333303</v>
      </c>
      <c r="O1397">
        <v>1.2333333333333301</v>
      </c>
      <c r="P1397">
        <v>-0.5</v>
      </c>
      <c r="Q1397">
        <v>0</v>
      </c>
      <c r="R1397">
        <v>19.8</v>
      </c>
      <c r="S1397">
        <v>28.5</v>
      </c>
      <c r="T1397">
        <v>15.7</v>
      </c>
      <c r="U1397">
        <v>20.8</v>
      </c>
      <c r="V1397">
        <v>0</v>
      </c>
      <c r="W1397">
        <v>0</v>
      </c>
      <c r="X1397">
        <v>0</v>
      </c>
      <c r="Y1397">
        <v>0</v>
      </c>
      <c r="Z1397">
        <v>17.899999999999999</v>
      </c>
      <c r="AA1397">
        <v>31.7</v>
      </c>
      <c r="AB1397">
        <v>193</v>
      </c>
      <c r="AC1397">
        <v>82</v>
      </c>
      <c r="AD1397">
        <v>15.9</v>
      </c>
      <c r="AE1397">
        <v>7.9</v>
      </c>
      <c r="AF1397">
        <v>55.604999999999997</v>
      </c>
      <c r="AG1397">
        <v>85.891000000000005</v>
      </c>
      <c r="AH1397">
        <v>44.040999999999997</v>
      </c>
      <c r="AI1397">
        <v>43.853000000000002</v>
      </c>
      <c r="AJ1397">
        <v>35.243000000000002</v>
      </c>
      <c r="AK1397">
        <v>38.475000000000001</v>
      </c>
      <c r="AL1397">
        <v>1.9850000000000001</v>
      </c>
      <c r="AM1397">
        <v>44.040999999999997</v>
      </c>
      <c r="AN1397">
        <v>85.891000000000005</v>
      </c>
      <c r="AO1397">
        <v>55.604999999999997</v>
      </c>
      <c r="AP1397">
        <v>-1.9850000000000001</v>
      </c>
      <c r="AQ1397">
        <v>64.757000000000005</v>
      </c>
      <c r="AR1397">
        <v>56.146999999999998</v>
      </c>
      <c r="AS1397">
        <v>61.524999999999999</v>
      </c>
    </row>
    <row r="1398" spans="1:45" x14ac:dyDescent="0.25">
      <c r="A1398">
        <v>33</v>
      </c>
      <c r="B1398">
        <v>7</v>
      </c>
      <c r="C1398">
        <v>1</v>
      </c>
      <c r="D1398">
        <v>2023</v>
      </c>
      <c r="E1398">
        <v>6</v>
      </c>
      <c r="F1398" t="str">
        <f>IFERROR(VLOOKUP(G1398, Map!$A$1:$B$33, 2, FALSE),"WAS")</f>
        <v>HOU</v>
      </c>
      <c r="G1398" t="s">
        <v>137</v>
      </c>
      <c r="H1398" t="str">
        <f>IFERROR(VLOOKUP(I1398, Map!$A$1:$B$33, 2, FALSE),"WAS")</f>
        <v>NO</v>
      </c>
      <c r="I1398" t="s">
        <v>168</v>
      </c>
      <c r="J1398" t="s">
        <v>209</v>
      </c>
      <c r="K1398" t="s">
        <v>192</v>
      </c>
      <c r="L1398">
        <v>1</v>
      </c>
      <c r="M1398">
        <v>0</v>
      </c>
      <c r="N1398">
        <v>35.9</v>
      </c>
      <c r="O1398">
        <v>0.86666666666666703</v>
      </c>
      <c r="P1398">
        <v>1.5</v>
      </c>
      <c r="Q1398">
        <v>0</v>
      </c>
      <c r="R1398">
        <v>17.8</v>
      </c>
      <c r="S1398">
        <v>21.5</v>
      </c>
      <c r="T1398">
        <v>13.5</v>
      </c>
      <c r="U1398">
        <v>14.9</v>
      </c>
      <c r="V1398">
        <v>0</v>
      </c>
      <c r="W1398">
        <v>0</v>
      </c>
      <c r="X1398">
        <v>0</v>
      </c>
      <c r="Y1398">
        <v>0</v>
      </c>
      <c r="Z1398">
        <v>26.7</v>
      </c>
      <c r="AA1398">
        <v>46.1</v>
      </c>
      <c r="AB1398">
        <v>343</v>
      </c>
      <c r="AC1398">
        <v>54</v>
      </c>
      <c r="AD1398">
        <v>29.9</v>
      </c>
      <c r="AE1398">
        <v>17.399999999999999</v>
      </c>
      <c r="AF1398">
        <v>45.338999999999999</v>
      </c>
      <c r="AG1398">
        <v>55.292000000000002</v>
      </c>
      <c r="AH1398">
        <v>54.295999999999999</v>
      </c>
      <c r="AI1398">
        <v>52.384999999999998</v>
      </c>
      <c r="AJ1398">
        <v>66.356999999999999</v>
      </c>
      <c r="AK1398">
        <v>65.316000000000003</v>
      </c>
      <c r="AL1398">
        <v>-1.5349999999999999</v>
      </c>
      <c r="AM1398">
        <v>54.295999999999999</v>
      </c>
      <c r="AN1398">
        <v>55.292000000000002</v>
      </c>
      <c r="AO1398">
        <v>45.338999999999999</v>
      </c>
      <c r="AP1398">
        <v>1.5349999999999999</v>
      </c>
      <c r="AQ1398">
        <v>33.643000000000001</v>
      </c>
      <c r="AR1398">
        <v>47.615000000000002</v>
      </c>
      <c r="AS1398">
        <v>34.683999999999997</v>
      </c>
    </row>
    <row r="1399" spans="1:45" x14ac:dyDescent="0.25">
      <c r="A1399">
        <v>23</v>
      </c>
      <c r="B1399">
        <v>5</v>
      </c>
      <c r="C1399">
        <v>1</v>
      </c>
      <c r="D1399">
        <v>2023</v>
      </c>
      <c r="E1399">
        <v>6</v>
      </c>
      <c r="F1399" t="str">
        <f>IFERROR(VLOOKUP(G1399, Map!$A$1:$B$33, 2, FALSE),"WAS")</f>
        <v>BUF</v>
      </c>
      <c r="G1399" t="s">
        <v>165</v>
      </c>
      <c r="H1399" t="str">
        <f>IFERROR(VLOOKUP(I1399, Map!$A$1:$B$33, 2, FALSE),"WAS")</f>
        <v>NYG</v>
      </c>
      <c r="I1399" t="s">
        <v>149</v>
      </c>
      <c r="J1399" t="s">
        <v>180</v>
      </c>
      <c r="K1399" t="s">
        <v>219</v>
      </c>
      <c r="L1399">
        <v>1</v>
      </c>
      <c r="M1399">
        <v>0</v>
      </c>
      <c r="N1399">
        <v>35.266666666666701</v>
      </c>
      <c r="O1399">
        <v>-12.4333333333333</v>
      </c>
      <c r="P1399">
        <v>-4.5</v>
      </c>
      <c r="Q1399">
        <v>0</v>
      </c>
      <c r="R1399">
        <v>12.7</v>
      </c>
      <c r="S1399">
        <v>15.8</v>
      </c>
      <c r="T1399">
        <v>8.6</v>
      </c>
      <c r="U1399">
        <v>9.6</v>
      </c>
      <c r="V1399">
        <v>0</v>
      </c>
      <c r="W1399">
        <v>0</v>
      </c>
      <c r="X1399">
        <v>0</v>
      </c>
      <c r="Y1399">
        <v>0</v>
      </c>
      <c r="Z1399">
        <v>16</v>
      </c>
      <c r="AA1399">
        <v>32.4</v>
      </c>
      <c r="AB1399">
        <v>337</v>
      </c>
      <c r="AC1399">
        <v>56</v>
      </c>
      <c r="AD1399">
        <v>22.4</v>
      </c>
      <c r="AE1399">
        <v>11.1</v>
      </c>
      <c r="AF1399">
        <v>94.872</v>
      </c>
      <c r="AG1399">
        <v>50.014000000000003</v>
      </c>
      <c r="AH1399">
        <v>5.0880000000000001</v>
      </c>
      <c r="AI1399">
        <v>75.802999999999997</v>
      </c>
      <c r="AJ1399">
        <v>46.317</v>
      </c>
      <c r="AK1399">
        <v>62.393000000000001</v>
      </c>
      <c r="AL1399">
        <v>22.306999999999999</v>
      </c>
      <c r="AM1399">
        <v>5.0880000000000001</v>
      </c>
      <c r="AN1399">
        <v>50.014000000000003</v>
      </c>
      <c r="AO1399">
        <v>94.872</v>
      </c>
      <c r="AP1399">
        <v>-22.306999999999999</v>
      </c>
      <c r="AQ1399">
        <v>53.683</v>
      </c>
      <c r="AR1399">
        <v>24.196999999999999</v>
      </c>
      <c r="AS1399">
        <v>37.606999999999999</v>
      </c>
    </row>
    <row r="1400" spans="1:45" x14ac:dyDescent="0.25">
      <c r="A1400">
        <v>34</v>
      </c>
      <c r="B1400">
        <v>6</v>
      </c>
      <c r="C1400">
        <v>1</v>
      </c>
      <c r="D1400">
        <v>2023</v>
      </c>
      <c r="E1400">
        <v>6</v>
      </c>
      <c r="F1400" t="str">
        <f>IFERROR(VLOOKUP(G1400, Map!$A$1:$B$33, 2, FALSE),"WAS")</f>
        <v>NYJ</v>
      </c>
      <c r="G1400" t="s">
        <v>166</v>
      </c>
      <c r="H1400" t="str">
        <f>IFERROR(VLOOKUP(I1400, Map!$A$1:$B$33, 2, FALSE),"WAS")</f>
        <v>PHI</v>
      </c>
      <c r="I1400" t="s">
        <v>147</v>
      </c>
      <c r="J1400" t="s">
        <v>172</v>
      </c>
      <c r="K1400" t="s">
        <v>206</v>
      </c>
      <c r="L1400">
        <v>1</v>
      </c>
      <c r="M1400">
        <v>0</v>
      </c>
      <c r="N1400">
        <v>38.428571428571402</v>
      </c>
      <c r="O1400">
        <v>4.6071428571428603</v>
      </c>
      <c r="P1400">
        <v>-0.5</v>
      </c>
      <c r="Q1400">
        <v>28.5</v>
      </c>
      <c r="R1400">
        <v>11.9</v>
      </c>
      <c r="S1400">
        <v>16.2</v>
      </c>
      <c r="T1400">
        <v>9.6999999999999993</v>
      </c>
      <c r="U1400">
        <v>8.5</v>
      </c>
      <c r="V1400">
        <v>1.9</v>
      </c>
      <c r="W1400">
        <v>0</v>
      </c>
      <c r="X1400">
        <v>8</v>
      </c>
      <c r="Y1400">
        <v>1.9</v>
      </c>
      <c r="Z1400">
        <v>22.3</v>
      </c>
      <c r="AA1400">
        <v>47.2</v>
      </c>
      <c r="AB1400">
        <v>347</v>
      </c>
      <c r="AC1400">
        <v>74</v>
      </c>
      <c r="AD1400">
        <v>36.5</v>
      </c>
      <c r="AE1400">
        <v>18.100000000000001</v>
      </c>
      <c r="AF1400">
        <v>34.456000000000003</v>
      </c>
      <c r="AG1400">
        <v>33.183999999999997</v>
      </c>
      <c r="AH1400">
        <v>65.268000000000001</v>
      </c>
      <c r="AI1400">
        <v>72.867000000000004</v>
      </c>
      <c r="AJ1400">
        <v>30.695</v>
      </c>
      <c r="AK1400">
        <v>63.902999999999999</v>
      </c>
      <c r="AL1400">
        <v>-5.4089999999999998</v>
      </c>
      <c r="AM1400">
        <v>65.268000000000001</v>
      </c>
      <c r="AN1400">
        <v>33.183999999999997</v>
      </c>
      <c r="AO1400">
        <v>34.456000000000003</v>
      </c>
      <c r="AP1400">
        <v>5.4089999999999998</v>
      </c>
      <c r="AQ1400">
        <v>69.305000000000007</v>
      </c>
      <c r="AR1400">
        <v>27.132999999999999</v>
      </c>
      <c r="AS1400">
        <v>36.097000000000001</v>
      </c>
    </row>
    <row r="1401" spans="1:45" x14ac:dyDescent="0.25">
      <c r="A1401">
        <v>40</v>
      </c>
      <c r="B1401">
        <v>-8</v>
      </c>
      <c r="C1401">
        <v>0</v>
      </c>
      <c r="D1401">
        <v>2023</v>
      </c>
      <c r="E1401">
        <v>6</v>
      </c>
      <c r="F1401" t="str">
        <f>IFERROR(VLOOKUP(G1401, Map!$A$1:$B$33, 2, FALSE),"WAS")</f>
        <v>TEN</v>
      </c>
      <c r="G1401" t="s">
        <v>140</v>
      </c>
      <c r="H1401" t="str">
        <f>IFERROR(VLOOKUP(I1401, Map!$A$1:$B$33, 2, FALSE),"WAS")</f>
        <v>BAL</v>
      </c>
      <c r="I1401" t="s">
        <v>146</v>
      </c>
      <c r="J1401" t="s">
        <v>174</v>
      </c>
      <c r="K1401" t="s">
        <v>181</v>
      </c>
      <c r="L1401">
        <v>0</v>
      </c>
      <c r="M1401">
        <v>0</v>
      </c>
      <c r="N1401">
        <v>38.966666666666697</v>
      </c>
      <c r="O1401">
        <v>5.1333333333333302</v>
      </c>
      <c r="P1401">
        <v>3.5</v>
      </c>
      <c r="Q1401">
        <v>39.5</v>
      </c>
      <c r="R1401">
        <v>6.9</v>
      </c>
      <c r="S1401">
        <v>10.5</v>
      </c>
      <c r="T1401">
        <v>4.3</v>
      </c>
      <c r="U1401">
        <v>3.6</v>
      </c>
      <c r="V1401">
        <v>0</v>
      </c>
      <c r="W1401">
        <v>0</v>
      </c>
      <c r="X1401">
        <v>0</v>
      </c>
      <c r="Y1401">
        <v>0</v>
      </c>
      <c r="Z1401">
        <v>14.2</v>
      </c>
      <c r="AA1401">
        <v>27.4</v>
      </c>
      <c r="AB1401">
        <v>337</v>
      </c>
      <c r="AC1401">
        <v>74</v>
      </c>
      <c r="AD1401">
        <v>18.3</v>
      </c>
      <c r="AE1401">
        <v>10.3</v>
      </c>
      <c r="AF1401">
        <v>31.036999999999999</v>
      </c>
      <c r="AG1401">
        <v>71.978999999999999</v>
      </c>
      <c r="AH1401">
        <v>68.713999999999999</v>
      </c>
      <c r="AI1401">
        <v>46.924999999999997</v>
      </c>
      <c r="AJ1401">
        <v>24.03</v>
      </c>
      <c r="AK1401">
        <v>23.454000000000001</v>
      </c>
      <c r="AL1401">
        <v>-6.7050000000000001</v>
      </c>
      <c r="AM1401">
        <v>68.713999999999999</v>
      </c>
      <c r="AN1401">
        <v>71.978999999999999</v>
      </c>
      <c r="AO1401">
        <v>31.036999999999999</v>
      </c>
      <c r="AP1401">
        <v>6.7050000000000001</v>
      </c>
      <c r="AQ1401">
        <v>75.97</v>
      </c>
      <c r="AR1401">
        <v>53.075000000000003</v>
      </c>
      <c r="AS1401">
        <v>76.546000000000006</v>
      </c>
    </row>
    <row r="1402" spans="1:45" x14ac:dyDescent="0.25">
      <c r="A1402">
        <v>63</v>
      </c>
      <c r="B1402">
        <v>21</v>
      </c>
      <c r="C1402">
        <v>1</v>
      </c>
      <c r="D1402">
        <v>2023</v>
      </c>
      <c r="E1402">
        <v>6</v>
      </c>
      <c r="F1402" t="str">
        <f>IFERROR(VLOOKUP(G1402, Map!$A$1:$B$33, 2, FALSE),"WAS")</f>
        <v>MIA</v>
      </c>
      <c r="G1402" t="s">
        <v>152</v>
      </c>
      <c r="H1402" t="str">
        <f>IFERROR(VLOOKUP(I1402, Map!$A$1:$B$33, 2, FALSE),"WAS")</f>
        <v>CAR</v>
      </c>
      <c r="I1402" t="s">
        <v>142</v>
      </c>
      <c r="J1402" t="s">
        <v>175</v>
      </c>
      <c r="K1402" t="s">
        <v>185</v>
      </c>
      <c r="L1402">
        <v>1</v>
      </c>
      <c r="M1402">
        <v>0</v>
      </c>
      <c r="N1402">
        <v>42.866666666666703</v>
      </c>
      <c r="O1402">
        <v>-13.033333333333299</v>
      </c>
      <c r="P1402">
        <v>-6.5</v>
      </c>
      <c r="Q1402">
        <v>0</v>
      </c>
      <c r="R1402">
        <v>26.3</v>
      </c>
      <c r="S1402">
        <v>30.7</v>
      </c>
      <c r="T1402">
        <v>21.7</v>
      </c>
      <c r="U1402">
        <v>29.5</v>
      </c>
      <c r="V1402">
        <v>0</v>
      </c>
      <c r="W1402">
        <v>0</v>
      </c>
      <c r="X1402">
        <v>0</v>
      </c>
      <c r="Y1402">
        <v>0</v>
      </c>
      <c r="Z1402">
        <v>17.600000000000001</v>
      </c>
      <c r="AA1402">
        <v>33.799999999999997</v>
      </c>
      <c r="AB1402">
        <v>278</v>
      </c>
      <c r="AC1402">
        <v>78</v>
      </c>
      <c r="AD1402">
        <v>23.8</v>
      </c>
      <c r="AE1402">
        <v>12.4</v>
      </c>
      <c r="AF1402">
        <v>87.692999999999998</v>
      </c>
      <c r="AG1402">
        <v>48.963999999999999</v>
      </c>
      <c r="AH1402">
        <v>12.209</v>
      </c>
      <c r="AI1402">
        <v>54.932000000000002</v>
      </c>
      <c r="AJ1402">
        <v>91.5</v>
      </c>
      <c r="AK1402">
        <v>88.15</v>
      </c>
      <c r="AL1402">
        <v>15.862</v>
      </c>
      <c r="AM1402">
        <v>12.209</v>
      </c>
      <c r="AN1402">
        <v>48.963999999999999</v>
      </c>
      <c r="AO1402">
        <v>87.692999999999998</v>
      </c>
      <c r="AP1402">
        <v>-15.862</v>
      </c>
      <c r="AQ1402">
        <v>8.5</v>
      </c>
      <c r="AR1402">
        <v>45.067999999999998</v>
      </c>
      <c r="AS1402">
        <v>11.85</v>
      </c>
    </row>
    <row r="1403" spans="1:45" x14ac:dyDescent="0.25">
      <c r="A1403">
        <v>35</v>
      </c>
      <c r="B1403">
        <v>17</v>
      </c>
      <c r="C1403">
        <v>1</v>
      </c>
      <c r="D1403">
        <v>2023</v>
      </c>
      <c r="E1403">
        <v>6</v>
      </c>
      <c r="F1403" t="str">
        <f>IFERROR(VLOOKUP(G1403, Map!$A$1:$B$33, 2, FALSE),"WAS")</f>
        <v>LA</v>
      </c>
      <c r="G1403" t="s">
        <v>155</v>
      </c>
      <c r="H1403" t="str">
        <f>IFERROR(VLOOKUP(I1403, Map!$A$1:$B$33, 2, FALSE),"WAS")</f>
        <v>ARI</v>
      </c>
      <c r="I1403" t="s">
        <v>156</v>
      </c>
      <c r="J1403" t="s">
        <v>178</v>
      </c>
      <c r="K1403" t="s">
        <v>190</v>
      </c>
      <c r="L1403">
        <v>1</v>
      </c>
      <c r="M1403">
        <v>0</v>
      </c>
      <c r="N1403">
        <v>39.933333333333302</v>
      </c>
      <c r="O1403">
        <v>-7.6</v>
      </c>
      <c r="P1403">
        <v>-3.5</v>
      </c>
      <c r="Q1403">
        <v>0</v>
      </c>
      <c r="R1403">
        <v>21.3</v>
      </c>
      <c r="S1403">
        <v>30.7</v>
      </c>
      <c r="T1403">
        <v>14.9</v>
      </c>
      <c r="U1403">
        <v>20.6</v>
      </c>
      <c r="V1403">
        <v>0</v>
      </c>
      <c r="W1403">
        <v>0</v>
      </c>
      <c r="X1403">
        <v>0</v>
      </c>
      <c r="Y1403">
        <v>0</v>
      </c>
      <c r="Z1403">
        <v>20.9</v>
      </c>
      <c r="AA1403">
        <v>36.4</v>
      </c>
      <c r="AB1403">
        <v>260</v>
      </c>
      <c r="AC1403">
        <v>56</v>
      </c>
      <c r="AD1403">
        <v>14.8</v>
      </c>
      <c r="AE1403">
        <v>8</v>
      </c>
      <c r="AF1403">
        <v>72.653000000000006</v>
      </c>
      <c r="AG1403">
        <v>45.79</v>
      </c>
      <c r="AH1403">
        <v>27.129000000000001</v>
      </c>
      <c r="AI1403">
        <v>87.834999999999994</v>
      </c>
      <c r="AJ1403">
        <v>76.039000000000001</v>
      </c>
      <c r="AK1403">
        <v>78.861999999999995</v>
      </c>
      <c r="AL1403">
        <v>8.266</v>
      </c>
      <c r="AM1403">
        <v>27.129000000000001</v>
      </c>
      <c r="AN1403">
        <v>45.79</v>
      </c>
      <c r="AO1403">
        <v>72.653000000000006</v>
      </c>
      <c r="AP1403">
        <v>-8.266</v>
      </c>
      <c r="AQ1403">
        <v>23.960999999999999</v>
      </c>
      <c r="AR1403">
        <v>12.164999999999999</v>
      </c>
      <c r="AS1403">
        <v>21.138000000000002</v>
      </c>
    </row>
    <row r="1404" spans="1:45" x14ac:dyDescent="0.25">
      <c r="A1404">
        <v>36</v>
      </c>
      <c r="B1404">
        <v>2</v>
      </c>
      <c r="C1404">
        <v>1</v>
      </c>
      <c r="D1404">
        <v>2023</v>
      </c>
      <c r="E1404">
        <v>6</v>
      </c>
      <c r="F1404" t="str">
        <f>IFERROR(VLOOKUP(G1404, Map!$A$1:$B$33, 2, FALSE),"WAS")</f>
        <v>CLE</v>
      </c>
      <c r="G1404" t="s">
        <v>162</v>
      </c>
      <c r="H1404" t="str">
        <f>IFERROR(VLOOKUP(I1404, Map!$A$1:$B$33, 2, FALSE),"WAS")</f>
        <v>SF</v>
      </c>
      <c r="I1404" t="s">
        <v>143</v>
      </c>
      <c r="J1404" t="s">
        <v>171</v>
      </c>
      <c r="K1404" t="s">
        <v>197</v>
      </c>
      <c r="L1404">
        <v>1</v>
      </c>
      <c r="M1404">
        <v>0</v>
      </c>
      <c r="N1404">
        <v>31.466666666666701</v>
      </c>
      <c r="O1404">
        <v>6.6666666666666696</v>
      </c>
      <c r="P1404">
        <v>1</v>
      </c>
      <c r="Q1404">
        <v>0</v>
      </c>
      <c r="R1404">
        <v>11.3</v>
      </c>
      <c r="S1404">
        <v>12.1</v>
      </c>
      <c r="T1404">
        <v>10.4</v>
      </c>
      <c r="U1404">
        <v>6.4</v>
      </c>
      <c r="V1404">
        <v>4.5</v>
      </c>
      <c r="W1404">
        <v>0</v>
      </c>
      <c r="X1404">
        <v>21</v>
      </c>
      <c r="Y1404">
        <v>4.5</v>
      </c>
      <c r="Z1404">
        <v>34.9</v>
      </c>
      <c r="AA1404">
        <v>50.8</v>
      </c>
      <c r="AB1404">
        <v>357</v>
      </c>
      <c r="AC1404">
        <v>75</v>
      </c>
      <c r="AD1404">
        <v>40.5</v>
      </c>
      <c r="AE1404">
        <v>28.4</v>
      </c>
      <c r="AF1404">
        <v>26.145</v>
      </c>
      <c r="AG1404">
        <v>83.924999999999997</v>
      </c>
      <c r="AH1404">
        <v>73.644999999999996</v>
      </c>
      <c r="AI1404">
        <v>77.361000000000004</v>
      </c>
      <c r="AJ1404">
        <v>19.343</v>
      </c>
      <c r="AK1404">
        <v>51.512</v>
      </c>
      <c r="AL1404">
        <v>-8.6750000000000007</v>
      </c>
      <c r="AM1404">
        <v>73.644999999999996</v>
      </c>
      <c r="AN1404">
        <v>83.924999999999997</v>
      </c>
      <c r="AO1404">
        <v>26.145</v>
      </c>
      <c r="AP1404">
        <v>8.6750000000000007</v>
      </c>
      <c r="AQ1404">
        <v>80.656999999999996</v>
      </c>
      <c r="AR1404">
        <v>22.638999999999999</v>
      </c>
      <c r="AS1404">
        <v>48.488</v>
      </c>
    </row>
    <row r="1405" spans="1:45" x14ac:dyDescent="0.25">
      <c r="A1405">
        <v>32</v>
      </c>
      <c r="B1405">
        <v>-6</v>
      </c>
      <c r="C1405">
        <v>0</v>
      </c>
      <c r="D1405">
        <v>2023</v>
      </c>
      <c r="E1405">
        <v>6</v>
      </c>
      <c r="F1405" t="str">
        <f>IFERROR(VLOOKUP(G1405, Map!$A$1:$B$33, 2, FALSE),"WAS")</f>
        <v>CHI</v>
      </c>
      <c r="G1405" t="s">
        <v>163</v>
      </c>
      <c r="H1405" t="str">
        <f>IFERROR(VLOOKUP(I1405, Map!$A$1:$B$33, 2, FALSE),"WAS")</f>
        <v>MIN</v>
      </c>
      <c r="I1405" t="s">
        <v>153</v>
      </c>
      <c r="J1405" t="s">
        <v>216</v>
      </c>
      <c r="K1405" t="s">
        <v>214</v>
      </c>
      <c r="L1405">
        <v>0</v>
      </c>
      <c r="M1405">
        <v>0</v>
      </c>
      <c r="N1405">
        <v>40.25</v>
      </c>
      <c r="O1405">
        <v>3.5</v>
      </c>
      <c r="P1405">
        <v>2.5</v>
      </c>
      <c r="Q1405">
        <v>33.5</v>
      </c>
      <c r="R1405">
        <v>10.8</v>
      </c>
      <c r="S1405">
        <v>13.6</v>
      </c>
      <c r="T1405">
        <v>7.8</v>
      </c>
      <c r="U1405">
        <v>6.4</v>
      </c>
      <c r="V1405">
        <v>1.6</v>
      </c>
      <c r="W1405">
        <v>0</v>
      </c>
      <c r="X1405">
        <v>10</v>
      </c>
      <c r="Y1405">
        <v>1.6</v>
      </c>
      <c r="Z1405">
        <v>30</v>
      </c>
      <c r="AA1405">
        <v>46.4</v>
      </c>
      <c r="AB1405">
        <v>359</v>
      </c>
      <c r="AC1405">
        <v>77</v>
      </c>
      <c r="AD1405">
        <v>38.1</v>
      </c>
      <c r="AE1405">
        <v>24.3</v>
      </c>
      <c r="AF1405">
        <v>40.118000000000002</v>
      </c>
      <c r="AG1405">
        <v>53.213000000000001</v>
      </c>
      <c r="AH1405">
        <v>59.558999999999997</v>
      </c>
      <c r="AI1405">
        <v>78.497</v>
      </c>
      <c r="AJ1405">
        <v>6.7619999999999996</v>
      </c>
      <c r="AK1405">
        <v>29.414999999999999</v>
      </c>
      <c r="AL1405">
        <v>-3.359</v>
      </c>
      <c r="AM1405">
        <v>59.558999999999997</v>
      </c>
      <c r="AN1405">
        <v>53.213000000000001</v>
      </c>
      <c r="AO1405">
        <v>40.118000000000002</v>
      </c>
      <c r="AP1405">
        <v>3.359</v>
      </c>
      <c r="AQ1405">
        <v>93.238</v>
      </c>
      <c r="AR1405">
        <v>21.503</v>
      </c>
      <c r="AS1405">
        <v>70.584999999999994</v>
      </c>
    </row>
    <row r="1406" spans="1:45" x14ac:dyDescent="0.25">
      <c r="A1406">
        <v>27</v>
      </c>
      <c r="B1406">
        <v>11</v>
      </c>
      <c r="C1406">
        <v>1</v>
      </c>
      <c r="D1406">
        <v>2023</v>
      </c>
      <c r="E1406">
        <v>6</v>
      </c>
      <c r="F1406" t="str">
        <f>IFERROR(VLOOKUP(G1406, Map!$A$1:$B$33, 2, FALSE),"WAS")</f>
        <v>KC</v>
      </c>
      <c r="G1406" t="s">
        <v>158</v>
      </c>
      <c r="H1406" t="str">
        <f>IFERROR(VLOOKUP(I1406, Map!$A$1:$B$33, 2, FALSE),"WAS")</f>
        <v>DEN</v>
      </c>
      <c r="I1406" t="s">
        <v>159</v>
      </c>
      <c r="J1406" t="s">
        <v>202</v>
      </c>
      <c r="K1406" t="s">
        <v>183</v>
      </c>
      <c r="L1406">
        <v>1</v>
      </c>
      <c r="M1406">
        <v>0</v>
      </c>
      <c r="N1406">
        <v>39.6</v>
      </c>
      <c r="O1406">
        <v>-9.6666666666666696</v>
      </c>
      <c r="P1406">
        <v>-7.5</v>
      </c>
      <c r="Q1406">
        <v>0</v>
      </c>
      <c r="R1406">
        <v>17.399999999999999</v>
      </c>
      <c r="S1406">
        <v>21</v>
      </c>
      <c r="T1406">
        <v>13.9</v>
      </c>
      <c r="U1406">
        <v>14.3</v>
      </c>
      <c r="V1406">
        <v>1.6</v>
      </c>
      <c r="W1406">
        <v>0</v>
      </c>
      <c r="X1406">
        <v>2</v>
      </c>
      <c r="Y1406">
        <v>1.6</v>
      </c>
      <c r="Z1406">
        <v>33.700000000000003</v>
      </c>
      <c r="AA1406">
        <v>61.6</v>
      </c>
      <c r="AB1406">
        <v>222</v>
      </c>
      <c r="AC1406">
        <v>67</v>
      </c>
      <c r="AD1406">
        <v>44.9</v>
      </c>
      <c r="AE1406">
        <v>24.1</v>
      </c>
      <c r="AF1406">
        <v>84.906000000000006</v>
      </c>
      <c r="AG1406">
        <v>58.683</v>
      </c>
      <c r="AH1406">
        <v>14.973000000000001</v>
      </c>
      <c r="AI1406">
        <v>94.867999999999995</v>
      </c>
      <c r="AJ1406">
        <v>63.433999999999997</v>
      </c>
      <c r="AK1406">
        <v>87.543000000000006</v>
      </c>
      <c r="AL1406">
        <v>14.125999999999999</v>
      </c>
      <c r="AM1406">
        <v>14.973000000000001</v>
      </c>
      <c r="AN1406">
        <v>58.683</v>
      </c>
      <c r="AO1406">
        <v>84.906000000000006</v>
      </c>
      <c r="AP1406">
        <v>-14.125999999999999</v>
      </c>
      <c r="AQ1406">
        <v>36.566000000000003</v>
      </c>
      <c r="AR1406">
        <v>5.1319999999999997</v>
      </c>
      <c r="AS1406">
        <v>12.457000000000001</v>
      </c>
    </row>
    <row r="1407" spans="1:45" x14ac:dyDescent="0.25">
      <c r="A1407">
        <v>36</v>
      </c>
      <c r="B1407">
        <v>2</v>
      </c>
      <c r="C1407">
        <v>1</v>
      </c>
      <c r="D1407">
        <v>2023</v>
      </c>
      <c r="E1407">
        <v>7</v>
      </c>
      <c r="F1407" t="str">
        <f>IFERROR(VLOOKUP(G1407, Map!$A$1:$B$33, 2, FALSE),"WAS")</f>
        <v>DEN</v>
      </c>
      <c r="G1407" t="s">
        <v>159</v>
      </c>
      <c r="H1407" t="str">
        <f>IFERROR(VLOOKUP(I1407, Map!$A$1:$B$33, 2, FALSE),"WAS")</f>
        <v>GB</v>
      </c>
      <c r="I1407" t="s">
        <v>154</v>
      </c>
      <c r="J1407" t="s">
        <v>183</v>
      </c>
      <c r="K1407" t="s">
        <v>200</v>
      </c>
      <c r="L1407">
        <v>1</v>
      </c>
      <c r="M1407">
        <v>0</v>
      </c>
      <c r="N1407">
        <v>37.233333333333299</v>
      </c>
      <c r="O1407">
        <v>-1.2666666666666699</v>
      </c>
      <c r="P1407">
        <v>-1</v>
      </c>
      <c r="Q1407">
        <v>0</v>
      </c>
      <c r="R1407">
        <v>14.5</v>
      </c>
      <c r="S1407">
        <v>23.5</v>
      </c>
      <c r="T1407">
        <v>6.7</v>
      </c>
      <c r="U1407">
        <v>10.9</v>
      </c>
      <c r="V1407">
        <v>0</v>
      </c>
      <c r="W1407">
        <v>0</v>
      </c>
      <c r="X1407">
        <v>0</v>
      </c>
      <c r="Y1407">
        <v>0</v>
      </c>
      <c r="Z1407">
        <v>11.4</v>
      </c>
      <c r="AA1407">
        <v>29.2</v>
      </c>
      <c r="AB1407">
        <v>309</v>
      </c>
      <c r="AC1407">
        <v>33</v>
      </c>
      <c r="AD1407">
        <v>15.5</v>
      </c>
      <c r="AE1407">
        <v>7.6</v>
      </c>
      <c r="AF1407">
        <v>42.896000000000001</v>
      </c>
      <c r="AG1407">
        <v>52.984000000000002</v>
      </c>
      <c r="AH1407">
        <v>56.759</v>
      </c>
      <c r="AI1407">
        <v>38.465000000000003</v>
      </c>
      <c r="AJ1407">
        <v>65.784000000000006</v>
      </c>
      <c r="AK1407">
        <v>57.06</v>
      </c>
      <c r="AL1407">
        <v>-2.3719999999999999</v>
      </c>
      <c r="AM1407">
        <v>56.759</v>
      </c>
      <c r="AN1407">
        <v>52.984000000000002</v>
      </c>
      <c r="AO1407">
        <v>42.896000000000001</v>
      </c>
      <c r="AP1407">
        <v>2.3719999999999999</v>
      </c>
      <c r="AQ1407">
        <v>34.216000000000001</v>
      </c>
      <c r="AR1407">
        <v>61.534999999999997</v>
      </c>
      <c r="AS1407">
        <v>42.94</v>
      </c>
    </row>
    <row r="1408" spans="1:45" x14ac:dyDescent="0.25">
      <c r="A1408">
        <v>29</v>
      </c>
      <c r="B1408">
        <v>-3</v>
      </c>
      <c r="C1408">
        <v>0</v>
      </c>
      <c r="D1408">
        <v>2023</v>
      </c>
      <c r="E1408">
        <v>7</v>
      </c>
      <c r="F1408" t="str">
        <f>IFERROR(VLOOKUP(G1408, Map!$A$1:$B$33, 2, FALSE),"WAS")</f>
        <v>TB</v>
      </c>
      <c r="G1408" t="s">
        <v>141</v>
      </c>
      <c r="H1408" t="str">
        <f>IFERROR(VLOOKUP(I1408, Map!$A$1:$B$33, 2, FALSE),"WAS")</f>
        <v>ATL</v>
      </c>
      <c r="I1408" t="s">
        <v>167</v>
      </c>
      <c r="J1408" t="s">
        <v>186</v>
      </c>
      <c r="K1408" t="s">
        <v>188</v>
      </c>
      <c r="L1408">
        <v>0</v>
      </c>
      <c r="M1408">
        <v>0</v>
      </c>
      <c r="N1408">
        <v>31.433333333333302</v>
      </c>
      <c r="O1408">
        <v>-1.86666666666667</v>
      </c>
      <c r="P1408">
        <v>-0.5</v>
      </c>
      <c r="Q1408">
        <v>0</v>
      </c>
      <c r="R1408">
        <v>22</v>
      </c>
      <c r="S1408">
        <v>29</v>
      </c>
      <c r="T1408">
        <v>15.4</v>
      </c>
      <c r="U1408">
        <v>22.8</v>
      </c>
      <c r="V1408">
        <v>0.1</v>
      </c>
      <c r="W1408">
        <v>0</v>
      </c>
      <c r="X1408">
        <v>1</v>
      </c>
      <c r="Y1408">
        <v>0.1</v>
      </c>
      <c r="Z1408">
        <v>14.8</v>
      </c>
      <c r="AA1408">
        <v>26.6</v>
      </c>
      <c r="AB1408">
        <v>344</v>
      </c>
      <c r="AC1408">
        <v>68</v>
      </c>
      <c r="AD1408">
        <v>15.3</v>
      </c>
      <c r="AE1408">
        <v>7.3</v>
      </c>
      <c r="AF1408">
        <v>52.517000000000003</v>
      </c>
      <c r="AG1408">
        <v>39.667999999999999</v>
      </c>
      <c r="AH1408">
        <v>47.103999999999999</v>
      </c>
      <c r="AI1408">
        <v>65.451999999999998</v>
      </c>
      <c r="AJ1408">
        <v>29.533000000000001</v>
      </c>
      <c r="AK1408">
        <v>44.707999999999998</v>
      </c>
      <c r="AL1408">
        <v>0.92200000000000004</v>
      </c>
      <c r="AM1408">
        <v>47.103999999999999</v>
      </c>
      <c r="AN1408">
        <v>39.667999999999999</v>
      </c>
      <c r="AO1408">
        <v>52.517000000000003</v>
      </c>
      <c r="AP1408">
        <v>-0.92200000000000004</v>
      </c>
      <c r="AQ1408">
        <v>70.466999999999999</v>
      </c>
      <c r="AR1408">
        <v>34.548000000000002</v>
      </c>
      <c r="AS1408">
        <v>55.292000000000002</v>
      </c>
    </row>
    <row r="1409" spans="1:45" x14ac:dyDescent="0.25">
      <c r="A1409">
        <v>21</v>
      </c>
      <c r="B1409">
        <v>7</v>
      </c>
      <c r="C1409">
        <v>1</v>
      </c>
      <c r="D1409">
        <v>2023</v>
      </c>
      <c r="E1409">
        <v>7</v>
      </c>
      <c r="F1409" t="str">
        <f>IFERROR(VLOOKUP(G1409, Map!$A$1:$B$33, 2, FALSE),"WAS")</f>
        <v>NYG</v>
      </c>
      <c r="G1409" t="s">
        <v>149</v>
      </c>
      <c r="H1409" t="str">
        <f>IFERROR(VLOOKUP(I1409, Map!$A$1:$B$33, 2, FALSE),"WAS")</f>
        <v>WAS</v>
      </c>
      <c r="I1409" t="s">
        <v>148</v>
      </c>
      <c r="J1409" t="s">
        <v>219</v>
      </c>
      <c r="K1409" t="s">
        <v>205</v>
      </c>
      <c r="L1409">
        <v>1</v>
      </c>
      <c r="M1409">
        <v>0</v>
      </c>
      <c r="N1409">
        <v>33.5</v>
      </c>
      <c r="O1409">
        <v>1.28571428571429</v>
      </c>
      <c r="P1409">
        <v>1.5</v>
      </c>
      <c r="Q1409">
        <v>0</v>
      </c>
      <c r="R1409">
        <v>12.1</v>
      </c>
      <c r="S1409">
        <v>14.3</v>
      </c>
      <c r="T1409">
        <v>10.199999999999999</v>
      </c>
      <c r="U1409">
        <v>7.9</v>
      </c>
      <c r="V1409">
        <v>0</v>
      </c>
      <c r="W1409">
        <v>0</v>
      </c>
      <c r="X1409">
        <v>0</v>
      </c>
      <c r="Y1409">
        <v>0</v>
      </c>
      <c r="Z1409">
        <v>25.8</v>
      </c>
      <c r="AA1409">
        <v>53.3</v>
      </c>
      <c r="AB1409">
        <v>286</v>
      </c>
      <c r="AC1409">
        <v>62</v>
      </c>
      <c r="AD1409">
        <v>40.200000000000003</v>
      </c>
      <c r="AE1409">
        <v>20.3</v>
      </c>
      <c r="AF1409">
        <v>38.289000000000001</v>
      </c>
      <c r="AG1409">
        <v>4.4580000000000002</v>
      </c>
      <c r="AH1409">
        <v>61.404000000000003</v>
      </c>
      <c r="AI1409">
        <v>87.195999999999998</v>
      </c>
      <c r="AJ1409">
        <v>51.234000000000002</v>
      </c>
      <c r="AK1409">
        <v>72.207999999999998</v>
      </c>
      <c r="AL1409">
        <v>-3.992</v>
      </c>
      <c r="AM1409">
        <v>61.404000000000003</v>
      </c>
      <c r="AN1409">
        <v>4.4580000000000002</v>
      </c>
      <c r="AO1409">
        <v>38.289000000000001</v>
      </c>
      <c r="AP1409">
        <v>3.992</v>
      </c>
      <c r="AQ1409">
        <v>48.765999999999998</v>
      </c>
      <c r="AR1409">
        <v>12.804</v>
      </c>
      <c r="AS1409">
        <v>27.792000000000002</v>
      </c>
    </row>
    <row r="1410" spans="1:45" x14ac:dyDescent="0.25">
      <c r="A1410">
        <v>48</v>
      </c>
      <c r="B1410">
        <v>14</v>
      </c>
      <c r="C1410">
        <v>1</v>
      </c>
      <c r="D1410">
        <v>2023</v>
      </c>
      <c r="E1410">
        <v>7</v>
      </c>
      <c r="F1410" t="str">
        <f>IFERROR(VLOOKUP(G1410, Map!$A$1:$B$33, 2, FALSE),"WAS")</f>
        <v>KC</v>
      </c>
      <c r="G1410" t="s">
        <v>158</v>
      </c>
      <c r="H1410" t="str">
        <f>IFERROR(VLOOKUP(I1410, Map!$A$1:$B$33, 2, FALSE),"WAS")</f>
        <v>LAC</v>
      </c>
      <c r="I1410" t="s">
        <v>160</v>
      </c>
      <c r="J1410" t="s">
        <v>202</v>
      </c>
      <c r="K1410" t="s">
        <v>210</v>
      </c>
      <c r="L1410">
        <v>1</v>
      </c>
      <c r="M1410">
        <v>0</v>
      </c>
      <c r="N1410">
        <v>42.066666666666698</v>
      </c>
      <c r="O1410">
        <v>-6.5</v>
      </c>
      <c r="P1410">
        <v>-5.5</v>
      </c>
      <c r="Q1410">
        <v>0</v>
      </c>
      <c r="R1410">
        <v>14.8</v>
      </c>
      <c r="S1410">
        <v>21</v>
      </c>
      <c r="T1410">
        <v>8.8000000000000007</v>
      </c>
      <c r="U1410">
        <v>11.9</v>
      </c>
      <c r="V1410">
        <v>0</v>
      </c>
      <c r="W1410">
        <v>0</v>
      </c>
      <c r="X1410">
        <v>0</v>
      </c>
      <c r="Y1410">
        <v>0</v>
      </c>
      <c r="Z1410">
        <v>18.899999999999999</v>
      </c>
      <c r="AA1410">
        <v>34.200000000000003</v>
      </c>
      <c r="AB1410">
        <v>85</v>
      </c>
      <c r="AC1410">
        <v>54</v>
      </c>
      <c r="AD1410">
        <v>21.8</v>
      </c>
      <c r="AE1410">
        <v>11.6</v>
      </c>
      <c r="AF1410">
        <v>68.557000000000002</v>
      </c>
      <c r="AG1410">
        <v>65.620999999999995</v>
      </c>
      <c r="AH1410">
        <v>31.192</v>
      </c>
      <c r="AI1410">
        <v>51.686999999999998</v>
      </c>
      <c r="AJ1410">
        <v>81.158000000000001</v>
      </c>
      <c r="AK1410">
        <v>72.730999999999995</v>
      </c>
      <c r="AL1410">
        <v>6.6130000000000004</v>
      </c>
      <c r="AM1410">
        <v>31.192</v>
      </c>
      <c r="AN1410">
        <v>65.620999999999995</v>
      </c>
      <c r="AO1410">
        <v>68.557000000000002</v>
      </c>
      <c r="AP1410">
        <v>-6.6130000000000004</v>
      </c>
      <c r="AQ1410">
        <v>18.841999999999999</v>
      </c>
      <c r="AR1410">
        <v>48.313000000000002</v>
      </c>
      <c r="AS1410">
        <v>27.268999999999998</v>
      </c>
    </row>
    <row r="1411" spans="1:45" x14ac:dyDescent="0.25">
      <c r="A1411">
        <v>48</v>
      </c>
      <c r="B1411">
        <v>14</v>
      </c>
      <c r="C1411">
        <v>1</v>
      </c>
      <c r="D1411">
        <v>2023</v>
      </c>
      <c r="E1411">
        <v>7</v>
      </c>
      <c r="F1411" t="str">
        <f>IFERROR(VLOOKUP(G1411, Map!$A$1:$B$33, 2, FALSE),"WAS")</f>
        <v>PHI</v>
      </c>
      <c r="G1411" t="s">
        <v>147</v>
      </c>
      <c r="H1411" t="str">
        <f>IFERROR(VLOOKUP(I1411, Map!$A$1:$B$33, 2, FALSE),"WAS")</f>
        <v>MIA</v>
      </c>
      <c r="I1411" t="s">
        <v>152</v>
      </c>
      <c r="J1411" t="s">
        <v>206</v>
      </c>
      <c r="K1411" t="s">
        <v>175</v>
      </c>
      <c r="L1411">
        <v>1</v>
      </c>
      <c r="M1411">
        <v>0</v>
      </c>
      <c r="N1411">
        <v>45</v>
      </c>
      <c r="O1411">
        <v>-4.3666666666666698</v>
      </c>
      <c r="P1411">
        <v>-2.5</v>
      </c>
      <c r="Q1411">
        <v>0</v>
      </c>
      <c r="R1411">
        <v>11.5</v>
      </c>
      <c r="S1411">
        <v>16.7</v>
      </c>
      <c r="T1411">
        <v>7.8</v>
      </c>
      <c r="U1411">
        <v>7.7</v>
      </c>
      <c r="V1411">
        <v>0</v>
      </c>
      <c r="W1411">
        <v>0</v>
      </c>
      <c r="X1411">
        <v>0</v>
      </c>
      <c r="Y1411">
        <v>0</v>
      </c>
      <c r="Z1411">
        <v>19.7</v>
      </c>
      <c r="AA1411">
        <v>36.700000000000003</v>
      </c>
      <c r="AB1411">
        <v>312</v>
      </c>
      <c r="AC1411">
        <v>51</v>
      </c>
      <c r="AD1411">
        <v>28</v>
      </c>
      <c r="AE1411">
        <v>14.2</v>
      </c>
      <c r="AF1411">
        <v>41.164000000000001</v>
      </c>
      <c r="AG1411">
        <v>78.875</v>
      </c>
      <c r="AH1411">
        <v>58.505000000000003</v>
      </c>
      <c r="AI1411">
        <v>79.344999999999999</v>
      </c>
      <c r="AJ1411">
        <v>61.853999999999999</v>
      </c>
      <c r="AK1411">
        <v>77.962999999999994</v>
      </c>
      <c r="AL1411">
        <v>-2.976</v>
      </c>
      <c r="AM1411">
        <v>58.505000000000003</v>
      </c>
      <c r="AN1411">
        <v>78.875</v>
      </c>
      <c r="AO1411">
        <v>41.164000000000001</v>
      </c>
      <c r="AP1411">
        <v>2.976</v>
      </c>
      <c r="AQ1411">
        <v>38.146000000000001</v>
      </c>
      <c r="AR1411">
        <v>20.655000000000001</v>
      </c>
      <c r="AS1411">
        <v>22.036999999999999</v>
      </c>
    </row>
    <row r="1412" spans="1:45" x14ac:dyDescent="0.25">
      <c r="A1412">
        <v>41</v>
      </c>
      <c r="B1412">
        <v>-7</v>
      </c>
      <c r="C1412">
        <v>0</v>
      </c>
      <c r="D1412">
        <v>2023</v>
      </c>
      <c r="E1412">
        <v>7</v>
      </c>
      <c r="F1412" t="str">
        <f>IFERROR(VLOOKUP(G1412, Map!$A$1:$B$33, 2, FALSE),"WAS")</f>
        <v>LA</v>
      </c>
      <c r="G1412" t="s">
        <v>155</v>
      </c>
      <c r="H1412" t="str">
        <f>IFERROR(VLOOKUP(I1412, Map!$A$1:$B$33, 2, FALSE),"WAS")</f>
        <v>PIT</v>
      </c>
      <c r="I1412" t="s">
        <v>145</v>
      </c>
      <c r="J1412" t="s">
        <v>178</v>
      </c>
      <c r="K1412" t="s">
        <v>170</v>
      </c>
      <c r="L1412">
        <v>0</v>
      </c>
      <c r="M1412">
        <v>0</v>
      </c>
      <c r="N1412">
        <v>40.392857142857103</v>
      </c>
      <c r="O1412">
        <v>-1.9285714285714299</v>
      </c>
      <c r="P1412">
        <v>-3</v>
      </c>
      <c r="Q1412">
        <v>41.5</v>
      </c>
      <c r="R1412">
        <v>18.3</v>
      </c>
      <c r="S1412">
        <v>23.4</v>
      </c>
      <c r="T1412">
        <v>14.8</v>
      </c>
      <c r="U1412">
        <v>18.399999999999999</v>
      </c>
      <c r="V1412">
        <v>0</v>
      </c>
      <c r="W1412">
        <v>0</v>
      </c>
      <c r="X1412">
        <v>0</v>
      </c>
      <c r="Y1412">
        <v>0</v>
      </c>
      <c r="Z1412">
        <v>23.2</v>
      </c>
      <c r="AA1412">
        <v>46.1</v>
      </c>
      <c r="AB1412">
        <v>196</v>
      </c>
      <c r="AC1412">
        <v>83</v>
      </c>
      <c r="AD1412">
        <v>20.2</v>
      </c>
      <c r="AE1412">
        <v>10.9</v>
      </c>
      <c r="AF1412">
        <v>58.29</v>
      </c>
      <c r="AG1412">
        <v>60.009</v>
      </c>
      <c r="AH1412">
        <v>41.378</v>
      </c>
      <c r="AI1412">
        <v>44.125999999999998</v>
      </c>
      <c r="AJ1412">
        <v>51.170999999999999</v>
      </c>
      <c r="AK1412">
        <v>31.901</v>
      </c>
      <c r="AL1412">
        <v>2.9009999999999998</v>
      </c>
      <c r="AM1412">
        <v>41.378</v>
      </c>
      <c r="AN1412">
        <v>60.009</v>
      </c>
      <c r="AO1412">
        <v>58.29</v>
      </c>
      <c r="AP1412">
        <v>-2.9009999999999998</v>
      </c>
      <c r="AQ1412">
        <v>48.829000000000001</v>
      </c>
      <c r="AR1412">
        <v>55.874000000000002</v>
      </c>
      <c r="AS1412">
        <v>68.099000000000004</v>
      </c>
    </row>
    <row r="1413" spans="1:45" x14ac:dyDescent="0.25">
      <c r="A1413">
        <v>39</v>
      </c>
      <c r="B1413">
        <v>5</v>
      </c>
      <c r="C1413">
        <v>1</v>
      </c>
      <c r="D1413">
        <v>2023</v>
      </c>
      <c r="E1413">
        <v>7</v>
      </c>
      <c r="F1413" t="str">
        <f>IFERROR(VLOOKUP(G1413, Map!$A$1:$B$33, 2, FALSE),"WAS")</f>
        <v>MIN</v>
      </c>
      <c r="G1413" t="s">
        <v>153</v>
      </c>
      <c r="H1413" t="str">
        <f>IFERROR(VLOOKUP(I1413, Map!$A$1:$B$33, 2, FALSE),"WAS")</f>
        <v>SF</v>
      </c>
      <c r="I1413" t="s">
        <v>143</v>
      </c>
      <c r="J1413" t="s">
        <v>214</v>
      </c>
      <c r="K1413" t="s">
        <v>197</v>
      </c>
      <c r="L1413">
        <v>1</v>
      </c>
      <c r="M1413">
        <v>0</v>
      </c>
      <c r="N1413">
        <v>37.8333333333333</v>
      </c>
      <c r="O1413">
        <v>4.3</v>
      </c>
      <c r="P1413">
        <v>1</v>
      </c>
      <c r="Q1413">
        <v>0</v>
      </c>
      <c r="R1413">
        <v>12.3</v>
      </c>
      <c r="S1413">
        <v>17.2</v>
      </c>
      <c r="T1413">
        <v>8.8000000000000007</v>
      </c>
      <c r="U1413">
        <v>11.4</v>
      </c>
      <c r="V1413">
        <v>10.1</v>
      </c>
      <c r="W1413">
        <v>0</v>
      </c>
      <c r="X1413">
        <v>6</v>
      </c>
      <c r="Y1413">
        <v>10.1</v>
      </c>
      <c r="Z1413">
        <v>13.1</v>
      </c>
      <c r="AA1413">
        <v>27</v>
      </c>
      <c r="AB1413">
        <v>49</v>
      </c>
      <c r="AC1413">
        <v>90</v>
      </c>
      <c r="AD1413">
        <v>18.2</v>
      </c>
      <c r="AE1413">
        <v>8.1999999999999993</v>
      </c>
      <c r="AF1413">
        <v>29.698</v>
      </c>
      <c r="AG1413">
        <v>91.832999999999998</v>
      </c>
      <c r="AH1413">
        <v>70.063999999999993</v>
      </c>
      <c r="AI1413">
        <v>42.125999999999998</v>
      </c>
      <c r="AJ1413">
        <v>82.406999999999996</v>
      </c>
      <c r="AK1413">
        <v>67.807000000000002</v>
      </c>
      <c r="AL1413">
        <v>-7.1950000000000003</v>
      </c>
      <c r="AM1413">
        <v>70.063999999999993</v>
      </c>
      <c r="AN1413">
        <v>91.832999999999998</v>
      </c>
      <c r="AO1413">
        <v>29.698</v>
      </c>
      <c r="AP1413">
        <v>7.1950000000000003</v>
      </c>
      <c r="AQ1413">
        <v>17.593</v>
      </c>
      <c r="AR1413">
        <v>57.874000000000002</v>
      </c>
      <c r="AS1413">
        <v>32.192999999999998</v>
      </c>
    </row>
    <row r="1414" spans="1:45" x14ac:dyDescent="0.25">
      <c r="A1414">
        <v>77</v>
      </c>
      <c r="B1414">
        <v>-1</v>
      </c>
      <c r="C1414">
        <v>0</v>
      </c>
      <c r="D1414">
        <v>2023</v>
      </c>
      <c r="E1414">
        <v>7</v>
      </c>
      <c r="F1414" t="str">
        <f>IFERROR(VLOOKUP(G1414, Map!$A$1:$B$33, 2, FALSE),"WAS")</f>
        <v>IND</v>
      </c>
      <c r="G1414" t="s">
        <v>138</v>
      </c>
      <c r="H1414" t="str">
        <f>IFERROR(VLOOKUP(I1414, Map!$A$1:$B$33, 2, FALSE),"WAS")</f>
        <v>CLE</v>
      </c>
      <c r="I1414" t="s">
        <v>162</v>
      </c>
      <c r="J1414" t="s">
        <v>177</v>
      </c>
      <c r="K1414" t="s">
        <v>171</v>
      </c>
      <c r="L1414">
        <v>0</v>
      </c>
      <c r="M1414">
        <v>0</v>
      </c>
      <c r="N1414">
        <v>39.033333333333303</v>
      </c>
      <c r="O1414">
        <v>1.8</v>
      </c>
      <c r="P1414">
        <v>1.5</v>
      </c>
      <c r="Q1414">
        <v>0</v>
      </c>
      <c r="R1414">
        <v>10.9</v>
      </c>
      <c r="S1414">
        <v>16.2</v>
      </c>
      <c r="T1414">
        <v>6.5</v>
      </c>
      <c r="U1414">
        <v>7.8</v>
      </c>
      <c r="V1414">
        <v>0</v>
      </c>
      <c r="W1414">
        <v>0</v>
      </c>
      <c r="X1414">
        <v>0</v>
      </c>
      <c r="Y1414">
        <v>0</v>
      </c>
      <c r="Z1414">
        <v>23.1</v>
      </c>
      <c r="AA1414">
        <v>42.8</v>
      </c>
      <c r="AB1414">
        <v>340</v>
      </c>
      <c r="AC1414">
        <v>67</v>
      </c>
      <c r="AD1414">
        <v>27.1</v>
      </c>
      <c r="AE1414">
        <v>13.2</v>
      </c>
      <c r="AF1414">
        <v>39.814999999999998</v>
      </c>
      <c r="AG1414">
        <v>43.701999999999998</v>
      </c>
      <c r="AH1414">
        <v>59.866</v>
      </c>
      <c r="AI1414">
        <v>72.694000000000003</v>
      </c>
      <c r="AJ1414">
        <v>40.581000000000003</v>
      </c>
      <c r="AK1414">
        <v>44.253</v>
      </c>
      <c r="AL1414">
        <v>-3.45</v>
      </c>
      <c r="AM1414">
        <v>59.866</v>
      </c>
      <c r="AN1414">
        <v>43.701999999999998</v>
      </c>
      <c r="AO1414">
        <v>39.814999999999998</v>
      </c>
      <c r="AP1414">
        <v>3.45</v>
      </c>
      <c r="AQ1414">
        <v>59.418999999999997</v>
      </c>
      <c r="AR1414">
        <v>27.306000000000001</v>
      </c>
      <c r="AS1414">
        <v>55.747</v>
      </c>
    </row>
    <row r="1415" spans="1:45" x14ac:dyDescent="0.25">
      <c r="A1415">
        <v>30</v>
      </c>
      <c r="B1415">
        <v>10</v>
      </c>
      <c r="C1415">
        <v>1</v>
      </c>
      <c r="D1415">
        <v>2023</v>
      </c>
      <c r="E1415">
        <v>7</v>
      </c>
      <c r="F1415" t="str">
        <f>IFERROR(VLOOKUP(G1415, Map!$A$1:$B$33, 2, FALSE),"WAS")</f>
        <v>SEA</v>
      </c>
      <c r="G1415" t="s">
        <v>144</v>
      </c>
      <c r="H1415" t="str">
        <f>IFERROR(VLOOKUP(I1415, Map!$A$1:$B$33, 2, FALSE),"WAS")</f>
        <v>ARI</v>
      </c>
      <c r="I1415" t="s">
        <v>156</v>
      </c>
      <c r="J1415" t="s">
        <v>182</v>
      </c>
      <c r="K1415" t="s">
        <v>190</v>
      </c>
      <c r="L1415">
        <v>1</v>
      </c>
      <c r="M1415">
        <v>0</v>
      </c>
      <c r="N1415">
        <v>36.1</v>
      </c>
      <c r="O1415">
        <v>-8.5</v>
      </c>
      <c r="P1415">
        <v>-7</v>
      </c>
      <c r="Q1415">
        <v>0</v>
      </c>
      <c r="R1415">
        <v>11.4</v>
      </c>
      <c r="S1415">
        <v>13.9</v>
      </c>
      <c r="T1415">
        <v>10.3</v>
      </c>
      <c r="U1415">
        <v>10.1</v>
      </c>
      <c r="V1415">
        <v>1</v>
      </c>
      <c r="W1415">
        <v>0</v>
      </c>
      <c r="X1415">
        <v>5</v>
      </c>
      <c r="Y1415">
        <v>1</v>
      </c>
      <c r="Z1415">
        <v>13.4</v>
      </c>
      <c r="AA1415">
        <v>25.9</v>
      </c>
      <c r="AB1415">
        <v>352</v>
      </c>
      <c r="AC1415">
        <v>88</v>
      </c>
      <c r="AD1415">
        <v>16.3</v>
      </c>
      <c r="AE1415">
        <v>8.4</v>
      </c>
      <c r="AF1415">
        <v>79.638000000000005</v>
      </c>
      <c r="AG1415">
        <v>40.031999999999996</v>
      </c>
      <c r="AH1415">
        <v>20.199000000000002</v>
      </c>
      <c r="AI1415">
        <v>81.772999999999996</v>
      </c>
      <c r="AJ1415">
        <v>47.72</v>
      </c>
      <c r="AK1415">
        <v>72.022000000000006</v>
      </c>
      <c r="AL1415">
        <v>11.297000000000001</v>
      </c>
      <c r="AM1415">
        <v>20.199000000000002</v>
      </c>
      <c r="AN1415">
        <v>40.031999999999996</v>
      </c>
      <c r="AO1415">
        <v>79.638000000000005</v>
      </c>
      <c r="AP1415">
        <v>-11.297000000000001</v>
      </c>
      <c r="AQ1415">
        <v>52.28</v>
      </c>
      <c r="AR1415">
        <v>18.227</v>
      </c>
      <c r="AS1415">
        <v>27.978000000000002</v>
      </c>
    </row>
    <row r="1416" spans="1:45" x14ac:dyDescent="0.25">
      <c r="A1416">
        <v>44</v>
      </c>
      <c r="B1416">
        <v>32</v>
      </c>
      <c r="C1416">
        <v>1</v>
      </c>
      <c r="D1416">
        <v>2023</v>
      </c>
      <c r="E1416">
        <v>7</v>
      </c>
      <c r="F1416" t="str">
        <f>IFERROR(VLOOKUP(G1416, Map!$A$1:$B$33, 2, FALSE),"WAS")</f>
        <v>BAL</v>
      </c>
      <c r="G1416" t="s">
        <v>146</v>
      </c>
      <c r="H1416" t="str">
        <f>IFERROR(VLOOKUP(I1416, Map!$A$1:$B$33, 2, FALSE),"WAS")</f>
        <v>DET</v>
      </c>
      <c r="I1416" t="s">
        <v>164</v>
      </c>
      <c r="J1416" t="s">
        <v>181</v>
      </c>
      <c r="K1416" t="s">
        <v>173</v>
      </c>
      <c r="L1416">
        <v>1</v>
      </c>
      <c r="M1416">
        <v>0</v>
      </c>
      <c r="N1416">
        <v>38.1666666666667</v>
      </c>
      <c r="O1416">
        <v>-6.5</v>
      </c>
      <c r="P1416">
        <v>-3</v>
      </c>
      <c r="Q1416">
        <v>0</v>
      </c>
      <c r="R1416">
        <v>12.3</v>
      </c>
      <c r="S1416">
        <v>15.6</v>
      </c>
      <c r="T1416">
        <v>9.3000000000000007</v>
      </c>
      <c r="U1416">
        <v>8.6999999999999993</v>
      </c>
      <c r="V1416">
        <v>7.4</v>
      </c>
      <c r="W1416">
        <v>0</v>
      </c>
      <c r="X1416">
        <v>6</v>
      </c>
      <c r="Y1416">
        <v>7.4</v>
      </c>
      <c r="Z1416">
        <v>26.4</v>
      </c>
      <c r="AA1416">
        <v>50.8</v>
      </c>
      <c r="AB1416">
        <v>289</v>
      </c>
      <c r="AC1416">
        <v>62</v>
      </c>
      <c r="AD1416">
        <v>32.4</v>
      </c>
      <c r="AE1416">
        <v>16.600000000000001</v>
      </c>
      <c r="AF1416">
        <v>53.914000000000001</v>
      </c>
      <c r="AG1416">
        <v>79.024000000000001</v>
      </c>
      <c r="AH1416">
        <v>45.719000000000001</v>
      </c>
      <c r="AI1416">
        <v>90.537999999999997</v>
      </c>
      <c r="AJ1416">
        <v>98.697000000000003</v>
      </c>
      <c r="AK1416">
        <v>99.3</v>
      </c>
      <c r="AL1416">
        <v>1.3979999999999999</v>
      </c>
      <c r="AM1416">
        <v>45.719000000000001</v>
      </c>
      <c r="AN1416">
        <v>79.024000000000001</v>
      </c>
      <c r="AO1416">
        <v>53.914000000000001</v>
      </c>
      <c r="AP1416">
        <v>-1.3979999999999999</v>
      </c>
      <c r="AQ1416">
        <v>1.3029999999999999</v>
      </c>
      <c r="AR1416">
        <v>9.4619999999999997</v>
      </c>
      <c r="AS1416">
        <v>0.7</v>
      </c>
    </row>
    <row r="1417" spans="1:45" x14ac:dyDescent="0.25">
      <c r="A1417">
        <v>55</v>
      </c>
      <c r="B1417">
        <v>-7</v>
      </c>
      <c r="C1417">
        <v>0</v>
      </c>
      <c r="D1417">
        <v>2023</v>
      </c>
      <c r="E1417">
        <v>7</v>
      </c>
      <c r="F1417" t="str">
        <f>IFERROR(VLOOKUP(G1417, Map!$A$1:$B$33, 2, FALSE),"WAS")</f>
        <v>NO</v>
      </c>
      <c r="G1417" t="s">
        <v>168</v>
      </c>
      <c r="H1417" t="str">
        <f>IFERROR(VLOOKUP(I1417, Map!$A$1:$B$33, 2, FALSE),"WAS")</f>
        <v>JAX</v>
      </c>
      <c r="I1417" t="s">
        <v>139</v>
      </c>
      <c r="J1417" t="s">
        <v>192</v>
      </c>
      <c r="K1417" t="s">
        <v>220</v>
      </c>
      <c r="L1417">
        <v>0</v>
      </c>
      <c r="M1417">
        <v>0</v>
      </c>
      <c r="N1417">
        <v>37.433333333333302</v>
      </c>
      <c r="O1417">
        <v>-1.5</v>
      </c>
      <c r="P1417">
        <v>-1</v>
      </c>
      <c r="Q1417">
        <v>0</v>
      </c>
      <c r="R1417">
        <v>23</v>
      </c>
      <c r="S1417">
        <v>28.9</v>
      </c>
      <c r="T1417">
        <v>19.5</v>
      </c>
      <c r="U1417">
        <v>24.3</v>
      </c>
      <c r="V1417">
        <v>0.4</v>
      </c>
      <c r="W1417">
        <v>0</v>
      </c>
      <c r="X1417">
        <v>3</v>
      </c>
      <c r="Y1417">
        <v>0.4</v>
      </c>
      <c r="Z1417">
        <v>17.5</v>
      </c>
      <c r="AA1417">
        <v>33.1</v>
      </c>
      <c r="AB1417">
        <v>253</v>
      </c>
      <c r="AC1417">
        <v>77</v>
      </c>
      <c r="AD1417">
        <v>24.5</v>
      </c>
      <c r="AE1417">
        <v>12.9</v>
      </c>
      <c r="AF1417">
        <v>42.67</v>
      </c>
      <c r="AG1417">
        <v>64.619</v>
      </c>
      <c r="AH1417">
        <v>56.987000000000002</v>
      </c>
      <c r="AI1417">
        <v>51.884</v>
      </c>
      <c r="AJ1417">
        <v>22.625</v>
      </c>
      <c r="AK1417">
        <v>27.51</v>
      </c>
      <c r="AL1417">
        <v>-2.4510000000000001</v>
      </c>
      <c r="AM1417">
        <v>56.987000000000002</v>
      </c>
      <c r="AN1417">
        <v>64.619</v>
      </c>
      <c r="AO1417">
        <v>42.67</v>
      </c>
      <c r="AP1417">
        <v>2.4510000000000001</v>
      </c>
      <c r="AQ1417">
        <v>77.375</v>
      </c>
      <c r="AR1417">
        <v>48.116</v>
      </c>
      <c r="AS1417">
        <v>72.489999999999995</v>
      </c>
    </row>
    <row r="1418" spans="1:45" x14ac:dyDescent="0.25">
      <c r="A1418">
        <v>54</v>
      </c>
      <c r="B1418">
        <v>4</v>
      </c>
      <c r="C1418">
        <v>1</v>
      </c>
      <c r="D1418">
        <v>2023</v>
      </c>
      <c r="E1418">
        <v>7</v>
      </c>
      <c r="F1418" t="str">
        <f>IFERROR(VLOOKUP(G1418, Map!$A$1:$B$33, 2, FALSE),"WAS")</f>
        <v>NE</v>
      </c>
      <c r="G1418" t="s">
        <v>151</v>
      </c>
      <c r="H1418" t="str">
        <f>IFERROR(VLOOKUP(I1418, Map!$A$1:$B$33, 2, FALSE),"WAS")</f>
        <v>BUF</v>
      </c>
      <c r="I1418" t="s">
        <v>165</v>
      </c>
      <c r="J1418" t="s">
        <v>187</v>
      </c>
      <c r="K1418" t="s">
        <v>180</v>
      </c>
      <c r="L1418">
        <v>1</v>
      </c>
      <c r="M1418">
        <v>0</v>
      </c>
      <c r="N1418">
        <v>35.766666666666701</v>
      </c>
      <c r="O1418">
        <v>5.6</v>
      </c>
      <c r="P1418">
        <v>0.5</v>
      </c>
      <c r="Q1418">
        <v>0</v>
      </c>
      <c r="R1418">
        <v>11.6</v>
      </c>
      <c r="S1418">
        <v>14</v>
      </c>
      <c r="T1418">
        <v>9.6999999999999993</v>
      </c>
      <c r="U1418">
        <v>7.6</v>
      </c>
      <c r="V1418">
        <v>2.2999999999999998</v>
      </c>
      <c r="W1418">
        <v>0</v>
      </c>
      <c r="X1418">
        <v>4</v>
      </c>
      <c r="Y1418">
        <v>2.2999999999999998</v>
      </c>
      <c r="Z1418">
        <v>25.7</v>
      </c>
      <c r="AA1418">
        <v>52.6</v>
      </c>
      <c r="AB1418">
        <v>277</v>
      </c>
      <c r="AC1418">
        <v>71</v>
      </c>
      <c r="AD1418">
        <v>45.8</v>
      </c>
      <c r="AE1418">
        <v>20.6</v>
      </c>
      <c r="AF1418">
        <v>17.507999999999999</v>
      </c>
      <c r="AG1418">
        <v>68.875</v>
      </c>
      <c r="AH1418">
        <v>82.350999999999999</v>
      </c>
      <c r="AI1418">
        <v>37.777999999999999</v>
      </c>
      <c r="AJ1418">
        <v>72.664000000000001</v>
      </c>
      <c r="AK1418">
        <v>61.51</v>
      </c>
      <c r="AL1418">
        <v>-12.654</v>
      </c>
      <c r="AM1418">
        <v>82.350999999999999</v>
      </c>
      <c r="AN1418">
        <v>68.875</v>
      </c>
      <c r="AO1418">
        <v>17.507999999999999</v>
      </c>
      <c r="AP1418">
        <v>12.654</v>
      </c>
      <c r="AQ1418">
        <v>27.335999999999999</v>
      </c>
      <c r="AR1418">
        <v>62.222000000000001</v>
      </c>
      <c r="AS1418">
        <v>38.49</v>
      </c>
    </row>
    <row r="1419" spans="1:45" x14ac:dyDescent="0.25">
      <c r="A1419">
        <v>42</v>
      </c>
      <c r="B1419">
        <v>18</v>
      </c>
      <c r="C1419">
        <v>1</v>
      </c>
      <c r="D1419">
        <v>2023</v>
      </c>
      <c r="E1419">
        <v>7</v>
      </c>
      <c r="F1419" t="str">
        <f>IFERROR(VLOOKUP(G1419, Map!$A$1:$B$33, 2, FALSE),"WAS")</f>
        <v>CHI</v>
      </c>
      <c r="G1419" t="s">
        <v>163</v>
      </c>
      <c r="H1419" t="str">
        <f>IFERROR(VLOOKUP(I1419, Map!$A$1:$B$33, 2, FALSE),"WAS")</f>
        <v>LV</v>
      </c>
      <c r="I1419" t="s">
        <v>157</v>
      </c>
      <c r="J1419" t="s">
        <v>216</v>
      </c>
      <c r="K1419" t="s">
        <v>179</v>
      </c>
      <c r="L1419">
        <v>1</v>
      </c>
      <c r="M1419">
        <v>0</v>
      </c>
      <c r="N1419">
        <v>34.846153846153797</v>
      </c>
      <c r="O1419">
        <v>-1.5384615384615401</v>
      </c>
      <c r="P1419">
        <v>1.5</v>
      </c>
      <c r="Q1419">
        <v>0</v>
      </c>
      <c r="R1419">
        <v>8.9</v>
      </c>
      <c r="S1419">
        <v>11.5</v>
      </c>
      <c r="T1419">
        <v>5.7</v>
      </c>
      <c r="U1419">
        <v>5.0999999999999996</v>
      </c>
      <c r="V1419">
        <v>2.2999999999999998</v>
      </c>
      <c r="W1419">
        <v>0</v>
      </c>
      <c r="X1419">
        <v>3</v>
      </c>
      <c r="Y1419">
        <v>2.2999999999999998</v>
      </c>
      <c r="Z1419">
        <v>29.1</v>
      </c>
      <c r="AA1419">
        <v>47.5</v>
      </c>
      <c r="AB1419">
        <v>344</v>
      </c>
      <c r="AC1419">
        <v>81</v>
      </c>
      <c r="AD1419">
        <v>30.5</v>
      </c>
      <c r="AE1419">
        <v>18.899999999999999</v>
      </c>
      <c r="AF1419">
        <v>66.433999999999997</v>
      </c>
      <c r="AG1419">
        <v>33.673000000000002</v>
      </c>
      <c r="AH1419">
        <v>33.298999999999999</v>
      </c>
      <c r="AI1419">
        <v>83.736999999999995</v>
      </c>
      <c r="AJ1419">
        <v>73.206000000000003</v>
      </c>
      <c r="AK1419">
        <v>89.456999999999994</v>
      </c>
      <c r="AL1419">
        <v>5.8140000000000001</v>
      </c>
      <c r="AM1419">
        <v>33.298999999999999</v>
      </c>
      <c r="AN1419">
        <v>33.673000000000002</v>
      </c>
      <c r="AO1419">
        <v>66.433999999999997</v>
      </c>
      <c r="AP1419">
        <v>-5.8140000000000001</v>
      </c>
      <c r="AQ1419">
        <v>26.794</v>
      </c>
      <c r="AR1419">
        <v>16.263000000000002</v>
      </c>
      <c r="AS1419">
        <v>10.542999999999999</v>
      </c>
    </row>
    <row r="1420" spans="1:45" x14ac:dyDescent="0.25">
      <c r="A1420">
        <v>55</v>
      </c>
      <c r="B1420">
        <v>-7</v>
      </c>
      <c r="C1420">
        <v>0</v>
      </c>
      <c r="D1420">
        <v>2023</v>
      </c>
      <c r="E1420">
        <v>8</v>
      </c>
      <c r="F1420" t="str">
        <f>IFERROR(VLOOKUP(G1420, Map!$A$1:$B$33, 2, FALSE),"WAS")</f>
        <v>ARI</v>
      </c>
      <c r="G1420" t="s">
        <v>156</v>
      </c>
      <c r="H1420" t="str">
        <f>IFERROR(VLOOKUP(I1420, Map!$A$1:$B$33, 2, FALSE),"WAS")</f>
        <v>BAL</v>
      </c>
      <c r="I1420" t="s">
        <v>146</v>
      </c>
      <c r="J1420" t="s">
        <v>190</v>
      </c>
      <c r="K1420" t="s">
        <v>181</v>
      </c>
      <c r="L1420">
        <v>0</v>
      </c>
      <c r="M1420">
        <v>0</v>
      </c>
      <c r="N1420">
        <v>38.892857142857103</v>
      </c>
      <c r="O1420">
        <v>8.6071428571428594</v>
      </c>
      <c r="P1420">
        <v>6</v>
      </c>
      <c r="Q1420">
        <v>0</v>
      </c>
      <c r="R1420">
        <v>16.2</v>
      </c>
      <c r="S1420">
        <v>25.6</v>
      </c>
      <c r="T1420">
        <v>9.5</v>
      </c>
      <c r="U1420">
        <v>13.5</v>
      </c>
      <c r="V1420">
        <v>0</v>
      </c>
      <c r="W1420">
        <v>0</v>
      </c>
      <c r="X1420">
        <v>0</v>
      </c>
      <c r="Y1420">
        <v>0</v>
      </c>
      <c r="Z1420">
        <v>12.7</v>
      </c>
      <c r="AA1420">
        <v>32</v>
      </c>
      <c r="AB1420">
        <v>139</v>
      </c>
      <c r="AC1420">
        <v>40</v>
      </c>
      <c r="AD1420">
        <v>17.3</v>
      </c>
      <c r="AE1420">
        <v>6.3</v>
      </c>
      <c r="AF1420">
        <v>14.569000000000001</v>
      </c>
      <c r="AG1420">
        <v>51.502000000000002</v>
      </c>
      <c r="AH1420">
        <v>85.313999999999993</v>
      </c>
      <c r="AI1420">
        <v>38.26</v>
      </c>
      <c r="AJ1420">
        <v>13.664</v>
      </c>
      <c r="AK1420">
        <v>22.54</v>
      </c>
      <c r="AL1420">
        <v>-14.23</v>
      </c>
      <c r="AM1420">
        <v>85.313999999999993</v>
      </c>
      <c r="AN1420">
        <v>51.502000000000002</v>
      </c>
      <c r="AO1420">
        <v>14.569000000000001</v>
      </c>
      <c r="AP1420">
        <v>14.23</v>
      </c>
      <c r="AQ1420">
        <v>86.335999999999999</v>
      </c>
      <c r="AR1420">
        <v>61.74</v>
      </c>
      <c r="AS1420">
        <v>77.459999999999994</v>
      </c>
    </row>
    <row r="1421" spans="1:45" x14ac:dyDescent="0.25">
      <c r="A1421">
        <v>69</v>
      </c>
      <c r="B1421">
        <v>-7</v>
      </c>
      <c r="C1421">
        <v>0</v>
      </c>
      <c r="D1421">
        <v>2023</v>
      </c>
      <c r="E1421">
        <v>8</v>
      </c>
      <c r="F1421" t="str">
        <f>IFERROR(VLOOKUP(G1421, Map!$A$1:$B$33, 2, FALSE),"WAS")</f>
        <v>WAS</v>
      </c>
      <c r="G1421" t="s">
        <v>148</v>
      </c>
      <c r="H1421" t="str">
        <f>IFERROR(VLOOKUP(I1421, Map!$A$1:$B$33, 2, FALSE),"WAS")</f>
        <v>PHI</v>
      </c>
      <c r="I1421" t="s">
        <v>147</v>
      </c>
      <c r="J1421" t="s">
        <v>205</v>
      </c>
      <c r="K1421" t="s">
        <v>206</v>
      </c>
      <c r="L1421">
        <v>0</v>
      </c>
      <c r="M1421">
        <v>0</v>
      </c>
      <c r="N1421">
        <v>39.846153846153797</v>
      </c>
      <c r="O1421">
        <v>6.1153846153846096</v>
      </c>
      <c r="P1421">
        <v>-1.5</v>
      </c>
      <c r="Q1421">
        <v>0</v>
      </c>
      <c r="R1421">
        <v>20.2</v>
      </c>
      <c r="S1421">
        <v>25.9</v>
      </c>
      <c r="T1421">
        <v>16.8</v>
      </c>
      <c r="U1421">
        <v>21.2</v>
      </c>
      <c r="V1421">
        <v>0</v>
      </c>
      <c r="W1421">
        <v>0</v>
      </c>
      <c r="X1421">
        <v>0</v>
      </c>
      <c r="Y1421">
        <v>0</v>
      </c>
      <c r="Z1421">
        <v>12.4</v>
      </c>
      <c r="AA1421">
        <v>24.8</v>
      </c>
      <c r="AB1421">
        <v>54</v>
      </c>
      <c r="AC1421">
        <v>79</v>
      </c>
      <c r="AD1421">
        <v>15.8</v>
      </c>
      <c r="AE1421">
        <v>7.5</v>
      </c>
      <c r="AF1421">
        <v>23.506</v>
      </c>
      <c r="AG1421">
        <v>31.907</v>
      </c>
      <c r="AH1421">
        <v>76.305999999999997</v>
      </c>
      <c r="AI1421">
        <v>20.564</v>
      </c>
      <c r="AJ1421">
        <v>54.673999999999999</v>
      </c>
      <c r="AK1421">
        <v>35.539000000000001</v>
      </c>
      <c r="AL1421">
        <v>-9.7240000000000002</v>
      </c>
      <c r="AM1421">
        <v>76.305999999999997</v>
      </c>
      <c r="AN1421">
        <v>31.907</v>
      </c>
      <c r="AO1421">
        <v>23.506</v>
      </c>
      <c r="AP1421">
        <v>9.7240000000000002</v>
      </c>
      <c r="AQ1421">
        <v>45.326000000000001</v>
      </c>
      <c r="AR1421">
        <v>79.436000000000007</v>
      </c>
      <c r="AS1421">
        <v>64.460999999999999</v>
      </c>
    </row>
    <row r="1422" spans="1:45" x14ac:dyDescent="0.25">
      <c r="A1422">
        <v>63</v>
      </c>
      <c r="B1422">
        <v>23</v>
      </c>
      <c r="C1422">
        <v>1</v>
      </c>
      <c r="D1422">
        <v>2023</v>
      </c>
      <c r="E1422">
        <v>8</v>
      </c>
      <c r="F1422" t="str">
        <f>IFERROR(VLOOKUP(G1422, Map!$A$1:$B$33, 2, FALSE),"WAS")</f>
        <v>DAL</v>
      </c>
      <c r="G1422" t="s">
        <v>150</v>
      </c>
      <c r="H1422" t="str">
        <f>IFERROR(VLOOKUP(I1422, Map!$A$1:$B$33, 2, FALSE),"WAS")</f>
        <v>LA</v>
      </c>
      <c r="I1422" t="s">
        <v>155</v>
      </c>
      <c r="J1422" t="s">
        <v>184</v>
      </c>
      <c r="K1422" t="s">
        <v>178</v>
      </c>
      <c r="L1422">
        <v>1</v>
      </c>
      <c r="M1422">
        <v>0</v>
      </c>
      <c r="N1422">
        <v>39.357142857142897</v>
      </c>
      <c r="O1422">
        <v>-7.78571428571429</v>
      </c>
      <c r="P1422">
        <v>-6.5</v>
      </c>
      <c r="Q1422">
        <v>0</v>
      </c>
      <c r="R1422">
        <v>12.6</v>
      </c>
      <c r="S1422">
        <v>21.2</v>
      </c>
      <c r="T1422">
        <v>6.8</v>
      </c>
      <c r="U1422">
        <v>9.8000000000000007</v>
      </c>
      <c r="V1422">
        <v>14.9</v>
      </c>
      <c r="W1422">
        <v>0</v>
      </c>
      <c r="X1422">
        <v>9</v>
      </c>
      <c r="Y1422">
        <v>14.9</v>
      </c>
      <c r="Z1422">
        <v>27.9</v>
      </c>
      <c r="AA1422">
        <v>46.8</v>
      </c>
      <c r="AB1422">
        <v>358</v>
      </c>
      <c r="AC1422">
        <v>84</v>
      </c>
      <c r="AD1422">
        <v>35.700000000000003</v>
      </c>
      <c r="AE1422">
        <v>20.399999999999999</v>
      </c>
      <c r="AF1422">
        <v>68.695999999999998</v>
      </c>
      <c r="AG1422">
        <v>71.515000000000001</v>
      </c>
      <c r="AH1422">
        <v>31.053999999999998</v>
      </c>
      <c r="AI1422">
        <v>91.31</v>
      </c>
      <c r="AJ1422">
        <v>82.218000000000004</v>
      </c>
      <c r="AK1422">
        <v>97.481999999999999</v>
      </c>
      <c r="AL1422">
        <v>6.6349999999999998</v>
      </c>
      <c r="AM1422">
        <v>31.053999999999998</v>
      </c>
      <c r="AN1422">
        <v>71.515000000000001</v>
      </c>
      <c r="AO1422">
        <v>68.695999999999998</v>
      </c>
      <c r="AP1422">
        <v>-6.6349999999999998</v>
      </c>
      <c r="AQ1422">
        <v>17.782</v>
      </c>
      <c r="AR1422">
        <v>8.69</v>
      </c>
      <c r="AS1422">
        <v>2.5179999999999998</v>
      </c>
    </row>
    <row r="1423" spans="1:45" x14ac:dyDescent="0.25">
      <c r="A1423">
        <v>28</v>
      </c>
      <c r="B1423">
        <v>2</v>
      </c>
      <c r="C1423">
        <v>1</v>
      </c>
      <c r="D1423">
        <v>2023</v>
      </c>
      <c r="E1423">
        <v>8</v>
      </c>
      <c r="F1423" t="str">
        <f>IFERROR(VLOOKUP(G1423, Map!$A$1:$B$33, 2, FALSE),"WAS")</f>
        <v>CAR</v>
      </c>
      <c r="G1423" t="s">
        <v>142</v>
      </c>
      <c r="H1423" t="str">
        <f>IFERROR(VLOOKUP(I1423, Map!$A$1:$B$33, 2, FALSE),"WAS")</f>
        <v>HOU</v>
      </c>
      <c r="I1423" t="s">
        <v>137</v>
      </c>
      <c r="J1423" t="s">
        <v>185</v>
      </c>
      <c r="K1423" t="s">
        <v>209</v>
      </c>
      <c r="L1423">
        <v>1</v>
      </c>
      <c r="M1423">
        <v>0</v>
      </c>
      <c r="N1423">
        <v>36.321428571428598</v>
      </c>
      <c r="O1423">
        <v>2.78571428571429</v>
      </c>
      <c r="P1423">
        <v>3</v>
      </c>
      <c r="Q1423">
        <v>0</v>
      </c>
      <c r="R1423">
        <v>20</v>
      </c>
      <c r="S1423">
        <v>26.7</v>
      </c>
      <c r="T1423">
        <v>14.3</v>
      </c>
      <c r="U1423">
        <v>19.7</v>
      </c>
      <c r="V1423">
        <v>0</v>
      </c>
      <c r="W1423">
        <v>0</v>
      </c>
      <c r="X1423">
        <v>0</v>
      </c>
      <c r="Y1423">
        <v>0</v>
      </c>
      <c r="Z1423">
        <v>18.2</v>
      </c>
      <c r="AA1423">
        <v>36.700000000000003</v>
      </c>
      <c r="AB1423">
        <v>223</v>
      </c>
      <c r="AC1423">
        <v>71</v>
      </c>
      <c r="AD1423">
        <v>21.9</v>
      </c>
      <c r="AE1423">
        <v>11.6</v>
      </c>
      <c r="AF1423">
        <v>36.906999999999996</v>
      </c>
      <c r="AG1423">
        <v>14.869</v>
      </c>
      <c r="AH1423">
        <v>62.796999999999997</v>
      </c>
      <c r="AI1423">
        <v>64.563000000000002</v>
      </c>
      <c r="AJ1423">
        <v>34.826999999999998</v>
      </c>
      <c r="AK1423">
        <v>53.170999999999999</v>
      </c>
      <c r="AL1423">
        <v>-4.4669999999999996</v>
      </c>
      <c r="AM1423">
        <v>62.796999999999997</v>
      </c>
      <c r="AN1423">
        <v>14.869</v>
      </c>
      <c r="AO1423">
        <v>36.906999999999996</v>
      </c>
      <c r="AP1423">
        <v>4.4669999999999996</v>
      </c>
      <c r="AQ1423">
        <v>65.173000000000002</v>
      </c>
      <c r="AR1423">
        <v>35.436999999999998</v>
      </c>
      <c r="AS1423">
        <v>46.829000000000001</v>
      </c>
    </row>
    <row r="1424" spans="1:45" x14ac:dyDescent="0.25">
      <c r="A1424">
        <v>43</v>
      </c>
      <c r="B1424">
        <v>17</v>
      </c>
      <c r="C1424">
        <v>1</v>
      </c>
      <c r="D1424">
        <v>2023</v>
      </c>
      <c r="E1424">
        <v>8</v>
      </c>
      <c r="F1424" t="str">
        <f>IFERROR(VLOOKUP(G1424, Map!$A$1:$B$33, 2, FALSE),"WAS")</f>
        <v>LAC</v>
      </c>
      <c r="G1424" t="s">
        <v>160</v>
      </c>
      <c r="H1424" t="str">
        <f>IFERROR(VLOOKUP(I1424, Map!$A$1:$B$33, 2, FALSE),"WAS")</f>
        <v>CHI</v>
      </c>
      <c r="I1424" t="s">
        <v>163</v>
      </c>
      <c r="J1424" t="s">
        <v>210</v>
      </c>
      <c r="K1424" t="s">
        <v>216</v>
      </c>
      <c r="L1424">
        <v>1</v>
      </c>
      <c r="M1424">
        <v>0</v>
      </c>
      <c r="N1424">
        <v>39.285714285714299</v>
      </c>
      <c r="O1424">
        <v>-8.9285714285714306</v>
      </c>
      <c r="P1424">
        <v>-4.5</v>
      </c>
      <c r="Q1424">
        <v>0</v>
      </c>
      <c r="R1424">
        <v>17.3</v>
      </c>
      <c r="S1424">
        <v>26.6</v>
      </c>
      <c r="T1424">
        <v>8.8000000000000007</v>
      </c>
      <c r="U1424">
        <v>12.9</v>
      </c>
      <c r="V1424">
        <v>0</v>
      </c>
      <c r="W1424">
        <v>0</v>
      </c>
      <c r="X1424">
        <v>0</v>
      </c>
      <c r="Y1424">
        <v>0</v>
      </c>
      <c r="Z1424">
        <v>16.600000000000001</v>
      </c>
      <c r="AA1424">
        <v>28.1</v>
      </c>
      <c r="AB1424">
        <v>27</v>
      </c>
      <c r="AC1424">
        <v>16</v>
      </c>
      <c r="AD1424">
        <v>15.2</v>
      </c>
      <c r="AE1424">
        <v>8.4</v>
      </c>
      <c r="AF1424">
        <v>75.656000000000006</v>
      </c>
      <c r="AG1424">
        <v>48.61</v>
      </c>
      <c r="AH1424">
        <v>24.15</v>
      </c>
      <c r="AI1424">
        <v>75.447000000000003</v>
      </c>
      <c r="AJ1424">
        <v>86.903999999999996</v>
      </c>
      <c r="AK1424">
        <v>93.191999999999993</v>
      </c>
      <c r="AL1424">
        <v>9.4420000000000002</v>
      </c>
      <c r="AM1424">
        <v>24.15</v>
      </c>
      <c r="AN1424">
        <v>48.61</v>
      </c>
      <c r="AO1424">
        <v>75.656000000000006</v>
      </c>
      <c r="AP1424">
        <v>-9.4420000000000002</v>
      </c>
      <c r="AQ1424">
        <v>13.096</v>
      </c>
      <c r="AR1424">
        <v>24.553000000000001</v>
      </c>
      <c r="AS1424">
        <v>6.8079999999999998</v>
      </c>
    </row>
    <row r="1425" spans="1:45" x14ac:dyDescent="0.25">
      <c r="A1425">
        <v>48</v>
      </c>
      <c r="B1425">
        <v>-14</v>
      </c>
      <c r="C1425">
        <v>0</v>
      </c>
      <c r="D1425">
        <v>2023</v>
      </c>
      <c r="E1425">
        <v>8</v>
      </c>
      <c r="F1425" t="str">
        <f>IFERROR(VLOOKUP(G1425, Map!$A$1:$B$33, 2, FALSE),"WAS")</f>
        <v>SF</v>
      </c>
      <c r="G1425" t="s">
        <v>143</v>
      </c>
      <c r="H1425" t="str">
        <f>IFERROR(VLOOKUP(I1425, Map!$A$1:$B$33, 2, FALSE),"WAS")</f>
        <v>CIN</v>
      </c>
      <c r="I1425" t="s">
        <v>161</v>
      </c>
      <c r="J1425" t="s">
        <v>197</v>
      </c>
      <c r="K1425" t="s">
        <v>176</v>
      </c>
      <c r="L1425">
        <v>0</v>
      </c>
      <c r="M1425">
        <v>0</v>
      </c>
      <c r="N1425">
        <v>38.464285714285701</v>
      </c>
      <c r="O1425">
        <v>-2.96428571428571</v>
      </c>
      <c r="P1425">
        <v>-1</v>
      </c>
      <c r="Q1425">
        <v>0</v>
      </c>
      <c r="R1425">
        <v>13.4</v>
      </c>
      <c r="S1425">
        <v>22.9</v>
      </c>
      <c r="T1425">
        <v>4.9000000000000004</v>
      </c>
      <c r="U1425">
        <v>10</v>
      </c>
      <c r="V1425">
        <v>0</v>
      </c>
      <c r="W1425">
        <v>0</v>
      </c>
      <c r="X1425">
        <v>0</v>
      </c>
      <c r="Y1425">
        <v>0</v>
      </c>
      <c r="Z1425">
        <v>17.100000000000001</v>
      </c>
      <c r="AA1425">
        <v>29.9</v>
      </c>
      <c r="AB1425">
        <v>301</v>
      </c>
      <c r="AC1425">
        <v>44</v>
      </c>
      <c r="AD1425">
        <v>15.2</v>
      </c>
      <c r="AE1425">
        <v>8.6999999999999993</v>
      </c>
      <c r="AF1425">
        <v>69.734999999999999</v>
      </c>
      <c r="AG1425">
        <v>81.78</v>
      </c>
      <c r="AH1425">
        <v>30.023</v>
      </c>
      <c r="AI1425">
        <v>19.308</v>
      </c>
      <c r="AJ1425">
        <v>32.405000000000001</v>
      </c>
      <c r="AK1425">
        <v>20.577999999999999</v>
      </c>
      <c r="AL1425">
        <v>7.0339999999999998</v>
      </c>
      <c r="AM1425">
        <v>30.023</v>
      </c>
      <c r="AN1425">
        <v>81.78</v>
      </c>
      <c r="AO1425">
        <v>69.734999999999999</v>
      </c>
      <c r="AP1425">
        <v>-7.0339999999999998</v>
      </c>
      <c r="AQ1425">
        <v>67.594999999999999</v>
      </c>
      <c r="AR1425">
        <v>80.691999999999993</v>
      </c>
      <c r="AS1425">
        <v>79.421999999999997</v>
      </c>
    </row>
    <row r="1426" spans="1:45" x14ac:dyDescent="0.25">
      <c r="A1426">
        <v>23</v>
      </c>
      <c r="B1426">
        <v>-3</v>
      </c>
      <c r="C1426">
        <v>0</v>
      </c>
      <c r="D1426">
        <v>2023</v>
      </c>
      <c r="E1426">
        <v>8</v>
      </c>
      <c r="F1426" t="str">
        <f>IFERROR(VLOOKUP(G1426, Map!$A$1:$B$33, 2, FALSE),"WAS")</f>
        <v>NYG</v>
      </c>
      <c r="G1426" t="s">
        <v>149</v>
      </c>
      <c r="H1426" t="str">
        <f>IFERROR(VLOOKUP(I1426, Map!$A$1:$B$33, 2, FALSE),"WAS")</f>
        <v>NYJ</v>
      </c>
      <c r="I1426" t="s">
        <v>166</v>
      </c>
      <c r="J1426" t="s">
        <v>219</v>
      </c>
      <c r="K1426" t="s">
        <v>172</v>
      </c>
      <c r="L1426">
        <v>0</v>
      </c>
      <c r="M1426">
        <v>0</v>
      </c>
      <c r="N1426">
        <v>30.071428571428601</v>
      </c>
      <c r="O1426">
        <v>2.71428571428571</v>
      </c>
      <c r="P1426">
        <v>1.5</v>
      </c>
      <c r="Q1426">
        <v>0</v>
      </c>
      <c r="R1426">
        <v>13.6</v>
      </c>
      <c r="S1426">
        <v>20.6</v>
      </c>
      <c r="T1426">
        <v>10.7</v>
      </c>
      <c r="U1426">
        <v>11.5</v>
      </c>
      <c r="V1426">
        <v>29.1</v>
      </c>
      <c r="W1426">
        <v>0</v>
      </c>
      <c r="X1426">
        <v>11</v>
      </c>
      <c r="Y1426">
        <v>29.1</v>
      </c>
      <c r="Z1426">
        <v>18.3</v>
      </c>
      <c r="AA1426">
        <v>35.299999999999997</v>
      </c>
      <c r="AB1426">
        <v>19</v>
      </c>
      <c r="AC1426">
        <v>77</v>
      </c>
      <c r="AD1426">
        <v>27.7</v>
      </c>
      <c r="AE1426">
        <v>13.4</v>
      </c>
      <c r="AF1426">
        <v>22.626999999999999</v>
      </c>
      <c r="AG1426">
        <v>3.9239999999999999</v>
      </c>
      <c r="AH1426">
        <v>77.191000000000003</v>
      </c>
      <c r="AI1426">
        <v>92.281999999999996</v>
      </c>
      <c r="AJ1426">
        <v>15.468</v>
      </c>
      <c r="AK1426">
        <v>47.055999999999997</v>
      </c>
      <c r="AL1426">
        <v>-10.115</v>
      </c>
      <c r="AM1426">
        <v>77.191000000000003</v>
      </c>
      <c r="AN1426">
        <v>3.9239999999999999</v>
      </c>
      <c r="AO1426">
        <v>22.626999999999999</v>
      </c>
      <c r="AP1426">
        <v>10.115</v>
      </c>
      <c r="AQ1426">
        <v>84.531999999999996</v>
      </c>
      <c r="AR1426">
        <v>7.718</v>
      </c>
      <c r="AS1426">
        <v>52.944000000000003</v>
      </c>
    </row>
    <row r="1427" spans="1:45" x14ac:dyDescent="0.25">
      <c r="A1427">
        <v>34</v>
      </c>
      <c r="B1427">
        <v>-14</v>
      </c>
      <c r="C1427">
        <v>0</v>
      </c>
      <c r="D1427">
        <v>2023</v>
      </c>
      <c r="E1427">
        <v>8</v>
      </c>
      <c r="F1427" t="str">
        <f>IFERROR(VLOOKUP(G1427, Map!$A$1:$B$33, 2, FALSE),"WAS")</f>
        <v>GB</v>
      </c>
      <c r="G1427" t="s">
        <v>154</v>
      </c>
      <c r="H1427" t="str">
        <f>IFERROR(VLOOKUP(I1427, Map!$A$1:$B$33, 2, FALSE),"WAS")</f>
        <v>MIN</v>
      </c>
      <c r="I1427" t="s">
        <v>153</v>
      </c>
      <c r="J1427" t="s">
        <v>200</v>
      </c>
      <c r="K1427" t="s">
        <v>214</v>
      </c>
      <c r="L1427">
        <v>0</v>
      </c>
      <c r="M1427">
        <v>0</v>
      </c>
      <c r="N1427">
        <v>38.153846153846203</v>
      </c>
      <c r="O1427">
        <v>0.61538461538461497</v>
      </c>
      <c r="P1427">
        <v>0</v>
      </c>
      <c r="Q1427">
        <v>38.5</v>
      </c>
      <c r="R1427">
        <v>3.4</v>
      </c>
      <c r="S1427">
        <v>4.5999999999999996</v>
      </c>
      <c r="T1427">
        <v>2.2999999999999998</v>
      </c>
      <c r="U1427">
        <v>-0.6</v>
      </c>
      <c r="V1427">
        <v>0.6</v>
      </c>
      <c r="W1427">
        <v>0.28000000000000003</v>
      </c>
      <c r="X1427">
        <v>6</v>
      </c>
      <c r="Y1427">
        <v>0.2</v>
      </c>
      <c r="Z1427">
        <v>11</v>
      </c>
      <c r="AA1427">
        <v>23.4</v>
      </c>
      <c r="AB1427">
        <v>318</v>
      </c>
      <c r="AC1427">
        <v>61</v>
      </c>
      <c r="AD1427">
        <v>20.399999999999999</v>
      </c>
      <c r="AE1427">
        <v>9.6</v>
      </c>
      <c r="AF1427">
        <v>41.63</v>
      </c>
      <c r="AG1427">
        <v>66.777000000000001</v>
      </c>
      <c r="AH1427">
        <v>58.034999999999997</v>
      </c>
      <c r="AI1427">
        <v>16.321000000000002</v>
      </c>
      <c r="AJ1427">
        <v>12.428000000000001</v>
      </c>
      <c r="AK1427">
        <v>14.523999999999999</v>
      </c>
      <c r="AL1427">
        <v>-2.8</v>
      </c>
      <c r="AM1427">
        <v>58.034999999999997</v>
      </c>
      <c r="AN1427">
        <v>66.777000000000001</v>
      </c>
      <c r="AO1427">
        <v>41.63</v>
      </c>
      <c r="AP1427">
        <v>2.8</v>
      </c>
      <c r="AQ1427">
        <v>87.572000000000003</v>
      </c>
      <c r="AR1427">
        <v>83.679000000000002</v>
      </c>
      <c r="AS1427">
        <v>85.475999999999999</v>
      </c>
    </row>
    <row r="1428" spans="1:45" x14ac:dyDescent="0.25">
      <c r="A1428">
        <v>48</v>
      </c>
      <c r="B1428">
        <v>14</v>
      </c>
      <c r="C1428">
        <v>1</v>
      </c>
      <c r="D1428">
        <v>2023</v>
      </c>
      <c r="E1428">
        <v>8</v>
      </c>
      <c r="F1428" t="str">
        <f>IFERROR(VLOOKUP(G1428, Map!$A$1:$B$33, 2, FALSE),"WAS")</f>
        <v>MIA</v>
      </c>
      <c r="G1428" t="s">
        <v>152</v>
      </c>
      <c r="H1428" t="str">
        <f>IFERROR(VLOOKUP(I1428, Map!$A$1:$B$33, 2, FALSE),"WAS")</f>
        <v>NE</v>
      </c>
      <c r="I1428" t="s">
        <v>151</v>
      </c>
      <c r="J1428" t="s">
        <v>175</v>
      </c>
      <c r="K1428" t="s">
        <v>187</v>
      </c>
      <c r="L1428">
        <v>1</v>
      </c>
      <c r="M1428">
        <v>0</v>
      </c>
      <c r="N1428">
        <v>39.928571428571402</v>
      </c>
      <c r="O1428">
        <v>-6.9285714285714297</v>
      </c>
      <c r="P1428">
        <v>-4</v>
      </c>
      <c r="Q1428">
        <v>0</v>
      </c>
      <c r="R1428">
        <v>26</v>
      </c>
      <c r="S1428">
        <v>28.7</v>
      </c>
      <c r="T1428">
        <v>24.1</v>
      </c>
      <c r="U1428">
        <v>27.3</v>
      </c>
      <c r="V1428">
        <v>0.4</v>
      </c>
      <c r="W1428">
        <v>0</v>
      </c>
      <c r="X1428">
        <v>2</v>
      </c>
      <c r="Y1428">
        <v>0.4</v>
      </c>
      <c r="Z1428">
        <v>24.2</v>
      </c>
      <c r="AA1428">
        <v>46.8</v>
      </c>
      <c r="AB1428">
        <v>62</v>
      </c>
      <c r="AC1428">
        <v>69</v>
      </c>
      <c r="AD1428">
        <v>34.1</v>
      </c>
      <c r="AE1428">
        <v>18.3</v>
      </c>
      <c r="AF1428">
        <v>80.542000000000002</v>
      </c>
      <c r="AG1428">
        <v>53.201999999999998</v>
      </c>
      <c r="AH1428">
        <v>19.303000000000001</v>
      </c>
      <c r="AI1428">
        <v>84.072999999999993</v>
      </c>
      <c r="AJ1428">
        <v>62.658000000000001</v>
      </c>
      <c r="AK1428">
        <v>81.141000000000005</v>
      </c>
      <c r="AL1428">
        <v>11.68</v>
      </c>
      <c r="AM1428">
        <v>19.303000000000001</v>
      </c>
      <c r="AN1428">
        <v>53.201999999999998</v>
      </c>
      <c r="AO1428">
        <v>80.542000000000002</v>
      </c>
      <c r="AP1428">
        <v>-11.68</v>
      </c>
      <c r="AQ1428">
        <v>37.341999999999999</v>
      </c>
      <c r="AR1428">
        <v>15.927</v>
      </c>
      <c r="AS1428">
        <v>18.859000000000002</v>
      </c>
    </row>
    <row r="1429" spans="1:45" x14ac:dyDescent="0.25">
      <c r="A1429">
        <v>44</v>
      </c>
      <c r="B1429">
        <v>4</v>
      </c>
      <c r="C1429">
        <v>1</v>
      </c>
      <c r="D1429">
        <v>2023</v>
      </c>
      <c r="E1429">
        <v>8</v>
      </c>
      <c r="F1429" t="str">
        <f>IFERROR(VLOOKUP(G1429, Map!$A$1:$B$33, 2, FALSE),"WAS")</f>
        <v>SEA</v>
      </c>
      <c r="G1429" t="s">
        <v>144</v>
      </c>
      <c r="H1429" t="str">
        <f>IFERROR(VLOOKUP(I1429, Map!$A$1:$B$33, 2, FALSE),"WAS")</f>
        <v>CLE</v>
      </c>
      <c r="I1429" t="s">
        <v>162</v>
      </c>
      <c r="J1429" t="s">
        <v>182</v>
      </c>
      <c r="K1429" t="s">
        <v>171</v>
      </c>
      <c r="L1429">
        <v>1</v>
      </c>
      <c r="M1429">
        <v>0</v>
      </c>
      <c r="N1429">
        <v>34.071428571428598</v>
      </c>
      <c r="O1429">
        <v>-3.5714285714285698</v>
      </c>
      <c r="P1429">
        <v>-2</v>
      </c>
      <c r="Q1429">
        <v>0</v>
      </c>
      <c r="R1429">
        <v>4.8</v>
      </c>
      <c r="S1429">
        <v>10.7</v>
      </c>
      <c r="T1429">
        <v>0.5</v>
      </c>
      <c r="U1429">
        <v>1.5</v>
      </c>
      <c r="V1429">
        <v>0</v>
      </c>
      <c r="W1429">
        <v>0</v>
      </c>
      <c r="X1429">
        <v>0</v>
      </c>
      <c r="Y1429">
        <v>0</v>
      </c>
      <c r="Z1429">
        <v>13.4</v>
      </c>
      <c r="AA1429">
        <v>24.8</v>
      </c>
      <c r="AB1429">
        <v>27</v>
      </c>
      <c r="AC1429">
        <v>73</v>
      </c>
      <c r="AD1429">
        <v>15.8</v>
      </c>
      <c r="AE1429">
        <v>8.1</v>
      </c>
      <c r="AF1429">
        <v>65.754999999999995</v>
      </c>
      <c r="AG1429">
        <v>49.78</v>
      </c>
      <c r="AH1429">
        <v>33.972000000000001</v>
      </c>
      <c r="AI1429">
        <v>59.923999999999999</v>
      </c>
      <c r="AJ1429">
        <v>54.45</v>
      </c>
      <c r="AK1429">
        <v>58.244</v>
      </c>
      <c r="AL1429">
        <v>5.5359999999999996</v>
      </c>
      <c r="AM1429">
        <v>33.972000000000001</v>
      </c>
      <c r="AN1429">
        <v>49.78</v>
      </c>
      <c r="AO1429">
        <v>65.754999999999995</v>
      </c>
      <c r="AP1429">
        <v>-5.5359999999999996</v>
      </c>
      <c r="AQ1429">
        <v>45.55</v>
      </c>
      <c r="AR1429">
        <v>40.076000000000001</v>
      </c>
      <c r="AS1429">
        <v>41.756</v>
      </c>
    </row>
    <row r="1430" spans="1:45" x14ac:dyDescent="0.25">
      <c r="A1430">
        <v>40</v>
      </c>
      <c r="B1430">
        <v>12</v>
      </c>
      <c r="C1430">
        <v>1</v>
      </c>
      <c r="D1430">
        <v>2023</v>
      </c>
      <c r="E1430">
        <v>8</v>
      </c>
      <c r="F1430" t="str">
        <f>IFERROR(VLOOKUP(G1430, Map!$A$1:$B$33, 2, FALSE),"WAS")</f>
        <v>DET</v>
      </c>
      <c r="G1430" t="s">
        <v>164</v>
      </c>
      <c r="H1430" t="str">
        <f>IFERROR(VLOOKUP(I1430, Map!$A$1:$B$33, 2, FALSE),"WAS")</f>
        <v>LV</v>
      </c>
      <c r="I1430" t="s">
        <v>157</v>
      </c>
      <c r="J1430" t="s">
        <v>173</v>
      </c>
      <c r="K1430" t="s">
        <v>179</v>
      </c>
      <c r="L1430">
        <v>1</v>
      </c>
      <c r="M1430">
        <v>0</v>
      </c>
      <c r="N1430">
        <v>42.153846153846203</v>
      </c>
      <c r="O1430">
        <v>-7.5</v>
      </c>
      <c r="P1430">
        <v>-5</v>
      </c>
      <c r="Q1430">
        <v>0</v>
      </c>
      <c r="R1430">
        <v>1.7</v>
      </c>
      <c r="S1430">
        <v>4.8</v>
      </c>
      <c r="T1430">
        <v>-1.9</v>
      </c>
      <c r="U1430">
        <v>-3.1</v>
      </c>
      <c r="V1430">
        <v>0.2</v>
      </c>
      <c r="W1430">
        <v>0.14000000000000001</v>
      </c>
      <c r="X1430">
        <v>2</v>
      </c>
      <c r="Y1430">
        <v>0</v>
      </c>
      <c r="Z1430">
        <v>22.5</v>
      </c>
      <c r="AA1430">
        <v>41.8</v>
      </c>
      <c r="AB1430">
        <v>245</v>
      </c>
      <c r="AC1430">
        <v>62</v>
      </c>
      <c r="AD1430">
        <v>25.5</v>
      </c>
      <c r="AE1430">
        <v>13.8</v>
      </c>
      <c r="AF1430">
        <v>70.665999999999997</v>
      </c>
      <c r="AG1430">
        <v>64.195999999999998</v>
      </c>
      <c r="AH1430">
        <v>29.1</v>
      </c>
      <c r="AI1430">
        <v>95.811000000000007</v>
      </c>
      <c r="AJ1430">
        <v>44.378999999999998</v>
      </c>
      <c r="AK1430">
        <v>81.626999999999995</v>
      </c>
      <c r="AL1430">
        <v>7.3959999999999999</v>
      </c>
      <c r="AM1430">
        <v>29.1</v>
      </c>
      <c r="AN1430">
        <v>64.195999999999998</v>
      </c>
      <c r="AO1430">
        <v>70.665999999999997</v>
      </c>
      <c r="AP1430">
        <v>-7.3959999999999999</v>
      </c>
      <c r="AQ1430">
        <v>55.621000000000002</v>
      </c>
      <c r="AR1430">
        <v>4.1890000000000001</v>
      </c>
      <c r="AS1430">
        <v>18.373000000000001</v>
      </c>
    </row>
    <row r="1431" spans="1:45" x14ac:dyDescent="0.25">
      <c r="A1431">
        <v>42</v>
      </c>
      <c r="B1431">
        <v>6</v>
      </c>
      <c r="C1431">
        <v>1</v>
      </c>
      <c r="D1431">
        <v>2023</v>
      </c>
      <c r="E1431">
        <v>8</v>
      </c>
      <c r="F1431" t="str">
        <f>IFERROR(VLOOKUP(G1431, Map!$A$1:$B$33, 2, FALSE),"WAS")</f>
        <v>BUF</v>
      </c>
      <c r="G1431" t="s">
        <v>165</v>
      </c>
      <c r="H1431" t="str">
        <f>IFERROR(VLOOKUP(I1431, Map!$A$1:$B$33, 2, FALSE),"WAS")</f>
        <v>TB</v>
      </c>
      <c r="I1431" t="s">
        <v>141</v>
      </c>
      <c r="J1431" t="s">
        <v>180</v>
      </c>
      <c r="K1431" t="s">
        <v>186</v>
      </c>
      <c r="L1431">
        <v>1</v>
      </c>
      <c r="M1431">
        <v>0</v>
      </c>
      <c r="N1431">
        <v>36.857142857142897</v>
      </c>
      <c r="O1431">
        <v>-8.78571428571429</v>
      </c>
      <c r="P1431">
        <v>-5.5</v>
      </c>
      <c r="Q1431">
        <v>0</v>
      </c>
      <c r="R1431">
        <v>18.899999999999999</v>
      </c>
      <c r="S1431">
        <v>25.1</v>
      </c>
      <c r="T1431">
        <v>14.1</v>
      </c>
      <c r="U1431">
        <v>19.2</v>
      </c>
      <c r="V1431">
        <v>0</v>
      </c>
      <c r="W1431">
        <v>0</v>
      </c>
      <c r="X1431">
        <v>0</v>
      </c>
      <c r="Y1431">
        <v>0</v>
      </c>
      <c r="Z1431">
        <v>10.7</v>
      </c>
      <c r="AA1431">
        <v>22</v>
      </c>
      <c r="AB1431">
        <v>216</v>
      </c>
      <c r="AC1431">
        <v>75</v>
      </c>
      <c r="AD1431">
        <v>15.7</v>
      </c>
      <c r="AE1431">
        <v>7.5</v>
      </c>
      <c r="AF1431">
        <v>82.661000000000001</v>
      </c>
      <c r="AG1431">
        <v>63.158000000000001</v>
      </c>
      <c r="AH1431">
        <v>17.201000000000001</v>
      </c>
      <c r="AI1431">
        <v>62.433999999999997</v>
      </c>
      <c r="AJ1431">
        <v>69.052999999999997</v>
      </c>
      <c r="AK1431">
        <v>76.275000000000006</v>
      </c>
      <c r="AL1431">
        <v>12.756</v>
      </c>
      <c r="AM1431">
        <v>17.201000000000001</v>
      </c>
      <c r="AN1431">
        <v>63.158000000000001</v>
      </c>
      <c r="AO1431">
        <v>82.661000000000001</v>
      </c>
      <c r="AP1431">
        <v>-12.756</v>
      </c>
      <c r="AQ1431">
        <v>30.946999999999999</v>
      </c>
      <c r="AR1431">
        <v>37.566000000000003</v>
      </c>
      <c r="AS1431">
        <v>23.725000000000001</v>
      </c>
    </row>
    <row r="1432" spans="1:45" x14ac:dyDescent="0.25">
      <c r="A1432">
        <v>33</v>
      </c>
      <c r="B1432">
        <v>15</v>
      </c>
      <c r="C1432">
        <v>1</v>
      </c>
      <c r="D1432">
        <v>2023</v>
      </c>
      <c r="E1432">
        <v>8</v>
      </c>
      <c r="F1432" t="str">
        <f>IFERROR(VLOOKUP(G1432, Map!$A$1:$B$33, 2, FALSE),"WAS")</f>
        <v>DEN</v>
      </c>
      <c r="G1432" t="s">
        <v>159</v>
      </c>
      <c r="H1432" t="str">
        <f>IFERROR(VLOOKUP(I1432, Map!$A$1:$B$33, 2, FALSE),"WAS")</f>
        <v>KC</v>
      </c>
      <c r="I1432" t="s">
        <v>158</v>
      </c>
      <c r="J1432" t="s">
        <v>183</v>
      </c>
      <c r="K1432" t="s">
        <v>202</v>
      </c>
      <c r="L1432">
        <v>1</v>
      </c>
      <c r="M1432">
        <v>0</v>
      </c>
      <c r="N1432">
        <v>38</v>
      </c>
      <c r="O1432">
        <v>4.8928571428571397</v>
      </c>
      <c r="P1432">
        <v>3.5</v>
      </c>
      <c r="Q1432">
        <v>0</v>
      </c>
      <c r="R1432">
        <v>-5.3</v>
      </c>
      <c r="S1432">
        <v>-2</v>
      </c>
      <c r="T1432">
        <v>-6.7</v>
      </c>
      <c r="U1432">
        <v>-9.3000000000000007</v>
      </c>
      <c r="V1432">
        <v>9</v>
      </c>
      <c r="W1432">
        <v>6.23</v>
      </c>
      <c r="X1432">
        <v>18</v>
      </c>
      <c r="Y1432">
        <v>0.1</v>
      </c>
      <c r="Z1432">
        <v>11.4</v>
      </c>
      <c r="AA1432">
        <v>22</v>
      </c>
      <c r="AB1432">
        <v>48</v>
      </c>
      <c r="AC1432">
        <v>82</v>
      </c>
      <c r="AD1432">
        <v>13.9</v>
      </c>
      <c r="AE1432">
        <v>7.3</v>
      </c>
      <c r="AF1432">
        <v>17.225000000000001</v>
      </c>
      <c r="AG1432">
        <v>72.625</v>
      </c>
      <c r="AH1432">
        <v>82.635999999999996</v>
      </c>
      <c r="AI1432">
        <v>88.012</v>
      </c>
      <c r="AJ1432">
        <v>48.433999999999997</v>
      </c>
      <c r="AK1432">
        <v>78.878</v>
      </c>
      <c r="AL1432">
        <v>-12.743</v>
      </c>
      <c r="AM1432">
        <v>82.635999999999996</v>
      </c>
      <c r="AN1432">
        <v>72.625</v>
      </c>
      <c r="AO1432">
        <v>17.225000000000001</v>
      </c>
      <c r="AP1432">
        <v>12.743</v>
      </c>
      <c r="AQ1432">
        <v>51.566000000000003</v>
      </c>
      <c r="AR1432">
        <v>11.988</v>
      </c>
      <c r="AS1432">
        <v>21.122</v>
      </c>
    </row>
    <row r="1433" spans="1:45" x14ac:dyDescent="0.25">
      <c r="A1433">
        <v>51</v>
      </c>
      <c r="B1433">
        <v>5</v>
      </c>
      <c r="C1433">
        <v>1</v>
      </c>
      <c r="D1433">
        <v>2023</v>
      </c>
      <c r="E1433">
        <v>8</v>
      </c>
      <c r="F1433" t="str">
        <f>IFERROR(VLOOKUP(G1433, Map!$A$1:$B$33, 2, FALSE),"WAS")</f>
        <v>TEN</v>
      </c>
      <c r="G1433" t="s">
        <v>140</v>
      </c>
      <c r="H1433" t="str">
        <f>IFERROR(VLOOKUP(I1433, Map!$A$1:$B$33, 2, FALSE),"WAS")</f>
        <v>ATL</v>
      </c>
      <c r="I1433" t="s">
        <v>167</v>
      </c>
      <c r="J1433" t="s">
        <v>174</v>
      </c>
      <c r="K1433" t="s">
        <v>188</v>
      </c>
      <c r="L1433">
        <v>1</v>
      </c>
      <c r="M1433">
        <v>0</v>
      </c>
      <c r="N1433">
        <v>30.3571428571429</v>
      </c>
      <c r="O1433">
        <v>1.6785714285714299</v>
      </c>
      <c r="P1433">
        <v>-1</v>
      </c>
      <c r="Q1433">
        <v>0</v>
      </c>
      <c r="R1433">
        <v>22.4</v>
      </c>
      <c r="S1433">
        <v>25.1</v>
      </c>
      <c r="T1433">
        <v>18.899999999999999</v>
      </c>
      <c r="U1433">
        <v>23.5</v>
      </c>
      <c r="V1433">
        <v>11.6</v>
      </c>
      <c r="W1433">
        <v>0</v>
      </c>
      <c r="X1433">
        <v>10</v>
      </c>
      <c r="Y1433">
        <v>11.6</v>
      </c>
      <c r="Z1433">
        <v>16.2</v>
      </c>
      <c r="AA1433">
        <v>30.6</v>
      </c>
      <c r="AB1433">
        <v>223</v>
      </c>
      <c r="AC1433">
        <v>71</v>
      </c>
      <c r="AD1433">
        <v>18.5</v>
      </c>
      <c r="AE1433">
        <v>9.1999999999999993</v>
      </c>
      <c r="AF1433">
        <v>51.726999999999997</v>
      </c>
      <c r="AG1433">
        <v>23.777000000000001</v>
      </c>
      <c r="AH1433">
        <v>47.887999999999998</v>
      </c>
      <c r="AI1433">
        <v>75.733999999999995</v>
      </c>
      <c r="AJ1433">
        <v>52.773000000000003</v>
      </c>
      <c r="AK1433">
        <v>70.668000000000006</v>
      </c>
      <c r="AL1433">
        <v>0.65100000000000002</v>
      </c>
      <c r="AM1433">
        <v>47.887999999999998</v>
      </c>
      <c r="AN1433">
        <v>23.777000000000001</v>
      </c>
      <c r="AO1433">
        <v>51.726999999999997</v>
      </c>
      <c r="AP1433">
        <v>-0.65100000000000002</v>
      </c>
      <c r="AQ1433">
        <v>47.226999999999997</v>
      </c>
      <c r="AR1433">
        <v>24.265999999999998</v>
      </c>
      <c r="AS1433">
        <v>29.332000000000001</v>
      </c>
    </row>
    <row r="1434" spans="1:45" x14ac:dyDescent="0.25">
      <c r="A1434">
        <v>30</v>
      </c>
      <c r="B1434">
        <v>-10</v>
      </c>
      <c r="C1434">
        <v>0</v>
      </c>
      <c r="D1434">
        <v>2023</v>
      </c>
      <c r="E1434">
        <v>8</v>
      </c>
      <c r="F1434" t="str">
        <f>IFERROR(VLOOKUP(G1434, Map!$A$1:$B$33, 2, FALSE),"WAS")</f>
        <v>PIT</v>
      </c>
      <c r="G1434" t="s">
        <v>145</v>
      </c>
      <c r="H1434" t="str">
        <f>IFERROR(VLOOKUP(I1434, Map!$A$1:$B$33, 2, FALSE),"WAS")</f>
        <v>JAX</v>
      </c>
      <c r="I1434" t="s">
        <v>139</v>
      </c>
      <c r="J1434" t="s">
        <v>170</v>
      </c>
      <c r="K1434" t="s">
        <v>220</v>
      </c>
      <c r="L1434">
        <v>0</v>
      </c>
      <c r="M1434">
        <v>0</v>
      </c>
      <c r="N1434">
        <v>34.461538461538503</v>
      </c>
      <c r="O1434">
        <v>2.2692307692307701</v>
      </c>
      <c r="P1434">
        <v>-1</v>
      </c>
      <c r="Q1434">
        <v>0</v>
      </c>
      <c r="R1434">
        <v>13.4</v>
      </c>
      <c r="S1434">
        <v>15.9</v>
      </c>
      <c r="T1434">
        <v>11.6</v>
      </c>
      <c r="U1434">
        <v>13</v>
      </c>
      <c r="V1434">
        <v>22.3</v>
      </c>
      <c r="W1434">
        <v>0</v>
      </c>
      <c r="X1434">
        <v>15</v>
      </c>
      <c r="Y1434">
        <v>22.3</v>
      </c>
      <c r="Z1434">
        <v>10</v>
      </c>
      <c r="AA1434">
        <v>27</v>
      </c>
      <c r="AB1434">
        <v>7</v>
      </c>
      <c r="AC1434">
        <v>89</v>
      </c>
      <c r="AD1434">
        <v>15.8</v>
      </c>
      <c r="AE1434">
        <v>6.3</v>
      </c>
      <c r="AF1434">
        <v>39.095999999999997</v>
      </c>
      <c r="AG1434">
        <v>56.558</v>
      </c>
      <c r="AH1434">
        <v>60.59</v>
      </c>
      <c r="AI1434">
        <v>59.524999999999999</v>
      </c>
      <c r="AJ1434">
        <v>21.815999999999999</v>
      </c>
      <c r="AK1434">
        <v>23.779</v>
      </c>
      <c r="AL1434">
        <v>-3.6869999999999998</v>
      </c>
      <c r="AM1434">
        <v>60.59</v>
      </c>
      <c r="AN1434">
        <v>56.558</v>
      </c>
      <c r="AO1434">
        <v>39.095999999999997</v>
      </c>
      <c r="AP1434">
        <v>3.6869999999999998</v>
      </c>
      <c r="AQ1434">
        <v>78.183999999999997</v>
      </c>
      <c r="AR1434">
        <v>40.475000000000001</v>
      </c>
      <c r="AS1434">
        <v>76.221000000000004</v>
      </c>
    </row>
    <row r="1435" spans="1:45" x14ac:dyDescent="0.25">
      <c r="A1435">
        <v>65</v>
      </c>
      <c r="B1435">
        <v>-11</v>
      </c>
      <c r="C1435">
        <v>0</v>
      </c>
      <c r="D1435">
        <v>2023</v>
      </c>
      <c r="E1435">
        <v>8</v>
      </c>
      <c r="F1435" t="str">
        <f>IFERROR(VLOOKUP(G1435, Map!$A$1:$B$33, 2, FALSE),"WAS")</f>
        <v>IND</v>
      </c>
      <c r="G1435" t="s">
        <v>138</v>
      </c>
      <c r="H1435" t="str">
        <f>IFERROR(VLOOKUP(I1435, Map!$A$1:$B$33, 2, FALSE),"WAS")</f>
        <v>NO</v>
      </c>
      <c r="I1435" t="s">
        <v>168</v>
      </c>
      <c r="J1435" t="s">
        <v>177</v>
      </c>
      <c r="K1435" t="s">
        <v>192</v>
      </c>
      <c r="L1435">
        <v>0</v>
      </c>
      <c r="M1435">
        <v>0</v>
      </c>
      <c r="N1435">
        <v>38.214285714285701</v>
      </c>
      <c r="O1435">
        <v>1.1785714285714299</v>
      </c>
      <c r="P1435">
        <v>1</v>
      </c>
      <c r="Q1435">
        <v>0</v>
      </c>
      <c r="R1435">
        <v>11.4</v>
      </c>
      <c r="S1435">
        <v>12.5</v>
      </c>
      <c r="T1435">
        <v>10.7</v>
      </c>
      <c r="U1435">
        <v>9.8000000000000007</v>
      </c>
      <c r="V1435">
        <v>14.3</v>
      </c>
      <c r="W1435">
        <v>0</v>
      </c>
      <c r="X1435">
        <v>16</v>
      </c>
      <c r="Y1435">
        <v>14.3</v>
      </c>
      <c r="Z1435">
        <v>11.9</v>
      </c>
      <c r="AA1435">
        <v>34.200000000000003</v>
      </c>
      <c r="AB1435">
        <v>23</v>
      </c>
      <c r="AC1435">
        <v>88</v>
      </c>
      <c r="AD1435">
        <v>20.2</v>
      </c>
      <c r="AE1435">
        <v>9.1999999999999993</v>
      </c>
      <c r="AF1435">
        <v>45.048000000000002</v>
      </c>
      <c r="AG1435">
        <v>50.186999999999998</v>
      </c>
      <c r="AH1435">
        <v>54.59</v>
      </c>
      <c r="AI1435">
        <v>10.631</v>
      </c>
      <c r="AJ1435">
        <v>55.707999999999998</v>
      </c>
      <c r="AK1435">
        <v>25.798999999999999</v>
      </c>
      <c r="AL1435">
        <v>-1.621</v>
      </c>
      <c r="AM1435">
        <v>54.59</v>
      </c>
      <c r="AN1435">
        <v>50.186999999999998</v>
      </c>
      <c r="AO1435">
        <v>45.048000000000002</v>
      </c>
      <c r="AP1435">
        <v>1.621</v>
      </c>
      <c r="AQ1435">
        <v>44.292000000000002</v>
      </c>
      <c r="AR1435">
        <v>89.369</v>
      </c>
      <c r="AS1435">
        <v>74.200999999999993</v>
      </c>
    </row>
    <row r="1436" spans="1:45" x14ac:dyDescent="0.25">
      <c r="A1436">
        <v>42</v>
      </c>
      <c r="B1436">
        <v>6</v>
      </c>
      <c r="C1436">
        <v>1</v>
      </c>
      <c r="D1436">
        <v>2023</v>
      </c>
      <c r="E1436">
        <v>9</v>
      </c>
      <c r="F1436" t="str">
        <f>IFERROR(VLOOKUP(G1436, Map!$A$1:$B$33, 2, FALSE),"WAS")</f>
        <v>CIN</v>
      </c>
      <c r="G1436" t="s">
        <v>161</v>
      </c>
      <c r="H1436" t="str">
        <f>IFERROR(VLOOKUP(I1436, Map!$A$1:$B$33, 2, FALSE),"WAS")</f>
        <v>BUF</v>
      </c>
      <c r="I1436" t="s">
        <v>165</v>
      </c>
      <c r="J1436" t="s">
        <v>176</v>
      </c>
      <c r="K1436" t="s">
        <v>180</v>
      </c>
      <c r="L1436">
        <v>1</v>
      </c>
      <c r="M1436">
        <v>0</v>
      </c>
      <c r="N1436">
        <v>46.25</v>
      </c>
      <c r="O1436">
        <v>-1.96428571428571</v>
      </c>
      <c r="P1436">
        <v>-1.5</v>
      </c>
      <c r="Q1436">
        <v>43.5</v>
      </c>
      <c r="R1436">
        <v>11.8</v>
      </c>
      <c r="S1436">
        <v>21.6</v>
      </c>
      <c r="T1436">
        <v>5.9</v>
      </c>
      <c r="U1436">
        <v>8.6999999999999993</v>
      </c>
      <c r="V1436">
        <v>0</v>
      </c>
      <c r="W1436">
        <v>0</v>
      </c>
      <c r="X1436">
        <v>0</v>
      </c>
      <c r="Y1436">
        <v>0</v>
      </c>
      <c r="Z1436">
        <v>23.5</v>
      </c>
      <c r="AA1436">
        <v>47.5</v>
      </c>
      <c r="AB1436">
        <v>180</v>
      </c>
      <c r="AC1436">
        <v>64</v>
      </c>
      <c r="AD1436">
        <v>24.5</v>
      </c>
      <c r="AE1436">
        <v>13.1</v>
      </c>
      <c r="AF1436">
        <v>32.826000000000001</v>
      </c>
      <c r="AG1436">
        <v>91.465000000000003</v>
      </c>
      <c r="AH1436">
        <v>66.911000000000001</v>
      </c>
      <c r="AI1436">
        <v>63.8</v>
      </c>
      <c r="AJ1436">
        <v>78.837000000000003</v>
      </c>
      <c r="AK1436">
        <v>78.247</v>
      </c>
      <c r="AL1436">
        <v>-5.9359999999999999</v>
      </c>
      <c r="AM1436">
        <v>66.911000000000001</v>
      </c>
      <c r="AN1436">
        <v>91.465000000000003</v>
      </c>
      <c r="AO1436">
        <v>32.826000000000001</v>
      </c>
      <c r="AP1436">
        <v>5.9359999999999999</v>
      </c>
      <c r="AQ1436">
        <v>21.163</v>
      </c>
      <c r="AR1436">
        <v>36.200000000000003</v>
      </c>
      <c r="AS1436">
        <v>21.753</v>
      </c>
    </row>
    <row r="1437" spans="1:45" x14ac:dyDescent="0.25">
      <c r="A1437">
        <v>76</v>
      </c>
      <c r="B1437">
        <v>2</v>
      </c>
      <c r="C1437">
        <v>1</v>
      </c>
      <c r="D1437">
        <v>2023</v>
      </c>
      <c r="E1437">
        <v>9</v>
      </c>
      <c r="F1437" t="str">
        <f>IFERROR(VLOOKUP(G1437, Map!$A$1:$B$33, 2, FALSE),"WAS")</f>
        <v>HOU</v>
      </c>
      <c r="G1437" t="s">
        <v>137</v>
      </c>
      <c r="H1437" t="str">
        <f>IFERROR(VLOOKUP(I1437, Map!$A$1:$B$33, 2, FALSE),"WAS")</f>
        <v>TB</v>
      </c>
      <c r="I1437" t="s">
        <v>141</v>
      </c>
      <c r="J1437" t="s">
        <v>209</v>
      </c>
      <c r="K1437" t="s">
        <v>186</v>
      </c>
      <c r="L1437">
        <v>1</v>
      </c>
      <c r="M1437">
        <v>0</v>
      </c>
      <c r="N1437">
        <v>39.714285714285701</v>
      </c>
      <c r="O1437">
        <v>-2.3214285714285698</v>
      </c>
      <c r="P1437">
        <v>-2</v>
      </c>
      <c r="Q1437">
        <v>39.5</v>
      </c>
      <c r="R1437">
        <v>20.6</v>
      </c>
      <c r="S1437">
        <v>27</v>
      </c>
      <c r="T1437">
        <v>16.100000000000001</v>
      </c>
      <c r="U1437">
        <v>22</v>
      </c>
      <c r="V1437">
        <v>0.1</v>
      </c>
      <c r="W1437">
        <v>0</v>
      </c>
      <c r="X1437">
        <v>1</v>
      </c>
      <c r="Y1437">
        <v>0.1</v>
      </c>
      <c r="Z1437">
        <v>14.8</v>
      </c>
      <c r="AA1437">
        <v>25.2</v>
      </c>
      <c r="AB1437">
        <v>143</v>
      </c>
      <c r="AC1437">
        <v>83</v>
      </c>
      <c r="AD1437">
        <v>15</v>
      </c>
      <c r="AE1437">
        <v>8.4</v>
      </c>
      <c r="AF1437">
        <v>50.537999999999997</v>
      </c>
      <c r="AG1437">
        <v>46.71</v>
      </c>
      <c r="AH1437">
        <v>49.067999999999998</v>
      </c>
      <c r="AI1437">
        <v>25.177</v>
      </c>
      <c r="AJ1437">
        <v>83.108000000000004</v>
      </c>
      <c r="AK1437">
        <v>52.795000000000002</v>
      </c>
      <c r="AL1437">
        <v>0.248</v>
      </c>
      <c r="AM1437">
        <v>49.067999999999998</v>
      </c>
      <c r="AN1437">
        <v>46.71</v>
      </c>
      <c r="AO1437">
        <v>50.537999999999997</v>
      </c>
      <c r="AP1437">
        <v>-0.248</v>
      </c>
      <c r="AQ1437">
        <v>16.891999999999999</v>
      </c>
      <c r="AR1437">
        <v>74.822999999999993</v>
      </c>
      <c r="AS1437">
        <v>47.204999999999998</v>
      </c>
    </row>
    <row r="1438" spans="1:45" x14ac:dyDescent="0.25">
      <c r="A1438">
        <v>35</v>
      </c>
      <c r="B1438">
        <v>7</v>
      </c>
      <c r="C1438">
        <v>1</v>
      </c>
      <c r="D1438">
        <v>2023</v>
      </c>
      <c r="E1438">
        <v>9</v>
      </c>
      <c r="F1438" t="str">
        <f>IFERROR(VLOOKUP(G1438, Map!$A$1:$B$33, 2, FALSE),"WAS")</f>
        <v>KC</v>
      </c>
      <c r="G1438" t="s">
        <v>158</v>
      </c>
      <c r="H1438" t="str">
        <f>IFERROR(VLOOKUP(I1438, Map!$A$1:$B$33, 2, FALSE),"WAS")</f>
        <v>MIA</v>
      </c>
      <c r="I1438" t="s">
        <v>152</v>
      </c>
      <c r="J1438" t="s">
        <v>202</v>
      </c>
      <c r="K1438" t="s">
        <v>175</v>
      </c>
      <c r="L1438">
        <v>1</v>
      </c>
      <c r="M1438">
        <v>0</v>
      </c>
      <c r="N1438">
        <v>46.857142857142897</v>
      </c>
      <c r="O1438">
        <v>-0.78571428571428603</v>
      </c>
      <c r="P1438">
        <v>0</v>
      </c>
      <c r="Q1438">
        <v>42.5</v>
      </c>
      <c r="R1438">
        <v>10.3</v>
      </c>
      <c r="S1438">
        <v>12.2</v>
      </c>
      <c r="T1438">
        <v>9.1999999999999993</v>
      </c>
      <c r="U1438">
        <v>6</v>
      </c>
      <c r="V1438">
        <v>4.5999999999999996</v>
      </c>
      <c r="W1438">
        <v>0</v>
      </c>
      <c r="X1438">
        <v>13</v>
      </c>
      <c r="Y1438">
        <v>4.5999999999999996</v>
      </c>
      <c r="Z1438">
        <v>31.4</v>
      </c>
      <c r="AA1438">
        <v>60.5</v>
      </c>
      <c r="AB1438">
        <v>220</v>
      </c>
      <c r="AC1438">
        <v>82</v>
      </c>
      <c r="AD1438">
        <v>47.9</v>
      </c>
      <c r="AE1438">
        <v>24.6</v>
      </c>
      <c r="AF1438">
        <v>50.795999999999999</v>
      </c>
      <c r="AG1438">
        <v>92.956000000000003</v>
      </c>
      <c r="AH1438">
        <v>48.811</v>
      </c>
      <c r="AI1438">
        <v>88.366</v>
      </c>
      <c r="AJ1438">
        <v>51.140999999999998</v>
      </c>
      <c r="AK1438">
        <v>77.783000000000001</v>
      </c>
      <c r="AL1438">
        <v>0.33500000000000002</v>
      </c>
      <c r="AM1438">
        <v>48.811</v>
      </c>
      <c r="AN1438">
        <v>92.956000000000003</v>
      </c>
      <c r="AO1438">
        <v>50.795999999999999</v>
      </c>
      <c r="AP1438">
        <v>-0.33500000000000002</v>
      </c>
      <c r="AQ1438">
        <v>48.859000000000002</v>
      </c>
      <c r="AR1438">
        <v>11.634</v>
      </c>
      <c r="AS1438">
        <v>22.216999999999999</v>
      </c>
    </row>
    <row r="1439" spans="1:45" x14ac:dyDescent="0.25">
      <c r="A1439">
        <v>40</v>
      </c>
      <c r="B1439">
        <v>-14</v>
      </c>
      <c r="C1439">
        <v>0</v>
      </c>
      <c r="D1439">
        <v>2023</v>
      </c>
      <c r="E1439">
        <v>9</v>
      </c>
      <c r="F1439" t="str">
        <f>IFERROR(VLOOKUP(G1439, Map!$A$1:$B$33, 2, FALSE),"WAS")</f>
        <v>CAR</v>
      </c>
      <c r="G1439" t="s">
        <v>142</v>
      </c>
      <c r="H1439" t="str">
        <f>IFERROR(VLOOKUP(I1439, Map!$A$1:$B$33, 2, FALSE),"WAS")</f>
        <v>IND</v>
      </c>
      <c r="I1439" t="s">
        <v>138</v>
      </c>
      <c r="J1439" t="s">
        <v>185</v>
      </c>
      <c r="K1439" t="s">
        <v>177</v>
      </c>
      <c r="L1439">
        <v>0</v>
      </c>
      <c r="M1439">
        <v>0</v>
      </c>
      <c r="N1439">
        <v>41.535714285714299</v>
      </c>
      <c r="O1439">
        <v>2.3928571428571401</v>
      </c>
      <c r="P1439">
        <v>1.5</v>
      </c>
      <c r="Q1439">
        <v>41.5</v>
      </c>
      <c r="R1439">
        <v>12.3</v>
      </c>
      <c r="S1439">
        <v>22</v>
      </c>
      <c r="T1439">
        <v>5.7</v>
      </c>
      <c r="U1439">
        <v>9.3000000000000007</v>
      </c>
      <c r="V1439">
        <v>0</v>
      </c>
      <c r="W1439">
        <v>0</v>
      </c>
      <c r="X1439">
        <v>0</v>
      </c>
      <c r="Y1439">
        <v>0</v>
      </c>
      <c r="Z1439">
        <v>11.9</v>
      </c>
      <c r="AA1439">
        <v>20.2</v>
      </c>
      <c r="AB1439">
        <v>325</v>
      </c>
      <c r="AC1439">
        <v>49</v>
      </c>
      <c r="AD1439">
        <v>13.4</v>
      </c>
      <c r="AE1439">
        <v>7.8</v>
      </c>
      <c r="AF1439">
        <v>40.235999999999997</v>
      </c>
      <c r="AG1439">
        <v>11.388</v>
      </c>
      <c r="AH1439">
        <v>59.441000000000003</v>
      </c>
      <c r="AI1439">
        <v>55.817999999999998</v>
      </c>
      <c r="AJ1439">
        <v>1.722</v>
      </c>
      <c r="AK1439">
        <v>9.9949999999999992</v>
      </c>
      <c r="AL1439">
        <v>-3.2709999999999999</v>
      </c>
      <c r="AM1439">
        <v>59.441000000000003</v>
      </c>
      <c r="AN1439">
        <v>11.388</v>
      </c>
      <c r="AO1439">
        <v>40.235999999999997</v>
      </c>
      <c r="AP1439">
        <v>3.2709999999999999</v>
      </c>
      <c r="AQ1439">
        <v>98.278000000000006</v>
      </c>
      <c r="AR1439">
        <v>44.182000000000002</v>
      </c>
      <c r="AS1439">
        <v>90.004999999999995</v>
      </c>
    </row>
    <row r="1440" spans="1:45" x14ac:dyDescent="0.25">
      <c r="A1440">
        <v>51</v>
      </c>
      <c r="B1440">
        <v>5</v>
      </c>
      <c r="C1440">
        <v>1</v>
      </c>
      <c r="D1440">
        <v>2023</v>
      </c>
      <c r="E1440">
        <v>9</v>
      </c>
      <c r="F1440" t="str">
        <f>IFERROR(VLOOKUP(G1440, Map!$A$1:$B$33, 2, FALSE),"WAS")</f>
        <v>PHI</v>
      </c>
      <c r="G1440" t="s">
        <v>147</v>
      </c>
      <c r="H1440" t="str">
        <f>IFERROR(VLOOKUP(I1440, Map!$A$1:$B$33, 2, FALSE),"WAS")</f>
        <v>DAL</v>
      </c>
      <c r="I1440" t="s">
        <v>150</v>
      </c>
      <c r="J1440" t="s">
        <v>206</v>
      </c>
      <c r="K1440" t="s">
        <v>184</v>
      </c>
      <c r="L1440">
        <v>1</v>
      </c>
      <c r="M1440">
        <v>0</v>
      </c>
      <c r="N1440">
        <v>43.535714285714299</v>
      </c>
      <c r="O1440">
        <v>-3.46428571428571</v>
      </c>
      <c r="P1440">
        <v>-3</v>
      </c>
      <c r="Q1440">
        <v>46.5</v>
      </c>
      <c r="R1440">
        <v>12.2</v>
      </c>
      <c r="S1440">
        <v>19.600000000000001</v>
      </c>
      <c r="T1440">
        <v>4.9000000000000004</v>
      </c>
      <c r="U1440">
        <v>9.9</v>
      </c>
      <c r="V1440">
        <v>0</v>
      </c>
      <c r="W1440">
        <v>0</v>
      </c>
      <c r="X1440">
        <v>0</v>
      </c>
      <c r="Y1440">
        <v>0</v>
      </c>
      <c r="Z1440">
        <v>13</v>
      </c>
      <c r="AA1440">
        <v>24.5</v>
      </c>
      <c r="AB1440">
        <v>313</v>
      </c>
      <c r="AC1440">
        <v>63</v>
      </c>
      <c r="AD1440">
        <v>12.3</v>
      </c>
      <c r="AE1440">
        <v>6.5</v>
      </c>
      <c r="AF1440">
        <v>49.871000000000002</v>
      </c>
      <c r="AG1440">
        <v>87.506</v>
      </c>
      <c r="AH1440">
        <v>49.728999999999999</v>
      </c>
      <c r="AI1440">
        <v>38.085999999999999</v>
      </c>
      <c r="AJ1440">
        <v>83.281999999999996</v>
      </c>
      <c r="AK1440">
        <v>61.773000000000003</v>
      </c>
      <c r="AL1440">
        <v>2.4E-2</v>
      </c>
      <c r="AM1440">
        <v>49.728999999999999</v>
      </c>
      <c r="AN1440">
        <v>87.506</v>
      </c>
      <c r="AO1440">
        <v>49.871000000000002</v>
      </c>
      <c r="AP1440">
        <v>-2.4E-2</v>
      </c>
      <c r="AQ1440">
        <v>16.718</v>
      </c>
      <c r="AR1440">
        <v>61.914000000000001</v>
      </c>
      <c r="AS1440">
        <v>38.226999999999997</v>
      </c>
    </row>
    <row r="1441" spans="1:45" x14ac:dyDescent="0.25">
      <c r="A1441">
        <v>37</v>
      </c>
      <c r="B1441">
        <v>-3</v>
      </c>
      <c r="C1441">
        <v>0</v>
      </c>
      <c r="D1441">
        <v>2023</v>
      </c>
      <c r="E1441">
        <v>9</v>
      </c>
      <c r="F1441" t="str">
        <f>IFERROR(VLOOKUP(G1441, Map!$A$1:$B$33, 2, FALSE),"WAS")</f>
        <v>NE</v>
      </c>
      <c r="G1441" t="s">
        <v>151</v>
      </c>
      <c r="H1441" t="str">
        <f>IFERROR(VLOOKUP(I1441, Map!$A$1:$B$33, 2, FALSE),"WAS")</f>
        <v>WAS</v>
      </c>
      <c r="I1441" t="s">
        <v>148</v>
      </c>
      <c r="J1441" t="s">
        <v>187</v>
      </c>
      <c r="K1441" t="s">
        <v>205</v>
      </c>
      <c r="L1441">
        <v>0</v>
      </c>
      <c r="M1441">
        <v>0</v>
      </c>
      <c r="N1441">
        <v>40.269230769230802</v>
      </c>
      <c r="O1441">
        <v>-2.4230769230769198</v>
      </c>
      <c r="P1441">
        <v>-2.5</v>
      </c>
      <c r="Q1441">
        <v>38.5</v>
      </c>
      <c r="R1441">
        <v>10</v>
      </c>
      <c r="S1441">
        <v>15.9</v>
      </c>
      <c r="T1441">
        <v>6</v>
      </c>
      <c r="U1441">
        <v>7.5</v>
      </c>
      <c r="V1441">
        <v>0</v>
      </c>
      <c r="W1441">
        <v>0</v>
      </c>
      <c r="X1441">
        <v>0</v>
      </c>
      <c r="Y1441">
        <v>0</v>
      </c>
      <c r="Z1441">
        <v>11</v>
      </c>
      <c r="AA1441">
        <v>26.3</v>
      </c>
      <c r="AB1441">
        <v>277</v>
      </c>
      <c r="AC1441">
        <v>75</v>
      </c>
      <c r="AD1441">
        <v>18.100000000000001</v>
      </c>
      <c r="AE1441">
        <v>8.6999999999999993</v>
      </c>
      <c r="AF1441">
        <v>56.165999999999997</v>
      </c>
      <c r="AG1441">
        <v>23.061</v>
      </c>
      <c r="AH1441">
        <v>43.484999999999999</v>
      </c>
      <c r="AI1441">
        <v>52.941000000000003</v>
      </c>
      <c r="AJ1441">
        <v>40.375</v>
      </c>
      <c r="AK1441">
        <v>42.122</v>
      </c>
      <c r="AL1441">
        <v>2.1480000000000001</v>
      </c>
      <c r="AM1441">
        <v>43.484999999999999</v>
      </c>
      <c r="AN1441">
        <v>23.061</v>
      </c>
      <c r="AO1441">
        <v>56.165999999999997</v>
      </c>
      <c r="AP1441">
        <v>-2.1480000000000001</v>
      </c>
      <c r="AQ1441">
        <v>59.625</v>
      </c>
      <c r="AR1441">
        <v>47.058999999999997</v>
      </c>
      <c r="AS1441">
        <v>57.878</v>
      </c>
    </row>
    <row r="1442" spans="1:45" x14ac:dyDescent="0.25">
      <c r="A1442">
        <v>59</v>
      </c>
      <c r="B1442">
        <v>-3</v>
      </c>
      <c r="C1442">
        <v>0</v>
      </c>
      <c r="D1442">
        <v>2023</v>
      </c>
      <c r="E1442">
        <v>9</v>
      </c>
      <c r="F1442" t="str">
        <f>IFERROR(VLOOKUP(G1442, Map!$A$1:$B$33, 2, FALSE),"WAS")</f>
        <v>ATL</v>
      </c>
      <c r="G1442" t="s">
        <v>167</v>
      </c>
      <c r="H1442" t="str">
        <f>IFERROR(VLOOKUP(I1442, Map!$A$1:$B$33, 2, FALSE),"WAS")</f>
        <v>MIN</v>
      </c>
      <c r="I1442" t="s">
        <v>153</v>
      </c>
      <c r="J1442" t="s">
        <v>188</v>
      </c>
      <c r="K1442" t="s">
        <v>214</v>
      </c>
      <c r="L1442">
        <v>0</v>
      </c>
      <c r="M1442">
        <v>0</v>
      </c>
      <c r="N1442">
        <v>37.321428571428598</v>
      </c>
      <c r="O1442">
        <v>-2.96428571428571</v>
      </c>
      <c r="P1442">
        <v>3</v>
      </c>
      <c r="Q1442">
        <v>37.5</v>
      </c>
      <c r="R1442">
        <v>13.4</v>
      </c>
      <c r="S1442">
        <v>22</v>
      </c>
      <c r="T1442">
        <v>7.7</v>
      </c>
      <c r="U1442">
        <v>10.5</v>
      </c>
      <c r="V1442">
        <v>0</v>
      </c>
      <c r="W1442">
        <v>0</v>
      </c>
      <c r="X1442">
        <v>0</v>
      </c>
      <c r="Y1442">
        <v>0</v>
      </c>
      <c r="Z1442">
        <v>17.100000000000001</v>
      </c>
      <c r="AA1442">
        <v>33.1</v>
      </c>
      <c r="AB1442">
        <v>321</v>
      </c>
      <c r="AC1442">
        <v>56</v>
      </c>
      <c r="AD1442">
        <v>19.600000000000001</v>
      </c>
      <c r="AE1442">
        <v>11.3</v>
      </c>
      <c r="AF1442">
        <v>50.792000000000002</v>
      </c>
      <c r="AG1442">
        <v>31.815999999999999</v>
      </c>
      <c r="AH1442">
        <v>48.816000000000003</v>
      </c>
      <c r="AI1442">
        <v>57.868000000000002</v>
      </c>
      <c r="AJ1442">
        <v>26.57</v>
      </c>
      <c r="AK1442">
        <v>45.94</v>
      </c>
      <c r="AL1442">
        <v>0.33300000000000002</v>
      </c>
      <c r="AM1442">
        <v>48.816000000000003</v>
      </c>
      <c r="AN1442">
        <v>31.815999999999999</v>
      </c>
      <c r="AO1442">
        <v>50.792000000000002</v>
      </c>
      <c r="AP1442">
        <v>-0.33300000000000002</v>
      </c>
      <c r="AQ1442">
        <v>73.430000000000007</v>
      </c>
      <c r="AR1442">
        <v>42.131999999999998</v>
      </c>
      <c r="AS1442">
        <v>54.06</v>
      </c>
    </row>
    <row r="1443" spans="1:45" x14ac:dyDescent="0.25">
      <c r="A1443">
        <v>36</v>
      </c>
      <c r="B1443">
        <v>4</v>
      </c>
      <c r="C1443">
        <v>1</v>
      </c>
      <c r="D1443">
        <v>2023</v>
      </c>
      <c r="E1443">
        <v>9</v>
      </c>
      <c r="F1443" t="str">
        <f>IFERROR(VLOOKUP(G1443, Map!$A$1:$B$33, 2, FALSE),"WAS")</f>
        <v>PIT</v>
      </c>
      <c r="G1443" t="s">
        <v>145</v>
      </c>
      <c r="H1443" t="str">
        <f>IFERROR(VLOOKUP(I1443, Map!$A$1:$B$33, 2, FALSE),"WAS")</f>
        <v>TEN</v>
      </c>
      <c r="I1443" t="s">
        <v>140</v>
      </c>
      <c r="J1443" t="s">
        <v>170</v>
      </c>
      <c r="K1443" t="s">
        <v>174</v>
      </c>
      <c r="L1443">
        <v>1</v>
      </c>
      <c r="M1443">
        <v>0</v>
      </c>
      <c r="N1443">
        <v>34.321428571428598</v>
      </c>
      <c r="O1443">
        <v>-2.8928571428571401</v>
      </c>
      <c r="P1443">
        <v>-2.5</v>
      </c>
      <c r="Q1443">
        <v>36</v>
      </c>
      <c r="R1443">
        <v>6.1</v>
      </c>
      <c r="S1443">
        <v>14.1</v>
      </c>
      <c r="T1443">
        <v>1.2</v>
      </c>
      <c r="U1443">
        <v>1.8</v>
      </c>
      <c r="V1443">
        <v>0</v>
      </c>
      <c r="W1443">
        <v>0</v>
      </c>
      <c r="X1443">
        <v>0</v>
      </c>
      <c r="Y1443">
        <v>0</v>
      </c>
      <c r="Z1443">
        <v>16.399999999999999</v>
      </c>
      <c r="AA1443">
        <v>35.299999999999997</v>
      </c>
      <c r="AB1443">
        <v>190</v>
      </c>
      <c r="AC1443">
        <v>53</v>
      </c>
      <c r="AD1443">
        <v>24.2</v>
      </c>
      <c r="AE1443">
        <v>11.9</v>
      </c>
      <c r="AF1443">
        <v>58.255000000000003</v>
      </c>
      <c r="AG1443">
        <v>36.438000000000002</v>
      </c>
      <c r="AH1443">
        <v>41.412999999999997</v>
      </c>
      <c r="AI1443">
        <v>55.442999999999998</v>
      </c>
      <c r="AJ1443">
        <v>66.64</v>
      </c>
      <c r="AK1443">
        <v>60.978000000000002</v>
      </c>
      <c r="AL1443">
        <v>2.8620000000000001</v>
      </c>
      <c r="AM1443">
        <v>41.412999999999997</v>
      </c>
      <c r="AN1443">
        <v>36.438000000000002</v>
      </c>
      <c r="AO1443">
        <v>58.255000000000003</v>
      </c>
      <c r="AP1443">
        <v>-2.8620000000000001</v>
      </c>
      <c r="AQ1443">
        <v>33.36</v>
      </c>
      <c r="AR1443">
        <v>44.557000000000002</v>
      </c>
      <c r="AS1443">
        <v>39.021999999999998</v>
      </c>
    </row>
    <row r="1444" spans="1:45" x14ac:dyDescent="0.25">
      <c r="A1444">
        <v>41</v>
      </c>
      <c r="B1444">
        <v>7</v>
      </c>
      <c r="C1444">
        <v>1</v>
      </c>
      <c r="D1444">
        <v>2023</v>
      </c>
      <c r="E1444">
        <v>9</v>
      </c>
      <c r="F1444" t="str">
        <f>IFERROR(VLOOKUP(G1444, Map!$A$1:$B$33, 2, FALSE),"WAS")</f>
        <v>NO</v>
      </c>
      <c r="G1444" t="s">
        <v>168</v>
      </c>
      <c r="H1444" t="str">
        <f>IFERROR(VLOOKUP(I1444, Map!$A$1:$B$33, 2, FALSE),"WAS")</f>
        <v>CHI</v>
      </c>
      <c r="I1444" t="s">
        <v>163</v>
      </c>
      <c r="J1444" t="s">
        <v>192</v>
      </c>
      <c r="K1444" t="s">
        <v>216</v>
      </c>
      <c r="L1444">
        <v>1</v>
      </c>
      <c r="M1444">
        <v>0</v>
      </c>
      <c r="N1444">
        <v>39.357142857142897</v>
      </c>
      <c r="O1444">
        <v>-7.8214285714285703</v>
      </c>
      <c r="P1444">
        <v>-4.5</v>
      </c>
      <c r="Q1444">
        <v>41</v>
      </c>
      <c r="R1444">
        <v>18.3</v>
      </c>
      <c r="S1444">
        <v>24.3</v>
      </c>
      <c r="T1444">
        <v>14.6</v>
      </c>
      <c r="U1444">
        <v>18.7</v>
      </c>
      <c r="V1444">
        <v>0</v>
      </c>
      <c r="W1444">
        <v>0</v>
      </c>
      <c r="X1444">
        <v>0</v>
      </c>
      <c r="Y1444">
        <v>0</v>
      </c>
      <c r="Z1444">
        <v>9.6999999999999993</v>
      </c>
      <c r="AA1444">
        <v>21.6</v>
      </c>
      <c r="AB1444">
        <v>321</v>
      </c>
      <c r="AC1444">
        <v>78</v>
      </c>
      <c r="AD1444">
        <v>13.5</v>
      </c>
      <c r="AE1444">
        <v>6.7</v>
      </c>
      <c r="AF1444">
        <v>67.313999999999993</v>
      </c>
      <c r="AG1444">
        <v>49.529000000000003</v>
      </c>
      <c r="AH1444">
        <v>32.424999999999997</v>
      </c>
      <c r="AI1444">
        <v>74.727000000000004</v>
      </c>
      <c r="AJ1444">
        <v>48.22</v>
      </c>
      <c r="AK1444">
        <v>72.117000000000004</v>
      </c>
      <c r="AL1444">
        <v>6.0860000000000003</v>
      </c>
      <c r="AM1444">
        <v>32.424999999999997</v>
      </c>
      <c r="AN1444">
        <v>49.529000000000003</v>
      </c>
      <c r="AO1444">
        <v>67.313999999999993</v>
      </c>
      <c r="AP1444">
        <v>-6.0860000000000003</v>
      </c>
      <c r="AQ1444">
        <v>51.78</v>
      </c>
      <c r="AR1444">
        <v>25.273</v>
      </c>
      <c r="AS1444">
        <v>27.882999999999999</v>
      </c>
    </row>
    <row r="1445" spans="1:45" x14ac:dyDescent="0.25">
      <c r="A1445">
        <v>36</v>
      </c>
      <c r="B1445">
        <v>24</v>
      </c>
      <c r="C1445">
        <v>1</v>
      </c>
      <c r="D1445">
        <v>2023</v>
      </c>
      <c r="E1445">
        <v>9</v>
      </c>
      <c r="F1445" t="str">
        <f>IFERROR(VLOOKUP(G1445, Map!$A$1:$B$33, 2, FALSE),"WAS")</f>
        <v>LV</v>
      </c>
      <c r="G1445" t="s">
        <v>157</v>
      </c>
      <c r="H1445" t="str">
        <f>IFERROR(VLOOKUP(I1445, Map!$A$1:$B$33, 2, FALSE),"WAS")</f>
        <v>NYG</v>
      </c>
      <c r="I1445" t="s">
        <v>149</v>
      </c>
      <c r="J1445" t="s">
        <v>179</v>
      </c>
      <c r="K1445" t="s">
        <v>219</v>
      </c>
      <c r="L1445">
        <v>1</v>
      </c>
      <c r="M1445">
        <v>0</v>
      </c>
      <c r="N1445">
        <v>38.576923076923102</v>
      </c>
      <c r="O1445">
        <v>-3.3461538461538498</v>
      </c>
      <c r="P1445">
        <v>-1</v>
      </c>
      <c r="Q1445">
        <v>37.5</v>
      </c>
      <c r="R1445">
        <v>17.7</v>
      </c>
      <c r="S1445">
        <v>23.3</v>
      </c>
      <c r="T1445">
        <v>9.5</v>
      </c>
      <c r="U1445">
        <v>14.1</v>
      </c>
      <c r="V1445">
        <v>0</v>
      </c>
      <c r="W1445">
        <v>0</v>
      </c>
      <c r="X1445">
        <v>0</v>
      </c>
      <c r="Y1445">
        <v>0</v>
      </c>
      <c r="Z1445">
        <v>8.8000000000000007</v>
      </c>
      <c r="AA1445">
        <v>14.8</v>
      </c>
      <c r="AB1445">
        <v>256</v>
      </c>
      <c r="AC1445">
        <v>19</v>
      </c>
      <c r="AD1445">
        <v>8.6</v>
      </c>
      <c r="AE1445">
        <v>4</v>
      </c>
      <c r="AF1445">
        <v>41.061999999999998</v>
      </c>
      <c r="AG1445">
        <v>31.716999999999999</v>
      </c>
      <c r="AH1445">
        <v>58.607999999999997</v>
      </c>
      <c r="AI1445">
        <v>96.594999999999999</v>
      </c>
      <c r="AJ1445">
        <v>80.049000000000007</v>
      </c>
      <c r="AK1445">
        <v>97.126000000000005</v>
      </c>
      <c r="AL1445">
        <v>-2.984</v>
      </c>
      <c r="AM1445">
        <v>58.607999999999997</v>
      </c>
      <c r="AN1445">
        <v>31.716999999999999</v>
      </c>
      <c r="AO1445">
        <v>41.061999999999998</v>
      </c>
      <c r="AP1445">
        <v>2.984</v>
      </c>
      <c r="AQ1445">
        <v>19.951000000000001</v>
      </c>
      <c r="AR1445">
        <v>3.4049999999999998</v>
      </c>
      <c r="AS1445">
        <v>2.8740000000000001</v>
      </c>
    </row>
    <row r="1446" spans="1:45" x14ac:dyDescent="0.25">
      <c r="A1446">
        <v>33</v>
      </c>
      <c r="B1446">
        <v>-21</v>
      </c>
      <c r="C1446">
        <v>0</v>
      </c>
      <c r="D1446">
        <v>2023</v>
      </c>
      <c r="E1446">
        <v>9</v>
      </c>
      <c r="F1446" t="str">
        <f>IFERROR(VLOOKUP(G1446, Map!$A$1:$B$33, 2, FALSE),"WAS")</f>
        <v>NYJ</v>
      </c>
      <c r="G1446" t="s">
        <v>166</v>
      </c>
      <c r="H1446" t="str">
        <f>IFERROR(VLOOKUP(I1446, Map!$A$1:$B$33, 2, FALSE),"WAS")</f>
        <v>LAC</v>
      </c>
      <c r="I1446" t="s">
        <v>160</v>
      </c>
      <c r="J1446" t="s">
        <v>172</v>
      </c>
      <c r="K1446" t="s">
        <v>210</v>
      </c>
      <c r="L1446">
        <v>0</v>
      </c>
      <c r="M1446">
        <v>0</v>
      </c>
      <c r="N1446">
        <v>37.75</v>
      </c>
      <c r="O1446">
        <v>4.1428571428571397</v>
      </c>
      <c r="P1446">
        <v>2</v>
      </c>
      <c r="Q1446">
        <v>34.5</v>
      </c>
      <c r="R1446">
        <v>12.9</v>
      </c>
      <c r="S1446">
        <v>19.899999999999999</v>
      </c>
      <c r="T1446">
        <v>7.7</v>
      </c>
      <c r="U1446">
        <v>10.9</v>
      </c>
      <c r="V1446">
        <v>2.5</v>
      </c>
      <c r="W1446">
        <v>0</v>
      </c>
      <c r="X1446">
        <v>4</v>
      </c>
      <c r="Y1446">
        <v>2.5</v>
      </c>
      <c r="Z1446">
        <v>19.5</v>
      </c>
      <c r="AA1446">
        <v>42.5</v>
      </c>
      <c r="AB1446">
        <v>225</v>
      </c>
      <c r="AC1446">
        <v>80</v>
      </c>
      <c r="AD1446">
        <v>24.1</v>
      </c>
      <c r="AE1446">
        <v>12.3</v>
      </c>
      <c r="AF1446">
        <v>38.518000000000001</v>
      </c>
      <c r="AG1446">
        <v>31.34</v>
      </c>
      <c r="AH1446">
        <v>61.171999999999997</v>
      </c>
      <c r="AI1446">
        <v>69.462999999999994</v>
      </c>
      <c r="AJ1446">
        <v>5.2210000000000001</v>
      </c>
      <c r="AK1446">
        <v>13.321</v>
      </c>
      <c r="AL1446">
        <v>-3.8740000000000001</v>
      </c>
      <c r="AM1446">
        <v>61.171999999999997</v>
      </c>
      <c r="AN1446">
        <v>31.34</v>
      </c>
      <c r="AO1446">
        <v>38.518000000000001</v>
      </c>
      <c r="AP1446">
        <v>3.8740000000000001</v>
      </c>
      <c r="AQ1446">
        <v>94.778999999999996</v>
      </c>
      <c r="AR1446">
        <v>30.536999999999999</v>
      </c>
      <c r="AS1446">
        <v>86.679000000000002</v>
      </c>
    </row>
    <row r="1447" spans="1:45" x14ac:dyDescent="0.25">
      <c r="A1447">
        <v>27</v>
      </c>
      <c r="B1447">
        <v>27</v>
      </c>
      <c r="C1447">
        <v>1</v>
      </c>
      <c r="D1447">
        <v>2023</v>
      </c>
      <c r="E1447">
        <v>9</v>
      </c>
      <c r="F1447" t="str">
        <f>IFERROR(VLOOKUP(G1447, Map!$A$1:$B$33, 2, FALSE),"WAS")</f>
        <v>CLE</v>
      </c>
      <c r="G1447" t="s">
        <v>162</v>
      </c>
      <c r="H1447" t="str">
        <f>IFERROR(VLOOKUP(I1447, Map!$A$1:$B$33, 2, FALSE),"WAS")</f>
        <v>ARI</v>
      </c>
      <c r="I1447" t="s">
        <v>156</v>
      </c>
      <c r="J1447" t="s">
        <v>171</v>
      </c>
      <c r="K1447" t="s">
        <v>190</v>
      </c>
      <c r="L1447">
        <v>1</v>
      </c>
      <c r="M1447">
        <v>0</v>
      </c>
      <c r="N1447">
        <v>34.678571428571402</v>
      </c>
      <c r="O1447">
        <v>-11.3214285714286</v>
      </c>
      <c r="P1447">
        <v>-7.5</v>
      </c>
      <c r="Q1447">
        <v>28.5</v>
      </c>
      <c r="R1447">
        <v>9.8000000000000007</v>
      </c>
      <c r="S1447">
        <v>10.7</v>
      </c>
      <c r="T1447">
        <v>8.1999999999999993</v>
      </c>
      <c r="U1447">
        <v>7.7</v>
      </c>
      <c r="V1447">
        <v>0</v>
      </c>
      <c r="W1447">
        <v>0</v>
      </c>
      <c r="X1447">
        <v>0</v>
      </c>
      <c r="Y1447">
        <v>0</v>
      </c>
      <c r="Z1447">
        <v>18.3</v>
      </c>
      <c r="AA1447">
        <v>24.1</v>
      </c>
      <c r="AB1447">
        <v>1</v>
      </c>
      <c r="AC1447">
        <v>84</v>
      </c>
      <c r="AD1447">
        <v>14.7</v>
      </c>
      <c r="AE1447">
        <v>9.4</v>
      </c>
      <c r="AF1447">
        <v>69.269000000000005</v>
      </c>
      <c r="AG1447">
        <v>35.061999999999998</v>
      </c>
      <c r="AH1447">
        <v>30.486000000000001</v>
      </c>
      <c r="AI1447">
        <v>99.968000000000004</v>
      </c>
      <c r="AJ1447">
        <v>37.305999999999997</v>
      </c>
      <c r="AK1447">
        <v>93.908000000000001</v>
      </c>
      <c r="AL1447">
        <v>6.8230000000000004</v>
      </c>
      <c r="AM1447">
        <v>30.486000000000001</v>
      </c>
      <c r="AN1447">
        <v>35.061999999999998</v>
      </c>
      <c r="AO1447">
        <v>69.269000000000005</v>
      </c>
      <c r="AP1447">
        <v>-6.8230000000000004</v>
      </c>
      <c r="AQ1447">
        <v>62.694000000000003</v>
      </c>
      <c r="AR1447">
        <v>3.2000000000000001E-2</v>
      </c>
      <c r="AS1447">
        <v>6.0919999999999996</v>
      </c>
    </row>
    <row r="1448" spans="1:45" x14ac:dyDescent="0.25">
      <c r="A1448">
        <v>40</v>
      </c>
      <c r="B1448">
        <v>34</v>
      </c>
      <c r="C1448">
        <v>1</v>
      </c>
      <c r="D1448">
        <v>2023</v>
      </c>
      <c r="E1448">
        <v>9</v>
      </c>
      <c r="F1448" t="str">
        <f>IFERROR(VLOOKUP(G1448, Map!$A$1:$B$33, 2, FALSE),"WAS")</f>
        <v>BAL</v>
      </c>
      <c r="G1448" t="s">
        <v>146</v>
      </c>
      <c r="H1448" t="str">
        <f>IFERROR(VLOOKUP(I1448, Map!$A$1:$B$33, 2, FALSE),"WAS")</f>
        <v>SEA</v>
      </c>
      <c r="I1448" t="s">
        <v>144</v>
      </c>
      <c r="J1448" t="s">
        <v>181</v>
      </c>
      <c r="K1448" t="s">
        <v>182</v>
      </c>
      <c r="L1448">
        <v>1</v>
      </c>
      <c r="M1448">
        <v>0</v>
      </c>
      <c r="N1448">
        <v>37.642857142857103</v>
      </c>
      <c r="O1448">
        <v>-6.1071428571428603</v>
      </c>
      <c r="P1448">
        <v>-3</v>
      </c>
      <c r="Q1448">
        <v>0</v>
      </c>
      <c r="R1448">
        <v>12.8</v>
      </c>
      <c r="S1448">
        <v>21.8</v>
      </c>
      <c r="T1448">
        <v>6.6</v>
      </c>
      <c r="U1448">
        <v>10.1</v>
      </c>
      <c r="V1448">
        <v>0</v>
      </c>
      <c r="W1448">
        <v>0</v>
      </c>
      <c r="X1448">
        <v>0</v>
      </c>
      <c r="Y1448">
        <v>0</v>
      </c>
      <c r="Z1448">
        <v>13.8</v>
      </c>
      <c r="AA1448">
        <v>28.1</v>
      </c>
      <c r="AB1448">
        <v>293</v>
      </c>
      <c r="AC1448">
        <v>59</v>
      </c>
      <c r="AD1448">
        <v>16.399999999999999</v>
      </c>
      <c r="AE1448">
        <v>8.6999999999999993</v>
      </c>
      <c r="AF1448">
        <v>69.483000000000004</v>
      </c>
      <c r="AG1448">
        <v>63.378</v>
      </c>
      <c r="AH1448">
        <v>30.273</v>
      </c>
      <c r="AI1448">
        <v>98.075999999999993</v>
      </c>
      <c r="AJ1448">
        <v>72.881</v>
      </c>
      <c r="AK1448">
        <v>95.97</v>
      </c>
      <c r="AL1448">
        <v>6.9050000000000002</v>
      </c>
      <c r="AM1448">
        <v>30.273</v>
      </c>
      <c r="AN1448">
        <v>63.378</v>
      </c>
      <c r="AO1448">
        <v>69.483000000000004</v>
      </c>
      <c r="AP1448">
        <v>-6.9050000000000002</v>
      </c>
      <c r="AQ1448">
        <v>27.119</v>
      </c>
      <c r="AR1448">
        <v>1.9239999999999999</v>
      </c>
      <c r="AS1448">
        <v>4.03</v>
      </c>
    </row>
    <row r="1449" spans="1:45" x14ac:dyDescent="0.25">
      <c r="A1449">
        <v>23</v>
      </c>
      <c r="B1449">
        <v>17</v>
      </c>
      <c r="C1449">
        <v>1</v>
      </c>
      <c r="D1449">
        <v>2023</v>
      </c>
      <c r="E1449">
        <v>9</v>
      </c>
      <c r="F1449" t="str">
        <f>IFERROR(VLOOKUP(G1449, Map!$A$1:$B$33, 2, FALSE),"WAS")</f>
        <v>GB</v>
      </c>
      <c r="G1449" t="s">
        <v>154</v>
      </c>
      <c r="H1449" t="str">
        <f>IFERROR(VLOOKUP(I1449, Map!$A$1:$B$33, 2, FALSE),"WAS")</f>
        <v>LA</v>
      </c>
      <c r="I1449" t="s">
        <v>155</v>
      </c>
      <c r="J1449" t="s">
        <v>200</v>
      </c>
      <c r="K1449" t="s">
        <v>178</v>
      </c>
      <c r="L1449">
        <v>1</v>
      </c>
      <c r="M1449">
        <v>0</v>
      </c>
      <c r="N1449">
        <v>34.25</v>
      </c>
      <c r="O1449">
        <v>-3.3928571428571401</v>
      </c>
      <c r="P1449">
        <v>-3</v>
      </c>
      <c r="Q1449">
        <v>24.5</v>
      </c>
      <c r="R1449">
        <v>4.5999999999999996</v>
      </c>
      <c r="S1449">
        <v>10</v>
      </c>
      <c r="T1449">
        <v>-0.2</v>
      </c>
      <c r="U1449">
        <v>1.7</v>
      </c>
      <c r="V1449">
        <v>0.6</v>
      </c>
      <c r="W1449">
        <v>0</v>
      </c>
      <c r="X1449">
        <v>2</v>
      </c>
      <c r="Y1449">
        <v>0.6</v>
      </c>
      <c r="Z1449">
        <v>10.9</v>
      </c>
      <c r="AA1449">
        <v>15.5</v>
      </c>
      <c r="AB1449">
        <v>210</v>
      </c>
      <c r="AC1449">
        <v>74</v>
      </c>
      <c r="AD1449">
        <v>10.7</v>
      </c>
      <c r="AE1449">
        <v>6.1</v>
      </c>
      <c r="AF1449">
        <v>55.066000000000003</v>
      </c>
      <c r="AG1449">
        <v>61.213999999999999</v>
      </c>
      <c r="AH1449">
        <v>44.576000000000001</v>
      </c>
      <c r="AI1449">
        <v>96.927000000000007</v>
      </c>
      <c r="AJ1449">
        <v>27.4</v>
      </c>
      <c r="AK1449">
        <v>77.911000000000001</v>
      </c>
      <c r="AL1449">
        <v>1.774</v>
      </c>
      <c r="AM1449">
        <v>44.576000000000001</v>
      </c>
      <c r="AN1449">
        <v>61.213999999999999</v>
      </c>
      <c r="AO1449">
        <v>55.066000000000003</v>
      </c>
      <c r="AP1449">
        <v>-1.774</v>
      </c>
      <c r="AQ1449">
        <v>72.599999999999994</v>
      </c>
      <c r="AR1449">
        <v>3.073</v>
      </c>
      <c r="AS1449">
        <v>22.088999999999999</v>
      </c>
    </row>
    <row r="1450" spans="1:45" x14ac:dyDescent="0.25">
      <c r="A1450">
        <v>48</v>
      </c>
      <c r="B1450">
        <v>2</v>
      </c>
      <c r="C1450">
        <v>1</v>
      </c>
      <c r="D1450">
        <v>2023</v>
      </c>
      <c r="E1450">
        <v>10</v>
      </c>
      <c r="F1450" t="str">
        <f>IFERROR(VLOOKUP(G1450, Map!$A$1:$B$33, 2, FALSE),"WAS")</f>
        <v>ARI</v>
      </c>
      <c r="G1450" t="s">
        <v>156</v>
      </c>
      <c r="H1450" t="str">
        <f>IFERROR(VLOOKUP(I1450, Map!$A$1:$B$33, 2, FALSE),"WAS")</f>
        <v>ATL</v>
      </c>
      <c r="I1450" t="s">
        <v>167</v>
      </c>
      <c r="J1450" t="s">
        <v>190</v>
      </c>
      <c r="K1450" t="s">
        <v>188</v>
      </c>
      <c r="L1450">
        <v>1</v>
      </c>
      <c r="M1450">
        <v>0</v>
      </c>
      <c r="N1450">
        <v>37.428571428571402</v>
      </c>
      <c r="O1450">
        <v>1.75</v>
      </c>
      <c r="P1450">
        <v>-0.5</v>
      </c>
      <c r="Q1450">
        <v>0</v>
      </c>
      <c r="R1450">
        <v>18</v>
      </c>
      <c r="S1450">
        <v>28.2</v>
      </c>
      <c r="T1450">
        <v>10.1</v>
      </c>
      <c r="U1450">
        <v>14.4</v>
      </c>
      <c r="V1450">
        <v>0</v>
      </c>
      <c r="W1450">
        <v>0</v>
      </c>
      <c r="X1450">
        <v>0</v>
      </c>
      <c r="Y1450">
        <v>0</v>
      </c>
      <c r="Z1450">
        <v>11</v>
      </c>
      <c r="AA1450">
        <v>25.2</v>
      </c>
      <c r="AB1450">
        <v>58</v>
      </c>
      <c r="AC1450">
        <v>19</v>
      </c>
      <c r="AD1450">
        <v>14</v>
      </c>
      <c r="AE1450">
        <v>4.3</v>
      </c>
      <c r="AF1450">
        <v>43.744999999999997</v>
      </c>
      <c r="AG1450">
        <v>25.824999999999999</v>
      </c>
      <c r="AH1450">
        <v>55.904000000000003</v>
      </c>
      <c r="AI1450">
        <v>48.875999999999998</v>
      </c>
      <c r="AJ1450">
        <v>43.582999999999998</v>
      </c>
      <c r="AK1450">
        <v>54.374000000000002</v>
      </c>
      <c r="AL1450">
        <v>-2.0499999999999998</v>
      </c>
      <c r="AM1450">
        <v>55.904000000000003</v>
      </c>
      <c r="AN1450">
        <v>25.824999999999999</v>
      </c>
      <c r="AO1450">
        <v>43.744999999999997</v>
      </c>
      <c r="AP1450">
        <v>2.0499999999999998</v>
      </c>
      <c r="AQ1450">
        <v>56.417000000000002</v>
      </c>
      <c r="AR1450">
        <v>51.124000000000002</v>
      </c>
      <c r="AS1450">
        <v>45.625999999999998</v>
      </c>
    </row>
    <row r="1451" spans="1:45" x14ac:dyDescent="0.25">
      <c r="A1451">
        <v>42</v>
      </c>
      <c r="B1451">
        <v>4</v>
      </c>
      <c r="C1451">
        <v>1</v>
      </c>
      <c r="D1451">
        <v>2023</v>
      </c>
      <c r="E1451">
        <v>10</v>
      </c>
      <c r="F1451" t="str">
        <f>IFERROR(VLOOKUP(G1451, Map!$A$1:$B$33, 2, FALSE),"WAS")</f>
        <v>PIT</v>
      </c>
      <c r="G1451" t="s">
        <v>145</v>
      </c>
      <c r="H1451" t="str">
        <f>IFERROR(VLOOKUP(I1451, Map!$A$1:$B$33, 2, FALSE),"WAS")</f>
        <v>GB</v>
      </c>
      <c r="I1451" t="s">
        <v>154</v>
      </c>
      <c r="J1451" t="s">
        <v>170</v>
      </c>
      <c r="K1451" t="s">
        <v>200</v>
      </c>
      <c r="L1451">
        <v>1</v>
      </c>
      <c r="M1451">
        <v>0</v>
      </c>
      <c r="N1451">
        <v>33.107142857142897</v>
      </c>
      <c r="O1451">
        <v>-2.9285714285714302</v>
      </c>
      <c r="P1451">
        <v>-3</v>
      </c>
      <c r="Q1451">
        <v>0</v>
      </c>
      <c r="R1451">
        <v>5.5</v>
      </c>
      <c r="S1451">
        <v>10.6</v>
      </c>
      <c r="T1451">
        <v>0.7</v>
      </c>
      <c r="U1451">
        <v>2.4</v>
      </c>
      <c r="V1451">
        <v>0</v>
      </c>
      <c r="W1451">
        <v>0</v>
      </c>
      <c r="X1451">
        <v>0</v>
      </c>
      <c r="Y1451">
        <v>0</v>
      </c>
      <c r="Z1451">
        <v>9.6999999999999993</v>
      </c>
      <c r="AA1451">
        <v>19.100000000000001</v>
      </c>
      <c r="AB1451">
        <v>32</v>
      </c>
      <c r="AC1451">
        <v>70</v>
      </c>
      <c r="AD1451">
        <v>15.9</v>
      </c>
      <c r="AE1451">
        <v>7.5</v>
      </c>
      <c r="AF1451">
        <v>59.499000000000002</v>
      </c>
      <c r="AG1451">
        <v>57.749000000000002</v>
      </c>
      <c r="AH1451">
        <v>40.177999999999997</v>
      </c>
      <c r="AI1451">
        <v>53.853000000000002</v>
      </c>
      <c r="AJ1451">
        <v>56.667000000000002</v>
      </c>
      <c r="AK1451">
        <v>61.027000000000001</v>
      </c>
      <c r="AL1451">
        <v>3.2770000000000001</v>
      </c>
      <c r="AM1451">
        <v>40.177999999999997</v>
      </c>
      <c r="AN1451">
        <v>57.749000000000002</v>
      </c>
      <c r="AO1451">
        <v>59.499000000000002</v>
      </c>
      <c r="AP1451">
        <v>-3.2770000000000001</v>
      </c>
      <c r="AQ1451">
        <v>43.332999999999998</v>
      </c>
      <c r="AR1451">
        <v>46.146999999999998</v>
      </c>
      <c r="AS1451">
        <v>38.972999999999999</v>
      </c>
    </row>
    <row r="1452" spans="1:45" x14ac:dyDescent="0.25">
      <c r="A1452">
        <v>66</v>
      </c>
      <c r="B1452">
        <v>32</v>
      </c>
      <c r="C1452">
        <v>1</v>
      </c>
      <c r="D1452">
        <v>2023</v>
      </c>
      <c r="E1452">
        <v>10</v>
      </c>
      <c r="F1452" t="str">
        <f>IFERROR(VLOOKUP(G1452, Map!$A$1:$B$33, 2, FALSE),"WAS")</f>
        <v>DAL</v>
      </c>
      <c r="G1452" t="s">
        <v>150</v>
      </c>
      <c r="H1452" t="str">
        <f>IFERROR(VLOOKUP(I1452, Map!$A$1:$B$33, 2, FALSE),"WAS")</f>
        <v>NYG</v>
      </c>
      <c r="I1452" t="s">
        <v>149</v>
      </c>
      <c r="J1452" t="s">
        <v>184</v>
      </c>
      <c r="K1452" t="s">
        <v>219</v>
      </c>
      <c r="L1452">
        <v>1</v>
      </c>
      <c r="M1452">
        <v>0</v>
      </c>
      <c r="N1452">
        <v>34.535714285714299</v>
      </c>
      <c r="O1452">
        <v>-16.6428571428571</v>
      </c>
      <c r="P1452">
        <v>-5.5</v>
      </c>
      <c r="Q1452">
        <v>0</v>
      </c>
      <c r="R1452">
        <v>14.9</v>
      </c>
      <c r="S1452">
        <v>18.399999999999999</v>
      </c>
      <c r="T1452">
        <v>10.4</v>
      </c>
      <c r="U1452">
        <v>13.6</v>
      </c>
      <c r="V1452">
        <v>0</v>
      </c>
      <c r="W1452">
        <v>0</v>
      </c>
      <c r="X1452">
        <v>0</v>
      </c>
      <c r="Y1452">
        <v>0</v>
      </c>
      <c r="Z1452">
        <v>10</v>
      </c>
      <c r="AA1452">
        <v>18.7</v>
      </c>
      <c r="AB1452">
        <v>60</v>
      </c>
      <c r="AC1452">
        <v>67</v>
      </c>
      <c r="AD1452">
        <v>12.5</v>
      </c>
      <c r="AE1452">
        <v>6.5</v>
      </c>
      <c r="AF1452">
        <v>89.843999999999994</v>
      </c>
      <c r="AG1452">
        <v>49.99</v>
      </c>
      <c r="AH1452">
        <v>10.074999999999999</v>
      </c>
      <c r="AI1452">
        <v>97.734999999999999</v>
      </c>
      <c r="AJ1452">
        <v>83.338999999999999</v>
      </c>
      <c r="AK1452">
        <v>97.664000000000001</v>
      </c>
      <c r="AL1452">
        <v>17.085000000000001</v>
      </c>
      <c r="AM1452">
        <v>10.074999999999999</v>
      </c>
      <c r="AN1452">
        <v>49.99</v>
      </c>
      <c r="AO1452">
        <v>89.843999999999994</v>
      </c>
      <c r="AP1452">
        <v>-17.085000000000001</v>
      </c>
      <c r="AQ1452">
        <v>16.661000000000001</v>
      </c>
      <c r="AR1452">
        <v>2.2650000000000001</v>
      </c>
      <c r="AS1452">
        <v>2.3359999999999999</v>
      </c>
    </row>
    <row r="1453" spans="1:45" x14ac:dyDescent="0.25">
      <c r="A1453">
        <v>29</v>
      </c>
      <c r="B1453">
        <v>3</v>
      </c>
      <c r="C1453">
        <v>1</v>
      </c>
      <c r="D1453">
        <v>2023</v>
      </c>
      <c r="E1453">
        <v>10</v>
      </c>
      <c r="F1453" t="str">
        <f>IFERROR(VLOOKUP(G1453, Map!$A$1:$B$33, 2, FALSE),"WAS")</f>
        <v>CHI</v>
      </c>
      <c r="G1453" t="s">
        <v>163</v>
      </c>
      <c r="H1453" t="str">
        <f>IFERROR(VLOOKUP(I1453, Map!$A$1:$B$33, 2, FALSE),"WAS")</f>
        <v>CAR</v>
      </c>
      <c r="I1453" t="s">
        <v>142</v>
      </c>
      <c r="J1453" t="s">
        <v>216</v>
      </c>
      <c r="K1453" t="s">
        <v>185</v>
      </c>
      <c r="L1453">
        <v>1</v>
      </c>
      <c r="M1453">
        <v>0</v>
      </c>
      <c r="N1453">
        <v>32.357142857142897</v>
      </c>
      <c r="O1453">
        <v>-3.0714285714285698</v>
      </c>
      <c r="P1453">
        <v>-2.5</v>
      </c>
      <c r="Q1453">
        <v>0</v>
      </c>
      <c r="R1453">
        <v>6</v>
      </c>
      <c r="S1453">
        <v>8</v>
      </c>
      <c r="T1453">
        <v>3.1</v>
      </c>
      <c r="U1453">
        <v>1.4</v>
      </c>
      <c r="V1453">
        <v>0</v>
      </c>
      <c r="W1453">
        <v>0</v>
      </c>
      <c r="X1453">
        <v>0</v>
      </c>
      <c r="Y1453">
        <v>0</v>
      </c>
      <c r="Z1453">
        <v>22.1</v>
      </c>
      <c r="AA1453">
        <v>33.5</v>
      </c>
      <c r="AB1453">
        <v>269</v>
      </c>
      <c r="AC1453">
        <v>65</v>
      </c>
      <c r="AD1453">
        <v>25.7</v>
      </c>
      <c r="AE1453">
        <v>16.899999999999999</v>
      </c>
      <c r="AF1453">
        <v>61.045999999999999</v>
      </c>
      <c r="AG1453">
        <v>26.72</v>
      </c>
      <c r="AH1453">
        <v>38.643999999999998</v>
      </c>
      <c r="AI1453">
        <v>78.980999999999995</v>
      </c>
      <c r="AJ1453">
        <v>39.593000000000004</v>
      </c>
      <c r="AK1453">
        <v>58.162999999999997</v>
      </c>
      <c r="AL1453">
        <v>3.8130000000000002</v>
      </c>
      <c r="AM1453">
        <v>38.643999999999998</v>
      </c>
      <c r="AN1453">
        <v>26.72</v>
      </c>
      <c r="AO1453">
        <v>61.045999999999999</v>
      </c>
      <c r="AP1453">
        <v>-3.8130000000000002</v>
      </c>
      <c r="AQ1453">
        <v>60.406999999999996</v>
      </c>
      <c r="AR1453">
        <v>21.018999999999998</v>
      </c>
      <c r="AS1453">
        <v>41.837000000000003</v>
      </c>
    </row>
    <row r="1454" spans="1:45" x14ac:dyDescent="0.25">
      <c r="A1454">
        <v>46</v>
      </c>
      <c r="B1454">
        <v>-2</v>
      </c>
      <c r="C1454">
        <v>0</v>
      </c>
      <c r="D1454">
        <v>2023</v>
      </c>
      <c r="E1454">
        <v>10</v>
      </c>
      <c r="F1454" t="str">
        <f>IFERROR(VLOOKUP(G1454, Map!$A$1:$B$33, 2, FALSE),"WAS")</f>
        <v>BUF</v>
      </c>
      <c r="G1454" t="s">
        <v>165</v>
      </c>
      <c r="H1454" t="str">
        <f>IFERROR(VLOOKUP(I1454, Map!$A$1:$B$33, 2, FALSE),"WAS")</f>
        <v>DEN</v>
      </c>
      <c r="I1454" t="s">
        <v>159</v>
      </c>
      <c r="J1454" t="s">
        <v>180</v>
      </c>
      <c r="K1454" t="s">
        <v>183</v>
      </c>
      <c r="L1454">
        <v>0</v>
      </c>
      <c r="M1454">
        <v>0</v>
      </c>
      <c r="N1454">
        <v>40.428571428571402</v>
      </c>
      <c r="O1454">
        <v>-6.2142857142857197</v>
      </c>
      <c r="P1454">
        <v>1.5</v>
      </c>
      <c r="Q1454">
        <v>0</v>
      </c>
      <c r="R1454">
        <v>12.2</v>
      </c>
      <c r="S1454">
        <v>18.8</v>
      </c>
      <c r="T1454">
        <v>7.7</v>
      </c>
      <c r="U1454">
        <v>8.6999999999999993</v>
      </c>
      <c r="V1454">
        <v>0</v>
      </c>
      <c r="W1454">
        <v>0</v>
      </c>
      <c r="X1454">
        <v>0</v>
      </c>
      <c r="Y1454">
        <v>0</v>
      </c>
      <c r="Z1454">
        <v>15.3</v>
      </c>
      <c r="AA1454">
        <v>27</v>
      </c>
      <c r="AB1454">
        <v>16</v>
      </c>
      <c r="AC1454">
        <v>46</v>
      </c>
      <c r="AD1454">
        <v>19.3</v>
      </c>
      <c r="AE1454">
        <v>9.9</v>
      </c>
      <c r="AF1454">
        <v>78.683999999999997</v>
      </c>
      <c r="AG1454">
        <v>62.226999999999997</v>
      </c>
      <c r="AH1454">
        <v>21.146000000000001</v>
      </c>
      <c r="AI1454">
        <v>62.037999999999997</v>
      </c>
      <c r="AJ1454">
        <v>34.462000000000003</v>
      </c>
      <c r="AK1454">
        <v>43.725000000000001</v>
      </c>
      <c r="AL1454">
        <v>10.699</v>
      </c>
      <c r="AM1454">
        <v>21.146000000000001</v>
      </c>
      <c r="AN1454">
        <v>62.226999999999997</v>
      </c>
      <c r="AO1454">
        <v>78.683999999999997</v>
      </c>
      <c r="AP1454">
        <v>-10.699</v>
      </c>
      <c r="AQ1454">
        <v>65.537999999999997</v>
      </c>
      <c r="AR1454">
        <v>37.962000000000003</v>
      </c>
      <c r="AS1454">
        <v>56.274999999999999</v>
      </c>
    </row>
    <row r="1455" spans="1:45" x14ac:dyDescent="0.25">
      <c r="A1455">
        <v>46</v>
      </c>
      <c r="B1455">
        <v>8</v>
      </c>
      <c r="C1455">
        <v>1</v>
      </c>
      <c r="D1455">
        <v>2023</v>
      </c>
      <c r="E1455">
        <v>10</v>
      </c>
      <c r="F1455" t="str">
        <f>IFERROR(VLOOKUP(G1455, Map!$A$1:$B$33, 2, FALSE),"WAS")</f>
        <v>MIN</v>
      </c>
      <c r="G1455" t="s">
        <v>153</v>
      </c>
      <c r="H1455" t="str">
        <f>IFERROR(VLOOKUP(I1455, Map!$A$1:$B$33, 2, FALSE),"WAS")</f>
        <v>NO</v>
      </c>
      <c r="I1455" t="s">
        <v>168</v>
      </c>
      <c r="J1455" t="s">
        <v>214</v>
      </c>
      <c r="K1455" t="s">
        <v>192</v>
      </c>
      <c r="L1455">
        <v>1</v>
      </c>
      <c r="M1455">
        <v>0</v>
      </c>
      <c r="N1455">
        <v>35.428571428571402</v>
      </c>
      <c r="O1455">
        <v>1.53571428571429</v>
      </c>
      <c r="P1455">
        <v>2.5</v>
      </c>
      <c r="Q1455">
        <v>0</v>
      </c>
      <c r="R1455">
        <v>6.2</v>
      </c>
      <c r="S1455">
        <v>12.6</v>
      </c>
      <c r="T1455">
        <v>2.8</v>
      </c>
      <c r="U1455">
        <v>2.2000000000000002</v>
      </c>
      <c r="V1455">
        <v>2.8</v>
      </c>
      <c r="W1455">
        <v>1.05</v>
      </c>
      <c r="X1455">
        <v>1</v>
      </c>
      <c r="Y1455">
        <v>1.3</v>
      </c>
      <c r="Z1455">
        <v>17.3</v>
      </c>
      <c r="AA1455">
        <v>36</v>
      </c>
      <c r="AB1455">
        <v>186</v>
      </c>
      <c r="AC1455">
        <v>68</v>
      </c>
      <c r="AD1455">
        <v>26.1</v>
      </c>
      <c r="AE1455">
        <v>13.1</v>
      </c>
      <c r="AF1455">
        <v>49.890999999999998</v>
      </c>
      <c r="AG1455">
        <v>47.064</v>
      </c>
      <c r="AH1455">
        <v>49.709000000000003</v>
      </c>
      <c r="AI1455">
        <v>71.997</v>
      </c>
      <c r="AJ1455">
        <v>77.914000000000001</v>
      </c>
      <c r="AK1455">
        <v>80.153999999999996</v>
      </c>
      <c r="AL1455">
        <v>3.1E-2</v>
      </c>
      <c r="AM1455">
        <v>49.709000000000003</v>
      </c>
      <c r="AN1455">
        <v>47.064</v>
      </c>
      <c r="AO1455">
        <v>49.890999999999998</v>
      </c>
      <c r="AP1455">
        <v>-3.1E-2</v>
      </c>
      <c r="AQ1455">
        <v>22.085999999999999</v>
      </c>
      <c r="AR1455">
        <v>28.003</v>
      </c>
      <c r="AS1455">
        <v>19.846</v>
      </c>
    </row>
    <row r="1456" spans="1:45" x14ac:dyDescent="0.25">
      <c r="A1456">
        <v>26</v>
      </c>
      <c r="B1456">
        <v>14</v>
      </c>
      <c r="C1456">
        <v>1</v>
      </c>
      <c r="D1456">
        <v>2023</v>
      </c>
      <c r="E1456">
        <v>10</v>
      </c>
      <c r="F1456" t="str">
        <f>IFERROR(VLOOKUP(G1456, Map!$A$1:$B$33, 2, FALSE),"WAS")</f>
        <v>TB</v>
      </c>
      <c r="G1456" t="s">
        <v>141</v>
      </c>
      <c r="H1456" t="str">
        <f>IFERROR(VLOOKUP(I1456, Map!$A$1:$B$33, 2, FALSE),"WAS")</f>
        <v>TEN</v>
      </c>
      <c r="I1456" t="s">
        <v>140</v>
      </c>
      <c r="J1456" t="s">
        <v>186</v>
      </c>
      <c r="K1456" t="s">
        <v>174</v>
      </c>
      <c r="L1456">
        <v>1</v>
      </c>
      <c r="M1456">
        <v>0</v>
      </c>
      <c r="N1456">
        <v>35.384615384615401</v>
      </c>
      <c r="O1456">
        <v>-3.2307692307692299</v>
      </c>
      <c r="P1456">
        <v>-1.5</v>
      </c>
      <c r="Q1456">
        <v>29.5</v>
      </c>
      <c r="R1456">
        <v>24.9</v>
      </c>
      <c r="S1456">
        <v>30.2</v>
      </c>
      <c r="T1456">
        <v>21.1</v>
      </c>
      <c r="U1456">
        <v>27.6</v>
      </c>
      <c r="V1456">
        <v>0.8</v>
      </c>
      <c r="W1456">
        <v>0</v>
      </c>
      <c r="X1456">
        <v>3</v>
      </c>
      <c r="Y1456">
        <v>0.8</v>
      </c>
      <c r="Z1456">
        <v>18.399999999999999</v>
      </c>
      <c r="AA1456">
        <v>34.200000000000003</v>
      </c>
      <c r="AB1456">
        <v>40</v>
      </c>
      <c r="AC1456">
        <v>78</v>
      </c>
      <c r="AD1456">
        <v>20.3</v>
      </c>
      <c r="AE1456">
        <v>9.8000000000000007</v>
      </c>
      <c r="AF1456">
        <v>54.631999999999998</v>
      </c>
      <c r="AG1456">
        <v>36.466000000000001</v>
      </c>
      <c r="AH1456">
        <v>45.006999999999998</v>
      </c>
      <c r="AI1456">
        <v>86.117000000000004</v>
      </c>
      <c r="AJ1456">
        <v>62.362000000000002</v>
      </c>
      <c r="AK1456">
        <v>82.281000000000006</v>
      </c>
      <c r="AL1456">
        <v>1.62</v>
      </c>
      <c r="AM1456">
        <v>45.006999999999998</v>
      </c>
      <c r="AN1456">
        <v>36.466000000000001</v>
      </c>
      <c r="AO1456">
        <v>54.631999999999998</v>
      </c>
      <c r="AP1456">
        <v>-1.62</v>
      </c>
      <c r="AQ1456">
        <v>37.637999999999998</v>
      </c>
      <c r="AR1456">
        <v>13.882999999999999</v>
      </c>
      <c r="AS1456">
        <v>17.719000000000001</v>
      </c>
    </row>
    <row r="1457" spans="1:45" x14ac:dyDescent="0.25">
      <c r="A1457">
        <v>57</v>
      </c>
      <c r="B1457">
        <v>-3</v>
      </c>
      <c r="C1457">
        <v>0</v>
      </c>
      <c r="D1457">
        <v>2023</v>
      </c>
      <c r="E1457">
        <v>10</v>
      </c>
      <c r="F1457" t="str">
        <f>IFERROR(VLOOKUP(G1457, Map!$A$1:$B$33, 2, FALSE),"WAS")</f>
        <v>CIN</v>
      </c>
      <c r="G1457" t="s">
        <v>161</v>
      </c>
      <c r="H1457" t="str">
        <f>IFERROR(VLOOKUP(I1457, Map!$A$1:$B$33, 2, FALSE),"WAS")</f>
        <v>HOU</v>
      </c>
      <c r="I1457" t="s">
        <v>137</v>
      </c>
      <c r="J1457" t="s">
        <v>176</v>
      </c>
      <c r="K1457" t="s">
        <v>209</v>
      </c>
      <c r="L1457">
        <v>0</v>
      </c>
      <c r="M1457">
        <v>0</v>
      </c>
      <c r="N1457">
        <v>40.107142857142897</v>
      </c>
      <c r="O1457">
        <v>-4.8928571428571397</v>
      </c>
      <c r="P1457">
        <v>3</v>
      </c>
      <c r="Q1457">
        <v>0</v>
      </c>
      <c r="R1457">
        <v>6.7</v>
      </c>
      <c r="S1457">
        <v>12.8</v>
      </c>
      <c r="T1457">
        <v>3</v>
      </c>
      <c r="U1457">
        <v>3.5</v>
      </c>
      <c r="V1457">
        <v>0</v>
      </c>
      <c r="W1457">
        <v>0</v>
      </c>
      <c r="X1457">
        <v>0</v>
      </c>
      <c r="Y1457">
        <v>0</v>
      </c>
      <c r="Z1457">
        <v>11.9</v>
      </c>
      <c r="AA1457">
        <v>27.7</v>
      </c>
      <c r="AB1457">
        <v>68</v>
      </c>
      <c r="AC1457">
        <v>67</v>
      </c>
      <c r="AD1457">
        <v>18.2</v>
      </c>
      <c r="AE1457">
        <v>8.6</v>
      </c>
      <c r="AF1457">
        <v>65.337999999999994</v>
      </c>
      <c r="AG1457">
        <v>56.863</v>
      </c>
      <c r="AH1457">
        <v>34.386000000000003</v>
      </c>
      <c r="AI1457">
        <v>27.428000000000001</v>
      </c>
      <c r="AJ1457">
        <v>37.661000000000001</v>
      </c>
      <c r="AK1457">
        <v>28.419</v>
      </c>
      <c r="AL1457">
        <v>5.3360000000000003</v>
      </c>
      <c r="AM1457">
        <v>34.386000000000003</v>
      </c>
      <c r="AN1457">
        <v>56.863</v>
      </c>
      <c r="AO1457">
        <v>65.337999999999994</v>
      </c>
      <c r="AP1457">
        <v>-5.3360000000000003</v>
      </c>
      <c r="AQ1457">
        <v>62.338999999999999</v>
      </c>
      <c r="AR1457">
        <v>72.572000000000003</v>
      </c>
      <c r="AS1457">
        <v>71.581000000000003</v>
      </c>
    </row>
    <row r="1458" spans="1:45" x14ac:dyDescent="0.25">
      <c r="A1458">
        <v>79</v>
      </c>
      <c r="B1458">
        <v>-3</v>
      </c>
      <c r="C1458">
        <v>0</v>
      </c>
      <c r="D1458">
        <v>2023</v>
      </c>
      <c r="E1458">
        <v>10</v>
      </c>
      <c r="F1458" t="str">
        <f>IFERROR(VLOOKUP(G1458, Map!$A$1:$B$33, 2, FALSE),"WAS")</f>
        <v>LAC</v>
      </c>
      <c r="G1458" t="s">
        <v>160</v>
      </c>
      <c r="H1458" t="str">
        <f>IFERROR(VLOOKUP(I1458, Map!$A$1:$B$33, 2, FALSE),"WAS")</f>
        <v>DET</v>
      </c>
      <c r="I1458" t="s">
        <v>164</v>
      </c>
      <c r="J1458" t="s">
        <v>210</v>
      </c>
      <c r="K1458" t="s">
        <v>173</v>
      </c>
      <c r="L1458">
        <v>0</v>
      </c>
      <c r="M1458">
        <v>0</v>
      </c>
      <c r="N1458">
        <v>43.571428571428598</v>
      </c>
      <c r="O1458">
        <v>1.75</v>
      </c>
      <c r="P1458">
        <v>2</v>
      </c>
      <c r="Q1458">
        <v>0</v>
      </c>
      <c r="R1458">
        <v>17.2</v>
      </c>
      <c r="S1458">
        <v>30</v>
      </c>
      <c r="T1458">
        <v>7.9</v>
      </c>
      <c r="U1458">
        <v>13.2</v>
      </c>
      <c r="V1458">
        <v>0</v>
      </c>
      <c r="W1458">
        <v>0</v>
      </c>
      <c r="X1458">
        <v>0</v>
      </c>
      <c r="Y1458">
        <v>0</v>
      </c>
      <c r="Z1458">
        <v>17.2</v>
      </c>
      <c r="AA1458">
        <v>28.4</v>
      </c>
      <c r="AB1458">
        <v>335</v>
      </c>
      <c r="AC1458">
        <v>26</v>
      </c>
      <c r="AD1458">
        <v>15.7</v>
      </c>
      <c r="AE1458">
        <v>9.4</v>
      </c>
      <c r="AF1458">
        <v>59.070999999999998</v>
      </c>
      <c r="AG1458">
        <v>71.129000000000005</v>
      </c>
      <c r="AH1458">
        <v>40.603000000000002</v>
      </c>
      <c r="AI1458">
        <v>3.0489999999999999</v>
      </c>
      <c r="AJ1458">
        <v>87.397999999999996</v>
      </c>
      <c r="AK1458">
        <v>37.975999999999999</v>
      </c>
      <c r="AL1458">
        <v>3.13</v>
      </c>
      <c r="AM1458">
        <v>40.603000000000002</v>
      </c>
      <c r="AN1458">
        <v>71.129000000000005</v>
      </c>
      <c r="AO1458">
        <v>59.070999999999998</v>
      </c>
      <c r="AP1458">
        <v>-3.13</v>
      </c>
      <c r="AQ1458">
        <v>12.602</v>
      </c>
      <c r="AR1458">
        <v>96.950999999999993</v>
      </c>
      <c r="AS1458">
        <v>62.024000000000001</v>
      </c>
    </row>
    <row r="1459" spans="1:45" x14ac:dyDescent="0.25">
      <c r="A1459">
        <v>28</v>
      </c>
      <c r="B1459">
        <v>4</v>
      </c>
      <c r="C1459">
        <v>1</v>
      </c>
      <c r="D1459">
        <v>2023</v>
      </c>
      <c r="E1459">
        <v>10</v>
      </c>
      <c r="F1459" t="str">
        <f>IFERROR(VLOOKUP(G1459, Map!$A$1:$B$33, 2, FALSE),"WAS")</f>
        <v>LV</v>
      </c>
      <c r="G1459" t="s">
        <v>157</v>
      </c>
      <c r="H1459" t="str">
        <f>IFERROR(VLOOKUP(I1459, Map!$A$1:$B$33, 2, FALSE),"WAS")</f>
        <v>NYJ</v>
      </c>
      <c r="I1459" t="s">
        <v>166</v>
      </c>
      <c r="J1459" t="s">
        <v>179</v>
      </c>
      <c r="K1459" t="s">
        <v>172</v>
      </c>
      <c r="L1459">
        <v>1</v>
      </c>
      <c r="M1459">
        <v>0</v>
      </c>
      <c r="N1459">
        <v>32.846153846153797</v>
      </c>
      <c r="O1459">
        <v>0.46153846153846201</v>
      </c>
      <c r="P1459">
        <v>0</v>
      </c>
      <c r="Q1459">
        <v>0</v>
      </c>
      <c r="R1459">
        <v>15.4</v>
      </c>
      <c r="S1459">
        <v>20.8</v>
      </c>
      <c r="T1459">
        <v>8.3000000000000007</v>
      </c>
      <c r="U1459">
        <v>11.7</v>
      </c>
      <c r="V1459">
        <v>0</v>
      </c>
      <c r="W1459">
        <v>0</v>
      </c>
      <c r="X1459">
        <v>0</v>
      </c>
      <c r="Y1459">
        <v>0</v>
      </c>
      <c r="Z1459">
        <v>7</v>
      </c>
      <c r="AA1459">
        <v>16.899999999999999</v>
      </c>
      <c r="AB1459">
        <v>246</v>
      </c>
      <c r="AC1459">
        <v>18</v>
      </c>
      <c r="AD1459">
        <v>7.8</v>
      </c>
      <c r="AE1459">
        <v>3.9</v>
      </c>
      <c r="AF1459">
        <v>44.066000000000003</v>
      </c>
      <c r="AG1459">
        <v>30.771999999999998</v>
      </c>
      <c r="AH1459">
        <v>55.58</v>
      </c>
      <c r="AI1459">
        <v>80.182000000000002</v>
      </c>
      <c r="AJ1459">
        <v>22.965</v>
      </c>
      <c r="AK1459">
        <v>59.298999999999999</v>
      </c>
      <c r="AL1459">
        <v>-1.9410000000000001</v>
      </c>
      <c r="AM1459">
        <v>55.58</v>
      </c>
      <c r="AN1459">
        <v>30.771999999999998</v>
      </c>
      <c r="AO1459">
        <v>44.066000000000003</v>
      </c>
      <c r="AP1459">
        <v>1.9410000000000001</v>
      </c>
      <c r="AQ1459">
        <v>77.034999999999997</v>
      </c>
      <c r="AR1459">
        <v>19.818000000000001</v>
      </c>
      <c r="AS1459">
        <v>40.701000000000001</v>
      </c>
    </row>
    <row r="1460" spans="1:45" x14ac:dyDescent="0.25">
      <c r="A1460">
        <v>16</v>
      </c>
      <c r="B1460">
        <v>-4</v>
      </c>
      <c r="C1460">
        <v>0</v>
      </c>
      <c r="D1460">
        <v>2023</v>
      </c>
      <c r="E1460">
        <v>10</v>
      </c>
      <c r="F1460" t="str">
        <f>IFERROR(VLOOKUP(G1460, Map!$A$1:$B$33, 2, FALSE),"WAS")</f>
        <v>NE</v>
      </c>
      <c r="G1460" t="s">
        <v>151</v>
      </c>
      <c r="H1460" t="str">
        <f>IFERROR(VLOOKUP(I1460, Map!$A$1:$B$33, 2, FALSE),"WAS")</f>
        <v>IND</v>
      </c>
      <c r="I1460" t="s">
        <v>138</v>
      </c>
      <c r="J1460" t="s">
        <v>187</v>
      </c>
      <c r="K1460" t="s">
        <v>177</v>
      </c>
      <c r="L1460">
        <v>0</v>
      </c>
      <c r="M1460">
        <v>0</v>
      </c>
      <c r="N1460">
        <v>37.642857142857103</v>
      </c>
      <c r="O1460">
        <v>1.1785714285714299</v>
      </c>
      <c r="P1460">
        <v>1</v>
      </c>
      <c r="Q1460">
        <v>17.5</v>
      </c>
      <c r="R1460">
        <v>5.8</v>
      </c>
      <c r="S1460">
        <v>8.8000000000000007</v>
      </c>
      <c r="T1460">
        <v>3.1</v>
      </c>
      <c r="U1460">
        <v>3.5</v>
      </c>
      <c r="V1460">
        <v>0</v>
      </c>
      <c r="W1460">
        <v>0</v>
      </c>
      <c r="X1460">
        <v>0</v>
      </c>
      <c r="Y1460">
        <v>0</v>
      </c>
      <c r="Z1460">
        <v>10.8</v>
      </c>
      <c r="AA1460">
        <v>20.9</v>
      </c>
      <c r="AB1460">
        <v>207</v>
      </c>
      <c r="AC1460">
        <v>90</v>
      </c>
      <c r="AD1460">
        <v>13.1</v>
      </c>
      <c r="AE1460">
        <v>6.3</v>
      </c>
      <c r="AF1460">
        <v>47.396999999999998</v>
      </c>
      <c r="AG1460">
        <v>28.916</v>
      </c>
      <c r="AH1460">
        <v>52.222999999999999</v>
      </c>
      <c r="AI1460">
        <v>65.864999999999995</v>
      </c>
      <c r="AJ1460">
        <v>33.545000000000002</v>
      </c>
      <c r="AK1460">
        <v>41.113999999999997</v>
      </c>
      <c r="AL1460">
        <v>-0.81100000000000005</v>
      </c>
      <c r="AM1460">
        <v>52.222999999999999</v>
      </c>
      <c r="AN1460">
        <v>28.916</v>
      </c>
      <c r="AO1460">
        <v>47.396999999999998</v>
      </c>
      <c r="AP1460">
        <v>0.81100000000000005</v>
      </c>
      <c r="AQ1460">
        <v>66.454999999999998</v>
      </c>
      <c r="AR1460">
        <v>34.134999999999998</v>
      </c>
      <c r="AS1460">
        <v>58.886000000000003</v>
      </c>
    </row>
    <row r="1461" spans="1:45" x14ac:dyDescent="0.25">
      <c r="A1461">
        <v>37</v>
      </c>
      <c r="B1461">
        <v>-31</v>
      </c>
      <c r="C1461">
        <v>0</v>
      </c>
      <c r="D1461">
        <v>2023</v>
      </c>
      <c r="E1461">
        <v>10</v>
      </c>
      <c r="F1461" t="str">
        <f>IFERROR(VLOOKUP(G1461, Map!$A$1:$B$33, 2, FALSE),"WAS")</f>
        <v>JAX</v>
      </c>
      <c r="G1461" t="s">
        <v>139</v>
      </c>
      <c r="H1461" t="str">
        <f>IFERROR(VLOOKUP(I1461, Map!$A$1:$B$33, 2, FALSE),"WAS")</f>
        <v>SF</v>
      </c>
      <c r="I1461" t="s">
        <v>143</v>
      </c>
      <c r="J1461" t="s">
        <v>220</v>
      </c>
      <c r="K1461" t="s">
        <v>197</v>
      </c>
      <c r="L1461">
        <v>0</v>
      </c>
      <c r="M1461">
        <v>0</v>
      </c>
      <c r="N1461">
        <v>40.615384615384599</v>
      </c>
      <c r="O1461">
        <v>4.9230769230769198</v>
      </c>
      <c r="P1461">
        <v>2.5</v>
      </c>
      <c r="Q1461">
        <v>38.5</v>
      </c>
      <c r="R1461">
        <v>18</v>
      </c>
      <c r="S1461">
        <v>19.600000000000001</v>
      </c>
      <c r="T1461">
        <v>15.6</v>
      </c>
      <c r="U1461">
        <v>17.399999999999999</v>
      </c>
      <c r="V1461">
        <v>0</v>
      </c>
      <c r="W1461">
        <v>0</v>
      </c>
      <c r="X1461">
        <v>0</v>
      </c>
      <c r="Y1461">
        <v>0</v>
      </c>
      <c r="Z1461">
        <v>20.7</v>
      </c>
      <c r="AA1461">
        <v>37.799999999999997</v>
      </c>
      <c r="AB1461">
        <v>18</v>
      </c>
      <c r="AC1461">
        <v>85</v>
      </c>
      <c r="AD1461">
        <v>31.4</v>
      </c>
      <c r="AE1461">
        <v>16.5</v>
      </c>
      <c r="AF1461">
        <v>43.459000000000003</v>
      </c>
      <c r="AG1461">
        <v>91.042000000000002</v>
      </c>
      <c r="AH1461">
        <v>56.192</v>
      </c>
      <c r="AI1461">
        <v>14.625</v>
      </c>
      <c r="AJ1461">
        <v>5.5839999999999996</v>
      </c>
      <c r="AK1461">
        <v>3.0369999999999999</v>
      </c>
      <c r="AL1461">
        <v>-2.1480000000000001</v>
      </c>
      <c r="AM1461">
        <v>56.192</v>
      </c>
      <c r="AN1461">
        <v>91.042000000000002</v>
      </c>
      <c r="AO1461">
        <v>43.459000000000003</v>
      </c>
      <c r="AP1461">
        <v>2.1480000000000001</v>
      </c>
      <c r="AQ1461">
        <v>94.415999999999997</v>
      </c>
      <c r="AR1461">
        <v>85.375</v>
      </c>
      <c r="AS1461">
        <v>96.962999999999994</v>
      </c>
    </row>
    <row r="1462" spans="1:45" x14ac:dyDescent="0.25">
      <c r="A1462">
        <v>55</v>
      </c>
      <c r="B1462">
        <v>3</v>
      </c>
      <c r="C1462">
        <v>1</v>
      </c>
      <c r="D1462">
        <v>2023</v>
      </c>
      <c r="E1462">
        <v>10</v>
      </c>
      <c r="F1462" t="str">
        <f>IFERROR(VLOOKUP(G1462, Map!$A$1:$B$33, 2, FALSE),"WAS")</f>
        <v>SEA</v>
      </c>
      <c r="G1462" t="s">
        <v>144</v>
      </c>
      <c r="H1462" t="str">
        <f>IFERROR(VLOOKUP(I1462, Map!$A$1:$B$33, 2, FALSE),"WAS")</f>
        <v>WAS</v>
      </c>
      <c r="I1462" t="s">
        <v>148</v>
      </c>
      <c r="J1462" t="s">
        <v>182</v>
      </c>
      <c r="K1462" t="s">
        <v>205</v>
      </c>
      <c r="L1462">
        <v>1</v>
      </c>
      <c r="M1462">
        <v>0</v>
      </c>
      <c r="N1462">
        <v>40.423076923076898</v>
      </c>
      <c r="O1462">
        <v>-5.9230769230769198</v>
      </c>
      <c r="P1462">
        <v>-4</v>
      </c>
      <c r="Q1462">
        <v>0</v>
      </c>
      <c r="R1462">
        <v>8.9</v>
      </c>
      <c r="S1462">
        <v>11.9</v>
      </c>
      <c r="T1462">
        <v>7.1</v>
      </c>
      <c r="U1462">
        <v>6.1</v>
      </c>
      <c r="V1462">
        <v>1.2</v>
      </c>
      <c r="W1462">
        <v>0</v>
      </c>
      <c r="X1462">
        <v>3</v>
      </c>
      <c r="Y1462">
        <v>1.2</v>
      </c>
      <c r="Z1462">
        <v>29.1</v>
      </c>
      <c r="AA1462">
        <v>53.6</v>
      </c>
      <c r="AB1462">
        <v>180</v>
      </c>
      <c r="AC1462">
        <v>87</v>
      </c>
      <c r="AD1462">
        <v>25</v>
      </c>
      <c r="AE1462">
        <v>13.6</v>
      </c>
      <c r="AF1462">
        <v>63.478999999999999</v>
      </c>
      <c r="AG1462">
        <v>43.134999999999998</v>
      </c>
      <c r="AH1462">
        <v>36.229999999999997</v>
      </c>
      <c r="AI1462">
        <v>43.11</v>
      </c>
      <c r="AJ1462">
        <v>64.129000000000005</v>
      </c>
      <c r="AK1462">
        <v>56.618000000000002</v>
      </c>
      <c r="AL1462">
        <v>4.6689999999999996</v>
      </c>
      <c r="AM1462">
        <v>36.229999999999997</v>
      </c>
      <c r="AN1462">
        <v>43.134999999999998</v>
      </c>
      <c r="AO1462">
        <v>63.478999999999999</v>
      </c>
      <c r="AP1462">
        <v>-4.6689999999999996</v>
      </c>
      <c r="AQ1462">
        <v>35.871000000000002</v>
      </c>
      <c r="AR1462">
        <v>56.89</v>
      </c>
      <c r="AS1462">
        <v>43.381999999999998</v>
      </c>
    </row>
    <row r="1463" spans="1:45" x14ac:dyDescent="0.25">
      <c r="A1463">
        <v>64</v>
      </c>
      <c r="B1463">
        <v>-2</v>
      </c>
      <c r="C1463">
        <v>0</v>
      </c>
      <c r="D1463">
        <v>2023</v>
      </c>
      <c r="E1463">
        <v>10</v>
      </c>
      <c r="F1463" t="str">
        <f>IFERROR(VLOOKUP(G1463, Map!$A$1:$B$33, 2, FALSE),"WAS")</f>
        <v>BAL</v>
      </c>
      <c r="G1463" t="s">
        <v>146</v>
      </c>
      <c r="H1463" t="str">
        <f>IFERROR(VLOOKUP(I1463, Map!$A$1:$B$33, 2, FALSE),"WAS")</f>
        <v>CLE</v>
      </c>
      <c r="I1463" t="s">
        <v>162</v>
      </c>
      <c r="J1463" t="s">
        <v>181</v>
      </c>
      <c r="K1463" t="s">
        <v>171</v>
      </c>
      <c r="L1463">
        <v>0</v>
      </c>
      <c r="M1463">
        <v>0</v>
      </c>
      <c r="N1463">
        <v>35.214285714285701</v>
      </c>
      <c r="O1463">
        <v>-4.71428571428571</v>
      </c>
      <c r="P1463">
        <v>2.5</v>
      </c>
      <c r="Q1463">
        <v>0</v>
      </c>
      <c r="R1463">
        <v>7.3</v>
      </c>
      <c r="S1463">
        <v>10.7</v>
      </c>
      <c r="T1463">
        <v>3.9</v>
      </c>
      <c r="U1463">
        <v>3.9</v>
      </c>
      <c r="V1463">
        <v>0</v>
      </c>
      <c r="W1463">
        <v>0</v>
      </c>
      <c r="X1463">
        <v>0</v>
      </c>
      <c r="Y1463">
        <v>0</v>
      </c>
      <c r="Z1463">
        <v>14</v>
      </c>
      <c r="AA1463">
        <v>26.3</v>
      </c>
      <c r="AB1463">
        <v>21</v>
      </c>
      <c r="AC1463">
        <v>61</v>
      </c>
      <c r="AD1463">
        <v>18.8</v>
      </c>
      <c r="AE1463">
        <v>9.4</v>
      </c>
      <c r="AF1463">
        <v>69.941999999999993</v>
      </c>
      <c r="AG1463">
        <v>66.885999999999996</v>
      </c>
      <c r="AH1463">
        <v>29.818999999999999</v>
      </c>
      <c r="AI1463">
        <v>54.445999999999998</v>
      </c>
      <c r="AJ1463">
        <v>39.774999999999999</v>
      </c>
      <c r="AK1463">
        <v>49.835000000000001</v>
      </c>
      <c r="AL1463">
        <v>7.0510000000000002</v>
      </c>
      <c r="AM1463">
        <v>29.818999999999999</v>
      </c>
      <c r="AN1463">
        <v>66.885999999999996</v>
      </c>
      <c r="AO1463">
        <v>69.941999999999993</v>
      </c>
      <c r="AP1463">
        <v>-7.0510000000000002</v>
      </c>
      <c r="AQ1463">
        <v>60.225000000000001</v>
      </c>
      <c r="AR1463">
        <v>45.554000000000002</v>
      </c>
      <c r="AS1463">
        <v>50.164999999999999</v>
      </c>
    </row>
    <row r="1464" spans="1:45" x14ac:dyDescent="0.25">
      <c r="A1464">
        <v>54</v>
      </c>
      <c r="B1464">
        <v>14</v>
      </c>
      <c r="C1464">
        <v>1</v>
      </c>
      <c r="D1464">
        <v>2023</v>
      </c>
      <c r="E1464">
        <v>11</v>
      </c>
      <c r="F1464" t="str">
        <f>IFERROR(VLOOKUP(G1464, Map!$A$1:$B$33, 2, FALSE),"WAS")</f>
        <v>BAL</v>
      </c>
      <c r="G1464" t="s">
        <v>146</v>
      </c>
      <c r="H1464" t="str">
        <f>IFERROR(VLOOKUP(I1464, Map!$A$1:$B$33, 2, FALSE),"WAS")</f>
        <v>CIN</v>
      </c>
      <c r="I1464" t="s">
        <v>161</v>
      </c>
      <c r="J1464" t="s">
        <v>181</v>
      </c>
      <c r="K1464" t="s">
        <v>176</v>
      </c>
      <c r="L1464">
        <v>1</v>
      </c>
      <c r="M1464">
        <v>0</v>
      </c>
      <c r="N1464">
        <v>39.428571428571402</v>
      </c>
      <c r="O1464">
        <v>-4.4285714285714297</v>
      </c>
      <c r="P1464">
        <v>1</v>
      </c>
      <c r="Q1464">
        <v>0</v>
      </c>
      <c r="R1464">
        <v>12.2</v>
      </c>
      <c r="S1464">
        <v>20.5</v>
      </c>
      <c r="T1464">
        <v>7.8</v>
      </c>
      <c r="U1464">
        <v>10.1</v>
      </c>
      <c r="V1464">
        <v>0</v>
      </c>
      <c r="W1464">
        <v>0</v>
      </c>
      <c r="X1464">
        <v>0</v>
      </c>
      <c r="Y1464">
        <v>0</v>
      </c>
      <c r="Z1464">
        <v>16.899999999999999</v>
      </c>
      <c r="AA1464">
        <v>33.1</v>
      </c>
      <c r="AB1464">
        <v>199</v>
      </c>
      <c r="AC1464">
        <v>77</v>
      </c>
      <c r="AD1464">
        <v>19.3</v>
      </c>
      <c r="AE1464">
        <v>10.3</v>
      </c>
      <c r="AF1464">
        <v>64.820999999999998</v>
      </c>
      <c r="AG1464">
        <v>78.453999999999994</v>
      </c>
      <c r="AH1464">
        <v>34.898000000000003</v>
      </c>
      <c r="AI1464">
        <v>54.78</v>
      </c>
      <c r="AJ1464">
        <v>88.063999999999993</v>
      </c>
      <c r="AK1464">
        <v>81.349999999999994</v>
      </c>
      <c r="AL1464">
        <v>5.13</v>
      </c>
      <c r="AM1464">
        <v>34.898000000000003</v>
      </c>
      <c r="AN1464">
        <v>78.453999999999994</v>
      </c>
      <c r="AO1464">
        <v>64.820999999999998</v>
      </c>
      <c r="AP1464">
        <v>-5.13</v>
      </c>
      <c r="AQ1464">
        <v>11.936</v>
      </c>
      <c r="AR1464">
        <v>45.22</v>
      </c>
      <c r="AS1464">
        <v>18.649999999999999</v>
      </c>
    </row>
    <row r="1465" spans="1:45" x14ac:dyDescent="0.25">
      <c r="A1465">
        <v>33</v>
      </c>
      <c r="B1465">
        <v>1</v>
      </c>
      <c r="C1465">
        <v>1</v>
      </c>
      <c r="D1465">
        <v>2023</v>
      </c>
      <c r="E1465">
        <v>11</v>
      </c>
      <c r="F1465" t="str">
        <f>IFERROR(VLOOKUP(G1465, Map!$A$1:$B$33, 2, FALSE),"WAS")</f>
        <v>LA</v>
      </c>
      <c r="G1465" t="s">
        <v>155</v>
      </c>
      <c r="H1465" t="str">
        <f>IFERROR(VLOOKUP(I1465, Map!$A$1:$B$33, 2, FALSE),"WAS")</f>
        <v>SEA</v>
      </c>
      <c r="I1465" t="s">
        <v>144</v>
      </c>
      <c r="J1465" t="s">
        <v>178</v>
      </c>
      <c r="K1465" t="s">
        <v>182</v>
      </c>
      <c r="L1465">
        <v>1</v>
      </c>
      <c r="M1465">
        <v>0</v>
      </c>
      <c r="N1465">
        <v>38.142857142857103</v>
      </c>
      <c r="O1465">
        <v>-0.85714285714285698</v>
      </c>
      <c r="P1465">
        <v>1</v>
      </c>
      <c r="Q1465">
        <v>0</v>
      </c>
      <c r="R1465">
        <v>16.7</v>
      </c>
      <c r="S1465">
        <v>18.8</v>
      </c>
      <c r="T1465">
        <v>13.8</v>
      </c>
      <c r="U1465">
        <v>15.7</v>
      </c>
      <c r="V1465">
        <v>1.6</v>
      </c>
      <c r="W1465">
        <v>0</v>
      </c>
      <c r="X1465">
        <v>1</v>
      </c>
      <c r="Y1465">
        <v>1.6</v>
      </c>
      <c r="Z1465">
        <v>46.4</v>
      </c>
      <c r="AA1465">
        <v>69.5</v>
      </c>
      <c r="AB1465">
        <v>322</v>
      </c>
      <c r="AC1465">
        <v>81</v>
      </c>
      <c r="AD1465">
        <v>21.5</v>
      </c>
      <c r="AE1465">
        <v>13.3</v>
      </c>
      <c r="AF1465">
        <v>55.148000000000003</v>
      </c>
      <c r="AG1465">
        <v>58.085999999999999</v>
      </c>
      <c r="AH1465">
        <v>44.494999999999997</v>
      </c>
      <c r="AI1465">
        <v>62.276000000000003</v>
      </c>
      <c r="AJ1465">
        <v>42.267000000000003</v>
      </c>
      <c r="AK1465">
        <v>52.218000000000004</v>
      </c>
      <c r="AL1465">
        <v>1.788</v>
      </c>
      <c r="AM1465">
        <v>44.494999999999997</v>
      </c>
      <c r="AN1465">
        <v>58.085999999999999</v>
      </c>
      <c r="AO1465">
        <v>55.148000000000003</v>
      </c>
      <c r="AP1465">
        <v>-1.788</v>
      </c>
      <c r="AQ1465">
        <v>57.732999999999997</v>
      </c>
      <c r="AR1465">
        <v>37.723999999999997</v>
      </c>
      <c r="AS1465">
        <v>47.781999999999996</v>
      </c>
    </row>
    <row r="1466" spans="1:45" x14ac:dyDescent="0.25">
      <c r="A1466">
        <v>48</v>
      </c>
      <c r="B1466">
        <v>20</v>
      </c>
      <c r="C1466">
        <v>1</v>
      </c>
      <c r="D1466">
        <v>2023</v>
      </c>
      <c r="E1466">
        <v>11</v>
      </c>
      <c r="F1466" t="str">
        <f>IFERROR(VLOOKUP(G1466, Map!$A$1:$B$33, 2, FALSE),"WAS")</f>
        <v>JAX</v>
      </c>
      <c r="G1466" t="s">
        <v>139</v>
      </c>
      <c r="H1466" t="str">
        <f>IFERROR(VLOOKUP(I1466, Map!$A$1:$B$33, 2, FALSE),"WAS")</f>
        <v>TEN</v>
      </c>
      <c r="I1466" t="s">
        <v>140</v>
      </c>
      <c r="J1466" t="s">
        <v>220</v>
      </c>
      <c r="K1466" t="s">
        <v>174</v>
      </c>
      <c r="L1466">
        <v>1</v>
      </c>
      <c r="M1466">
        <v>0</v>
      </c>
      <c r="N1466">
        <v>33.75</v>
      </c>
      <c r="O1466">
        <v>-6.6071428571428603</v>
      </c>
      <c r="P1466">
        <v>-5</v>
      </c>
      <c r="Q1466">
        <v>0</v>
      </c>
      <c r="R1466">
        <v>18.5</v>
      </c>
      <c r="S1466">
        <v>23.4</v>
      </c>
      <c r="T1466">
        <v>14.3</v>
      </c>
      <c r="U1466">
        <v>19.7</v>
      </c>
      <c r="V1466">
        <v>0</v>
      </c>
      <c r="W1466">
        <v>0</v>
      </c>
      <c r="X1466">
        <v>0</v>
      </c>
      <c r="Y1466">
        <v>0</v>
      </c>
      <c r="Z1466">
        <v>10.9</v>
      </c>
      <c r="AA1466">
        <v>23</v>
      </c>
      <c r="AB1466">
        <v>11</v>
      </c>
      <c r="AC1466">
        <v>87</v>
      </c>
      <c r="AD1466">
        <v>13.9</v>
      </c>
      <c r="AE1466">
        <v>7</v>
      </c>
      <c r="AF1466">
        <v>69.986999999999995</v>
      </c>
      <c r="AG1466">
        <v>44.061</v>
      </c>
      <c r="AH1466">
        <v>29.773</v>
      </c>
      <c r="AI1466">
        <v>81.379000000000005</v>
      </c>
      <c r="AJ1466">
        <v>87.061999999999998</v>
      </c>
      <c r="AK1466">
        <v>94.424000000000007</v>
      </c>
      <c r="AL1466">
        <v>7.0419999999999998</v>
      </c>
      <c r="AM1466">
        <v>29.773</v>
      </c>
      <c r="AN1466">
        <v>44.061</v>
      </c>
      <c r="AO1466">
        <v>69.986999999999995</v>
      </c>
      <c r="AP1466">
        <v>-7.0419999999999998</v>
      </c>
      <c r="AQ1466">
        <v>12.938000000000001</v>
      </c>
      <c r="AR1466">
        <v>18.620999999999999</v>
      </c>
      <c r="AS1466">
        <v>5.5759999999999996</v>
      </c>
    </row>
    <row r="1467" spans="1:45" x14ac:dyDescent="0.25">
      <c r="A1467">
        <v>41</v>
      </c>
      <c r="B1467">
        <v>1</v>
      </c>
      <c r="C1467">
        <v>1</v>
      </c>
      <c r="D1467">
        <v>2023</v>
      </c>
      <c r="E1467">
        <v>11</v>
      </c>
      <c r="F1467" t="str">
        <f>IFERROR(VLOOKUP(G1467, Map!$A$1:$B$33, 2, FALSE),"WAS")</f>
        <v>DEN</v>
      </c>
      <c r="G1467" t="s">
        <v>159</v>
      </c>
      <c r="H1467" t="str">
        <f>IFERROR(VLOOKUP(I1467, Map!$A$1:$B$33, 2, FALSE),"WAS")</f>
        <v>MIN</v>
      </c>
      <c r="I1467" t="s">
        <v>153</v>
      </c>
      <c r="J1467" t="s">
        <v>183</v>
      </c>
      <c r="K1467" t="s">
        <v>214</v>
      </c>
      <c r="L1467">
        <v>1</v>
      </c>
      <c r="M1467">
        <v>0</v>
      </c>
      <c r="N1467">
        <v>36.75</v>
      </c>
      <c r="O1467">
        <v>-2.1428571428571401</v>
      </c>
      <c r="P1467">
        <v>-1</v>
      </c>
      <c r="Q1467">
        <v>0</v>
      </c>
      <c r="R1467">
        <v>4.7</v>
      </c>
      <c r="S1467">
        <v>9.1</v>
      </c>
      <c r="T1467">
        <v>-0.2</v>
      </c>
      <c r="U1467">
        <v>0</v>
      </c>
      <c r="V1467">
        <v>1.1000000000000001</v>
      </c>
      <c r="W1467">
        <v>0</v>
      </c>
      <c r="X1467">
        <v>5</v>
      </c>
      <c r="Y1467">
        <v>1.1000000000000001</v>
      </c>
      <c r="Z1467">
        <v>35.200000000000003</v>
      </c>
      <c r="AA1467">
        <v>58.3</v>
      </c>
      <c r="AB1467">
        <v>352</v>
      </c>
      <c r="AC1467">
        <v>68</v>
      </c>
      <c r="AD1467">
        <v>28.6</v>
      </c>
      <c r="AE1467">
        <v>16.2</v>
      </c>
      <c r="AF1467">
        <v>42.2</v>
      </c>
      <c r="AG1467">
        <v>34.685000000000002</v>
      </c>
      <c r="AH1467">
        <v>57.460999999999999</v>
      </c>
      <c r="AI1467">
        <v>71.316999999999993</v>
      </c>
      <c r="AJ1467">
        <v>36.817</v>
      </c>
      <c r="AK1467">
        <v>49.899000000000001</v>
      </c>
      <c r="AL1467">
        <v>-2.569</v>
      </c>
      <c r="AM1467">
        <v>57.460999999999999</v>
      </c>
      <c r="AN1467">
        <v>34.685000000000002</v>
      </c>
      <c r="AO1467">
        <v>42.2</v>
      </c>
      <c r="AP1467">
        <v>2.569</v>
      </c>
      <c r="AQ1467">
        <v>63.183</v>
      </c>
      <c r="AR1467">
        <v>28.683</v>
      </c>
      <c r="AS1467">
        <v>50.100999999999999</v>
      </c>
    </row>
    <row r="1468" spans="1:45" x14ac:dyDescent="0.25">
      <c r="A1468">
        <v>57</v>
      </c>
      <c r="B1468">
        <v>5</v>
      </c>
      <c r="C1468">
        <v>1</v>
      </c>
      <c r="D1468">
        <v>2023</v>
      </c>
      <c r="E1468">
        <v>11</v>
      </c>
      <c r="F1468" t="str">
        <f>IFERROR(VLOOKUP(G1468, Map!$A$1:$B$33, 2, FALSE),"WAS")</f>
        <v>DET</v>
      </c>
      <c r="G1468" t="s">
        <v>164</v>
      </c>
      <c r="H1468" t="str">
        <f>IFERROR(VLOOKUP(I1468, Map!$A$1:$B$33, 2, FALSE),"WAS")</f>
        <v>CHI</v>
      </c>
      <c r="I1468" t="s">
        <v>163</v>
      </c>
      <c r="J1468" t="s">
        <v>173</v>
      </c>
      <c r="K1468" t="s">
        <v>216</v>
      </c>
      <c r="L1468">
        <v>1</v>
      </c>
      <c r="M1468">
        <v>0</v>
      </c>
      <c r="N1468">
        <v>40.892857142857103</v>
      </c>
      <c r="O1468">
        <v>-7.28571428571429</v>
      </c>
      <c r="P1468">
        <v>-4.5</v>
      </c>
      <c r="Q1468">
        <v>0</v>
      </c>
      <c r="R1468">
        <v>4.7</v>
      </c>
      <c r="S1468">
        <v>9.1999999999999993</v>
      </c>
      <c r="T1468">
        <v>1.6</v>
      </c>
      <c r="U1468">
        <v>0.5</v>
      </c>
      <c r="V1468">
        <v>0</v>
      </c>
      <c r="W1468">
        <v>0</v>
      </c>
      <c r="X1468">
        <v>0</v>
      </c>
      <c r="Y1468">
        <v>0</v>
      </c>
      <c r="Z1468">
        <v>17.8</v>
      </c>
      <c r="AA1468">
        <v>29.2</v>
      </c>
      <c r="AB1468">
        <v>283</v>
      </c>
      <c r="AC1468">
        <v>65</v>
      </c>
      <c r="AD1468">
        <v>23.6</v>
      </c>
      <c r="AE1468">
        <v>13.2</v>
      </c>
      <c r="AF1468">
        <v>68.822999999999993</v>
      </c>
      <c r="AG1468">
        <v>55.936999999999998</v>
      </c>
      <c r="AH1468">
        <v>30.928999999999998</v>
      </c>
      <c r="AI1468">
        <v>50.280999999999999</v>
      </c>
      <c r="AJ1468">
        <v>66.796999999999997</v>
      </c>
      <c r="AK1468">
        <v>51.84</v>
      </c>
      <c r="AL1468">
        <v>6.6</v>
      </c>
      <c r="AM1468">
        <v>30.928999999999998</v>
      </c>
      <c r="AN1468">
        <v>55.936999999999998</v>
      </c>
      <c r="AO1468">
        <v>68.822999999999993</v>
      </c>
      <c r="AP1468">
        <v>-6.6</v>
      </c>
      <c r="AQ1468">
        <v>33.203000000000003</v>
      </c>
      <c r="AR1468">
        <v>49.719000000000001</v>
      </c>
      <c r="AS1468">
        <v>48.16</v>
      </c>
    </row>
    <row r="1469" spans="1:45" x14ac:dyDescent="0.25">
      <c r="A1469">
        <v>50</v>
      </c>
      <c r="B1469">
        <v>-12</v>
      </c>
      <c r="C1469">
        <v>0</v>
      </c>
      <c r="D1469">
        <v>2023</v>
      </c>
      <c r="E1469">
        <v>11</v>
      </c>
      <c r="F1469" t="str">
        <f>IFERROR(VLOOKUP(G1469, Map!$A$1:$B$33, 2, FALSE),"WAS")</f>
        <v>WAS</v>
      </c>
      <c r="G1469" t="s">
        <v>148</v>
      </c>
      <c r="H1469" t="str">
        <f>IFERROR(VLOOKUP(I1469, Map!$A$1:$B$33, 2, FALSE),"WAS")</f>
        <v>NYG</v>
      </c>
      <c r="I1469" t="s">
        <v>149</v>
      </c>
      <c r="J1469" t="s">
        <v>205</v>
      </c>
      <c r="K1469" t="s">
        <v>219</v>
      </c>
      <c r="L1469">
        <v>0</v>
      </c>
      <c r="M1469">
        <v>0</v>
      </c>
      <c r="N1469">
        <v>36.230769230769198</v>
      </c>
      <c r="O1469">
        <v>-6.5384615384615401</v>
      </c>
      <c r="P1469">
        <v>-1</v>
      </c>
      <c r="Q1469">
        <v>0</v>
      </c>
      <c r="R1469">
        <v>8.3000000000000007</v>
      </c>
      <c r="S1469">
        <v>14.5</v>
      </c>
      <c r="T1469">
        <v>3.6</v>
      </c>
      <c r="U1469">
        <v>4.3</v>
      </c>
      <c r="V1469">
        <v>0</v>
      </c>
      <c r="W1469">
        <v>0</v>
      </c>
      <c r="X1469">
        <v>0</v>
      </c>
      <c r="Y1469">
        <v>0</v>
      </c>
      <c r="Z1469">
        <v>14.2</v>
      </c>
      <c r="AA1469">
        <v>28.8</v>
      </c>
      <c r="AB1469">
        <v>300</v>
      </c>
      <c r="AC1469">
        <v>51</v>
      </c>
      <c r="AD1469">
        <v>21.6</v>
      </c>
      <c r="AE1469">
        <v>10.8</v>
      </c>
      <c r="AF1469">
        <v>71.02</v>
      </c>
      <c r="AG1469">
        <v>8.9149999999999991</v>
      </c>
      <c r="AH1469">
        <v>28.748999999999999</v>
      </c>
      <c r="AI1469">
        <v>58.972999999999999</v>
      </c>
      <c r="AJ1469">
        <v>24.78</v>
      </c>
      <c r="AK1469">
        <v>24.638000000000002</v>
      </c>
      <c r="AL1469">
        <v>7.4409999999999998</v>
      </c>
      <c r="AM1469">
        <v>28.748999999999999</v>
      </c>
      <c r="AN1469">
        <v>8.9149999999999991</v>
      </c>
      <c r="AO1469">
        <v>71.02</v>
      </c>
      <c r="AP1469">
        <v>-7.4409999999999998</v>
      </c>
      <c r="AQ1469">
        <v>75.22</v>
      </c>
      <c r="AR1469">
        <v>41.027000000000001</v>
      </c>
      <c r="AS1469">
        <v>75.361999999999995</v>
      </c>
    </row>
    <row r="1470" spans="1:45" x14ac:dyDescent="0.25">
      <c r="A1470">
        <v>43</v>
      </c>
      <c r="B1470">
        <v>-23</v>
      </c>
      <c r="C1470">
        <v>0</v>
      </c>
      <c r="D1470">
        <v>2023</v>
      </c>
      <c r="E1470">
        <v>11</v>
      </c>
      <c r="F1470" t="str">
        <f>IFERROR(VLOOKUP(G1470, Map!$A$1:$B$33, 2, FALSE),"WAS")</f>
        <v>CAR</v>
      </c>
      <c r="G1470" t="s">
        <v>142</v>
      </c>
      <c r="H1470" t="str">
        <f>IFERROR(VLOOKUP(I1470, Map!$A$1:$B$33, 2, FALSE),"WAS")</f>
        <v>DAL</v>
      </c>
      <c r="I1470" t="s">
        <v>150</v>
      </c>
      <c r="J1470" t="s">
        <v>185</v>
      </c>
      <c r="K1470" t="s">
        <v>184</v>
      </c>
      <c r="L1470">
        <v>0</v>
      </c>
      <c r="M1470">
        <v>0</v>
      </c>
      <c r="N1470">
        <v>36.785714285714299</v>
      </c>
      <c r="O1470">
        <v>10.0714285714286</v>
      </c>
      <c r="P1470">
        <v>3.5</v>
      </c>
      <c r="Q1470">
        <v>0</v>
      </c>
      <c r="R1470">
        <v>11.2</v>
      </c>
      <c r="S1470">
        <v>17.100000000000001</v>
      </c>
      <c r="T1470">
        <v>5.3</v>
      </c>
      <c r="U1470">
        <v>7.5</v>
      </c>
      <c r="V1470">
        <v>0</v>
      </c>
      <c r="W1470">
        <v>0</v>
      </c>
      <c r="X1470">
        <v>0</v>
      </c>
      <c r="Y1470">
        <v>0</v>
      </c>
      <c r="Z1470">
        <v>16.399999999999999</v>
      </c>
      <c r="AA1470">
        <v>31</v>
      </c>
      <c r="AB1470">
        <v>42</v>
      </c>
      <c r="AC1470">
        <v>43</v>
      </c>
      <c r="AD1470">
        <v>20.6</v>
      </c>
      <c r="AE1470">
        <v>9.8000000000000007</v>
      </c>
      <c r="AF1470">
        <v>15.551</v>
      </c>
      <c r="AG1470">
        <v>48.694000000000003</v>
      </c>
      <c r="AH1470">
        <v>84.323999999999998</v>
      </c>
      <c r="AI1470">
        <v>12.462999999999999</v>
      </c>
      <c r="AJ1470">
        <v>19.116</v>
      </c>
      <c r="AK1470">
        <v>9.6679999999999993</v>
      </c>
      <c r="AL1470">
        <v>-13.49</v>
      </c>
      <c r="AM1470">
        <v>84.323999999999998</v>
      </c>
      <c r="AN1470">
        <v>48.694000000000003</v>
      </c>
      <c r="AO1470">
        <v>15.551</v>
      </c>
      <c r="AP1470">
        <v>13.49</v>
      </c>
      <c r="AQ1470">
        <v>80.884</v>
      </c>
      <c r="AR1470">
        <v>87.537000000000006</v>
      </c>
      <c r="AS1470">
        <v>90.331999999999994</v>
      </c>
    </row>
    <row r="1471" spans="1:45" x14ac:dyDescent="0.25">
      <c r="A1471">
        <v>33</v>
      </c>
      <c r="B1471">
        <v>7</v>
      </c>
      <c r="C1471">
        <v>1</v>
      </c>
      <c r="D1471">
        <v>2023</v>
      </c>
      <c r="E1471">
        <v>11</v>
      </c>
      <c r="F1471" t="str">
        <f>IFERROR(VLOOKUP(G1471, Map!$A$1:$B$33, 2, FALSE),"WAS")</f>
        <v>MIA</v>
      </c>
      <c r="G1471" t="s">
        <v>152</v>
      </c>
      <c r="H1471" t="str">
        <f>IFERROR(VLOOKUP(I1471, Map!$A$1:$B$33, 2, FALSE),"WAS")</f>
        <v>LV</v>
      </c>
      <c r="I1471" t="s">
        <v>157</v>
      </c>
      <c r="J1471" t="s">
        <v>175</v>
      </c>
      <c r="K1471" t="s">
        <v>179</v>
      </c>
      <c r="L1471">
        <v>1</v>
      </c>
      <c r="M1471">
        <v>0</v>
      </c>
      <c r="N1471">
        <v>40.384615384615401</v>
      </c>
      <c r="O1471">
        <v>-12.4230769230769</v>
      </c>
      <c r="P1471">
        <v>-5.5</v>
      </c>
      <c r="Q1471">
        <v>0</v>
      </c>
      <c r="R1471">
        <v>22</v>
      </c>
      <c r="S1471">
        <v>26.6</v>
      </c>
      <c r="T1471">
        <v>18</v>
      </c>
      <c r="U1471">
        <v>23.3</v>
      </c>
      <c r="V1471">
        <v>0.1</v>
      </c>
      <c r="W1471">
        <v>0</v>
      </c>
      <c r="X1471">
        <v>1</v>
      </c>
      <c r="Y1471">
        <v>0.1</v>
      </c>
      <c r="Z1471">
        <v>13.6</v>
      </c>
      <c r="AA1471">
        <v>28.4</v>
      </c>
      <c r="AB1471">
        <v>344</v>
      </c>
      <c r="AC1471">
        <v>80</v>
      </c>
      <c r="AD1471">
        <v>21.8</v>
      </c>
      <c r="AE1471">
        <v>11.6</v>
      </c>
      <c r="AF1471">
        <v>90.495999999999995</v>
      </c>
      <c r="AG1471">
        <v>51.404000000000003</v>
      </c>
      <c r="AH1471">
        <v>9.4280000000000008</v>
      </c>
      <c r="AI1471">
        <v>93.457999999999998</v>
      </c>
      <c r="AJ1471">
        <v>38.122</v>
      </c>
      <c r="AK1471">
        <v>67.239000000000004</v>
      </c>
      <c r="AL1471">
        <v>17.523</v>
      </c>
      <c r="AM1471">
        <v>9.4280000000000008</v>
      </c>
      <c r="AN1471">
        <v>51.404000000000003</v>
      </c>
      <c r="AO1471">
        <v>90.495999999999995</v>
      </c>
      <c r="AP1471">
        <v>-17.523</v>
      </c>
      <c r="AQ1471">
        <v>61.878</v>
      </c>
      <c r="AR1471">
        <v>6.5419999999999998</v>
      </c>
      <c r="AS1471">
        <v>32.761000000000003</v>
      </c>
    </row>
    <row r="1472" spans="1:45" x14ac:dyDescent="0.25">
      <c r="A1472">
        <v>38</v>
      </c>
      <c r="B1472">
        <v>26</v>
      </c>
      <c r="C1472">
        <v>1</v>
      </c>
      <c r="D1472">
        <v>2023</v>
      </c>
      <c r="E1472">
        <v>11</v>
      </c>
      <c r="F1472" t="str">
        <f>IFERROR(VLOOKUP(G1472, Map!$A$1:$B$33, 2, FALSE),"WAS")</f>
        <v>BUF</v>
      </c>
      <c r="G1472" t="s">
        <v>165</v>
      </c>
      <c r="H1472" t="str">
        <f>IFERROR(VLOOKUP(I1472, Map!$A$1:$B$33, 2, FALSE),"WAS")</f>
        <v>NYJ</v>
      </c>
      <c r="I1472" t="s">
        <v>166</v>
      </c>
      <c r="J1472" t="s">
        <v>180</v>
      </c>
      <c r="K1472" t="s">
        <v>172</v>
      </c>
      <c r="L1472">
        <v>1</v>
      </c>
      <c r="M1472">
        <v>0</v>
      </c>
      <c r="N1472">
        <v>34.035714285714299</v>
      </c>
      <c r="O1472">
        <v>-8.3214285714285694</v>
      </c>
      <c r="P1472">
        <v>-4</v>
      </c>
      <c r="Q1472">
        <v>0</v>
      </c>
      <c r="R1472">
        <v>11.4</v>
      </c>
      <c r="S1472">
        <v>16.8</v>
      </c>
      <c r="T1472">
        <v>5.7</v>
      </c>
      <c r="U1472">
        <v>7.7</v>
      </c>
      <c r="V1472">
        <v>0</v>
      </c>
      <c r="W1472">
        <v>0</v>
      </c>
      <c r="X1472">
        <v>0</v>
      </c>
      <c r="Y1472">
        <v>0</v>
      </c>
      <c r="Z1472">
        <v>16.8</v>
      </c>
      <c r="AA1472">
        <v>29.9</v>
      </c>
      <c r="AB1472">
        <v>40</v>
      </c>
      <c r="AC1472">
        <v>43</v>
      </c>
      <c r="AD1472">
        <v>21.7</v>
      </c>
      <c r="AE1472">
        <v>10.3</v>
      </c>
      <c r="AF1472">
        <v>79.58</v>
      </c>
      <c r="AG1472">
        <v>50.8</v>
      </c>
      <c r="AH1472">
        <v>20.257000000000001</v>
      </c>
      <c r="AI1472">
        <v>95.013999999999996</v>
      </c>
      <c r="AJ1472">
        <v>70.558999999999997</v>
      </c>
      <c r="AK1472">
        <v>94.501999999999995</v>
      </c>
      <c r="AL1472">
        <v>11.074999999999999</v>
      </c>
      <c r="AM1472">
        <v>20.257000000000001</v>
      </c>
      <c r="AN1472">
        <v>50.8</v>
      </c>
      <c r="AO1472">
        <v>79.58</v>
      </c>
      <c r="AP1472">
        <v>-11.074999999999999</v>
      </c>
      <c r="AQ1472">
        <v>29.440999999999999</v>
      </c>
      <c r="AR1472">
        <v>4.9859999999999998</v>
      </c>
      <c r="AS1472">
        <v>5.4980000000000002</v>
      </c>
    </row>
    <row r="1473" spans="1:45" x14ac:dyDescent="0.25">
      <c r="A1473">
        <v>38</v>
      </c>
      <c r="B1473">
        <v>-4</v>
      </c>
      <c r="C1473">
        <v>0</v>
      </c>
      <c r="D1473">
        <v>2023</v>
      </c>
      <c r="E1473">
        <v>11</v>
      </c>
      <c r="F1473" t="str">
        <f>IFERROR(VLOOKUP(G1473, Map!$A$1:$B$33, 2, FALSE),"WAS")</f>
        <v>KC</v>
      </c>
      <c r="G1473" t="s">
        <v>158</v>
      </c>
      <c r="H1473" t="str">
        <f>IFERROR(VLOOKUP(I1473, Map!$A$1:$B$33, 2, FALSE),"WAS")</f>
        <v>PHI</v>
      </c>
      <c r="I1473" t="s">
        <v>147</v>
      </c>
      <c r="J1473" t="s">
        <v>202</v>
      </c>
      <c r="K1473" t="s">
        <v>206</v>
      </c>
      <c r="L1473">
        <v>0</v>
      </c>
      <c r="M1473">
        <v>0</v>
      </c>
      <c r="N1473">
        <v>42.607142857142897</v>
      </c>
      <c r="O1473">
        <v>-1.9285714285714299</v>
      </c>
      <c r="P1473">
        <v>-2</v>
      </c>
      <c r="Q1473">
        <v>39.5</v>
      </c>
      <c r="R1473">
        <v>6.2</v>
      </c>
      <c r="S1473">
        <v>7.9</v>
      </c>
      <c r="T1473">
        <v>4.4000000000000004</v>
      </c>
      <c r="U1473">
        <v>1.9</v>
      </c>
      <c r="V1473">
        <v>1.5</v>
      </c>
      <c r="W1473">
        <v>0</v>
      </c>
      <c r="X1473">
        <v>6</v>
      </c>
      <c r="Y1473">
        <v>1.5</v>
      </c>
      <c r="Z1473">
        <v>25</v>
      </c>
      <c r="AA1473">
        <v>50</v>
      </c>
      <c r="AB1473">
        <v>336</v>
      </c>
      <c r="AC1473">
        <v>78</v>
      </c>
      <c r="AD1473">
        <v>34.4</v>
      </c>
      <c r="AE1473">
        <v>18.3</v>
      </c>
      <c r="AF1473">
        <v>60.622</v>
      </c>
      <c r="AG1473">
        <v>70.578999999999994</v>
      </c>
      <c r="AH1473">
        <v>39.064</v>
      </c>
      <c r="AI1473">
        <v>59.725000000000001</v>
      </c>
      <c r="AJ1473">
        <v>37.390999999999998</v>
      </c>
      <c r="AK1473">
        <v>41.56</v>
      </c>
      <c r="AL1473">
        <v>3.6520000000000001</v>
      </c>
      <c r="AM1473">
        <v>39.064</v>
      </c>
      <c r="AN1473">
        <v>70.578999999999994</v>
      </c>
      <c r="AO1473">
        <v>60.622</v>
      </c>
      <c r="AP1473">
        <v>-3.6520000000000001</v>
      </c>
      <c r="AQ1473">
        <v>62.609000000000002</v>
      </c>
      <c r="AR1473">
        <v>40.274999999999999</v>
      </c>
      <c r="AS1473">
        <v>58.44</v>
      </c>
    </row>
    <row r="1474" spans="1:45" x14ac:dyDescent="0.25">
      <c r="A1474">
        <v>43</v>
      </c>
      <c r="B1474">
        <v>3</v>
      </c>
      <c r="C1474">
        <v>1</v>
      </c>
      <c r="D1474">
        <v>2023</v>
      </c>
      <c r="E1474">
        <v>11</v>
      </c>
      <c r="F1474" t="str">
        <f>IFERROR(VLOOKUP(G1474, Map!$A$1:$B$33, 2, FALSE),"WAS")</f>
        <v>GB</v>
      </c>
      <c r="G1474" t="s">
        <v>154</v>
      </c>
      <c r="H1474" t="str">
        <f>IFERROR(VLOOKUP(I1474, Map!$A$1:$B$33, 2, FALSE),"WAS")</f>
        <v>LAC</v>
      </c>
      <c r="I1474" t="s">
        <v>160</v>
      </c>
      <c r="J1474" t="s">
        <v>200</v>
      </c>
      <c r="K1474" t="s">
        <v>210</v>
      </c>
      <c r="L1474">
        <v>1</v>
      </c>
      <c r="M1474">
        <v>0</v>
      </c>
      <c r="N1474">
        <v>37.75</v>
      </c>
      <c r="O1474">
        <v>2.28571428571429</v>
      </c>
      <c r="P1474">
        <v>2</v>
      </c>
      <c r="Q1474">
        <v>0</v>
      </c>
      <c r="R1474">
        <v>3.4</v>
      </c>
      <c r="S1474">
        <v>6.3</v>
      </c>
      <c r="T1474">
        <v>-1.6</v>
      </c>
      <c r="U1474">
        <v>-0.2</v>
      </c>
      <c r="V1474">
        <v>0</v>
      </c>
      <c r="W1474">
        <v>0</v>
      </c>
      <c r="X1474">
        <v>0</v>
      </c>
      <c r="Y1474">
        <v>0</v>
      </c>
      <c r="Z1474">
        <v>14</v>
      </c>
      <c r="AA1474">
        <v>24.5</v>
      </c>
      <c r="AB1474">
        <v>332</v>
      </c>
      <c r="AC1474">
        <v>73</v>
      </c>
      <c r="AD1474">
        <v>17.899999999999999</v>
      </c>
      <c r="AE1474">
        <v>9</v>
      </c>
      <c r="AF1474">
        <v>32.703000000000003</v>
      </c>
      <c r="AG1474">
        <v>63.042999999999999</v>
      </c>
      <c r="AH1474">
        <v>67.034000000000006</v>
      </c>
      <c r="AI1474">
        <v>48.595999999999997</v>
      </c>
      <c r="AJ1474">
        <v>66.552999999999997</v>
      </c>
      <c r="AK1474">
        <v>57.606999999999999</v>
      </c>
      <c r="AL1474">
        <v>-5.9340000000000002</v>
      </c>
      <c r="AM1474">
        <v>67.034000000000006</v>
      </c>
      <c r="AN1474">
        <v>63.042999999999999</v>
      </c>
      <c r="AO1474">
        <v>32.703000000000003</v>
      </c>
      <c r="AP1474">
        <v>5.9340000000000002</v>
      </c>
      <c r="AQ1474">
        <v>33.447000000000003</v>
      </c>
      <c r="AR1474">
        <v>51.404000000000003</v>
      </c>
      <c r="AS1474">
        <v>42.393000000000001</v>
      </c>
    </row>
    <row r="1475" spans="1:45" x14ac:dyDescent="0.25">
      <c r="A1475">
        <v>23</v>
      </c>
      <c r="B1475">
        <v>3</v>
      </c>
      <c r="C1475">
        <v>1</v>
      </c>
      <c r="D1475">
        <v>2023</v>
      </c>
      <c r="E1475">
        <v>11</v>
      </c>
      <c r="F1475" t="str">
        <f>IFERROR(VLOOKUP(G1475, Map!$A$1:$B$33, 2, FALSE),"WAS")</f>
        <v>CLE</v>
      </c>
      <c r="G1475" t="s">
        <v>162</v>
      </c>
      <c r="H1475" t="str">
        <f>IFERROR(VLOOKUP(I1475, Map!$A$1:$B$33, 2, FALSE),"WAS")</f>
        <v>PIT</v>
      </c>
      <c r="I1475" t="s">
        <v>145</v>
      </c>
      <c r="J1475" t="s">
        <v>171</v>
      </c>
      <c r="K1475" t="s">
        <v>170</v>
      </c>
      <c r="L1475">
        <v>1</v>
      </c>
      <c r="M1475">
        <v>0</v>
      </c>
      <c r="N1475">
        <v>28.6071428571429</v>
      </c>
      <c r="O1475">
        <v>-2.21428571428571</v>
      </c>
      <c r="P1475">
        <v>-1.5</v>
      </c>
      <c r="Q1475">
        <v>0</v>
      </c>
      <c r="R1475">
        <v>6.6</v>
      </c>
      <c r="S1475">
        <v>8.1</v>
      </c>
      <c r="T1475">
        <v>5</v>
      </c>
      <c r="U1475">
        <v>2</v>
      </c>
      <c r="V1475">
        <v>0</v>
      </c>
      <c r="W1475">
        <v>0</v>
      </c>
      <c r="X1475">
        <v>0</v>
      </c>
      <c r="Y1475">
        <v>0</v>
      </c>
      <c r="Z1475">
        <v>22.3</v>
      </c>
      <c r="AA1475">
        <v>30.6</v>
      </c>
      <c r="AB1475">
        <v>253</v>
      </c>
      <c r="AC1475">
        <v>69</v>
      </c>
      <c r="AD1475">
        <v>26.1</v>
      </c>
      <c r="AE1475">
        <v>18.2</v>
      </c>
      <c r="AF1475">
        <v>52.834000000000003</v>
      </c>
      <c r="AG1475">
        <v>45.170999999999999</v>
      </c>
      <c r="AH1475">
        <v>46.79</v>
      </c>
      <c r="AI1475">
        <v>77.126999999999995</v>
      </c>
      <c r="AJ1475">
        <v>26.818999999999999</v>
      </c>
      <c r="AK1475">
        <v>57.109000000000002</v>
      </c>
      <c r="AL1475">
        <v>1.012</v>
      </c>
      <c r="AM1475">
        <v>46.79</v>
      </c>
      <c r="AN1475">
        <v>45.170999999999999</v>
      </c>
      <c r="AO1475">
        <v>52.834000000000003</v>
      </c>
      <c r="AP1475">
        <v>-1.012</v>
      </c>
      <c r="AQ1475">
        <v>73.180999999999997</v>
      </c>
      <c r="AR1475">
        <v>22.873000000000001</v>
      </c>
      <c r="AS1475">
        <v>42.890999999999998</v>
      </c>
    </row>
    <row r="1476" spans="1:45" x14ac:dyDescent="0.25">
      <c r="A1476">
        <v>37</v>
      </c>
      <c r="B1476">
        <v>5</v>
      </c>
      <c r="C1476">
        <v>1</v>
      </c>
      <c r="D1476">
        <v>2023</v>
      </c>
      <c r="E1476">
        <v>11</v>
      </c>
      <c r="F1476" t="str">
        <f>IFERROR(VLOOKUP(G1476, Map!$A$1:$B$33, 2, FALSE),"WAS")</f>
        <v>HOU</v>
      </c>
      <c r="G1476" t="s">
        <v>137</v>
      </c>
      <c r="H1476" t="str">
        <f>IFERROR(VLOOKUP(I1476, Map!$A$1:$B$33, 2, FALSE),"WAS")</f>
        <v>ARI</v>
      </c>
      <c r="I1476" t="s">
        <v>156</v>
      </c>
      <c r="J1476" t="s">
        <v>209</v>
      </c>
      <c r="K1476" t="s">
        <v>190</v>
      </c>
      <c r="L1476">
        <v>1</v>
      </c>
      <c r="M1476">
        <v>0</v>
      </c>
      <c r="N1476">
        <v>41.607142857142897</v>
      </c>
      <c r="O1476">
        <v>-5.3214285714285703</v>
      </c>
      <c r="P1476">
        <v>-2</v>
      </c>
      <c r="Q1476">
        <v>0</v>
      </c>
      <c r="R1476">
        <v>17</v>
      </c>
      <c r="S1476">
        <v>22.4</v>
      </c>
      <c r="T1476">
        <v>12.5</v>
      </c>
      <c r="U1476">
        <v>16.600000000000001</v>
      </c>
      <c r="V1476">
        <v>0</v>
      </c>
      <c r="W1476">
        <v>0</v>
      </c>
      <c r="X1476">
        <v>0</v>
      </c>
      <c r="Y1476">
        <v>0</v>
      </c>
      <c r="Z1476">
        <v>19.399999999999999</v>
      </c>
      <c r="AA1476">
        <v>33.799999999999997</v>
      </c>
      <c r="AB1476">
        <v>106</v>
      </c>
      <c r="AC1476">
        <v>82</v>
      </c>
      <c r="AD1476">
        <v>17.899999999999999</v>
      </c>
      <c r="AE1476">
        <v>11.4</v>
      </c>
      <c r="AF1476">
        <v>67.516999999999996</v>
      </c>
      <c r="AG1476">
        <v>35.960999999999999</v>
      </c>
      <c r="AH1476">
        <v>32.225000000000001</v>
      </c>
      <c r="AI1476">
        <v>72.631</v>
      </c>
      <c r="AJ1476">
        <v>49.863999999999997</v>
      </c>
      <c r="AK1476">
        <v>67.36</v>
      </c>
      <c r="AL1476">
        <v>6.1120000000000001</v>
      </c>
      <c r="AM1476">
        <v>32.225000000000001</v>
      </c>
      <c r="AN1476">
        <v>35.960999999999999</v>
      </c>
      <c r="AO1476">
        <v>67.516999999999996</v>
      </c>
      <c r="AP1476">
        <v>-6.1120000000000001</v>
      </c>
      <c r="AQ1476">
        <v>50.136000000000003</v>
      </c>
      <c r="AR1476">
        <v>27.369</v>
      </c>
      <c r="AS1476">
        <v>32.64</v>
      </c>
    </row>
    <row r="1477" spans="1:45" x14ac:dyDescent="0.25">
      <c r="A1477">
        <v>41</v>
      </c>
      <c r="B1477">
        <v>13</v>
      </c>
      <c r="C1477">
        <v>1</v>
      </c>
      <c r="D1477">
        <v>2023</v>
      </c>
      <c r="E1477">
        <v>11</v>
      </c>
      <c r="F1477" t="str">
        <f>IFERROR(VLOOKUP(G1477, Map!$A$1:$B$33, 2, FALSE),"WAS")</f>
        <v>SF</v>
      </c>
      <c r="G1477" t="s">
        <v>143</v>
      </c>
      <c r="H1477" t="str">
        <f>IFERROR(VLOOKUP(I1477, Map!$A$1:$B$33, 2, FALSE),"WAS")</f>
        <v>TB</v>
      </c>
      <c r="I1477" t="s">
        <v>141</v>
      </c>
      <c r="J1477" t="s">
        <v>197</v>
      </c>
      <c r="K1477" t="s">
        <v>186</v>
      </c>
      <c r="L1477">
        <v>1</v>
      </c>
      <c r="M1477">
        <v>0</v>
      </c>
      <c r="N1477">
        <v>35.857142857142897</v>
      </c>
      <c r="O1477">
        <v>-11.6071428571429</v>
      </c>
      <c r="P1477">
        <v>-7.5</v>
      </c>
      <c r="Q1477">
        <v>0</v>
      </c>
      <c r="R1477">
        <v>13.4</v>
      </c>
      <c r="S1477">
        <v>16.7</v>
      </c>
      <c r="T1477">
        <v>8.8000000000000007</v>
      </c>
      <c r="U1477">
        <v>11.7</v>
      </c>
      <c r="V1477">
        <v>2.2000000000000002</v>
      </c>
      <c r="W1477">
        <v>0</v>
      </c>
      <c r="X1477">
        <v>8</v>
      </c>
      <c r="Y1477">
        <v>2.2000000000000002</v>
      </c>
      <c r="Z1477">
        <v>18.8</v>
      </c>
      <c r="AA1477">
        <v>31.7</v>
      </c>
      <c r="AB1477">
        <v>306</v>
      </c>
      <c r="AC1477">
        <v>75</v>
      </c>
      <c r="AD1477">
        <v>18</v>
      </c>
      <c r="AE1477">
        <v>9.6</v>
      </c>
      <c r="AF1477">
        <v>81.17</v>
      </c>
      <c r="AG1477">
        <v>60.372</v>
      </c>
      <c r="AH1477">
        <v>18.68</v>
      </c>
      <c r="AI1477">
        <v>67.763999999999996</v>
      </c>
      <c r="AJ1477">
        <v>90.611000000000004</v>
      </c>
      <c r="AK1477">
        <v>86.296000000000006</v>
      </c>
      <c r="AL1477">
        <v>11.840999999999999</v>
      </c>
      <c r="AM1477">
        <v>18.68</v>
      </c>
      <c r="AN1477">
        <v>60.372</v>
      </c>
      <c r="AO1477">
        <v>81.17</v>
      </c>
      <c r="AP1477">
        <v>-11.840999999999999</v>
      </c>
      <c r="AQ1477">
        <v>9.3889999999999993</v>
      </c>
      <c r="AR1477">
        <v>32.235999999999997</v>
      </c>
      <c r="AS1477">
        <v>13.704000000000001</v>
      </c>
    </row>
    <row r="1478" spans="1:45" x14ac:dyDescent="0.25">
      <c r="A1478">
        <v>22</v>
      </c>
      <c r="B1478">
        <v>-2</v>
      </c>
      <c r="C1478">
        <v>0</v>
      </c>
      <c r="D1478">
        <v>2023</v>
      </c>
      <c r="E1478">
        <v>12</v>
      </c>
      <c r="F1478" t="str">
        <f>IFERROR(VLOOKUP(G1478, Map!$A$1:$B$33, 2, FALSE),"WAS")</f>
        <v>MIN</v>
      </c>
      <c r="G1478" t="s">
        <v>153</v>
      </c>
      <c r="H1478" t="str">
        <f>IFERROR(VLOOKUP(I1478, Map!$A$1:$B$33, 2, FALSE),"WAS")</f>
        <v>CHI</v>
      </c>
      <c r="I1478" t="s">
        <v>163</v>
      </c>
      <c r="J1478" t="s">
        <v>214</v>
      </c>
      <c r="K1478" t="s">
        <v>216</v>
      </c>
      <c r="L1478">
        <v>0</v>
      </c>
      <c r="M1478">
        <v>0</v>
      </c>
      <c r="N1478">
        <v>37.357142857142897</v>
      </c>
      <c r="O1478">
        <v>-2.8571428571428599</v>
      </c>
      <c r="P1478">
        <v>-3</v>
      </c>
      <c r="Q1478">
        <v>0</v>
      </c>
      <c r="R1478">
        <v>-8.8000000000000007</v>
      </c>
      <c r="S1478">
        <v>-0.6</v>
      </c>
      <c r="T1478">
        <v>-13.6</v>
      </c>
      <c r="U1478">
        <v>-14</v>
      </c>
      <c r="V1478">
        <v>0</v>
      </c>
      <c r="W1478">
        <v>0</v>
      </c>
      <c r="X1478">
        <v>0</v>
      </c>
      <c r="Y1478">
        <v>0</v>
      </c>
      <c r="Z1478">
        <v>15.9</v>
      </c>
      <c r="AA1478">
        <v>30.6</v>
      </c>
      <c r="AB1478">
        <v>237</v>
      </c>
      <c r="AC1478">
        <v>54</v>
      </c>
      <c r="AD1478">
        <v>21.5</v>
      </c>
      <c r="AE1478">
        <v>10.4</v>
      </c>
      <c r="AF1478">
        <v>61.917000000000002</v>
      </c>
      <c r="AG1478">
        <v>32.975000000000001</v>
      </c>
      <c r="AH1478">
        <v>37.779000000000003</v>
      </c>
      <c r="AI1478">
        <v>77.311000000000007</v>
      </c>
      <c r="AJ1478">
        <v>7.2759999999999998</v>
      </c>
      <c r="AK1478">
        <v>43.792000000000002</v>
      </c>
      <c r="AL1478">
        <v>4.09</v>
      </c>
      <c r="AM1478">
        <v>37.779000000000003</v>
      </c>
      <c r="AN1478">
        <v>32.975000000000001</v>
      </c>
      <c r="AO1478">
        <v>61.917000000000002</v>
      </c>
      <c r="AP1478">
        <v>-4.09</v>
      </c>
      <c r="AQ1478">
        <v>92.724000000000004</v>
      </c>
      <c r="AR1478">
        <v>22.689</v>
      </c>
      <c r="AS1478">
        <v>56.207999999999998</v>
      </c>
    </row>
    <row r="1479" spans="1:45" x14ac:dyDescent="0.25">
      <c r="A1479">
        <v>51</v>
      </c>
      <c r="B1479">
        <v>-7</v>
      </c>
      <c r="C1479">
        <v>0</v>
      </c>
      <c r="D1479">
        <v>2023</v>
      </c>
      <c r="E1479">
        <v>12</v>
      </c>
      <c r="F1479" t="str">
        <f>IFERROR(VLOOKUP(G1479, Map!$A$1:$B$33, 2, FALSE),"WAS")</f>
        <v>DET</v>
      </c>
      <c r="G1479" t="s">
        <v>164</v>
      </c>
      <c r="H1479" t="str">
        <f>IFERROR(VLOOKUP(I1479, Map!$A$1:$B$33, 2, FALSE),"WAS")</f>
        <v>GB</v>
      </c>
      <c r="I1479" t="s">
        <v>154</v>
      </c>
      <c r="J1479" t="s">
        <v>173</v>
      </c>
      <c r="K1479" t="s">
        <v>200</v>
      </c>
      <c r="L1479">
        <v>0</v>
      </c>
      <c r="M1479">
        <v>0</v>
      </c>
      <c r="N1479">
        <v>40.392857142857103</v>
      </c>
      <c r="O1479">
        <v>-6.25</v>
      </c>
      <c r="P1479">
        <v>-4.5</v>
      </c>
      <c r="Q1479">
        <v>0</v>
      </c>
      <c r="R1479">
        <v>4.7</v>
      </c>
      <c r="S1479">
        <v>9.5</v>
      </c>
      <c r="T1479">
        <v>1.1000000000000001</v>
      </c>
      <c r="U1479">
        <v>0.3</v>
      </c>
      <c r="V1479">
        <v>0</v>
      </c>
      <c r="W1479">
        <v>0</v>
      </c>
      <c r="X1479">
        <v>0</v>
      </c>
      <c r="Y1479">
        <v>0</v>
      </c>
      <c r="Z1479">
        <v>20.6</v>
      </c>
      <c r="AA1479">
        <v>37.1</v>
      </c>
      <c r="AB1479">
        <v>249</v>
      </c>
      <c r="AC1479">
        <v>74</v>
      </c>
      <c r="AD1479">
        <v>28.2</v>
      </c>
      <c r="AE1479">
        <v>16.100000000000001</v>
      </c>
      <c r="AF1479">
        <v>63.978999999999999</v>
      </c>
      <c r="AG1479">
        <v>69.947000000000003</v>
      </c>
      <c r="AH1479">
        <v>35.734000000000002</v>
      </c>
      <c r="AI1479">
        <v>20.088999999999999</v>
      </c>
      <c r="AJ1479">
        <v>31.437000000000001</v>
      </c>
      <c r="AK1479">
        <v>13.365</v>
      </c>
      <c r="AL1479">
        <v>4.8140000000000001</v>
      </c>
      <c r="AM1479">
        <v>35.734000000000002</v>
      </c>
      <c r="AN1479">
        <v>69.947000000000003</v>
      </c>
      <c r="AO1479">
        <v>63.978999999999999</v>
      </c>
      <c r="AP1479">
        <v>-4.8140000000000001</v>
      </c>
      <c r="AQ1479">
        <v>68.563000000000002</v>
      </c>
      <c r="AR1479">
        <v>79.911000000000001</v>
      </c>
      <c r="AS1479">
        <v>86.635000000000005</v>
      </c>
    </row>
    <row r="1480" spans="1:45" x14ac:dyDescent="0.25">
      <c r="A1480">
        <v>30</v>
      </c>
      <c r="B1480">
        <v>-10</v>
      </c>
      <c r="C1480">
        <v>0</v>
      </c>
      <c r="D1480">
        <v>2023</v>
      </c>
      <c r="E1480">
        <v>12</v>
      </c>
      <c r="F1480" t="str">
        <f>IFERROR(VLOOKUP(G1480, Map!$A$1:$B$33, 2, FALSE),"WAS")</f>
        <v>LAC</v>
      </c>
      <c r="G1480" t="s">
        <v>160</v>
      </c>
      <c r="H1480" t="str">
        <f>IFERROR(VLOOKUP(I1480, Map!$A$1:$B$33, 2, FALSE),"WAS")</f>
        <v>BAL</v>
      </c>
      <c r="I1480" t="s">
        <v>146</v>
      </c>
      <c r="J1480" t="s">
        <v>210</v>
      </c>
      <c r="K1480" t="s">
        <v>181</v>
      </c>
      <c r="L1480">
        <v>0</v>
      </c>
      <c r="M1480">
        <v>0</v>
      </c>
      <c r="N1480">
        <v>40.642857142857103</v>
      </c>
      <c r="O1480">
        <v>3</v>
      </c>
      <c r="P1480">
        <v>-2</v>
      </c>
      <c r="Q1480">
        <v>0</v>
      </c>
      <c r="R1480">
        <v>13.5</v>
      </c>
      <c r="S1480">
        <v>22.5</v>
      </c>
      <c r="T1480">
        <v>7.3</v>
      </c>
      <c r="U1480">
        <v>10.7</v>
      </c>
      <c r="V1480">
        <v>0</v>
      </c>
      <c r="W1480">
        <v>0</v>
      </c>
      <c r="X1480">
        <v>0</v>
      </c>
      <c r="Y1480">
        <v>0</v>
      </c>
      <c r="Z1480">
        <v>9</v>
      </c>
      <c r="AA1480">
        <v>16.2</v>
      </c>
      <c r="AB1480">
        <v>19</v>
      </c>
      <c r="AC1480">
        <v>45</v>
      </c>
      <c r="AD1480">
        <v>10</v>
      </c>
      <c r="AE1480">
        <v>5.4</v>
      </c>
      <c r="AF1480">
        <v>44.033000000000001</v>
      </c>
      <c r="AG1480">
        <v>89.944000000000003</v>
      </c>
      <c r="AH1480">
        <v>55.613</v>
      </c>
      <c r="AI1480">
        <v>45.823</v>
      </c>
      <c r="AJ1480">
        <v>16.724</v>
      </c>
      <c r="AK1480">
        <v>31.55</v>
      </c>
      <c r="AL1480">
        <v>-1.9379999999999999</v>
      </c>
      <c r="AM1480">
        <v>55.613</v>
      </c>
      <c r="AN1480">
        <v>89.944000000000003</v>
      </c>
      <c r="AO1480">
        <v>44.033000000000001</v>
      </c>
      <c r="AP1480">
        <v>1.9379999999999999</v>
      </c>
      <c r="AQ1480">
        <v>83.275999999999996</v>
      </c>
      <c r="AR1480">
        <v>54.177</v>
      </c>
      <c r="AS1480">
        <v>68.45</v>
      </c>
    </row>
    <row r="1481" spans="1:45" x14ac:dyDescent="0.25">
      <c r="A1481">
        <v>17</v>
      </c>
      <c r="B1481">
        <v>3</v>
      </c>
      <c r="C1481">
        <v>1</v>
      </c>
      <c r="D1481">
        <v>2023</v>
      </c>
      <c r="E1481">
        <v>12</v>
      </c>
      <c r="F1481" t="str">
        <f>IFERROR(VLOOKUP(G1481, Map!$A$1:$B$33, 2, FALSE),"WAS")</f>
        <v>NYG</v>
      </c>
      <c r="G1481" t="s">
        <v>149</v>
      </c>
      <c r="H1481" t="str">
        <f>IFERROR(VLOOKUP(I1481, Map!$A$1:$B$33, 2, FALSE),"WAS")</f>
        <v>NE</v>
      </c>
      <c r="I1481" t="s">
        <v>151</v>
      </c>
      <c r="J1481" t="s">
        <v>219</v>
      </c>
      <c r="K1481" t="s">
        <v>187</v>
      </c>
      <c r="L1481">
        <v>1</v>
      </c>
      <c r="M1481">
        <v>0</v>
      </c>
      <c r="N1481">
        <v>29.571428571428601</v>
      </c>
      <c r="O1481">
        <v>3.0714285714285698</v>
      </c>
      <c r="P1481">
        <v>-2</v>
      </c>
      <c r="Q1481">
        <v>0</v>
      </c>
      <c r="R1481">
        <v>2.1</v>
      </c>
      <c r="S1481">
        <v>9.9</v>
      </c>
      <c r="T1481">
        <v>-2.7</v>
      </c>
      <c r="U1481">
        <v>-1.4</v>
      </c>
      <c r="V1481">
        <v>1.2</v>
      </c>
      <c r="W1481">
        <v>0</v>
      </c>
      <c r="X1481">
        <v>3</v>
      </c>
      <c r="Y1481">
        <v>1.2</v>
      </c>
      <c r="Z1481">
        <v>18.100000000000001</v>
      </c>
      <c r="AA1481">
        <v>35.299999999999997</v>
      </c>
      <c r="AB1481">
        <v>108</v>
      </c>
      <c r="AC1481">
        <v>78</v>
      </c>
      <c r="AD1481">
        <v>16.100000000000001</v>
      </c>
      <c r="AE1481">
        <v>8.6999999999999993</v>
      </c>
      <c r="AF1481">
        <v>26.812999999999999</v>
      </c>
      <c r="AG1481">
        <v>11.192</v>
      </c>
      <c r="AH1481">
        <v>72.971999999999994</v>
      </c>
      <c r="AI1481">
        <v>84.533000000000001</v>
      </c>
      <c r="AJ1481">
        <v>12.618</v>
      </c>
      <c r="AK1481">
        <v>57.77</v>
      </c>
      <c r="AL1481">
        <v>-8.1880000000000006</v>
      </c>
      <c r="AM1481">
        <v>72.971999999999994</v>
      </c>
      <c r="AN1481">
        <v>11.192</v>
      </c>
      <c r="AO1481">
        <v>26.812999999999999</v>
      </c>
      <c r="AP1481">
        <v>8.1880000000000006</v>
      </c>
      <c r="AQ1481">
        <v>87.382000000000005</v>
      </c>
      <c r="AR1481">
        <v>15.467000000000001</v>
      </c>
      <c r="AS1481">
        <v>42.23</v>
      </c>
    </row>
    <row r="1482" spans="1:45" x14ac:dyDescent="0.25">
      <c r="A1482">
        <v>48</v>
      </c>
      <c r="B1482">
        <v>-14</v>
      </c>
      <c r="C1482">
        <v>0</v>
      </c>
      <c r="D1482">
        <v>2023</v>
      </c>
      <c r="E1482">
        <v>12</v>
      </c>
      <c r="F1482" t="str">
        <f>IFERROR(VLOOKUP(G1482, Map!$A$1:$B$33, 2, FALSE),"WAS")</f>
        <v>LV</v>
      </c>
      <c r="G1482" t="s">
        <v>157</v>
      </c>
      <c r="H1482" t="str">
        <f>IFERROR(VLOOKUP(I1482, Map!$A$1:$B$33, 2, FALSE),"WAS")</f>
        <v>KC</v>
      </c>
      <c r="I1482" t="s">
        <v>158</v>
      </c>
      <c r="J1482" t="s">
        <v>179</v>
      </c>
      <c r="K1482" t="s">
        <v>202</v>
      </c>
      <c r="L1482">
        <v>0</v>
      </c>
      <c r="M1482">
        <v>0</v>
      </c>
      <c r="N1482">
        <v>41.071428571428598</v>
      </c>
      <c r="O1482">
        <v>10.035714285714301</v>
      </c>
      <c r="P1482">
        <v>5.5</v>
      </c>
      <c r="Q1482">
        <v>0</v>
      </c>
      <c r="R1482">
        <v>7.1</v>
      </c>
      <c r="S1482">
        <v>13</v>
      </c>
      <c r="T1482">
        <v>-0.3</v>
      </c>
      <c r="U1482">
        <v>3.1</v>
      </c>
      <c r="V1482">
        <v>0</v>
      </c>
      <c r="W1482">
        <v>0</v>
      </c>
      <c r="X1482">
        <v>0</v>
      </c>
      <c r="Y1482">
        <v>0</v>
      </c>
      <c r="Z1482">
        <v>13.9</v>
      </c>
      <c r="AA1482">
        <v>19.8</v>
      </c>
      <c r="AB1482">
        <v>4</v>
      </c>
      <c r="AC1482">
        <v>36</v>
      </c>
      <c r="AD1482">
        <v>11.6</v>
      </c>
      <c r="AE1482">
        <v>6.4</v>
      </c>
      <c r="AF1482">
        <v>15.138</v>
      </c>
      <c r="AG1482">
        <v>69.207999999999998</v>
      </c>
      <c r="AH1482">
        <v>84.74</v>
      </c>
      <c r="AI1482">
        <v>9.9849999999999994</v>
      </c>
      <c r="AJ1482">
        <v>69</v>
      </c>
      <c r="AK1482">
        <v>20.030999999999999</v>
      </c>
      <c r="AL1482">
        <v>-13.68</v>
      </c>
      <c r="AM1482">
        <v>84.74</v>
      </c>
      <c r="AN1482">
        <v>69.207999999999998</v>
      </c>
      <c r="AO1482">
        <v>15.138</v>
      </c>
      <c r="AP1482">
        <v>13.68</v>
      </c>
      <c r="AQ1482">
        <v>31</v>
      </c>
      <c r="AR1482">
        <v>90.015000000000001</v>
      </c>
      <c r="AS1482">
        <v>79.968999999999994</v>
      </c>
    </row>
    <row r="1483" spans="1:45" x14ac:dyDescent="0.25">
      <c r="A1483">
        <v>47</v>
      </c>
      <c r="B1483">
        <v>7</v>
      </c>
      <c r="C1483">
        <v>1</v>
      </c>
      <c r="D1483">
        <v>2023</v>
      </c>
      <c r="E1483">
        <v>12</v>
      </c>
      <c r="F1483" t="str">
        <f>IFERROR(VLOOKUP(G1483, Map!$A$1:$B$33, 2, FALSE),"WAS")</f>
        <v>IND</v>
      </c>
      <c r="G1483" t="s">
        <v>138</v>
      </c>
      <c r="H1483" t="str">
        <f>IFERROR(VLOOKUP(I1483, Map!$A$1:$B$33, 2, FALSE),"WAS")</f>
        <v>TB</v>
      </c>
      <c r="I1483" t="s">
        <v>141</v>
      </c>
      <c r="J1483" t="s">
        <v>177</v>
      </c>
      <c r="K1483" t="s">
        <v>186</v>
      </c>
      <c r="L1483">
        <v>1</v>
      </c>
      <c r="M1483">
        <v>0</v>
      </c>
      <c r="N1483">
        <v>38.428571428571402</v>
      </c>
      <c r="O1483">
        <v>-2.6071428571428599</v>
      </c>
      <c r="P1483">
        <v>-1.5</v>
      </c>
      <c r="Q1483">
        <v>0</v>
      </c>
      <c r="R1483">
        <v>1.3</v>
      </c>
      <c r="S1483">
        <v>3.9</v>
      </c>
      <c r="T1483">
        <v>-1.7</v>
      </c>
      <c r="U1483">
        <v>-2.5</v>
      </c>
      <c r="V1483">
        <v>4.8</v>
      </c>
      <c r="W1483">
        <v>0</v>
      </c>
      <c r="X1483">
        <v>9</v>
      </c>
      <c r="Y1483">
        <v>4.8</v>
      </c>
      <c r="Z1483">
        <v>20.5</v>
      </c>
      <c r="AA1483">
        <v>36</v>
      </c>
      <c r="AB1483">
        <v>186</v>
      </c>
      <c r="AC1483">
        <v>86</v>
      </c>
      <c r="AD1483">
        <v>17.8</v>
      </c>
      <c r="AE1483">
        <v>10.3</v>
      </c>
      <c r="AF1483">
        <v>54.664999999999999</v>
      </c>
      <c r="AG1483">
        <v>42.881</v>
      </c>
      <c r="AH1483">
        <v>44.973999999999997</v>
      </c>
      <c r="AI1483">
        <v>68.980999999999995</v>
      </c>
      <c r="AJ1483">
        <v>59.44</v>
      </c>
      <c r="AK1483">
        <v>71.832999999999998</v>
      </c>
      <c r="AL1483">
        <v>1.62</v>
      </c>
      <c r="AM1483">
        <v>44.973999999999997</v>
      </c>
      <c r="AN1483">
        <v>42.881</v>
      </c>
      <c r="AO1483">
        <v>54.664999999999999</v>
      </c>
      <c r="AP1483">
        <v>-1.62</v>
      </c>
      <c r="AQ1483">
        <v>40.56</v>
      </c>
      <c r="AR1483">
        <v>31.018999999999998</v>
      </c>
      <c r="AS1483">
        <v>28.167000000000002</v>
      </c>
    </row>
    <row r="1484" spans="1:45" x14ac:dyDescent="0.25">
      <c r="A1484">
        <v>47</v>
      </c>
      <c r="B1484">
        <v>-21</v>
      </c>
      <c r="C1484">
        <v>0</v>
      </c>
      <c r="D1484">
        <v>2023</v>
      </c>
      <c r="E1484">
        <v>12</v>
      </c>
      <c r="F1484" t="str">
        <f>IFERROR(VLOOKUP(G1484, Map!$A$1:$B$33, 2, FALSE),"WAS")</f>
        <v>NYJ</v>
      </c>
      <c r="G1484" t="s">
        <v>166</v>
      </c>
      <c r="H1484" t="str">
        <f>IFERROR(VLOOKUP(I1484, Map!$A$1:$B$33, 2, FALSE),"WAS")</f>
        <v>MIA</v>
      </c>
      <c r="I1484" t="s">
        <v>152</v>
      </c>
      <c r="J1484" t="s">
        <v>172</v>
      </c>
      <c r="K1484" t="s">
        <v>175</v>
      </c>
      <c r="L1484">
        <v>0</v>
      </c>
      <c r="M1484">
        <v>0</v>
      </c>
      <c r="N1484">
        <v>38.178571428571402</v>
      </c>
      <c r="O1484">
        <v>8.6071428571428594</v>
      </c>
      <c r="P1484">
        <v>-3</v>
      </c>
      <c r="Q1484">
        <v>39.5</v>
      </c>
      <c r="R1484">
        <v>6</v>
      </c>
      <c r="S1484">
        <v>9.4</v>
      </c>
      <c r="T1484">
        <v>2.8</v>
      </c>
      <c r="U1484">
        <v>2.1</v>
      </c>
      <c r="V1484">
        <v>0</v>
      </c>
      <c r="W1484">
        <v>0</v>
      </c>
      <c r="X1484">
        <v>0</v>
      </c>
      <c r="Y1484">
        <v>0</v>
      </c>
      <c r="Z1484">
        <v>19</v>
      </c>
      <c r="AA1484">
        <v>34.6</v>
      </c>
      <c r="AB1484">
        <v>302</v>
      </c>
      <c r="AC1484">
        <v>65</v>
      </c>
      <c r="AD1484">
        <v>22.9</v>
      </c>
      <c r="AE1484">
        <v>12</v>
      </c>
      <c r="AF1484">
        <v>18.936</v>
      </c>
      <c r="AG1484">
        <v>47.427999999999997</v>
      </c>
      <c r="AH1484">
        <v>80.912000000000006</v>
      </c>
      <c r="AI1484">
        <v>55.817</v>
      </c>
      <c r="AJ1484">
        <v>0.54700000000000004</v>
      </c>
      <c r="AK1484">
        <v>7.931</v>
      </c>
      <c r="AL1484">
        <v>-11.678000000000001</v>
      </c>
      <c r="AM1484">
        <v>80.912000000000006</v>
      </c>
      <c r="AN1484">
        <v>47.427999999999997</v>
      </c>
      <c r="AO1484">
        <v>18.936</v>
      </c>
      <c r="AP1484">
        <v>11.678000000000001</v>
      </c>
      <c r="AQ1484">
        <v>99.453000000000003</v>
      </c>
      <c r="AR1484">
        <v>44.183</v>
      </c>
      <c r="AS1484">
        <v>92.069000000000003</v>
      </c>
    </row>
    <row r="1485" spans="1:45" x14ac:dyDescent="0.25">
      <c r="A1485">
        <v>39</v>
      </c>
      <c r="B1485">
        <v>9</v>
      </c>
      <c r="C1485">
        <v>1</v>
      </c>
      <c r="D1485">
        <v>2023</v>
      </c>
      <c r="E1485">
        <v>12</v>
      </c>
      <c r="F1485" t="str">
        <f>IFERROR(VLOOKUP(G1485, Map!$A$1:$B$33, 2, FALSE),"WAS")</f>
        <v>ATL</v>
      </c>
      <c r="G1485" t="s">
        <v>167</v>
      </c>
      <c r="H1485" t="str">
        <f>IFERROR(VLOOKUP(I1485, Map!$A$1:$B$33, 2, FALSE),"WAS")</f>
        <v>NO</v>
      </c>
      <c r="I1485" t="s">
        <v>168</v>
      </c>
      <c r="J1485" t="s">
        <v>188</v>
      </c>
      <c r="K1485" t="s">
        <v>192</v>
      </c>
      <c r="L1485">
        <v>1</v>
      </c>
      <c r="M1485">
        <v>0</v>
      </c>
      <c r="N1485">
        <v>35.75</v>
      </c>
      <c r="O1485">
        <v>0.53571428571428603</v>
      </c>
      <c r="P1485">
        <v>1</v>
      </c>
      <c r="Q1485">
        <v>0</v>
      </c>
      <c r="R1485">
        <v>8.1999999999999993</v>
      </c>
      <c r="S1485">
        <v>11.4</v>
      </c>
      <c r="T1485">
        <v>5.9</v>
      </c>
      <c r="U1485">
        <v>4.9000000000000004</v>
      </c>
      <c r="V1485">
        <v>3.5</v>
      </c>
      <c r="W1485">
        <v>0</v>
      </c>
      <c r="X1485">
        <v>3</v>
      </c>
      <c r="Y1485">
        <v>3.5</v>
      </c>
      <c r="Z1485">
        <v>16.899999999999999</v>
      </c>
      <c r="AA1485">
        <v>32.799999999999997</v>
      </c>
      <c r="AB1485">
        <v>109</v>
      </c>
      <c r="AC1485">
        <v>77</v>
      </c>
      <c r="AD1485">
        <v>25.6</v>
      </c>
      <c r="AE1485">
        <v>13.9</v>
      </c>
      <c r="AF1485">
        <v>42.621000000000002</v>
      </c>
      <c r="AG1485">
        <v>44.372999999999998</v>
      </c>
      <c r="AH1485">
        <v>57.036999999999999</v>
      </c>
      <c r="AI1485">
        <v>70.305000000000007</v>
      </c>
      <c r="AJ1485">
        <v>57.048000000000002</v>
      </c>
      <c r="AK1485">
        <v>67.244</v>
      </c>
      <c r="AL1485">
        <v>-2.4180000000000001</v>
      </c>
      <c r="AM1485">
        <v>57.036999999999999</v>
      </c>
      <c r="AN1485">
        <v>44.372999999999998</v>
      </c>
      <c r="AO1485">
        <v>42.621000000000002</v>
      </c>
      <c r="AP1485">
        <v>2.4180000000000001</v>
      </c>
      <c r="AQ1485">
        <v>42.951999999999998</v>
      </c>
      <c r="AR1485">
        <v>29.695</v>
      </c>
      <c r="AS1485">
        <v>32.756</v>
      </c>
    </row>
    <row r="1486" spans="1:45" x14ac:dyDescent="0.25">
      <c r="A1486">
        <v>45</v>
      </c>
      <c r="B1486">
        <v>-3</v>
      </c>
      <c r="C1486">
        <v>0</v>
      </c>
      <c r="D1486">
        <v>2023</v>
      </c>
      <c r="E1486">
        <v>12</v>
      </c>
      <c r="F1486" t="str">
        <f>IFERROR(VLOOKUP(G1486, Map!$A$1:$B$33, 2, FALSE),"WAS")</f>
        <v>HOU</v>
      </c>
      <c r="G1486" t="s">
        <v>137</v>
      </c>
      <c r="H1486" t="str">
        <f>IFERROR(VLOOKUP(I1486, Map!$A$1:$B$33, 2, FALSE),"WAS")</f>
        <v>JAX</v>
      </c>
      <c r="I1486" t="s">
        <v>139</v>
      </c>
      <c r="J1486" t="s">
        <v>209</v>
      </c>
      <c r="K1486" t="s">
        <v>220</v>
      </c>
      <c r="L1486">
        <v>0</v>
      </c>
      <c r="M1486">
        <v>0</v>
      </c>
      <c r="N1486">
        <v>41.071428571428598</v>
      </c>
      <c r="O1486">
        <v>1.46428571428571</v>
      </c>
      <c r="P1486">
        <v>1</v>
      </c>
      <c r="Q1486">
        <v>0</v>
      </c>
      <c r="R1486">
        <v>14</v>
      </c>
      <c r="S1486">
        <v>16.2</v>
      </c>
      <c r="T1486">
        <v>12.3</v>
      </c>
      <c r="U1486">
        <v>11.4</v>
      </c>
      <c r="V1486">
        <v>2.7</v>
      </c>
      <c r="W1486">
        <v>0</v>
      </c>
      <c r="X1486">
        <v>5</v>
      </c>
      <c r="Y1486">
        <v>2.7</v>
      </c>
      <c r="Z1486">
        <v>29.7</v>
      </c>
      <c r="AA1486">
        <v>51.1</v>
      </c>
      <c r="AB1486">
        <v>356</v>
      </c>
      <c r="AC1486">
        <v>73</v>
      </c>
      <c r="AD1486">
        <v>29.5</v>
      </c>
      <c r="AE1486">
        <v>17.2</v>
      </c>
      <c r="AF1486">
        <v>42.543999999999997</v>
      </c>
      <c r="AG1486">
        <v>54.326000000000001</v>
      </c>
      <c r="AH1486">
        <v>57.113999999999997</v>
      </c>
      <c r="AI1486">
        <v>38.134999999999998</v>
      </c>
      <c r="AJ1486">
        <v>61.46</v>
      </c>
      <c r="AK1486">
        <v>39.784999999999997</v>
      </c>
      <c r="AL1486">
        <v>-2.444</v>
      </c>
      <c r="AM1486">
        <v>57.113999999999997</v>
      </c>
      <c r="AN1486">
        <v>54.326000000000001</v>
      </c>
      <c r="AO1486">
        <v>42.543999999999997</v>
      </c>
      <c r="AP1486">
        <v>2.444</v>
      </c>
      <c r="AQ1486">
        <v>38.54</v>
      </c>
      <c r="AR1486">
        <v>61.865000000000002</v>
      </c>
      <c r="AS1486">
        <v>60.215000000000003</v>
      </c>
    </row>
    <row r="1487" spans="1:45" x14ac:dyDescent="0.25">
      <c r="A1487">
        <v>26</v>
      </c>
      <c r="B1487">
        <v>-6</v>
      </c>
      <c r="C1487">
        <v>0</v>
      </c>
      <c r="D1487">
        <v>2023</v>
      </c>
      <c r="E1487">
        <v>12</v>
      </c>
      <c r="F1487" t="str">
        <f>IFERROR(VLOOKUP(G1487, Map!$A$1:$B$33, 2, FALSE),"WAS")</f>
        <v>CIN</v>
      </c>
      <c r="G1487" t="s">
        <v>161</v>
      </c>
      <c r="H1487" t="str">
        <f>IFERROR(VLOOKUP(I1487, Map!$A$1:$B$33, 2, FALSE),"WAS")</f>
        <v>PIT</v>
      </c>
      <c r="I1487" t="s">
        <v>145</v>
      </c>
      <c r="J1487" t="s">
        <v>176</v>
      </c>
      <c r="K1487" t="s">
        <v>170</v>
      </c>
      <c r="L1487">
        <v>0</v>
      </c>
      <c r="M1487">
        <v>0</v>
      </c>
      <c r="N1487">
        <v>29.8928571428571</v>
      </c>
      <c r="O1487">
        <v>1.6428571428571399</v>
      </c>
      <c r="P1487">
        <v>1.5</v>
      </c>
      <c r="Q1487">
        <v>0</v>
      </c>
      <c r="R1487">
        <v>4.7</v>
      </c>
      <c r="S1487">
        <v>8.4</v>
      </c>
      <c r="T1487">
        <v>1.7</v>
      </c>
      <c r="U1487">
        <v>1.3</v>
      </c>
      <c r="V1487">
        <v>3.3</v>
      </c>
      <c r="W1487">
        <v>0</v>
      </c>
      <c r="X1487">
        <v>7</v>
      </c>
      <c r="Y1487">
        <v>3.3</v>
      </c>
      <c r="Z1487">
        <v>18.2</v>
      </c>
      <c r="AA1487">
        <v>38.9</v>
      </c>
      <c r="AB1487">
        <v>190</v>
      </c>
      <c r="AC1487">
        <v>84</v>
      </c>
      <c r="AD1487">
        <v>22.4</v>
      </c>
      <c r="AE1487">
        <v>11.7</v>
      </c>
      <c r="AF1487">
        <v>48.131999999999998</v>
      </c>
      <c r="AG1487">
        <v>48.716000000000001</v>
      </c>
      <c r="AH1487">
        <v>51.481999999999999</v>
      </c>
      <c r="AI1487">
        <v>48.948999999999998</v>
      </c>
      <c r="AJ1487">
        <v>16.600999999999999</v>
      </c>
      <c r="AK1487">
        <v>29.015000000000001</v>
      </c>
      <c r="AL1487">
        <v>-0.55900000000000005</v>
      </c>
      <c r="AM1487">
        <v>51.481999999999999</v>
      </c>
      <c r="AN1487">
        <v>48.716000000000001</v>
      </c>
      <c r="AO1487">
        <v>48.131999999999998</v>
      </c>
      <c r="AP1487">
        <v>0.55900000000000005</v>
      </c>
      <c r="AQ1487">
        <v>83.399000000000001</v>
      </c>
      <c r="AR1487">
        <v>51.051000000000002</v>
      </c>
      <c r="AS1487">
        <v>70.984999999999999</v>
      </c>
    </row>
    <row r="1488" spans="1:45" x14ac:dyDescent="0.25">
      <c r="A1488">
        <v>71</v>
      </c>
      <c r="B1488">
        <v>3</v>
      </c>
      <c r="C1488">
        <v>1</v>
      </c>
      <c r="D1488">
        <v>2023</v>
      </c>
      <c r="E1488">
        <v>12</v>
      </c>
      <c r="F1488" t="str">
        <f>IFERROR(VLOOKUP(G1488, Map!$A$1:$B$33, 2, FALSE),"WAS")</f>
        <v>PHI</v>
      </c>
      <c r="G1488" t="s">
        <v>147</v>
      </c>
      <c r="H1488" t="str">
        <f>IFERROR(VLOOKUP(I1488, Map!$A$1:$B$33, 2, FALSE),"WAS")</f>
        <v>BUF</v>
      </c>
      <c r="I1488" t="s">
        <v>165</v>
      </c>
      <c r="J1488" t="s">
        <v>206</v>
      </c>
      <c r="K1488" t="s">
        <v>180</v>
      </c>
      <c r="L1488">
        <v>1</v>
      </c>
      <c r="M1488">
        <v>0</v>
      </c>
      <c r="N1488">
        <v>41.423076923076898</v>
      </c>
      <c r="O1488">
        <v>-1.92307692307692</v>
      </c>
      <c r="P1488">
        <v>-2</v>
      </c>
      <c r="Q1488">
        <v>0</v>
      </c>
      <c r="R1488">
        <v>3.2</v>
      </c>
      <c r="S1488">
        <v>9.1</v>
      </c>
      <c r="T1488">
        <v>-1.4</v>
      </c>
      <c r="U1488">
        <v>0</v>
      </c>
      <c r="V1488">
        <v>2.2000000000000002</v>
      </c>
      <c r="W1488">
        <v>0</v>
      </c>
      <c r="X1488">
        <v>5</v>
      </c>
      <c r="Y1488">
        <v>2.2000000000000002</v>
      </c>
      <c r="Z1488">
        <v>11.9</v>
      </c>
      <c r="AA1488">
        <v>21.2</v>
      </c>
      <c r="AB1488">
        <v>72</v>
      </c>
      <c r="AC1488">
        <v>78</v>
      </c>
      <c r="AD1488">
        <v>13.5</v>
      </c>
      <c r="AE1488">
        <v>7.7</v>
      </c>
      <c r="AF1488">
        <v>45.581000000000003</v>
      </c>
      <c r="AG1488">
        <v>87.853999999999999</v>
      </c>
      <c r="AH1488">
        <v>54.052999999999997</v>
      </c>
      <c r="AI1488">
        <v>32.232999999999997</v>
      </c>
      <c r="AJ1488">
        <v>64.823999999999998</v>
      </c>
      <c r="AK1488">
        <v>53.093000000000004</v>
      </c>
      <c r="AL1488">
        <v>-1.4159999999999999</v>
      </c>
      <c r="AM1488">
        <v>54.052999999999997</v>
      </c>
      <c r="AN1488">
        <v>87.853999999999999</v>
      </c>
      <c r="AO1488">
        <v>45.581000000000003</v>
      </c>
      <c r="AP1488">
        <v>1.4159999999999999</v>
      </c>
      <c r="AQ1488">
        <v>35.176000000000002</v>
      </c>
      <c r="AR1488">
        <v>67.766999999999996</v>
      </c>
      <c r="AS1488">
        <v>46.906999999999996</v>
      </c>
    </row>
    <row r="1489" spans="1:45" x14ac:dyDescent="0.25">
      <c r="A1489">
        <v>27</v>
      </c>
      <c r="B1489">
        <v>7</v>
      </c>
      <c r="C1489">
        <v>1</v>
      </c>
      <c r="D1489">
        <v>2023</v>
      </c>
      <c r="E1489">
        <v>12</v>
      </c>
      <c r="F1489" t="str">
        <f>IFERROR(VLOOKUP(G1489, Map!$A$1:$B$33, 2, FALSE),"WAS")</f>
        <v>TEN</v>
      </c>
      <c r="G1489" t="s">
        <v>140</v>
      </c>
      <c r="H1489" t="str">
        <f>IFERROR(VLOOKUP(I1489, Map!$A$1:$B$33, 2, FALSE),"WAS")</f>
        <v>CAR</v>
      </c>
      <c r="I1489" t="s">
        <v>142</v>
      </c>
      <c r="J1489" t="s">
        <v>174</v>
      </c>
      <c r="K1489" t="s">
        <v>185</v>
      </c>
      <c r="L1489">
        <v>1</v>
      </c>
      <c r="M1489">
        <v>0</v>
      </c>
      <c r="N1489">
        <v>30.3571428571429</v>
      </c>
      <c r="O1489">
        <v>-3.3214285714285698</v>
      </c>
      <c r="P1489">
        <v>-1</v>
      </c>
      <c r="Q1489">
        <v>0</v>
      </c>
      <c r="R1489">
        <v>8.6</v>
      </c>
      <c r="S1489">
        <v>11.7</v>
      </c>
      <c r="T1489">
        <v>5.2</v>
      </c>
      <c r="U1489">
        <v>5.9</v>
      </c>
      <c r="V1489">
        <v>1</v>
      </c>
      <c r="W1489">
        <v>0</v>
      </c>
      <c r="X1489">
        <v>5</v>
      </c>
      <c r="Y1489">
        <v>1</v>
      </c>
      <c r="Z1489">
        <v>21.9</v>
      </c>
      <c r="AA1489">
        <v>38.200000000000003</v>
      </c>
      <c r="AB1489">
        <v>198</v>
      </c>
      <c r="AC1489">
        <v>85</v>
      </c>
      <c r="AD1489">
        <v>22.1</v>
      </c>
      <c r="AE1489">
        <v>12.6</v>
      </c>
      <c r="AF1489">
        <v>61.3</v>
      </c>
      <c r="AG1489">
        <v>15.965999999999999</v>
      </c>
      <c r="AH1489">
        <v>38.392000000000003</v>
      </c>
      <c r="AI1489">
        <v>73.531000000000006</v>
      </c>
      <c r="AJ1489">
        <v>51.564</v>
      </c>
      <c r="AK1489">
        <v>71.194999999999993</v>
      </c>
      <c r="AL1489">
        <v>3.875</v>
      </c>
      <c r="AM1489">
        <v>38.392000000000003</v>
      </c>
      <c r="AN1489">
        <v>15.965999999999999</v>
      </c>
      <c r="AO1489">
        <v>61.3</v>
      </c>
      <c r="AP1489">
        <v>-3.875</v>
      </c>
      <c r="AQ1489">
        <v>48.436</v>
      </c>
      <c r="AR1489">
        <v>26.469000000000001</v>
      </c>
      <c r="AS1489">
        <v>28.805</v>
      </c>
    </row>
    <row r="1490" spans="1:45" x14ac:dyDescent="0.25">
      <c r="A1490">
        <v>51</v>
      </c>
      <c r="B1490">
        <v>-23</v>
      </c>
      <c r="C1490">
        <v>0</v>
      </c>
      <c r="D1490">
        <v>2023</v>
      </c>
      <c r="E1490">
        <v>12</v>
      </c>
      <c r="F1490" t="str">
        <f>IFERROR(VLOOKUP(G1490, Map!$A$1:$B$33, 2, FALSE),"WAS")</f>
        <v>ARI</v>
      </c>
      <c r="G1490" t="s">
        <v>156</v>
      </c>
      <c r="H1490" t="str">
        <f>IFERROR(VLOOKUP(I1490, Map!$A$1:$B$33, 2, FALSE),"WAS")</f>
        <v>LA</v>
      </c>
      <c r="I1490" t="s">
        <v>155</v>
      </c>
      <c r="J1490" t="s">
        <v>190</v>
      </c>
      <c r="K1490" t="s">
        <v>178</v>
      </c>
      <c r="L1490">
        <v>0</v>
      </c>
      <c r="M1490">
        <v>0</v>
      </c>
      <c r="N1490">
        <v>39.107142857142897</v>
      </c>
      <c r="O1490">
        <v>4.0714285714285703</v>
      </c>
      <c r="P1490">
        <v>1.5</v>
      </c>
      <c r="Q1490">
        <v>0</v>
      </c>
      <c r="R1490">
        <v>12.1</v>
      </c>
      <c r="S1490">
        <v>19.899999999999999</v>
      </c>
      <c r="T1490">
        <v>5.5</v>
      </c>
      <c r="U1490">
        <v>8.6</v>
      </c>
      <c r="V1490">
        <v>0</v>
      </c>
      <c r="W1490">
        <v>0</v>
      </c>
      <c r="X1490">
        <v>0</v>
      </c>
      <c r="Y1490">
        <v>0</v>
      </c>
      <c r="Z1490">
        <v>10.6</v>
      </c>
      <c r="AA1490">
        <v>22</v>
      </c>
      <c r="AB1490">
        <v>359</v>
      </c>
      <c r="AC1490">
        <v>34</v>
      </c>
      <c r="AD1490">
        <v>16.2</v>
      </c>
      <c r="AE1490">
        <v>6.4</v>
      </c>
      <c r="AF1490">
        <v>33.594999999999999</v>
      </c>
      <c r="AG1490">
        <v>46.860999999999997</v>
      </c>
      <c r="AH1490">
        <v>66.135000000000005</v>
      </c>
      <c r="AI1490">
        <v>6.4790000000000001</v>
      </c>
      <c r="AJ1490">
        <v>27.989000000000001</v>
      </c>
      <c r="AK1490">
        <v>8.4139999999999997</v>
      </c>
      <c r="AL1490">
        <v>-5.5869999999999997</v>
      </c>
      <c r="AM1490">
        <v>66.135000000000005</v>
      </c>
      <c r="AN1490">
        <v>46.860999999999997</v>
      </c>
      <c r="AO1490">
        <v>33.594999999999999</v>
      </c>
      <c r="AP1490">
        <v>5.5869999999999997</v>
      </c>
      <c r="AQ1490">
        <v>72.010999999999996</v>
      </c>
      <c r="AR1490">
        <v>93.521000000000001</v>
      </c>
      <c r="AS1490">
        <v>91.585999999999999</v>
      </c>
    </row>
    <row r="1491" spans="1:45" x14ac:dyDescent="0.25">
      <c r="A1491">
        <v>55</v>
      </c>
      <c r="B1491">
        <v>35</v>
      </c>
      <c r="C1491">
        <v>1</v>
      </c>
      <c r="D1491">
        <v>2023</v>
      </c>
      <c r="E1491">
        <v>12</v>
      </c>
      <c r="F1491" t="str">
        <f>IFERROR(VLOOKUP(G1491, Map!$A$1:$B$33, 2, FALSE),"WAS")</f>
        <v>DAL</v>
      </c>
      <c r="G1491" t="s">
        <v>150</v>
      </c>
      <c r="H1491" t="str">
        <f>IFERROR(VLOOKUP(I1491, Map!$A$1:$B$33, 2, FALSE),"WAS")</f>
        <v>WAS</v>
      </c>
      <c r="I1491" t="s">
        <v>148</v>
      </c>
      <c r="J1491" t="s">
        <v>184</v>
      </c>
      <c r="K1491" t="s">
        <v>205</v>
      </c>
      <c r="L1491">
        <v>1</v>
      </c>
      <c r="M1491">
        <v>0</v>
      </c>
      <c r="N1491">
        <v>43.961538461538503</v>
      </c>
      <c r="O1491">
        <v>-12.5</v>
      </c>
      <c r="P1491">
        <v>-7</v>
      </c>
      <c r="Q1491">
        <v>0</v>
      </c>
      <c r="R1491">
        <v>9.8000000000000007</v>
      </c>
      <c r="S1491">
        <v>16.399999999999999</v>
      </c>
      <c r="T1491">
        <v>5.7</v>
      </c>
      <c r="U1491">
        <v>6.4</v>
      </c>
      <c r="V1491">
        <v>0</v>
      </c>
      <c r="W1491">
        <v>0</v>
      </c>
      <c r="X1491">
        <v>0</v>
      </c>
      <c r="Y1491">
        <v>0</v>
      </c>
      <c r="Z1491">
        <v>18.5</v>
      </c>
      <c r="AA1491">
        <v>31</v>
      </c>
      <c r="AB1491">
        <v>174</v>
      </c>
      <c r="AC1491">
        <v>59</v>
      </c>
      <c r="AD1491">
        <v>18.399999999999999</v>
      </c>
      <c r="AE1491">
        <v>11</v>
      </c>
      <c r="AF1491">
        <v>85.14</v>
      </c>
      <c r="AG1491">
        <v>50.26</v>
      </c>
      <c r="AH1491">
        <v>14.742000000000001</v>
      </c>
      <c r="AI1491">
        <v>66.989000000000004</v>
      </c>
      <c r="AJ1491">
        <v>95.372</v>
      </c>
      <c r="AK1491">
        <v>90.263999999999996</v>
      </c>
      <c r="AL1491">
        <v>13.907</v>
      </c>
      <c r="AM1491">
        <v>14.742000000000001</v>
      </c>
      <c r="AN1491">
        <v>50.26</v>
      </c>
      <c r="AO1491">
        <v>85.14</v>
      </c>
      <c r="AP1491">
        <v>-13.907</v>
      </c>
      <c r="AQ1491">
        <v>4.6280000000000001</v>
      </c>
      <c r="AR1491">
        <v>33.011000000000003</v>
      </c>
      <c r="AS1491">
        <v>9.7360000000000007</v>
      </c>
    </row>
    <row r="1492" spans="1:45" x14ac:dyDescent="0.25">
      <c r="A1492">
        <v>44</v>
      </c>
      <c r="B1492">
        <v>-18</v>
      </c>
      <c r="C1492">
        <v>0</v>
      </c>
      <c r="D1492">
        <v>2023</v>
      </c>
      <c r="E1492">
        <v>12</v>
      </c>
      <c r="F1492" t="str">
        <f>IFERROR(VLOOKUP(G1492, Map!$A$1:$B$33, 2, FALSE),"WAS")</f>
        <v>SEA</v>
      </c>
      <c r="G1492" t="s">
        <v>144</v>
      </c>
      <c r="H1492" t="str">
        <f>IFERROR(VLOOKUP(I1492, Map!$A$1:$B$33, 2, FALSE),"WAS")</f>
        <v>SF</v>
      </c>
      <c r="I1492" t="s">
        <v>143</v>
      </c>
      <c r="J1492" t="s">
        <v>182</v>
      </c>
      <c r="K1492" t="s">
        <v>197</v>
      </c>
      <c r="L1492">
        <v>0</v>
      </c>
      <c r="M1492">
        <v>0</v>
      </c>
      <c r="N1492">
        <v>37.071428571428598</v>
      </c>
      <c r="O1492">
        <v>6.8571428571428603</v>
      </c>
      <c r="P1492">
        <v>1</v>
      </c>
      <c r="Q1492">
        <v>0</v>
      </c>
      <c r="R1492">
        <v>4.8</v>
      </c>
      <c r="S1492">
        <v>7.2</v>
      </c>
      <c r="T1492">
        <v>1.6</v>
      </c>
      <c r="U1492">
        <v>1.3</v>
      </c>
      <c r="V1492">
        <v>0</v>
      </c>
      <c r="W1492">
        <v>0</v>
      </c>
      <c r="X1492">
        <v>0</v>
      </c>
      <c r="Y1492">
        <v>0</v>
      </c>
      <c r="Z1492">
        <v>20.100000000000001</v>
      </c>
      <c r="AA1492">
        <v>36.700000000000003</v>
      </c>
      <c r="AB1492">
        <v>17</v>
      </c>
      <c r="AC1492">
        <v>83</v>
      </c>
      <c r="AD1492">
        <v>22.9</v>
      </c>
      <c r="AE1492">
        <v>12.3</v>
      </c>
      <c r="AF1492">
        <v>26.512</v>
      </c>
      <c r="AG1492">
        <v>86.849000000000004</v>
      </c>
      <c r="AH1492">
        <v>73.275000000000006</v>
      </c>
      <c r="AI1492">
        <v>35.076999999999998</v>
      </c>
      <c r="AJ1492">
        <v>6.1159999999999997</v>
      </c>
      <c r="AK1492">
        <v>10.884</v>
      </c>
      <c r="AL1492">
        <v>-8.31</v>
      </c>
      <c r="AM1492">
        <v>73.275000000000006</v>
      </c>
      <c r="AN1492">
        <v>86.849000000000004</v>
      </c>
      <c r="AO1492">
        <v>26.512</v>
      </c>
      <c r="AP1492">
        <v>8.31</v>
      </c>
      <c r="AQ1492">
        <v>93.884</v>
      </c>
      <c r="AR1492">
        <v>64.923000000000002</v>
      </c>
      <c r="AS1492">
        <v>89.116</v>
      </c>
    </row>
    <row r="1493" spans="1:45" x14ac:dyDescent="0.25">
      <c r="A1493">
        <v>41</v>
      </c>
      <c r="B1493">
        <v>17</v>
      </c>
      <c r="C1493">
        <v>1</v>
      </c>
      <c r="D1493">
        <v>2023</v>
      </c>
      <c r="E1493">
        <v>12</v>
      </c>
      <c r="F1493" t="str">
        <f>IFERROR(VLOOKUP(G1493, Map!$A$1:$B$33, 2, FALSE),"WAS")</f>
        <v>DEN</v>
      </c>
      <c r="G1493" t="s">
        <v>159</v>
      </c>
      <c r="H1493" t="str">
        <f>IFERROR(VLOOKUP(I1493, Map!$A$1:$B$33, 2, FALSE),"WAS")</f>
        <v>CLE</v>
      </c>
      <c r="I1493" t="s">
        <v>162</v>
      </c>
      <c r="J1493" t="s">
        <v>183</v>
      </c>
      <c r="K1493" t="s">
        <v>171</v>
      </c>
      <c r="L1493">
        <v>1</v>
      </c>
      <c r="M1493">
        <v>0</v>
      </c>
      <c r="N1493">
        <v>32.214285714285701</v>
      </c>
      <c r="O1493">
        <v>-2.71428571428571</v>
      </c>
      <c r="P1493">
        <v>-1.5</v>
      </c>
      <c r="Q1493">
        <v>0</v>
      </c>
      <c r="R1493">
        <v>-4.4000000000000004</v>
      </c>
      <c r="S1493">
        <v>3.5</v>
      </c>
      <c r="T1493">
        <v>-8.5</v>
      </c>
      <c r="U1493">
        <v>-8.6999999999999993</v>
      </c>
      <c r="V1493">
        <v>0</v>
      </c>
      <c r="W1493">
        <v>0</v>
      </c>
      <c r="X1493">
        <v>0</v>
      </c>
      <c r="Y1493">
        <v>0</v>
      </c>
      <c r="Z1493">
        <v>7.3</v>
      </c>
      <c r="AA1493">
        <v>18.7</v>
      </c>
      <c r="AB1493">
        <v>187</v>
      </c>
      <c r="AC1493">
        <v>53</v>
      </c>
      <c r="AD1493">
        <v>11.1</v>
      </c>
      <c r="AE1493">
        <v>5.5</v>
      </c>
      <c r="AF1493">
        <v>46.936</v>
      </c>
      <c r="AG1493">
        <v>40.783000000000001</v>
      </c>
      <c r="AH1493">
        <v>52.686999999999998</v>
      </c>
      <c r="AI1493">
        <v>84.212999999999994</v>
      </c>
      <c r="AJ1493">
        <v>65.378</v>
      </c>
      <c r="AK1493">
        <v>79.094999999999999</v>
      </c>
      <c r="AL1493">
        <v>-0.96</v>
      </c>
      <c r="AM1493">
        <v>52.686999999999998</v>
      </c>
      <c r="AN1493">
        <v>40.783000000000001</v>
      </c>
      <c r="AO1493">
        <v>46.936</v>
      </c>
      <c r="AP1493">
        <v>0.96</v>
      </c>
      <c r="AQ1493">
        <v>34.622</v>
      </c>
      <c r="AR1493">
        <v>15.787000000000001</v>
      </c>
      <c r="AS1493">
        <v>20.905000000000001</v>
      </c>
    </row>
    <row r="1494" spans="1:45" x14ac:dyDescent="0.25">
      <c r="A1494">
        <v>60</v>
      </c>
      <c r="B1494">
        <v>-30</v>
      </c>
      <c r="C1494">
        <v>0</v>
      </c>
      <c r="D1494">
        <v>2023</v>
      </c>
      <c r="E1494">
        <v>13</v>
      </c>
      <c r="F1494" t="str">
        <f>IFERROR(VLOOKUP(G1494, Map!$A$1:$B$33, 2, FALSE),"WAS")</f>
        <v>WAS</v>
      </c>
      <c r="G1494" t="s">
        <v>148</v>
      </c>
      <c r="H1494" t="str">
        <f>IFERROR(VLOOKUP(I1494, Map!$A$1:$B$33, 2, FALSE),"WAS")</f>
        <v>MIA</v>
      </c>
      <c r="I1494" t="s">
        <v>152</v>
      </c>
      <c r="J1494" t="s">
        <v>205</v>
      </c>
      <c r="K1494" t="s">
        <v>175</v>
      </c>
      <c r="L1494">
        <v>0</v>
      </c>
      <c r="M1494">
        <v>0</v>
      </c>
      <c r="N1494">
        <v>46.653846153846203</v>
      </c>
      <c r="O1494">
        <v>9.9230769230769198</v>
      </c>
      <c r="P1494">
        <v>3</v>
      </c>
      <c r="Q1494">
        <v>0</v>
      </c>
      <c r="R1494">
        <v>12.1</v>
      </c>
      <c r="S1494">
        <v>16.100000000000001</v>
      </c>
      <c r="T1494">
        <v>9.3000000000000007</v>
      </c>
      <c r="U1494">
        <v>11.4</v>
      </c>
      <c r="V1494">
        <v>17.399999999999999</v>
      </c>
      <c r="W1494">
        <v>0</v>
      </c>
      <c r="X1494">
        <v>13</v>
      </c>
      <c r="Y1494">
        <v>17.399999999999999</v>
      </c>
      <c r="Z1494">
        <v>17.399999999999999</v>
      </c>
      <c r="AA1494">
        <v>36</v>
      </c>
      <c r="AB1494">
        <v>102</v>
      </c>
      <c r="AC1494">
        <v>96</v>
      </c>
      <c r="AD1494">
        <v>16.7</v>
      </c>
      <c r="AE1494">
        <v>7.9</v>
      </c>
      <c r="AF1494">
        <v>19.488</v>
      </c>
      <c r="AG1494">
        <v>46.091000000000001</v>
      </c>
      <c r="AH1494">
        <v>80.355999999999995</v>
      </c>
      <c r="AI1494">
        <v>2.1160000000000001</v>
      </c>
      <c r="AJ1494">
        <v>9.5210000000000008</v>
      </c>
      <c r="AK1494">
        <v>0.94599999999999995</v>
      </c>
      <c r="AL1494">
        <v>-11.379</v>
      </c>
      <c r="AM1494">
        <v>80.355999999999995</v>
      </c>
      <c r="AN1494">
        <v>46.091000000000001</v>
      </c>
      <c r="AO1494">
        <v>19.488</v>
      </c>
      <c r="AP1494">
        <v>11.379</v>
      </c>
      <c r="AQ1494">
        <v>90.478999999999999</v>
      </c>
      <c r="AR1494">
        <v>97.884</v>
      </c>
      <c r="AS1494">
        <v>99.054000000000002</v>
      </c>
    </row>
    <row r="1495" spans="1:45" x14ac:dyDescent="0.25">
      <c r="A1495">
        <v>39</v>
      </c>
      <c r="B1495">
        <v>5</v>
      </c>
      <c r="C1495">
        <v>1</v>
      </c>
      <c r="D1495">
        <v>2023</v>
      </c>
      <c r="E1495">
        <v>13</v>
      </c>
      <c r="F1495" t="str">
        <f>IFERROR(VLOOKUP(G1495, Map!$A$1:$B$33, 2, FALSE),"WAS")</f>
        <v>HOU</v>
      </c>
      <c r="G1495" t="s">
        <v>137</v>
      </c>
      <c r="H1495" t="str">
        <f>IFERROR(VLOOKUP(I1495, Map!$A$1:$B$33, 2, FALSE),"WAS")</f>
        <v>DEN</v>
      </c>
      <c r="I1495" t="s">
        <v>159</v>
      </c>
      <c r="J1495" t="s">
        <v>209</v>
      </c>
      <c r="K1495" t="s">
        <v>183</v>
      </c>
      <c r="L1495">
        <v>1</v>
      </c>
      <c r="M1495">
        <v>0</v>
      </c>
      <c r="N1495">
        <v>39.821428571428598</v>
      </c>
      <c r="O1495">
        <v>-2.6071428571428599</v>
      </c>
      <c r="P1495">
        <v>-3</v>
      </c>
      <c r="Q1495">
        <v>0</v>
      </c>
      <c r="R1495">
        <v>15.2</v>
      </c>
      <c r="S1495">
        <v>21.3</v>
      </c>
      <c r="T1495">
        <v>9.1999999999999993</v>
      </c>
      <c r="U1495">
        <v>14</v>
      </c>
      <c r="V1495">
        <v>0</v>
      </c>
      <c r="W1495">
        <v>0</v>
      </c>
      <c r="X1495">
        <v>0</v>
      </c>
      <c r="Y1495">
        <v>0</v>
      </c>
      <c r="Z1495">
        <v>11.5</v>
      </c>
      <c r="AA1495">
        <v>19.399999999999999</v>
      </c>
      <c r="AB1495">
        <v>286</v>
      </c>
      <c r="AC1495">
        <v>72</v>
      </c>
      <c r="AD1495">
        <v>14.9</v>
      </c>
      <c r="AE1495">
        <v>8.3000000000000007</v>
      </c>
      <c r="AF1495">
        <v>54.454000000000001</v>
      </c>
      <c r="AG1495">
        <v>41.613</v>
      </c>
      <c r="AH1495">
        <v>45.183</v>
      </c>
      <c r="AI1495">
        <v>80.765000000000001</v>
      </c>
      <c r="AJ1495">
        <v>50.942999999999998</v>
      </c>
      <c r="AK1495">
        <v>66.727000000000004</v>
      </c>
      <c r="AL1495">
        <v>1.546</v>
      </c>
      <c r="AM1495">
        <v>45.183</v>
      </c>
      <c r="AN1495">
        <v>41.613</v>
      </c>
      <c r="AO1495">
        <v>54.454000000000001</v>
      </c>
      <c r="AP1495">
        <v>-1.546</v>
      </c>
      <c r="AQ1495">
        <v>49.057000000000002</v>
      </c>
      <c r="AR1495">
        <v>19.234999999999999</v>
      </c>
      <c r="AS1495">
        <v>33.273000000000003</v>
      </c>
    </row>
    <row r="1496" spans="1:45" x14ac:dyDescent="0.25">
      <c r="A1496">
        <v>34</v>
      </c>
      <c r="B1496">
        <v>-14</v>
      </c>
      <c r="C1496">
        <v>0</v>
      </c>
      <c r="D1496">
        <v>2023</v>
      </c>
      <c r="E1496">
        <v>13</v>
      </c>
      <c r="F1496" t="str">
        <f>IFERROR(VLOOKUP(G1496, Map!$A$1:$B$33, 2, FALSE),"WAS")</f>
        <v>PIT</v>
      </c>
      <c r="G1496" t="s">
        <v>145</v>
      </c>
      <c r="H1496" t="str">
        <f>IFERROR(VLOOKUP(I1496, Map!$A$1:$B$33, 2, FALSE),"WAS")</f>
        <v>ARI</v>
      </c>
      <c r="I1496" t="s">
        <v>156</v>
      </c>
      <c r="J1496" t="s">
        <v>170</v>
      </c>
      <c r="K1496" t="s">
        <v>190</v>
      </c>
      <c r="L1496">
        <v>0</v>
      </c>
      <c r="M1496">
        <v>0</v>
      </c>
      <c r="N1496">
        <v>34.6666666666667</v>
      </c>
      <c r="O1496">
        <v>-3.1</v>
      </c>
      <c r="P1496">
        <v>-5.5</v>
      </c>
      <c r="Q1496">
        <v>0</v>
      </c>
      <c r="R1496">
        <v>10.5</v>
      </c>
      <c r="S1496">
        <v>15.5</v>
      </c>
      <c r="T1496">
        <v>8.4</v>
      </c>
      <c r="U1496">
        <v>8.8000000000000007</v>
      </c>
      <c r="V1496">
        <v>22.6</v>
      </c>
      <c r="W1496">
        <v>0</v>
      </c>
      <c r="X1496">
        <v>14</v>
      </c>
      <c r="Y1496">
        <v>22.6</v>
      </c>
      <c r="Z1496">
        <v>20.8</v>
      </c>
      <c r="AA1496">
        <v>53.6</v>
      </c>
      <c r="AB1496">
        <v>235</v>
      </c>
      <c r="AC1496">
        <v>89</v>
      </c>
      <c r="AD1496">
        <v>21.6</v>
      </c>
      <c r="AE1496">
        <v>9.3000000000000007</v>
      </c>
      <c r="AF1496">
        <v>71.716999999999999</v>
      </c>
      <c r="AG1496">
        <v>39.170999999999999</v>
      </c>
      <c r="AH1496">
        <v>28.056999999999999</v>
      </c>
      <c r="AI1496">
        <v>47.81</v>
      </c>
      <c r="AJ1496">
        <v>17.574000000000002</v>
      </c>
      <c r="AK1496">
        <v>16.088000000000001</v>
      </c>
      <c r="AL1496">
        <v>7.67</v>
      </c>
      <c r="AM1496">
        <v>28.056999999999999</v>
      </c>
      <c r="AN1496">
        <v>39.170999999999999</v>
      </c>
      <c r="AO1496">
        <v>71.716999999999999</v>
      </c>
      <c r="AP1496">
        <v>-7.67</v>
      </c>
      <c r="AQ1496">
        <v>82.426000000000002</v>
      </c>
      <c r="AR1496">
        <v>52.19</v>
      </c>
      <c r="AS1496">
        <v>83.912000000000006</v>
      </c>
    </row>
    <row r="1497" spans="1:45" x14ac:dyDescent="0.25">
      <c r="A1497">
        <v>6</v>
      </c>
      <c r="B1497">
        <v>-6</v>
      </c>
      <c r="C1497">
        <v>0</v>
      </c>
      <c r="D1497">
        <v>2023</v>
      </c>
      <c r="E1497">
        <v>13</v>
      </c>
      <c r="F1497" t="str">
        <f>IFERROR(VLOOKUP(G1497, Map!$A$1:$B$33, 2, FALSE),"WAS")</f>
        <v>NE</v>
      </c>
      <c r="G1497" t="s">
        <v>151</v>
      </c>
      <c r="H1497" t="str">
        <f>IFERROR(VLOOKUP(I1497, Map!$A$1:$B$33, 2, FALSE),"WAS")</f>
        <v>LAC</v>
      </c>
      <c r="I1497" t="s">
        <v>160</v>
      </c>
      <c r="J1497" t="s">
        <v>187</v>
      </c>
      <c r="K1497" t="s">
        <v>210</v>
      </c>
      <c r="L1497">
        <v>0</v>
      </c>
      <c r="M1497">
        <v>0</v>
      </c>
      <c r="N1497">
        <v>31.535714285714299</v>
      </c>
      <c r="O1497">
        <v>4.1428571428571397</v>
      </c>
      <c r="P1497">
        <v>2</v>
      </c>
      <c r="Q1497">
        <v>0</v>
      </c>
      <c r="R1497">
        <v>5.7</v>
      </c>
      <c r="S1497">
        <v>7.3</v>
      </c>
      <c r="T1497">
        <v>4.4000000000000004</v>
      </c>
      <c r="U1497">
        <v>2.9</v>
      </c>
      <c r="V1497">
        <v>11.7</v>
      </c>
      <c r="W1497">
        <v>0</v>
      </c>
      <c r="X1497">
        <v>14</v>
      </c>
      <c r="Y1497">
        <v>11.7</v>
      </c>
      <c r="Z1497">
        <v>17.100000000000001</v>
      </c>
      <c r="AA1497">
        <v>36.700000000000003</v>
      </c>
      <c r="AB1497">
        <v>51</v>
      </c>
      <c r="AC1497">
        <v>98</v>
      </c>
      <c r="AD1497">
        <v>23.4</v>
      </c>
      <c r="AE1497">
        <v>11.4</v>
      </c>
      <c r="AF1497">
        <v>32.344999999999999</v>
      </c>
      <c r="AG1497">
        <v>37.197000000000003</v>
      </c>
      <c r="AH1497">
        <v>67.394999999999996</v>
      </c>
      <c r="AI1497">
        <v>80.14</v>
      </c>
      <c r="AJ1497">
        <v>10.57</v>
      </c>
      <c r="AK1497">
        <v>33.417000000000002</v>
      </c>
      <c r="AL1497">
        <v>-6.0330000000000004</v>
      </c>
      <c r="AM1497">
        <v>67.394999999999996</v>
      </c>
      <c r="AN1497">
        <v>37.197000000000003</v>
      </c>
      <c r="AO1497">
        <v>32.344999999999999</v>
      </c>
      <c r="AP1497">
        <v>6.0330000000000004</v>
      </c>
      <c r="AQ1497">
        <v>89.43</v>
      </c>
      <c r="AR1497">
        <v>19.86</v>
      </c>
      <c r="AS1497">
        <v>66.582999999999998</v>
      </c>
    </row>
    <row r="1498" spans="1:45" x14ac:dyDescent="0.25">
      <c r="A1498">
        <v>55</v>
      </c>
      <c r="B1498">
        <v>17</v>
      </c>
      <c r="C1498">
        <v>1</v>
      </c>
      <c r="D1498">
        <v>2023</v>
      </c>
      <c r="E1498">
        <v>13</v>
      </c>
      <c r="F1498" t="str">
        <f>IFERROR(VLOOKUP(G1498, Map!$A$1:$B$33, 2, FALSE),"WAS")</f>
        <v>LA</v>
      </c>
      <c r="G1498" t="s">
        <v>155</v>
      </c>
      <c r="H1498" t="str">
        <f>IFERROR(VLOOKUP(I1498, Map!$A$1:$B$33, 2, FALSE),"WAS")</f>
        <v>CLE</v>
      </c>
      <c r="I1498" t="s">
        <v>162</v>
      </c>
      <c r="J1498" t="s">
        <v>178</v>
      </c>
      <c r="K1498" t="s">
        <v>171</v>
      </c>
      <c r="L1498">
        <v>1</v>
      </c>
      <c r="M1498">
        <v>0</v>
      </c>
      <c r="N1498">
        <v>34.071428571428598</v>
      </c>
      <c r="O1498">
        <v>-3.21428571428571</v>
      </c>
      <c r="P1498">
        <v>1</v>
      </c>
      <c r="Q1498">
        <v>0</v>
      </c>
      <c r="R1498">
        <v>13.3</v>
      </c>
      <c r="S1498">
        <v>20.399999999999999</v>
      </c>
      <c r="T1498">
        <v>6.8</v>
      </c>
      <c r="U1498">
        <v>11.6</v>
      </c>
      <c r="V1498">
        <v>0</v>
      </c>
      <c r="W1498">
        <v>0</v>
      </c>
      <c r="X1498">
        <v>0</v>
      </c>
      <c r="Y1498">
        <v>0</v>
      </c>
      <c r="Z1498">
        <v>16.7</v>
      </c>
      <c r="AA1498">
        <v>28.4</v>
      </c>
      <c r="AB1498">
        <v>15</v>
      </c>
      <c r="AC1498">
        <v>69</v>
      </c>
      <c r="AD1498">
        <v>12</v>
      </c>
      <c r="AE1498">
        <v>6.6</v>
      </c>
      <c r="AF1498">
        <v>59.365000000000002</v>
      </c>
      <c r="AG1498">
        <v>55.631999999999998</v>
      </c>
      <c r="AH1498">
        <v>40.311</v>
      </c>
      <c r="AI1498">
        <v>65.486000000000004</v>
      </c>
      <c r="AJ1498">
        <v>76.064999999999998</v>
      </c>
      <c r="AK1498">
        <v>71.22</v>
      </c>
      <c r="AL1498">
        <v>3.2010000000000001</v>
      </c>
      <c r="AM1498">
        <v>40.311</v>
      </c>
      <c r="AN1498">
        <v>55.631999999999998</v>
      </c>
      <c r="AO1498">
        <v>59.365000000000002</v>
      </c>
      <c r="AP1498">
        <v>-3.2010000000000001</v>
      </c>
      <c r="AQ1498">
        <v>23.934999999999999</v>
      </c>
      <c r="AR1498">
        <v>34.514000000000003</v>
      </c>
      <c r="AS1498">
        <v>28.78</v>
      </c>
    </row>
    <row r="1499" spans="1:45" x14ac:dyDescent="0.25">
      <c r="A1499">
        <v>21</v>
      </c>
      <c r="B1499">
        <v>-5</v>
      </c>
      <c r="C1499">
        <v>0</v>
      </c>
      <c r="D1499">
        <v>2023</v>
      </c>
      <c r="E1499">
        <v>13</v>
      </c>
      <c r="F1499" t="str">
        <f>IFERROR(VLOOKUP(G1499, Map!$A$1:$B$33, 2, FALSE),"WAS")</f>
        <v>NYJ</v>
      </c>
      <c r="G1499" t="s">
        <v>166</v>
      </c>
      <c r="H1499" t="str">
        <f>IFERROR(VLOOKUP(I1499, Map!$A$1:$B$33, 2, FALSE),"WAS")</f>
        <v>ATL</v>
      </c>
      <c r="I1499" t="s">
        <v>167</v>
      </c>
      <c r="J1499" t="s">
        <v>172</v>
      </c>
      <c r="K1499" t="s">
        <v>188</v>
      </c>
      <c r="L1499">
        <v>0</v>
      </c>
      <c r="M1499">
        <v>0</v>
      </c>
      <c r="N1499">
        <v>27.8571428571429</v>
      </c>
      <c r="O1499">
        <v>1.5714285714285701</v>
      </c>
      <c r="P1499">
        <v>2</v>
      </c>
      <c r="Q1499">
        <v>0</v>
      </c>
      <c r="R1499">
        <v>8.1999999999999993</v>
      </c>
      <c r="S1499">
        <v>9.9</v>
      </c>
      <c r="T1499">
        <v>6.2</v>
      </c>
      <c r="U1499">
        <v>6.1</v>
      </c>
      <c r="V1499">
        <v>13.5</v>
      </c>
      <c r="W1499">
        <v>0</v>
      </c>
      <c r="X1499">
        <v>17</v>
      </c>
      <c r="Y1499">
        <v>13.5</v>
      </c>
      <c r="Z1499">
        <v>18.399999999999999</v>
      </c>
      <c r="AA1499">
        <v>33.1</v>
      </c>
      <c r="AB1499">
        <v>68</v>
      </c>
      <c r="AC1499">
        <v>97</v>
      </c>
      <c r="AD1499">
        <v>19.899999999999999</v>
      </c>
      <c r="AE1499">
        <v>10.6</v>
      </c>
      <c r="AF1499">
        <v>42.816000000000003</v>
      </c>
      <c r="AG1499">
        <v>15.685</v>
      </c>
      <c r="AH1499">
        <v>56.84</v>
      </c>
      <c r="AI1499">
        <v>86.19</v>
      </c>
      <c r="AJ1499">
        <v>6.1550000000000002</v>
      </c>
      <c r="AK1499">
        <v>37.835999999999999</v>
      </c>
      <c r="AL1499">
        <v>-2.3450000000000002</v>
      </c>
      <c r="AM1499">
        <v>56.84</v>
      </c>
      <c r="AN1499">
        <v>15.685</v>
      </c>
      <c r="AO1499">
        <v>42.816000000000003</v>
      </c>
      <c r="AP1499">
        <v>2.3450000000000002</v>
      </c>
      <c r="AQ1499">
        <v>93.844999999999999</v>
      </c>
      <c r="AR1499">
        <v>13.81</v>
      </c>
      <c r="AS1499">
        <v>62.164000000000001</v>
      </c>
    </row>
    <row r="1500" spans="1:45" x14ac:dyDescent="0.25">
      <c r="A1500">
        <v>65</v>
      </c>
      <c r="B1500">
        <v>-3</v>
      </c>
      <c r="C1500">
        <v>0</v>
      </c>
      <c r="D1500">
        <v>2023</v>
      </c>
      <c r="E1500">
        <v>13</v>
      </c>
      <c r="F1500" t="str">
        <f>IFERROR(VLOOKUP(G1500, Map!$A$1:$B$33, 2, FALSE),"WAS")</f>
        <v>JAX</v>
      </c>
      <c r="G1500" t="s">
        <v>139</v>
      </c>
      <c r="H1500" t="str">
        <f>IFERROR(VLOOKUP(I1500, Map!$A$1:$B$33, 2, FALSE),"WAS")</f>
        <v>CIN</v>
      </c>
      <c r="I1500" t="s">
        <v>161</v>
      </c>
      <c r="J1500" t="s">
        <v>220</v>
      </c>
      <c r="K1500" t="s">
        <v>176</v>
      </c>
      <c r="L1500">
        <v>0</v>
      </c>
      <c r="M1500">
        <v>0</v>
      </c>
      <c r="N1500">
        <v>36.642857142857103</v>
      </c>
      <c r="O1500">
        <v>-7.4285714285714297</v>
      </c>
      <c r="P1500">
        <v>1</v>
      </c>
      <c r="Q1500">
        <v>0</v>
      </c>
      <c r="R1500">
        <v>14.7</v>
      </c>
      <c r="S1500">
        <v>18.8</v>
      </c>
      <c r="T1500">
        <v>9.9</v>
      </c>
      <c r="U1500">
        <v>13.2</v>
      </c>
      <c r="V1500">
        <v>0</v>
      </c>
      <c r="W1500">
        <v>0</v>
      </c>
      <c r="X1500">
        <v>0</v>
      </c>
      <c r="Y1500">
        <v>0</v>
      </c>
      <c r="Z1500">
        <v>14.5</v>
      </c>
      <c r="AA1500">
        <v>27.4</v>
      </c>
      <c r="AB1500">
        <v>281</v>
      </c>
      <c r="AC1500">
        <v>71</v>
      </c>
      <c r="AD1500">
        <v>17.399999999999999</v>
      </c>
      <c r="AE1500">
        <v>9.1</v>
      </c>
      <c r="AF1500">
        <v>66.361999999999995</v>
      </c>
      <c r="AG1500">
        <v>56.136000000000003</v>
      </c>
      <c r="AH1500">
        <v>33.369999999999997</v>
      </c>
      <c r="AI1500">
        <v>28.693000000000001</v>
      </c>
      <c r="AJ1500">
        <v>71.593000000000004</v>
      </c>
      <c r="AK1500">
        <v>43.304000000000002</v>
      </c>
      <c r="AL1500">
        <v>5.6559999999999997</v>
      </c>
      <c r="AM1500">
        <v>33.369999999999997</v>
      </c>
      <c r="AN1500">
        <v>56.136000000000003</v>
      </c>
      <c r="AO1500">
        <v>66.361999999999995</v>
      </c>
      <c r="AP1500">
        <v>-5.6559999999999997</v>
      </c>
      <c r="AQ1500">
        <v>28.407</v>
      </c>
      <c r="AR1500">
        <v>71.307000000000002</v>
      </c>
      <c r="AS1500">
        <v>56.695999999999998</v>
      </c>
    </row>
    <row r="1501" spans="1:45" x14ac:dyDescent="0.25">
      <c r="A1501">
        <v>76</v>
      </c>
      <c r="B1501">
        <v>6</v>
      </c>
      <c r="C1501">
        <v>1</v>
      </c>
      <c r="D1501">
        <v>2023</v>
      </c>
      <c r="E1501">
        <v>13</v>
      </c>
      <c r="F1501" t="str">
        <f>IFERROR(VLOOKUP(G1501, Map!$A$1:$B$33, 2, FALSE),"WAS")</f>
        <v>DAL</v>
      </c>
      <c r="G1501" t="s">
        <v>150</v>
      </c>
      <c r="H1501" t="str">
        <f>IFERROR(VLOOKUP(I1501, Map!$A$1:$B$33, 2, FALSE),"WAS")</f>
        <v>SEA</v>
      </c>
      <c r="I1501" t="s">
        <v>144</v>
      </c>
      <c r="J1501" t="s">
        <v>184</v>
      </c>
      <c r="K1501" t="s">
        <v>182</v>
      </c>
      <c r="L1501">
        <v>1</v>
      </c>
      <c r="M1501">
        <v>0</v>
      </c>
      <c r="N1501">
        <v>42.714285714285701</v>
      </c>
      <c r="O1501">
        <v>-7.96428571428571</v>
      </c>
      <c r="P1501">
        <v>-3.5</v>
      </c>
      <c r="Q1501">
        <v>0</v>
      </c>
      <c r="R1501">
        <v>11.9</v>
      </c>
      <c r="S1501">
        <v>16.7</v>
      </c>
      <c r="T1501">
        <v>6.3</v>
      </c>
      <c r="U1501">
        <v>9.3000000000000007</v>
      </c>
      <c r="V1501">
        <v>0.3</v>
      </c>
      <c r="W1501">
        <v>0</v>
      </c>
      <c r="X1501">
        <v>1</v>
      </c>
      <c r="Y1501">
        <v>0.3</v>
      </c>
      <c r="Z1501">
        <v>18.7</v>
      </c>
      <c r="AA1501">
        <v>29.2</v>
      </c>
      <c r="AB1501">
        <v>290</v>
      </c>
      <c r="AC1501">
        <v>73</v>
      </c>
      <c r="AD1501">
        <v>23.9</v>
      </c>
      <c r="AE1501">
        <v>13.1</v>
      </c>
      <c r="AF1501">
        <v>79.471000000000004</v>
      </c>
      <c r="AG1501">
        <v>64.733999999999995</v>
      </c>
      <c r="AH1501">
        <v>20.366</v>
      </c>
      <c r="AI1501">
        <v>15.455</v>
      </c>
      <c r="AJ1501">
        <v>83.813999999999993</v>
      </c>
      <c r="AK1501">
        <v>62.752000000000002</v>
      </c>
      <c r="AL1501">
        <v>10.961</v>
      </c>
      <c r="AM1501">
        <v>20.366</v>
      </c>
      <c r="AN1501">
        <v>64.733999999999995</v>
      </c>
      <c r="AO1501">
        <v>79.471000000000004</v>
      </c>
      <c r="AP1501">
        <v>-10.961</v>
      </c>
      <c r="AQ1501">
        <v>16.186</v>
      </c>
      <c r="AR1501">
        <v>84.545000000000002</v>
      </c>
      <c r="AS1501">
        <v>37.247999999999998</v>
      </c>
    </row>
    <row r="1502" spans="1:45" x14ac:dyDescent="0.25">
      <c r="A1502">
        <v>39</v>
      </c>
      <c r="B1502">
        <v>3</v>
      </c>
      <c r="C1502">
        <v>1</v>
      </c>
      <c r="D1502">
        <v>2023</v>
      </c>
      <c r="E1502">
        <v>13</v>
      </c>
      <c r="F1502" t="str">
        <f>IFERROR(VLOOKUP(G1502, Map!$A$1:$B$33, 2, FALSE),"WAS")</f>
        <v>TB</v>
      </c>
      <c r="G1502" t="s">
        <v>141</v>
      </c>
      <c r="H1502" t="str">
        <f>IFERROR(VLOOKUP(I1502, Map!$A$1:$B$33, 2, FALSE),"WAS")</f>
        <v>CAR</v>
      </c>
      <c r="I1502" t="s">
        <v>142</v>
      </c>
      <c r="J1502" t="s">
        <v>186</v>
      </c>
      <c r="K1502" t="s">
        <v>185</v>
      </c>
      <c r="L1502">
        <v>1</v>
      </c>
      <c r="M1502">
        <v>0</v>
      </c>
      <c r="N1502">
        <v>32.071428571428598</v>
      </c>
      <c r="O1502">
        <v>-3.25</v>
      </c>
      <c r="P1502">
        <v>-1</v>
      </c>
      <c r="Q1502">
        <v>0</v>
      </c>
      <c r="R1502">
        <v>23.3</v>
      </c>
      <c r="S1502">
        <v>27.4</v>
      </c>
      <c r="T1502">
        <v>21.8</v>
      </c>
      <c r="U1502">
        <v>26.2</v>
      </c>
      <c r="V1502">
        <v>2.5</v>
      </c>
      <c r="W1502">
        <v>0</v>
      </c>
      <c r="X1502">
        <v>5</v>
      </c>
      <c r="Y1502">
        <v>2.5</v>
      </c>
      <c r="Z1502">
        <v>18.3</v>
      </c>
      <c r="AA1502">
        <v>36.4</v>
      </c>
      <c r="AB1502">
        <v>210</v>
      </c>
      <c r="AC1502">
        <v>91</v>
      </c>
      <c r="AD1502">
        <v>23.4</v>
      </c>
      <c r="AE1502">
        <v>12.6</v>
      </c>
      <c r="AF1502">
        <v>71.23</v>
      </c>
      <c r="AG1502">
        <v>35.743000000000002</v>
      </c>
      <c r="AH1502">
        <v>28.541</v>
      </c>
      <c r="AI1502">
        <v>76.936999999999998</v>
      </c>
      <c r="AJ1502">
        <v>42.73</v>
      </c>
      <c r="AK1502">
        <v>64.807000000000002</v>
      </c>
      <c r="AL1502">
        <v>7.48</v>
      </c>
      <c r="AM1502">
        <v>28.541</v>
      </c>
      <c r="AN1502">
        <v>35.743000000000002</v>
      </c>
      <c r="AO1502">
        <v>71.23</v>
      </c>
      <c r="AP1502">
        <v>-7.48</v>
      </c>
      <c r="AQ1502">
        <v>57.27</v>
      </c>
      <c r="AR1502">
        <v>23.062999999999999</v>
      </c>
      <c r="AS1502">
        <v>35.192999999999998</v>
      </c>
    </row>
    <row r="1503" spans="1:45" x14ac:dyDescent="0.25">
      <c r="A1503">
        <v>59</v>
      </c>
      <c r="B1503">
        <v>-3</v>
      </c>
      <c r="C1503">
        <v>0</v>
      </c>
      <c r="D1503">
        <v>2023</v>
      </c>
      <c r="E1503">
        <v>13</v>
      </c>
      <c r="F1503" t="str">
        <f>IFERROR(VLOOKUP(G1503, Map!$A$1:$B$33, 2, FALSE),"WAS")</f>
        <v>TEN</v>
      </c>
      <c r="G1503" t="s">
        <v>140</v>
      </c>
      <c r="H1503" t="str">
        <f>IFERROR(VLOOKUP(I1503, Map!$A$1:$B$33, 2, FALSE),"WAS")</f>
        <v>IND</v>
      </c>
      <c r="I1503" t="s">
        <v>138</v>
      </c>
      <c r="J1503" t="s">
        <v>174</v>
      </c>
      <c r="K1503" t="s">
        <v>177</v>
      </c>
      <c r="L1503">
        <v>0</v>
      </c>
      <c r="M1503">
        <v>0</v>
      </c>
      <c r="N1503">
        <v>37</v>
      </c>
      <c r="O1503">
        <v>0.96428571428571397</v>
      </c>
      <c r="P1503">
        <v>1</v>
      </c>
      <c r="Q1503">
        <v>0</v>
      </c>
      <c r="R1503">
        <v>11.9</v>
      </c>
      <c r="S1503">
        <v>15.5</v>
      </c>
      <c r="T1503">
        <v>8</v>
      </c>
      <c r="U1503">
        <v>10.4</v>
      </c>
      <c r="V1503">
        <v>1.3</v>
      </c>
      <c r="W1503">
        <v>0</v>
      </c>
      <c r="X1503">
        <v>3</v>
      </c>
      <c r="Y1503">
        <v>1.3</v>
      </c>
      <c r="Z1503">
        <v>19.600000000000001</v>
      </c>
      <c r="AA1503">
        <v>38.9</v>
      </c>
      <c r="AB1503">
        <v>271</v>
      </c>
      <c r="AC1503">
        <v>85</v>
      </c>
      <c r="AD1503">
        <v>19</v>
      </c>
      <c r="AE1503">
        <v>9.6999999999999993</v>
      </c>
      <c r="AF1503">
        <v>42.317</v>
      </c>
      <c r="AG1503">
        <v>23.631</v>
      </c>
      <c r="AH1503">
        <v>57.343000000000004</v>
      </c>
      <c r="AI1503">
        <v>57.134</v>
      </c>
      <c r="AJ1503">
        <v>55.802</v>
      </c>
      <c r="AK1503">
        <v>44.234999999999999</v>
      </c>
      <c r="AL1503">
        <v>-2.5150000000000001</v>
      </c>
      <c r="AM1503">
        <v>57.343000000000004</v>
      </c>
      <c r="AN1503">
        <v>23.631</v>
      </c>
      <c r="AO1503">
        <v>42.317</v>
      </c>
      <c r="AP1503">
        <v>2.5150000000000001</v>
      </c>
      <c r="AQ1503">
        <v>44.198</v>
      </c>
      <c r="AR1503">
        <v>42.866</v>
      </c>
      <c r="AS1503">
        <v>55.765000000000001</v>
      </c>
    </row>
    <row r="1504" spans="1:45" x14ac:dyDescent="0.25">
      <c r="A1504">
        <v>46</v>
      </c>
      <c r="B1504">
        <v>8</v>
      </c>
      <c r="C1504">
        <v>1</v>
      </c>
      <c r="D1504">
        <v>2023</v>
      </c>
      <c r="E1504">
        <v>13</v>
      </c>
      <c r="F1504" t="str">
        <f>IFERROR(VLOOKUP(G1504, Map!$A$1:$B$33, 2, FALSE),"WAS")</f>
        <v>GB</v>
      </c>
      <c r="G1504" t="s">
        <v>154</v>
      </c>
      <c r="H1504" t="str">
        <f>IFERROR(VLOOKUP(I1504, Map!$A$1:$B$33, 2, FALSE),"WAS")</f>
        <v>KC</v>
      </c>
      <c r="I1504" t="s">
        <v>158</v>
      </c>
      <c r="J1504" t="s">
        <v>200</v>
      </c>
      <c r="K1504" t="s">
        <v>202</v>
      </c>
      <c r="L1504">
        <v>1</v>
      </c>
      <c r="M1504">
        <v>0</v>
      </c>
      <c r="N1504">
        <v>38.035714285714299</v>
      </c>
      <c r="O1504">
        <v>4.4285714285714297</v>
      </c>
      <c r="P1504">
        <v>5</v>
      </c>
      <c r="Q1504">
        <v>0</v>
      </c>
      <c r="R1504">
        <v>-2.5</v>
      </c>
      <c r="S1504">
        <v>0.7</v>
      </c>
      <c r="T1504">
        <v>-5.4</v>
      </c>
      <c r="U1504">
        <v>-6.4</v>
      </c>
      <c r="V1504">
        <v>0.2</v>
      </c>
      <c r="W1504">
        <v>0.14000000000000001</v>
      </c>
      <c r="X1504">
        <v>1</v>
      </c>
      <c r="Y1504">
        <v>0</v>
      </c>
      <c r="Z1504">
        <v>11.5</v>
      </c>
      <c r="AA1504">
        <v>23</v>
      </c>
      <c r="AB1504">
        <v>300</v>
      </c>
      <c r="AC1504">
        <v>78</v>
      </c>
      <c r="AD1504">
        <v>13.5</v>
      </c>
      <c r="AE1504">
        <v>6.9</v>
      </c>
      <c r="AF1504">
        <v>28.14</v>
      </c>
      <c r="AG1504">
        <v>85.978999999999999</v>
      </c>
      <c r="AH1504">
        <v>71.634</v>
      </c>
      <c r="AI1504">
        <v>38.054000000000002</v>
      </c>
      <c r="AJ1504">
        <v>84.896000000000001</v>
      </c>
      <c r="AK1504">
        <v>67.356999999999999</v>
      </c>
      <c r="AL1504">
        <v>-7.6369999999999996</v>
      </c>
      <c r="AM1504">
        <v>71.634</v>
      </c>
      <c r="AN1504">
        <v>85.978999999999999</v>
      </c>
      <c r="AO1504">
        <v>28.14</v>
      </c>
      <c r="AP1504">
        <v>7.6369999999999996</v>
      </c>
      <c r="AQ1504">
        <v>15.103999999999999</v>
      </c>
      <c r="AR1504">
        <v>61.945999999999998</v>
      </c>
      <c r="AS1504">
        <v>32.643000000000001</v>
      </c>
    </row>
    <row r="1505" spans="1:45" x14ac:dyDescent="0.25">
      <c r="A1505">
        <v>61</v>
      </c>
      <c r="B1505">
        <v>-5</v>
      </c>
      <c r="C1505">
        <v>0</v>
      </c>
      <c r="D1505">
        <v>2023</v>
      </c>
      <c r="E1505">
        <v>13</v>
      </c>
      <c r="F1505" t="str">
        <f>IFERROR(VLOOKUP(G1505, Map!$A$1:$B$33, 2, FALSE),"WAS")</f>
        <v>NO</v>
      </c>
      <c r="G1505" t="s">
        <v>168</v>
      </c>
      <c r="H1505" t="str">
        <f>IFERROR(VLOOKUP(I1505, Map!$A$1:$B$33, 2, FALSE),"WAS")</f>
        <v>DET</v>
      </c>
      <c r="I1505" t="s">
        <v>164</v>
      </c>
      <c r="J1505" t="s">
        <v>192</v>
      </c>
      <c r="K1505" t="s">
        <v>173</v>
      </c>
      <c r="L1505">
        <v>0</v>
      </c>
      <c r="M1505">
        <v>0</v>
      </c>
      <c r="N1505">
        <v>41.678571428571402</v>
      </c>
      <c r="O1505">
        <v>3.5</v>
      </c>
      <c r="P1505">
        <v>2</v>
      </c>
      <c r="Q1505">
        <v>0</v>
      </c>
      <c r="R1505">
        <v>19.2</v>
      </c>
      <c r="S1505">
        <v>21</v>
      </c>
      <c r="T1505">
        <v>16.399999999999999</v>
      </c>
      <c r="U1505">
        <v>20.5</v>
      </c>
      <c r="V1505">
        <v>0.5</v>
      </c>
      <c r="W1505">
        <v>0</v>
      </c>
      <c r="X1505">
        <v>3</v>
      </c>
      <c r="Y1505">
        <v>0.5</v>
      </c>
      <c r="Z1505">
        <v>17.3</v>
      </c>
      <c r="AA1505">
        <v>30.2</v>
      </c>
      <c r="AB1505">
        <v>290</v>
      </c>
      <c r="AC1505">
        <v>91</v>
      </c>
      <c r="AD1505">
        <v>19.600000000000001</v>
      </c>
      <c r="AE1505">
        <v>10.3</v>
      </c>
      <c r="AF1505">
        <v>43.417000000000002</v>
      </c>
      <c r="AG1505">
        <v>72.146000000000001</v>
      </c>
      <c r="AH1505">
        <v>56.234000000000002</v>
      </c>
      <c r="AI1505">
        <v>28.754000000000001</v>
      </c>
      <c r="AJ1505">
        <v>36.887999999999998</v>
      </c>
      <c r="AK1505">
        <v>29.059000000000001</v>
      </c>
      <c r="AL1505">
        <v>-2.1419999999999999</v>
      </c>
      <c r="AM1505">
        <v>56.234000000000002</v>
      </c>
      <c r="AN1505">
        <v>72.146000000000001</v>
      </c>
      <c r="AO1505">
        <v>43.417000000000002</v>
      </c>
      <c r="AP1505">
        <v>2.1419999999999999</v>
      </c>
      <c r="AQ1505">
        <v>63.112000000000002</v>
      </c>
      <c r="AR1505">
        <v>71.245999999999995</v>
      </c>
      <c r="AS1505">
        <v>70.941000000000003</v>
      </c>
    </row>
    <row r="1506" spans="1:45" x14ac:dyDescent="0.25">
      <c r="A1506">
        <v>61</v>
      </c>
      <c r="B1506">
        <v>-23</v>
      </c>
      <c r="C1506">
        <v>0</v>
      </c>
      <c r="D1506">
        <v>2023</v>
      </c>
      <c r="E1506">
        <v>13</v>
      </c>
      <c r="F1506" t="str">
        <f>IFERROR(VLOOKUP(G1506, Map!$A$1:$B$33, 2, FALSE),"WAS")</f>
        <v>PHI</v>
      </c>
      <c r="G1506" t="s">
        <v>147</v>
      </c>
      <c r="H1506" t="str">
        <f>IFERROR(VLOOKUP(I1506, Map!$A$1:$B$33, 2, FALSE),"WAS")</f>
        <v>SF</v>
      </c>
      <c r="I1506" t="s">
        <v>143</v>
      </c>
      <c r="J1506" t="s">
        <v>206</v>
      </c>
      <c r="K1506" t="s">
        <v>197</v>
      </c>
      <c r="L1506">
        <v>0</v>
      </c>
      <c r="M1506">
        <v>0</v>
      </c>
      <c r="N1506">
        <v>43.928571428571402</v>
      </c>
      <c r="O1506">
        <v>3.6785714285714302</v>
      </c>
      <c r="P1506">
        <v>2.5</v>
      </c>
      <c r="Q1506">
        <v>45.5</v>
      </c>
      <c r="R1506">
        <v>10.199999999999999</v>
      </c>
      <c r="S1506">
        <v>11.5</v>
      </c>
      <c r="T1506">
        <v>9.1</v>
      </c>
      <c r="U1506">
        <v>8.8000000000000007</v>
      </c>
      <c r="V1506">
        <v>14.7</v>
      </c>
      <c r="W1506">
        <v>0</v>
      </c>
      <c r="X1506">
        <v>14</v>
      </c>
      <c r="Y1506">
        <v>14.7</v>
      </c>
      <c r="Z1506">
        <v>15.6</v>
      </c>
      <c r="AA1506">
        <v>28.8</v>
      </c>
      <c r="AB1506">
        <v>77</v>
      </c>
      <c r="AC1506">
        <v>96</v>
      </c>
      <c r="AD1506">
        <v>16.2</v>
      </c>
      <c r="AE1506">
        <v>9</v>
      </c>
      <c r="AF1506">
        <v>44.177999999999997</v>
      </c>
      <c r="AG1506">
        <v>90.911000000000001</v>
      </c>
      <c r="AH1506">
        <v>55.466999999999999</v>
      </c>
      <c r="AI1506">
        <v>2.423</v>
      </c>
      <c r="AJ1506">
        <v>50.280999999999999</v>
      </c>
      <c r="AK1506">
        <v>10.678000000000001</v>
      </c>
      <c r="AL1506">
        <v>-1.8839999999999999</v>
      </c>
      <c r="AM1506">
        <v>55.466999999999999</v>
      </c>
      <c r="AN1506">
        <v>90.911000000000001</v>
      </c>
      <c r="AO1506">
        <v>44.177999999999997</v>
      </c>
      <c r="AP1506">
        <v>1.8839999999999999</v>
      </c>
      <c r="AQ1506">
        <v>49.719000000000001</v>
      </c>
      <c r="AR1506">
        <v>97.576999999999998</v>
      </c>
      <c r="AS1506">
        <v>89.322000000000003</v>
      </c>
    </row>
    <row r="1507" spans="1:45" x14ac:dyDescent="0.25">
      <c r="A1507">
        <v>34</v>
      </c>
      <c r="B1507">
        <v>22</v>
      </c>
      <c r="C1507">
        <v>1</v>
      </c>
      <c r="D1507">
        <v>2023</v>
      </c>
      <c r="E1507">
        <v>14</v>
      </c>
      <c r="F1507" t="str">
        <f>IFERROR(VLOOKUP(G1507, Map!$A$1:$B$33, 2, FALSE),"WAS")</f>
        <v>NO</v>
      </c>
      <c r="G1507" t="s">
        <v>168</v>
      </c>
      <c r="H1507" t="str">
        <f>IFERROR(VLOOKUP(I1507, Map!$A$1:$B$33, 2, FALSE),"WAS")</f>
        <v>CAR</v>
      </c>
      <c r="I1507" t="s">
        <v>142</v>
      </c>
      <c r="J1507" t="s">
        <v>192</v>
      </c>
      <c r="K1507" t="s">
        <v>185</v>
      </c>
      <c r="L1507">
        <v>1</v>
      </c>
      <c r="M1507">
        <v>0</v>
      </c>
      <c r="N1507">
        <v>33.233333333333299</v>
      </c>
      <c r="O1507">
        <v>-6.5</v>
      </c>
      <c r="P1507">
        <v>-3.5</v>
      </c>
      <c r="Q1507">
        <v>0</v>
      </c>
      <c r="R1507">
        <v>16.2</v>
      </c>
      <c r="S1507">
        <v>21.1</v>
      </c>
      <c r="T1507">
        <v>12.3</v>
      </c>
      <c r="U1507">
        <v>14.1</v>
      </c>
      <c r="V1507">
        <v>1.1000000000000001</v>
      </c>
      <c r="W1507">
        <v>0</v>
      </c>
      <c r="X1507">
        <v>6</v>
      </c>
      <c r="Y1507">
        <v>1.1000000000000001</v>
      </c>
      <c r="Z1507">
        <v>33.5</v>
      </c>
      <c r="AA1507">
        <v>58.3</v>
      </c>
      <c r="AB1507">
        <v>320</v>
      </c>
      <c r="AC1507">
        <v>77</v>
      </c>
      <c r="AD1507">
        <v>35.9</v>
      </c>
      <c r="AE1507">
        <v>20.399999999999999</v>
      </c>
      <c r="AF1507">
        <v>74.144999999999996</v>
      </c>
      <c r="AG1507">
        <v>43.002000000000002</v>
      </c>
      <c r="AH1507">
        <v>25.649000000000001</v>
      </c>
      <c r="AI1507">
        <v>85.694999999999993</v>
      </c>
      <c r="AJ1507">
        <v>32.109000000000002</v>
      </c>
      <c r="AK1507">
        <v>83.373999999999995</v>
      </c>
      <c r="AL1507">
        <v>8.625</v>
      </c>
      <c r="AM1507">
        <v>25.649000000000001</v>
      </c>
      <c r="AN1507">
        <v>43.002000000000002</v>
      </c>
      <c r="AO1507">
        <v>74.144999999999996</v>
      </c>
      <c r="AP1507">
        <v>-8.625</v>
      </c>
      <c r="AQ1507">
        <v>67.891000000000005</v>
      </c>
      <c r="AR1507">
        <v>14.305</v>
      </c>
      <c r="AS1507">
        <v>16.626000000000001</v>
      </c>
    </row>
    <row r="1508" spans="1:45" x14ac:dyDescent="0.25">
      <c r="A1508">
        <v>48</v>
      </c>
      <c r="B1508">
        <v>20</v>
      </c>
      <c r="C1508">
        <v>1</v>
      </c>
      <c r="D1508">
        <v>2023</v>
      </c>
      <c r="E1508">
        <v>14</v>
      </c>
      <c r="F1508" t="str">
        <f>IFERROR(VLOOKUP(G1508, Map!$A$1:$B$33, 2, FALSE),"WAS")</f>
        <v>CIN</v>
      </c>
      <c r="G1508" t="s">
        <v>161</v>
      </c>
      <c r="H1508" t="str">
        <f>IFERROR(VLOOKUP(I1508, Map!$A$1:$B$33, 2, FALSE),"WAS")</f>
        <v>IND</v>
      </c>
      <c r="I1508" t="s">
        <v>138</v>
      </c>
      <c r="J1508" t="s">
        <v>176</v>
      </c>
      <c r="K1508" t="s">
        <v>177</v>
      </c>
      <c r="L1508">
        <v>1</v>
      </c>
      <c r="M1508">
        <v>0</v>
      </c>
      <c r="N1508">
        <v>37.615384615384599</v>
      </c>
      <c r="O1508">
        <v>-2.6923076923076898</v>
      </c>
      <c r="P1508">
        <v>-2.5</v>
      </c>
      <c r="Q1508">
        <v>0</v>
      </c>
      <c r="R1508">
        <v>5.6</v>
      </c>
      <c r="S1508">
        <v>14.2</v>
      </c>
      <c r="T1508">
        <v>1.9</v>
      </c>
      <c r="U1508">
        <v>1.8</v>
      </c>
      <c r="V1508">
        <v>5.3</v>
      </c>
      <c r="W1508">
        <v>0</v>
      </c>
      <c r="X1508">
        <v>3</v>
      </c>
      <c r="Y1508">
        <v>5.3</v>
      </c>
      <c r="Z1508">
        <v>17.600000000000001</v>
      </c>
      <c r="AA1508">
        <v>40</v>
      </c>
      <c r="AB1508">
        <v>292</v>
      </c>
      <c r="AC1508">
        <v>74</v>
      </c>
      <c r="AD1508">
        <v>28.8</v>
      </c>
      <c r="AE1508">
        <v>13.6</v>
      </c>
      <c r="AF1508">
        <v>53.353000000000002</v>
      </c>
      <c r="AG1508">
        <v>42.45</v>
      </c>
      <c r="AH1508">
        <v>46.274999999999999</v>
      </c>
      <c r="AI1508">
        <v>61.612000000000002</v>
      </c>
      <c r="AJ1508">
        <v>77.716999999999999</v>
      </c>
      <c r="AK1508">
        <v>89.665999999999997</v>
      </c>
      <c r="AL1508">
        <v>1.177</v>
      </c>
      <c r="AM1508">
        <v>46.274999999999999</v>
      </c>
      <c r="AN1508">
        <v>42.45</v>
      </c>
      <c r="AO1508">
        <v>53.353000000000002</v>
      </c>
      <c r="AP1508">
        <v>-1.177</v>
      </c>
      <c r="AQ1508">
        <v>22.283000000000001</v>
      </c>
      <c r="AR1508">
        <v>38.387999999999998</v>
      </c>
      <c r="AS1508">
        <v>10.334</v>
      </c>
    </row>
    <row r="1509" spans="1:45" x14ac:dyDescent="0.25">
      <c r="A1509">
        <v>37</v>
      </c>
      <c r="B1509">
        <v>-3</v>
      </c>
      <c r="C1509">
        <v>0</v>
      </c>
      <c r="D1509">
        <v>2023</v>
      </c>
      <c r="E1509">
        <v>14</v>
      </c>
      <c r="F1509" t="str">
        <f>IFERROR(VLOOKUP(G1509, Map!$A$1:$B$33, 2, FALSE),"WAS")</f>
        <v>KC</v>
      </c>
      <c r="G1509" t="s">
        <v>158</v>
      </c>
      <c r="H1509" t="str">
        <f>IFERROR(VLOOKUP(I1509, Map!$A$1:$B$33, 2, FALSE),"WAS")</f>
        <v>BUF</v>
      </c>
      <c r="I1509" t="s">
        <v>165</v>
      </c>
      <c r="J1509" t="s">
        <v>202</v>
      </c>
      <c r="K1509" t="s">
        <v>180</v>
      </c>
      <c r="L1509">
        <v>0</v>
      </c>
      <c r="M1509">
        <v>0</v>
      </c>
      <c r="N1509">
        <v>41.535714285714299</v>
      </c>
      <c r="O1509">
        <v>-1.8214285714285701</v>
      </c>
      <c r="P1509">
        <v>-1</v>
      </c>
      <c r="Q1509">
        <v>0</v>
      </c>
      <c r="R1509">
        <v>1.8</v>
      </c>
      <c r="S1509">
        <v>6.2</v>
      </c>
      <c r="T1509">
        <v>-2.8</v>
      </c>
      <c r="U1509">
        <v>-3.2</v>
      </c>
      <c r="V1509">
        <v>0</v>
      </c>
      <c r="W1509">
        <v>0</v>
      </c>
      <c r="X1509">
        <v>0</v>
      </c>
      <c r="Y1509">
        <v>0</v>
      </c>
      <c r="Z1509">
        <v>22.9</v>
      </c>
      <c r="AA1509">
        <v>40.700000000000003</v>
      </c>
      <c r="AB1509">
        <v>298</v>
      </c>
      <c r="AC1509">
        <v>55</v>
      </c>
      <c r="AD1509">
        <v>27.7</v>
      </c>
      <c r="AE1509">
        <v>14.2</v>
      </c>
      <c r="AF1509">
        <v>45.024000000000001</v>
      </c>
      <c r="AG1509">
        <v>97.451999999999998</v>
      </c>
      <c r="AH1509">
        <v>54.613999999999997</v>
      </c>
      <c r="AI1509">
        <v>54.201999999999998</v>
      </c>
      <c r="AJ1509">
        <v>34.56</v>
      </c>
      <c r="AK1509">
        <v>43.835999999999999</v>
      </c>
      <c r="AL1509">
        <v>-1.5960000000000001</v>
      </c>
      <c r="AM1509">
        <v>54.613999999999997</v>
      </c>
      <c r="AN1509">
        <v>97.451999999999998</v>
      </c>
      <c r="AO1509">
        <v>45.024000000000001</v>
      </c>
      <c r="AP1509">
        <v>1.5960000000000001</v>
      </c>
      <c r="AQ1509">
        <v>65.44</v>
      </c>
      <c r="AR1509">
        <v>45.798000000000002</v>
      </c>
      <c r="AS1509">
        <v>56.164000000000001</v>
      </c>
    </row>
    <row r="1510" spans="1:45" x14ac:dyDescent="0.25">
      <c r="A1510">
        <v>39</v>
      </c>
      <c r="B1510">
        <v>-3</v>
      </c>
      <c r="C1510">
        <v>0</v>
      </c>
      <c r="D1510">
        <v>2023</v>
      </c>
      <c r="E1510">
        <v>14</v>
      </c>
      <c r="F1510" t="str">
        <f>IFERROR(VLOOKUP(G1510, Map!$A$1:$B$33, 2, FALSE),"WAS")</f>
        <v>PIT</v>
      </c>
      <c r="G1510" t="s">
        <v>145</v>
      </c>
      <c r="H1510" t="str">
        <f>IFERROR(VLOOKUP(I1510, Map!$A$1:$B$33, 2, FALSE),"WAS")</f>
        <v>NE</v>
      </c>
      <c r="I1510" t="s">
        <v>151</v>
      </c>
      <c r="J1510" t="s">
        <v>170</v>
      </c>
      <c r="K1510" t="s">
        <v>187</v>
      </c>
      <c r="L1510">
        <v>0</v>
      </c>
      <c r="M1510">
        <v>0</v>
      </c>
      <c r="N1510">
        <v>26.576923076923102</v>
      </c>
      <c r="O1510">
        <v>-4.1923076923076898</v>
      </c>
      <c r="P1510">
        <v>-2.5</v>
      </c>
      <c r="Q1510">
        <v>0</v>
      </c>
      <c r="R1510">
        <v>6</v>
      </c>
      <c r="S1510">
        <v>13.6</v>
      </c>
      <c r="T1510">
        <v>1.6</v>
      </c>
      <c r="U1510">
        <v>2.2999999999999998</v>
      </c>
      <c r="V1510">
        <v>0</v>
      </c>
      <c r="W1510">
        <v>0</v>
      </c>
      <c r="X1510">
        <v>0</v>
      </c>
      <c r="Y1510">
        <v>0</v>
      </c>
      <c r="Z1510">
        <v>14.7</v>
      </c>
      <c r="AA1510">
        <v>31.3</v>
      </c>
      <c r="AB1510">
        <v>188</v>
      </c>
      <c r="AC1510">
        <v>65</v>
      </c>
      <c r="AD1510">
        <v>21</v>
      </c>
      <c r="AE1510">
        <v>10.7</v>
      </c>
      <c r="AF1510">
        <v>64.751000000000005</v>
      </c>
      <c r="AG1510">
        <v>28.155999999999999</v>
      </c>
      <c r="AH1510">
        <v>34.968000000000004</v>
      </c>
      <c r="AI1510">
        <v>67.311999999999998</v>
      </c>
      <c r="AJ1510">
        <v>10.616</v>
      </c>
      <c r="AK1510">
        <v>34.716999999999999</v>
      </c>
      <c r="AL1510">
        <v>5.0659999999999998</v>
      </c>
      <c r="AM1510">
        <v>34.968000000000004</v>
      </c>
      <c r="AN1510">
        <v>28.155999999999999</v>
      </c>
      <c r="AO1510">
        <v>64.751000000000005</v>
      </c>
      <c r="AP1510">
        <v>-5.0659999999999998</v>
      </c>
      <c r="AQ1510">
        <v>89.384</v>
      </c>
      <c r="AR1510">
        <v>32.688000000000002</v>
      </c>
      <c r="AS1510">
        <v>65.283000000000001</v>
      </c>
    </row>
    <row r="1511" spans="1:45" x14ac:dyDescent="0.25">
      <c r="A1511">
        <v>68</v>
      </c>
      <c r="B1511">
        <v>6</v>
      </c>
      <c r="C1511">
        <v>1</v>
      </c>
      <c r="D1511">
        <v>2023</v>
      </c>
      <c r="E1511">
        <v>14</v>
      </c>
      <c r="F1511" t="str">
        <f>IFERROR(VLOOKUP(G1511, Map!$A$1:$B$33, 2, FALSE),"WAS")</f>
        <v>BAL</v>
      </c>
      <c r="G1511" t="s">
        <v>146</v>
      </c>
      <c r="H1511" t="str">
        <f>IFERROR(VLOOKUP(I1511, Map!$A$1:$B$33, 2, FALSE),"WAS")</f>
        <v>LA</v>
      </c>
      <c r="I1511" t="s">
        <v>155</v>
      </c>
      <c r="J1511" t="s">
        <v>181</v>
      </c>
      <c r="K1511" t="s">
        <v>178</v>
      </c>
      <c r="L1511">
        <v>1</v>
      </c>
      <c r="M1511">
        <v>0</v>
      </c>
      <c r="N1511">
        <v>37.857142857142897</v>
      </c>
      <c r="O1511">
        <v>-6.53571428571429</v>
      </c>
      <c r="P1511">
        <v>-2.5</v>
      </c>
      <c r="Q1511">
        <v>0</v>
      </c>
      <c r="R1511">
        <v>11.7</v>
      </c>
      <c r="S1511">
        <v>14.7</v>
      </c>
      <c r="T1511">
        <v>7.5</v>
      </c>
      <c r="U1511">
        <v>10.7</v>
      </c>
      <c r="V1511">
        <v>30.6</v>
      </c>
      <c r="W1511">
        <v>0</v>
      </c>
      <c r="X1511">
        <v>11</v>
      </c>
      <c r="Y1511">
        <v>30.6</v>
      </c>
      <c r="Z1511">
        <v>12.9</v>
      </c>
      <c r="AA1511">
        <v>28.1</v>
      </c>
      <c r="AB1511">
        <v>185</v>
      </c>
      <c r="AC1511">
        <v>94</v>
      </c>
      <c r="AD1511">
        <v>18.899999999999999</v>
      </c>
      <c r="AE1511">
        <v>8.8000000000000007</v>
      </c>
      <c r="AF1511">
        <v>74.195999999999998</v>
      </c>
      <c r="AG1511">
        <v>67.897000000000006</v>
      </c>
      <c r="AH1511">
        <v>25.597999999999999</v>
      </c>
      <c r="AI1511">
        <v>40.341000000000001</v>
      </c>
      <c r="AJ1511">
        <v>68.546999999999997</v>
      </c>
      <c r="AK1511">
        <v>61.051000000000002</v>
      </c>
      <c r="AL1511">
        <v>8.6449999999999996</v>
      </c>
      <c r="AM1511">
        <v>25.597999999999999</v>
      </c>
      <c r="AN1511">
        <v>67.897000000000006</v>
      </c>
      <c r="AO1511">
        <v>74.195999999999998</v>
      </c>
      <c r="AP1511">
        <v>-8.6449999999999996</v>
      </c>
      <c r="AQ1511">
        <v>31.452999999999999</v>
      </c>
      <c r="AR1511">
        <v>59.658999999999999</v>
      </c>
      <c r="AS1511">
        <v>38.948999999999998</v>
      </c>
    </row>
    <row r="1512" spans="1:45" x14ac:dyDescent="0.25">
      <c r="A1512">
        <v>54</v>
      </c>
      <c r="B1512">
        <v>-4</v>
      </c>
      <c r="C1512">
        <v>0</v>
      </c>
      <c r="D1512">
        <v>2023</v>
      </c>
      <c r="E1512">
        <v>14</v>
      </c>
      <c r="F1512" t="str">
        <f>IFERROR(VLOOKUP(G1512, Map!$A$1:$B$33, 2, FALSE),"WAS")</f>
        <v>ATL</v>
      </c>
      <c r="G1512" t="s">
        <v>167</v>
      </c>
      <c r="H1512" t="str">
        <f>IFERROR(VLOOKUP(I1512, Map!$A$1:$B$33, 2, FALSE),"WAS")</f>
        <v>TB</v>
      </c>
      <c r="I1512" t="s">
        <v>141</v>
      </c>
      <c r="J1512" t="s">
        <v>188</v>
      </c>
      <c r="K1512" t="s">
        <v>186</v>
      </c>
      <c r="L1512">
        <v>0</v>
      </c>
      <c r="M1512">
        <v>0</v>
      </c>
      <c r="N1512">
        <v>35.607142857142897</v>
      </c>
      <c r="O1512">
        <v>-1.46428571428571</v>
      </c>
      <c r="P1512">
        <v>-1.5</v>
      </c>
      <c r="Q1512">
        <v>0</v>
      </c>
      <c r="R1512">
        <v>14.2</v>
      </c>
      <c r="S1512">
        <v>17.100000000000001</v>
      </c>
      <c r="T1512">
        <v>7.7</v>
      </c>
      <c r="U1512">
        <v>12.9</v>
      </c>
      <c r="V1512">
        <v>17.8</v>
      </c>
      <c r="W1512">
        <v>0</v>
      </c>
      <c r="X1512">
        <v>19</v>
      </c>
      <c r="Y1512">
        <v>17.8</v>
      </c>
      <c r="Z1512">
        <v>28.8</v>
      </c>
      <c r="AA1512">
        <v>50</v>
      </c>
      <c r="AB1512">
        <v>223</v>
      </c>
      <c r="AC1512">
        <v>95</v>
      </c>
      <c r="AD1512">
        <v>30.2</v>
      </c>
      <c r="AE1512">
        <v>17.100000000000001</v>
      </c>
      <c r="AF1512">
        <v>48.499000000000002</v>
      </c>
      <c r="AG1512">
        <v>35.887</v>
      </c>
      <c r="AH1512">
        <v>51.110999999999997</v>
      </c>
      <c r="AI1512">
        <v>57.101999999999997</v>
      </c>
      <c r="AJ1512">
        <v>53.828000000000003</v>
      </c>
      <c r="AK1512">
        <v>42.204999999999998</v>
      </c>
      <c r="AL1512">
        <v>-0.434</v>
      </c>
      <c r="AM1512">
        <v>51.110999999999997</v>
      </c>
      <c r="AN1512">
        <v>35.887</v>
      </c>
      <c r="AO1512">
        <v>48.499000000000002</v>
      </c>
      <c r="AP1512">
        <v>0.434</v>
      </c>
      <c r="AQ1512">
        <v>46.171999999999997</v>
      </c>
      <c r="AR1512">
        <v>42.898000000000003</v>
      </c>
      <c r="AS1512">
        <v>57.795000000000002</v>
      </c>
    </row>
    <row r="1513" spans="1:45" x14ac:dyDescent="0.25">
      <c r="A1513">
        <v>31</v>
      </c>
      <c r="B1513">
        <v>-17</v>
      </c>
      <c r="C1513">
        <v>0</v>
      </c>
      <c r="D1513">
        <v>2023</v>
      </c>
      <c r="E1513">
        <v>14</v>
      </c>
      <c r="F1513" t="str">
        <f>IFERROR(VLOOKUP(G1513, Map!$A$1:$B$33, 2, FALSE),"WAS")</f>
        <v>LAC</v>
      </c>
      <c r="G1513" t="s">
        <v>160</v>
      </c>
      <c r="H1513" t="str">
        <f>IFERROR(VLOOKUP(I1513, Map!$A$1:$B$33, 2, FALSE),"WAS")</f>
        <v>DEN</v>
      </c>
      <c r="I1513" t="s">
        <v>159</v>
      </c>
      <c r="J1513" t="s">
        <v>210</v>
      </c>
      <c r="K1513" t="s">
        <v>183</v>
      </c>
      <c r="L1513">
        <v>0</v>
      </c>
      <c r="M1513">
        <v>0</v>
      </c>
      <c r="N1513">
        <v>37.200000000000003</v>
      </c>
      <c r="O1513">
        <v>-1.0333333333333301</v>
      </c>
      <c r="P1513">
        <v>-2.5</v>
      </c>
      <c r="Q1513">
        <v>0</v>
      </c>
      <c r="R1513">
        <v>13.9</v>
      </c>
      <c r="S1513">
        <v>24.5</v>
      </c>
      <c r="T1513">
        <v>6.4</v>
      </c>
      <c r="U1513">
        <v>9.8000000000000007</v>
      </c>
      <c r="V1513">
        <v>0</v>
      </c>
      <c r="W1513">
        <v>0</v>
      </c>
      <c r="X1513">
        <v>0</v>
      </c>
      <c r="Y1513">
        <v>0</v>
      </c>
      <c r="Z1513">
        <v>11.3</v>
      </c>
      <c r="AA1513">
        <v>16.600000000000001</v>
      </c>
      <c r="AB1513">
        <v>352</v>
      </c>
      <c r="AC1513">
        <v>25</v>
      </c>
      <c r="AD1513">
        <v>12.7</v>
      </c>
      <c r="AE1513">
        <v>7.8</v>
      </c>
      <c r="AF1513">
        <v>68.616</v>
      </c>
      <c r="AG1513">
        <v>50.478999999999999</v>
      </c>
      <c r="AH1513">
        <v>31.134</v>
      </c>
      <c r="AI1513">
        <v>66.575999999999993</v>
      </c>
      <c r="AJ1513">
        <v>1.8919999999999999</v>
      </c>
      <c r="AK1513">
        <v>14.901999999999999</v>
      </c>
      <c r="AL1513">
        <v>6.4720000000000004</v>
      </c>
      <c r="AM1513">
        <v>31.134</v>
      </c>
      <c r="AN1513">
        <v>50.478999999999999</v>
      </c>
      <c r="AO1513">
        <v>68.616</v>
      </c>
      <c r="AP1513">
        <v>-6.4720000000000004</v>
      </c>
      <c r="AQ1513">
        <v>98.108000000000004</v>
      </c>
      <c r="AR1513">
        <v>33.423999999999999</v>
      </c>
      <c r="AS1513">
        <v>85.097999999999999</v>
      </c>
    </row>
    <row r="1514" spans="1:45" x14ac:dyDescent="0.25">
      <c r="A1514">
        <v>3</v>
      </c>
      <c r="B1514">
        <v>-3</v>
      </c>
      <c r="C1514">
        <v>0</v>
      </c>
      <c r="D1514">
        <v>2023</v>
      </c>
      <c r="E1514">
        <v>14</v>
      </c>
      <c r="F1514" t="str">
        <f>IFERROR(VLOOKUP(G1514, Map!$A$1:$B$33, 2, FALSE),"WAS")</f>
        <v>LV</v>
      </c>
      <c r="G1514" t="s">
        <v>157</v>
      </c>
      <c r="H1514" t="str">
        <f>IFERROR(VLOOKUP(I1514, Map!$A$1:$B$33, 2, FALSE),"WAS")</f>
        <v>MIN</v>
      </c>
      <c r="I1514" t="s">
        <v>153</v>
      </c>
      <c r="J1514" t="s">
        <v>179</v>
      </c>
      <c r="K1514" t="s">
        <v>214</v>
      </c>
      <c r="L1514">
        <v>0</v>
      </c>
      <c r="M1514">
        <v>0</v>
      </c>
      <c r="N1514">
        <v>34.653846153846203</v>
      </c>
      <c r="O1514">
        <v>2.5769230769230802</v>
      </c>
      <c r="P1514">
        <v>-1.5</v>
      </c>
      <c r="Q1514">
        <v>0</v>
      </c>
      <c r="R1514">
        <v>7.3</v>
      </c>
      <c r="S1514">
        <v>12.6</v>
      </c>
      <c r="T1514">
        <v>3.3</v>
      </c>
      <c r="U1514">
        <v>3</v>
      </c>
      <c r="V1514">
        <v>0</v>
      </c>
      <c r="W1514">
        <v>0</v>
      </c>
      <c r="X1514">
        <v>0</v>
      </c>
      <c r="Y1514">
        <v>0</v>
      </c>
      <c r="Z1514">
        <v>10.199999999999999</v>
      </c>
      <c r="AA1514">
        <v>25.2</v>
      </c>
      <c r="AB1514">
        <v>299</v>
      </c>
      <c r="AC1514">
        <v>16</v>
      </c>
      <c r="AD1514">
        <v>9.5</v>
      </c>
      <c r="AE1514">
        <v>4.8</v>
      </c>
      <c r="AF1514">
        <v>36.555999999999997</v>
      </c>
      <c r="AG1514">
        <v>32.19</v>
      </c>
      <c r="AH1514">
        <v>63.151000000000003</v>
      </c>
      <c r="AI1514">
        <v>78.869</v>
      </c>
      <c r="AJ1514">
        <v>3.7730000000000001</v>
      </c>
      <c r="AK1514">
        <v>41.378999999999998</v>
      </c>
      <c r="AL1514">
        <v>-4.5010000000000003</v>
      </c>
      <c r="AM1514">
        <v>63.151000000000003</v>
      </c>
      <c r="AN1514">
        <v>32.19</v>
      </c>
      <c r="AO1514">
        <v>36.555999999999997</v>
      </c>
      <c r="AP1514">
        <v>4.5010000000000003</v>
      </c>
      <c r="AQ1514">
        <v>96.227000000000004</v>
      </c>
      <c r="AR1514">
        <v>21.131</v>
      </c>
      <c r="AS1514">
        <v>58.621000000000002</v>
      </c>
    </row>
    <row r="1515" spans="1:45" x14ac:dyDescent="0.25">
      <c r="A1515">
        <v>46</v>
      </c>
      <c r="B1515">
        <v>2</v>
      </c>
      <c r="C1515">
        <v>1</v>
      </c>
      <c r="D1515">
        <v>2023</v>
      </c>
      <c r="E1515">
        <v>14</v>
      </c>
      <c r="F1515" t="str">
        <f>IFERROR(VLOOKUP(G1515, Map!$A$1:$B$33, 2, FALSE),"WAS")</f>
        <v>NYG</v>
      </c>
      <c r="G1515" t="s">
        <v>149</v>
      </c>
      <c r="H1515" t="str">
        <f>IFERROR(VLOOKUP(I1515, Map!$A$1:$B$33, 2, FALSE),"WAS")</f>
        <v>GB</v>
      </c>
      <c r="I1515" t="s">
        <v>154</v>
      </c>
      <c r="J1515" t="s">
        <v>219</v>
      </c>
      <c r="K1515" t="s">
        <v>200</v>
      </c>
      <c r="L1515">
        <v>1</v>
      </c>
      <c r="M1515">
        <v>0</v>
      </c>
      <c r="N1515">
        <v>32.464285714285701</v>
      </c>
      <c r="O1515">
        <v>4.25</v>
      </c>
      <c r="P1515">
        <v>-0.5</v>
      </c>
      <c r="Q1515">
        <v>0</v>
      </c>
      <c r="R1515">
        <v>2.2999999999999998</v>
      </c>
      <c r="S1515">
        <v>6</v>
      </c>
      <c r="T1515">
        <v>-2</v>
      </c>
      <c r="U1515">
        <v>-2.2999999999999998</v>
      </c>
      <c r="V1515">
        <v>0</v>
      </c>
      <c r="W1515">
        <v>0</v>
      </c>
      <c r="X1515">
        <v>0</v>
      </c>
      <c r="Y1515">
        <v>0</v>
      </c>
      <c r="Z1515">
        <v>19</v>
      </c>
      <c r="AA1515">
        <v>36.4</v>
      </c>
      <c r="AB1515">
        <v>257</v>
      </c>
      <c r="AC1515">
        <v>61</v>
      </c>
      <c r="AD1515">
        <v>25.9</v>
      </c>
      <c r="AE1515">
        <v>12.9</v>
      </c>
      <c r="AF1515">
        <v>27.358000000000001</v>
      </c>
      <c r="AG1515">
        <v>25.335000000000001</v>
      </c>
      <c r="AH1515">
        <v>72.423000000000002</v>
      </c>
      <c r="AI1515">
        <v>62.28</v>
      </c>
      <c r="AJ1515">
        <v>48.871000000000002</v>
      </c>
      <c r="AK1515">
        <v>55.92</v>
      </c>
      <c r="AL1515">
        <v>-7.9320000000000004</v>
      </c>
      <c r="AM1515">
        <v>72.423000000000002</v>
      </c>
      <c r="AN1515">
        <v>25.335000000000001</v>
      </c>
      <c r="AO1515">
        <v>27.358000000000001</v>
      </c>
      <c r="AP1515">
        <v>7.9320000000000004</v>
      </c>
      <c r="AQ1515">
        <v>51.128999999999998</v>
      </c>
      <c r="AR1515">
        <v>37.72</v>
      </c>
      <c r="AS1515">
        <v>44.08</v>
      </c>
    </row>
    <row r="1516" spans="1:45" x14ac:dyDescent="0.25">
      <c r="A1516">
        <v>41</v>
      </c>
      <c r="B1516">
        <v>15</v>
      </c>
      <c r="C1516">
        <v>1</v>
      </c>
      <c r="D1516">
        <v>2023</v>
      </c>
      <c r="E1516">
        <v>14</v>
      </c>
      <c r="F1516" t="str">
        <f>IFERROR(VLOOKUP(G1516, Map!$A$1:$B$33, 2, FALSE),"WAS")</f>
        <v>CHI</v>
      </c>
      <c r="G1516" t="s">
        <v>163</v>
      </c>
      <c r="H1516" t="str">
        <f>IFERROR(VLOOKUP(I1516, Map!$A$1:$B$33, 2, FALSE),"WAS")</f>
        <v>DET</v>
      </c>
      <c r="I1516" t="s">
        <v>164</v>
      </c>
      <c r="J1516" t="s">
        <v>216</v>
      </c>
      <c r="K1516" t="s">
        <v>173</v>
      </c>
      <c r="L1516">
        <v>1</v>
      </c>
      <c r="M1516">
        <v>0</v>
      </c>
      <c r="N1516">
        <v>38.366666666666703</v>
      </c>
      <c r="O1516">
        <v>0.86666666666666703</v>
      </c>
      <c r="P1516">
        <v>1</v>
      </c>
      <c r="Q1516">
        <v>0</v>
      </c>
      <c r="R1516">
        <v>1.8</v>
      </c>
      <c r="S1516">
        <v>5.2</v>
      </c>
      <c r="T1516">
        <v>0.4</v>
      </c>
      <c r="U1516">
        <v>-4.0999999999999996</v>
      </c>
      <c r="V1516">
        <v>0</v>
      </c>
      <c r="W1516">
        <v>0</v>
      </c>
      <c r="X1516">
        <v>0</v>
      </c>
      <c r="Y1516">
        <v>0</v>
      </c>
      <c r="Z1516">
        <v>29.5</v>
      </c>
      <c r="AA1516">
        <v>42.1</v>
      </c>
      <c r="AB1516">
        <v>271</v>
      </c>
      <c r="AC1516">
        <v>68</v>
      </c>
      <c r="AD1516">
        <v>34</v>
      </c>
      <c r="AE1516">
        <v>22.3</v>
      </c>
      <c r="AF1516">
        <v>37.890999999999998</v>
      </c>
      <c r="AG1516">
        <v>58.274999999999999</v>
      </c>
      <c r="AH1516">
        <v>61.805</v>
      </c>
      <c r="AI1516">
        <v>79.400999999999996</v>
      </c>
      <c r="AJ1516">
        <v>63.968000000000004</v>
      </c>
      <c r="AK1516">
        <v>80.77</v>
      </c>
      <c r="AL1516">
        <v>-4.032</v>
      </c>
      <c r="AM1516">
        <v>61.805</v>
      </c>
      <c r="AN1516">
        <v>58.274999999999999</v>
      </c>
      <c r="AO1516">
        <v>37.890999999999998</v>
      </c>
      <c r="AP1516">
        <v>4.032</v>
      </c>
      <c r="AQ1516">
        <v>36.031999999999996</v>
      </c>
      <c r="AR1516">
        <v>20.599</v>
      </c>
      <c r="AS1516">
        <v>19.23</v>
      </c>
    </row>
    <row r="1517" spans="1:45" x14ac:dyDescent="0.25">
      <c r="A1517">
        <v>44</v>
      </c>
      <c r="B1517">
        <v>12</v>
      </c>
      <c r="C1517">
        <v>1</v>
      </c>
      <c r="D1517">
        <v>2023</v>
      </c>
      <c r="E1517">
        <v>14</v>
      </c>
      <c r="F1517" t="str">
        <f>IFERROR(VLOOKUP(G1517, Map!$A$1:$B$33, 2, FALSE),"WAS")</f>
        <v>SF</v>
      </c>
      <c r="G1517" t="s">
        <v>143</v>
      </c>
      <c r="H1517" t="str">
        <f>IFERROR(VLOOKUP(I1517, Map!$A$1:$B$33, 2, FALSE),"WAS")</f>
        <v>SEA</v>
      </c>
      <c r="I1517" t="s">
        <v>144</v>
      </c>
      <c r="J1517" t="s">
        <v>197</v>
      </c>
      <c r="K1517" t="s">
        <v>182</v>
      </c>
      <c r="L1517">
        <v>1</v>
      </c>
      <c r="M1517">
        <v>0</v>
      </c>
      <c r="N1517">
        <v>38.607142857142897</v>
      </c>
      <c r="O1517">
        <v>-12.3571428571429</v>
      </c>
      <c r="P1517">
        <v>-4</v>
      </c>
      <c r="Q1517">
        <v>0</v>
      </c>
      <c r="R1517">
        <v>8.8000000000000007</v>
      </c>
      <c r="S1517">
        <v>13.1</v>
      </c>
      <c r="T1517">
        <v>4.8</v>
      </c>
      <c r="U1517">
        <v>6.1</v>
      </c>
      <c r="V1517">
        <v>0</v>
      </c>
      <c r="W1517">
        <v>0</v>
      </c>
      <c r="X1517">
        <v>0</v>
      </c>
      <c r="Y1517">
        <v>0</v>
      </c>
      <c r="Z1517">
        <v>7.6</v>
      </c>
      <c r="AA1517">
        <v>16.899999999999999</v>
      </c>
      <c r="AB1517">
        <v>210</v>
      </c>
      <c r="AC1517">
        <v>56</v>
      </c>
      <c r="AD1517">
        <v>8.5</v>
      </c>
      <c r="AE1517">
        <v>4.5</v>
      </c>
      <c r="AF1517">
        <v>81.245999999999995</v>
      </c>
      <c r="AG1517">
        <v>63.337000000000003</v>
      </c>
      <c r="AH1517">
        <v>18.605</v>
      </c>
      <c r="AI1517">
        <v>62.536999999999999</v>
      </c>
      <c r="AJ1517">
        <v>86.021000000000001</v>
      </c>
      <c r="AK1517">
        <v>81.397000000000006</v>
      </c>
      <c r="AL1517">
        <v>11.787000000000001</v>
      </c>
      <c r="AM1517">
        <v>18.605</v>
      </c>
      <c r="AN1517">
        <v>63.337000000000003</v>
      </c>
      <c r="AO1517">
        <v>81.245999999999995</v>
      </c>
      <c r="AP1517">
        <v>-11.787000000000001</v>
      </c>
      <c r="AQ1517">
        <v>13.978999999999999</v>
      </c>
      <c r="AR1517">
        <v>37.463000000000001</v>
      </c>
      <c r="AS1517">
        <v>18.603000000000002</v>
      </c>
    </row>
    <row r="1518" spans="1:45" x14ac:dyDescent="0.25">
      <c r="A1518">
        <v>46</v>
      </c>
      <c r="B1518">
        <v>20</v>
      </c>
      <c r="C1518">
        <v>1</v>
      </c>
      <c r="D1518">
        <v>2023</v>
      </c>
      <c r="E1518">
        <v>14</v>
      </c>
      <c r="F1518" t="str">
        <f>IFERROR(VLOOKUP(G1518, Map!$A$1:$B$33, 2, FALSE),"WAS")</f>
        <v>DAL</v>
      </c>
      <c r="G1518" t="s">
        <v>150</v>
      </c>
      <c r="H1518" t="str">
        <f>IFERROR(VLOOKUP(I1518, Map!$A$1:$B$33, 2, FALSE),"WAS")</f>
        <v>PHI</v>
      </c>
      <c r="I1518" t="s">
        <v>147</v>
      </c>
      <c r="J1518" t="s">
        <v>184</v>
      </c>
      <c r="K1518" t="s">
        <v>206</v>
      </c>
      <c r="L1518">
        <v>1</v>
      </c>
      <c r="M1518">
        <v>0</v>
      </c>
      <c r="N1518">
        <v>47.307692307692299</v>
      </c>
      <c r="O1518">
        <v>-5.3461538461538503</v>
      </c>
      <c r="P1518">
        <v>-3</v>
      </c>
      <c r="Q1518">
        <v>44.5</v>
      </c>
      <c r="R1518">
        <v>8.1</v>
      </c>
      <c r="S1518">
        <v>16.3</v>
      </c>
      <c r="T1518">
        <v>3.3</v>
      </c>
      <c r="U1518">
        <v>3.9</v>
      </c>
      <c r="V1518">
        <v>0</v>
      </c>
      <c r="W1518">
        <v>0</v>
      </c>
      <c r="X1518">
        <v>0</v>
      </c>
      <c r="Y1518">
        <v>0</v>
      </c>
      <c r="Z1518">
        <v>14.3</v>
      </c>
      <c r="AA1518">
        <v>22.3</v>
      </c>
      <c r="AB1518">
        <v>183</v>
      </c>
      <c r="AC1518">
        <v>41</v>
      </c>
      <c r="AD1518">
        <v>17.899999999999999</v>
      </c>
      <c r="AE1518">
        <v>10.199999999999999</v>
      </c>
      <c r="AF1518">
        <v>65.234999999999999</v>
      </c>
      <c r="AG1518">
        <v>67.765000000000001</v>
      </c>
      <c r="AH1518">
        <v>34.488</v>
      </c>
      <c r="AI1518">
        <v>91.462999999999994</v>
      </c>
      <c r="AJ1518">
        <v>74.418000000000006</v>
      </c>
      <c r="AK1518">
        <v>89.543000000000006</v>
      </c>
      <c r="AL1518">
        <v>5.2380000000000004</v>
      </c>
      <c r="AM1518">
        <v>34.488</v>
      </c>
      <c r="AN1518">
        <v>67.765000000000001</v>
      </c>
      <c r="AO1518">
        <v>65.234999999999999</v>
      </c>
      <c r="AP1518">
        <v>-5.2380000000000004</v>
      </c>
      <c r="AQ1518">
        <v>25.582000000000001</v>
      </c>
      <c r="AR1518">
        <v>8.5370000000000008</v>
      </c>
      <c r="AS1518">
        <v>10.457000000000001</v>
      </c>
    </row>
    <row r="1519" spans="1:45" x14ac:dyDescent="0.25">
      <c r="A1519">
        <v>58</v>
      </c>
      <c r="B1519">
        <v>4</v>
      </c>
      <c r="C1519">
        <v>1</v>
      </c>
      <c r="D1519">
        <v>2023</v>
      </c>
      <c r="E1519">
        <v>14</v>
      </c>
      <c r="F1519" t="str">
        <f>IFERROR(VLOOKUP(G1519, Map!$A$1:$B$33, 2, FALSE),"WAS")</f>
        <v>CLE</v>
      </c>
      <c r="G1519" t="s">
        <v>162</v>
      </c>
      <c r="H1519" t="str">
        <f>IFERROR(VLOOKUP(I1519, Map!$A$1:$B$33, 2, FALSE),"WAS")</f>
        <v>JAX</v>
      </c>
      <c r="I1519" t="s">
        <v>139</v>
      </c>
      <c r="J1519" t="s">
        <v>171</v>
      </c>
      <c r="K1519" t="s">
        <v>220</v>
      </c>
      <c r="L1519">
        <v>1</v>
      </c>
      <c r="M1519">
        <v>0</v>
      </c>
      <c r="N1519">
        <v>33.642857142857103</v>
      </c>
      <c r="O1519">
        <v>-2.25</v>
      </c>
      <c r="P1519">
        <v>-1</v>
      </c>
      <c r="Q1519">
        <v>0</v>
      </c>
      <c r="R1519">
        <v>5.9</v>
      </c>
      <c r="S1519">
        <v>11.5</v>
      </c>
      <c r="T1519">
        <v>3.7</v>
      </c>
      <c r="U1519">
        <v>1.3</v>
      </c>
      <c r="V1519">
        <v>15.7</v>
      </c>
      <c r="W1519">
        <v>0</v>
      </c>
      <c r="X1519">
        <v>6</v>
      </c>
      <c r="Y1519">
        <v>15.7</v>
      </c>
      <c r="Z1519">
        <v>24.8</v>
      </c>
      <c r="AA1519">
        <v>32.799999999999997</v>
      </c>
      <c r="AB1519">
        <v>260</v>
      </c>
      <c r="AC1519">
        <v>78</v>
      </c>
      <c r="AD1519">
        <v>28.1</v>
      </c>
      <c r="AE1519">
        <v>20.5</v>
      </c>
      <c r="AF1519">
        <v>43.356000000000002</v>
      </c>
      <c r="AG1519">
        <v>53.944000000000003</v>
      </c>
      <c r="AH1519">
        <v>56.295000000000002</v>
      </c>
      <c r="AI1519">
        <v>87.263999999999996</v>
      </c>
      <c r="AJ1519">
        <v>33.771000000000001</v>
      </c>
      <c r="AK1519">
        <v>74.122</v>
      </c>
      <c r="AL1519">
        <v>-2.1579999999999999</v>
      </c>
      <c r="AM1519">
        <v>56.295000000000002</v>
      </c>
      <c r="AN1519">
        <v>53.944000000000003</v>
      </c>
      <c r="AO1519">
        <v>43.356000000000002</v>
      </c>
      <c r="AP1519">
        <v>2.1579999999999999</v>
      </c>
      <c r="AQ1519">
        <v>66.228999999999999</v>
      </c>
      <c r="AR1519">
        <v>12.736000000000001</v>
      </c>
      <c r="AS1519">
        <v>25.878</v>
      </c>
    </row>
    <row r="1520" spans="1:45" x14ac:dyDescent="0.25">
      <c r="A1520">
        <v>36</v>
      </c>
      <c r="B1520">
        <v>24</v>
      </c>
      <c r="C1520">
        <v>1</v>
      </c>
      <c r="D1520">
        <v>2023</v>
      </c>
      <c r="E1520">
        <v>14</v>
      </c>
      <c r="F1520" t="str">
        <f>IFERROR(VLOOKUP(G1520, Map!$A$1:$B$33, 2, FALSE),"WAS")</f>
        <v>NYJ</v>
      </c>
      <c r="G1520" t="s">
        <v>166</v>
      </c>
      <c r="H1520" t="str">
        <f>IFERROR(VLOOKUP(I1520, Map!$A$1:$B$33, 2, FALSE),"WAS")</f>
        <v>HOU</v>
      </c>
      <c r="I1520" t="s">
        <v>137</v>
      </c>
      <c r="J1520" t="s">
        <v>172</v>
      </c>
      <c r="K1520" t="s">
        <v>209</v>
      </c>
      <c r="L1520">
        <v>1</v>
      </c>
      <c r="M1520">
        <v>0</v>
      </c>
      <c r="N1520">
        <v>28.214285714285701</v>
      </c>
      <c r="O1520">
        <v>2.3214285714285698</v>
      </c>
      <c r="P1520">
        <v>3</v>
      </c>
      <c r="Q1520">
        <v>0</v>
      </c>
      <c r="R1520">
        <v>10.4</v>
      </c>
      <c r="S1520">
        <v>16</v>
      </c>
      <c r="T1520">
        <v>5.2</v>
      </c>
      <c r="U1520">
        <v>8.8000000000000007</v>
      </c>
      <c r="V1520">
        <v>18.100000000000001</v>
      </c>
      <c r="W1520">
        <v>0</v>
      </c>
      <c r="X1520">
        <v>8</v>
      </c>
      <c r="Y1520">
        <v>18.100000000000001</v>
      </c>
      <c r="Z1520">
        <v>21.8</v>
      </c>
      <c r="AA1520">
        <v>40</v>
      </c>
      <c r="AB1520">
        <v>195</v>
      </c>
      <c r="AC1520">
        <v>95</v>
      </c>
      <c r="AD1520">
        <v>20.7</v>
      </c>
      <c r="AE1520">
        <v>11</v>
      </c>
      <c r="AF1520">
        <v>41.74</v>
      </c>
      <c r="AG1520">
        <v>22.091999999999999</v>
      </c>
      <c r="AH1520">
        <v>57.924999999999997</v>
      </c>
      <c r="AI1520">
        <v>93.850999999999999</v>
      </c>
      <c r="AJ1520">
        <v>60.793999999999997</v>
      </c>
      <c r="AK1520">
        <v>85.891000000000005</v>
      </c>
      <c r="AL1520">
        <v>-2.706</v>
      </c>
      <c r="AM1520">
        <v>57.924999999999997</v>
      </c>
      <c r="AN1520">
        <v>22.091999999999999</v>
      </c>
      <c r="AO1520">
        <v>41.74</v>
      </c>
      <c r="AP1520">
        <v>2.706</v>
      </c>
      <c r="AQ1520">
        <v>39.206000000000003</v>
      </c>
      <c r="AR1520">
        <v>6.149</v>
      </c>
      <c r="AS1520">
        <v>14.109</v>
      </c>
    </row>
    <row r="1521" spans="1:45" x14ac:dyDescent="0.25">
      <c r="A1521">
        <v>55</v>
      </c>
      <c r="B1521">
        <v>-1</v>
      </c>
      <c r="C1521">
        <v>0</v>
      </c>
      <c r="D1521">
        <v>2023</v>
      </c>
      <c r="E1521">
        <v>14</v>
      </c>
      <c r="F1521" t="str">
        <f>IFERROR(VLOOKUP(G1521, Map!$A$1:$B$33, 2, FALSE),"WAS")</f>
        <v>MIA</v>
      </c>
      <c r="G1521" t="s">
        <v>152</v>
      </c>
      <c r="H1521" t="str">
        <f>IFERROR(VLOOKUP(I1521, Map!$A$1:$B$33, 2, FALSE),"WAS")</f>
        <v>TEN</v>
      </c>
      <c r="I1521" t="s">
        <v>140</v>
      </c>
      <c r="J1521" t="s">
        <v>175</v>
      </c>
      <c r="K1521" t="s">
        <v>174</v>
      </c>
      <c r="L1521">
        <v>0</v>
      </c>
      <c r="M1521">
        <v>0</v>
      </c>
      <c r="N1521">
        <v>39.214285714285701</v>
      </c>
      <c r="O1521">
        <v>-11.1785714285714</v>
      </c>
      <c r="P1521">
        <v>-0.5</v>
      </c>
      <c r="Q1521">
        <v>0</v>
      </c>
      <c r="R1521">
        <v>18.3</v>
      </c>
      <c r="S1521">
        <v>24.4</v>
      </c>
      <c r="T1521">
        <v>14</v>
      </c>
      <c r="U1521">
        <v>16.899999999999999</v>
      </c>
      <c r="V1521">
        <v>0</v>
      </c>
      <c r="W1521">
        <v>0</v>
      </c>
      <c r="X1521">
        <v>0</v>
      </c>
      <c r="Y1521">
        <v>0</v>
      </c>
      <c r="Z1521">
        <v>22.2</v>
      </c>
      <c r="AA1521">
        <v>41.8</v>
      </c>
      <c r="AB1521">
        <v>9</v>
      </c>
      <c r="AC1521">
        <v>72</v>
      </c>
      <c r="AD1521">
        <v>30.8</v>
      </c>
      <c r="AE1521">
        <v>16.8</v>
      </c>
      <c r="AF1521">
        <v>85.650999999999996</v>
      </c>
      <c r="AG1521">
        <v>50.814999999999998</v>
      </c>
      <c r="AH1521">
        <v>14.234999999999999</v>
      </c>
      <c r="AI1521">
        <v>58.354999999999997</v>
      </c>
      <c r="AJ1521">
        <v>41.506</v>
      </c>
      <c r="AK1521">
        <v>50.776000000000003</v>
      </c>
      <c r="AL1521">
        <v>14.138999999999999</v>
      </c>
      <c r="AM1521">
        <v>14.234999999999999</v>
      </c>
      <c r="AN1521">
        <v>50.814999999999998</v>
      </c>
      <c r="AO1521">
        <v>85.650999999999996</v>
      </c>
      <c r="AP1521">
        <v>-14.138999999999999</v>
      </c>
      <c r="AQ1521">
        <v>58.494</v>
      </c>
      <c r="AR1521">
        <v>41.645000000000003</v>
      </c>
      <c r="AS1521">
        <v>49.223999999999997</v>
      </c>
    </row>
    <row r="1522" spans="1:45" x14ac:dyDescent="0.25">
      <c r="A1522">
        <v>35</v>
      </c>
      <c r="B1522">
        <v>-3</v>
      </c>
      <c r="C1522">
        <v>0</v>
      </c>
      <c r="D1522">
        <v>2023</v>
      </c>
      <c r="E1522">
        <v>15</v>
      </c>
      <c r="F1522" t="str">
        <f>IFERROR(VLOOKUP(G1522, Map!$A$1:$B$33, 2, FALSE),"WAS")</f>
        <v>TEN</v>
      </c>
      <c r="G1522" t="s">
        <v>140</v>
      </c>
      <c r="H1522" t="str">
        <f>IFERROR(VLOOKUP(I1522, Map!$A$1:$B$33, 2, FALSE),"WAS")</f>
        <v>HOU</v>
      </c>
      <c r="I1522" t="s">
        <v>137</v>
      </c>
      <c r="J1522" t="s">
        <v>174</v>
      </c>
      <c r="K1522" t="s">
        <v>209</v>
      </c>
      <c r="L1522">
        <v>0</v>
      </c>
      <c r="M1522">
        <v>0</v>
      </c>
      <c r="N1522">
        <v>32.392857142857103</v>
      </c>
      <c r="O1522">
        <v>-2.3571428571428599</v>
      </c>
      <c r="P1522">
        <v>2.5</v>
      </c>
      <c r="Q1522">
        <v>0</v>
      </c>
      <c r="R1522">
        <v>10.1</v>
      </c>
      <c r="S1522">
        <v>12</v>
      </c>
      <c r="T1522">
        <v>8.1999999999999993</v>
      </c>
      <c r="U1522">
        <v>7.7</v>
      </c>
      <c r="V1522">
        <v>9.1999999999999993</v>
      </c>
      <c r="W1522">
        <v>0</v>
      </c>
      <c r="X1522">
        <v>10</v>
      </c>
      <c r="Y1522">
        <v>9.1999999999999993</v>
      </c>
      <c r="Z1522">
        <v>18.5</v>
      </c>
      <c r="AA1522">
        <v>34.9</v>
      </c>
      <c r="AB1522">
        <v>242</v>
      </c>
      <c r="AC1522">
        <v>83</v>
      </c>
      <c r="AD1522">
        <v>23.4</v>
      </c>
      <c r="AE1522">
        <v>12</v>
      </c>
      <c r="AF1522">
        <v>47.738</v>
      </c>
      <c r="AG1522">
        <v>20.966000000000001</v>
      </c>
      <c r="AH1522">
        <v>51.878</v>
      </c>
      <c r="AI1522">
        <v>77.278000000000006</v>
      </c>
      <c r="AJ1522">
        <v>20.856000000000002</v>
      </c>
      <c r="AK1522">
        <v>44.475000000000001</v>
      </c>
      <c r="AL1522">
        <v>-0.68700000000000006</v>
      </c>
      <c r="AM1522">
        <v>51.878</v>
      </c>
      <c r="AN1522">
        <v>20.966000000000001</v>
      </c>
      <c r="AO1522">
        <v>47.738</v>
      </c>
      <c r="AP1522">
        <v>0.68700000000000006</v>
      </c>
      <c r="AQ1522">
        <v>79.144000000000005</v>
      </c>
      <c r="AR1522">
        <v>22.722000000000001</v>
      </c>
      <c r="AS1522">
        <v>55.524999999999999</v>
      </c>
    </row>
    <row r="1523" spans="1:45" x14ac:dyDescent="0.25">
      <c r="A1523">
        <v>59</v>
      </c>
      <c r="B1523">
        <v>25</v>
      </c>
      <c r="C1523">
        <v>1</v>
      </c>
      <c r="D1523">
        <v>2023</v>
      </c>
      <c r="E1523">
        <v>15</v>
      </c>
      <c r="F1523" t="str">
        <f>IFERROR(VLOOKUP(G1523, Map!$A$1:$B$33, 2, FALSE),"WAS")</f>
        <v>DET</v>
      </c>
      <c r="G1523" t="s">
        <v>164</v>
      </c>
      <c r="H1523" t="str">
        <f>IFERROR(VLOOKUP(I1523, Map!$A$1:$B$33, 2, FALSE),"WAS")</f>
        <v>DEN</v>
      </c>
      <c r="I1523" t="s">
        <v>159</v>
      </c>
      <c r="J1523" t="s">
        <v>173</v>
      </c>
      <c r="K1523" t="s">
        <v>183</v>
      </c>
      <c r="L1523">
        <v>1</v>
      </c>
      <c r="M1523">
        <v>0</v>
      </c>
      <c r="N1523">
        <v>42.428571428571402</v>
      </c>
      <c r="O1523">
        <v>-6.03571428571429</v>
      </c>
      <c r="P1523">
        <v>-3</v>
      </c>
      <c r="Q1523">
        <v>0</v>
      </c>
      <c r="R1523">
        <v>7.1</v>
      </c>
      <c r="S1523">
        <v>8.5</v>
      </c>
      <c r="T1523">
        <v>5.7</v>
      </c>
      <c r="U1523">
        <v>3</v>
      </c>
      <c r="V1523">
        <v>8.9</v>
      </c>
      <c r="W1523">
        <v>0</v>
      </c>
      <c r="X1523">
        <v>12</v>
      </c>
      <c r="Y1523">
        <v>8.9</v>
      </c>
      <c r="Z1523">
        <v>21.7</v>
      </c>
      <c r="AA1523">
        <v>35.6</v>
      </c>
      <c r="AB1523">
        <v>177</v>
      </c>
      <c r="AC1523">
        <v>78</v>
      </c>
      <c r="AD1523">
        <v>30.7</v>
      </c>
      <c r="AE1523">
        <v>18.2</v>
      </c>
      <c r="AF1523">
        <v>59.286999999999999</v>
      </c>
      <c r="AG1523">
        <v>54.597999999999999</v>
      </c>
      <c r="AH1523">
        <v>40.389000000000003</v>
      </c>
      <c r="AI1523">
        <v>82.200999999999993</v>
      </c>
      <c r="AJ1523">
        <v>92.259</v>
      </c>
      <c r="AK1523">
        <v>93.894000000000005</v>
      </c>
      <c r="AL1523">
        <v>3.1629999999999998</v>
      </c>
      <c r="AM1523">
        <v>40.389000000000003</v>
      </c>
      <c r="AN1523">
        <v>54.597999999999999</v>
      </c>
      <c r="AO1523">
        <v>59.286999999999999</v>
      </c>
      <c r="AP1523">
        <v>-3.1629999999999998</v>
      </c>
      <c r="AQ1523">
        <v>7.7409999999999997</v>
      </c>
      <c r="AR1523">
        <v>17.798999999999999</v>
      </c>
      <c r="AS1523">
        <v>6.1059999999999999</v>
      </c>
    </row>
    <row r="1524" spans="1:45" x14ac:dyDescent="0.25">
      <c r="A1524">
        <v>48</v>
      </c>
      <c r="B1524">
        <v>8</v>
      </c>
      <c r="C1524">
        <v>1</v>
      </c>
      <c r="D1524">
        <v>2023</v>
      </c>
      <c r="E1524">
        <v>15</v>
      </c>
      <c r="F1524" t="str">
        <f>IFERROR(VLOOKUP(G1524, Map!$A$1:$B$33, 2, FALSE),"WAS")</f>
        <v>LA</v>
      </c>
      <c r="G1524" t="s">
        <v>155</v>
      </c>
      <c r="H1524" t="str">
        <f>IFERROR(VLOOKUP(I1524, Map!$A$1:$B$33, 2, FALSE),"WAS")</f>
        <v>WAS</v>
      </c>
      <c r="I1524" t="s">
        <v>148</v>
      </c>
      <c r="J1524" t="s">
        <v>178</v>
      </c>
      <c r="K1524" t="s">
        <v>205</v>
      </c>
      <c r="L1524">
        <v>1</v>
      </c>
      <c r="M1524">
        <v>0</v>
      </c>
      <c r="N1524">
        <v>44.923076923076898</v>
      </c>
      <c r="O1524">
        <v>-6.1923076923076898</v>
      </c>
      <c r="P1524">
        <v>-1</v>
      </c>
      <c r="Q1524">
        <v>0</v>
      </c>
      <c r="R1524">
        <v>15.3</v>
      </c>
      <c r="S1524">
        <v>24.5</v>
      </c>
      <c r="T1524">
        <v>8</v>
      </c>
      <c r="U1524">
        <v>12.2</v>
      </c>
      <c r="V1524">
        <v>0</v>
      </c>
      <c r="W1524">
        <v>0</v>
      </c>
      <c r="X1524">
        <v>0</v>
      </c>
      <c r="Y1524">
        <v>0</v>
      </c>
      <c r="Z1524">
        <v>12.7</v>
      </c>
      <c r="AA1524">
        <v>28.4</v>
      </c>
      <c r="AB1524">
        <v>338</v>
      </c>
      <c r="AC1524">
        <v>40</v>
      </c>
      <c r="AD1524">
        <v>12.8</v>
      </c>
      <c r="AE1524">
        <v>7.5</v>
      </c>
      <c r="AF1524">
        <v>75.474999999999994</v>
      </c>
      <c r="AG1524">
        <v>45.75</v>
      </c>
      <c r="AH1524">
        <v>24.33</v>
      </c>
      <c r="AI1524">
        <v>76.406999999999996</v>
      </c>
      <c r="AJ1524">
        <v>70.558999999999997</v>
      </c>
      <c r="AK1524">
        <v>85.953000000000003</v>
      </c>
      <c r="AL1524">
        <v>9.1609999999999996</v>
      </c>
      <c r="AM1524">
        <v>24.33</v>
      </c>
      <c r="AN1524">
        <v>45.75</v>
      </c>
      <c r="AO1524">
        <v>75.474999999999994</v>
      </c>
      <c r="AP1524">
        <v>-9.1609999999999996</v>
      </c>
      <c r="AQ1524">
        <v>29.440999999999999</v>
      </c>
      <c r="AR1524">
        <v>23.593</v>
      </c>
      <c r="AS1524">
        <v>14.047000000000001</v>
      </c>
    </row>
    <row r="1525" spans="1:45" x14ac:dyDescent="0.25">
      <c r="A1525">
        <v>84</v>
      </c>
      <c r="B1525">
        <v>42</v>
      </c>
      <c r="C1525">
        <v>1</v>
      </c>
      <c r="D1525">
        <v>2023</v>
      </c>
      <c r="E1525">
        <v>15</v>
      </c>
      <c r="F1525" t="str">
        <f>IFERROR(VLOOKUP(G1525, Map!$A$1:$B$33, 2, FALSE),"WAS")</f>
        <v>LV</v>
      </c>
      <c r="G1525" t="s">
        <v>157</v>
      </c>
      <c r="H1525" t="str">
        <f>IFERROR(VLOOKUP(I1525, Map!$A$1:$B$33, 2, FALSE),"WAS")</f>
        <v>LAC</v>
      </c>
      <c r="I1525" t="s">
        <v>160</v>
      </c>
      <c r="J1525" t="s">
        <v>179</v>
      </c>
      <c r="K1525" t="s">
        <v>210</v>
      </c>
      <c r="L1525">
        <v>1</v>
      </c>
      <c r="M1525">
        <v>0</v>
      </c>
      <c r="N1525">
        <v>36</v>
      </c>
      <c r="O1525">
        <v>-6.1538461538461497</v>
      </c>
      <c r="P1525">
        <v>1</v>
      </c>
      <c r="Q1525">
        <v>0</v>
      </c>
      <c r="R1525">
        <v>11.1</v>
      </c>
      <c r="S1525">
        <v>16.3</v>
      </c>
      <c r="T1525">
        <v>7.1</v>
      </c>
      <c r="U1525">
        <v>7.6</v>
      </c>
      <c r="V1525">
        <v>0</v>
      </c>
      <c r="W1525">
        <v>0</v>
      </c>
      <c r="X1525">
        <v>0</v>
      </c>
      <c r="Y1525">
        <v>0</v>
      </c>
      <c r="Z1525">
        <v>6.8</v>
      </c>
      <c r="AA1525">
        <v>13.3</v>
      </c>
      <c r="AB1525">
        <v>268</v>
      </c>
      <c r="AC1525">
        <v>29</v>
      </c>
      <c r="AD1525">
        <v>6.7</v>
      </c>
      <c r="AE1525">
        <v>3.4</v>
      </c>
      <c r="AF1525">
        <v>42.581000000000003</v>
      </c>
      <c r="AG1525">
        <v>28.291</v>
      </c>
      <c r="AH1525">
        <v>57.076999999999998</v>
      </c>
      <c r="AI1525">
        <v>98.396000000000001</v>
      </c>
      <c r="AJ1525">
        <v>94.992000000000004</v>
      </c>
      <c r="AK1525">
        <v>99.662000000000006</v>
      </c>
      <c r="AL1525">
        <v>-2.4159999999999999</v>
      </c>
      <c r="AM1525">
        <v>57.076999999999998</v>
      </c>
      <c r="AN1525">
        <v>28.291</v>
      </c>
      <c r="AO1525">
        <v>42.581000000000003</v>
      </c>
      <c r="AP1525">
        <v>2.4159999999999999</v>
      </c>
      <c r="AQ1525">
        <v>5.008</v>
      </c>
      <c r="AR1525">
        <v>1.6040000000000001</v>
      </c>
      <c r="AS1525">
        <v>0.33800000000000002</v>
      </c>
    </row>
    <row r="1526" spans="1:45" x14ac:dyDescent="0.25">
      <c r="A1526">
        <v>51</v>
      </c>
      <c r="B1526">
        <v>3</v>
      </c>
      <c r="C1526">
        <v>1</v>
      </c>
      <c r="D1526">
        <v>2023</v>
      </c>
      <c r="E1526">
        <v>15</v>
      </c>
      <c r="F1526" t="str">
        <f>IFERROR(VLOOKUP(G1526, Map!$A$1:$B$33, 2, FALSE),"WAS")</f>
        <v>CIN</v>
      </c>
      <c r="G1526" t="s">
        <v>161</v>
      </c>
      <c r="H1526" t="str">
        <f>IFERROR(VLOOKUP(I1526, Map!$A$1:$B$33, 2, FALSE),"WAS")</f>
        <v>MIN</v>
      </c>
      <c r="I1526" t="s">
        <v>153</v>
      </c>
      <c r="J1526" t="s">
        <v>176</v>
      </c>
      <c r="K1526" t="s">
        <v>214</v>
      </c>
      <c r="L1526">
        <v>1</v>
      </c>
      <c r="M1526">
        <v>0</v>
      </c>
      <c r="N1526">
        <v>35.892857142857103</v>
      </c>
      <c r="O1526">
        <v>-3.0714285714285698</v>
      </c>
      <c r="P1526">
        <v>-2.5</v>
      </c>
      <c r="Q1526">
        <v>0</v>
      </c>
      <c r="R1526">
        <v>5.5</v>
      </c>
      <c r="S1526">
        <v>12.8</v>
      </c>
      <c r="T1526">
        <v>1.5</v>
      </c>
      <c r="U1526">
        <v>1.9</v>
      </c>
      <c r="V1526">
        <v>0</v>
      </c>
      <c r="W1526">
        <v>0</v>
      </c>
      <c r="X1526">
        <v>0</v>
      </c>
      <c r="Y1526">
        <v>0</v>
      </c>
      <c r="Z1526">
        <v>13.7</v>
      </c>
      <c r="AA1526">
        <v>24.5</v>
      </c>
      <c r="AB1526">
        <v>131</v>
      </c>
      <c r="AC1526">
        <v>68</v>
      </c>
      <c r="AD1526">
        <v>19.3</v>
      </c>
      <c r="AE1526">
        <v>10</v>
      </c>
      <c r="AF1526">
        <v>56.567</v>
      </c>
      <c r="AG1526">
        <v>41.11</v>
      </c>
      <c r="AH1526">
        <v>43.087000000000003</v>
      </c>
      <c r="AI1526">
        <v>37.819000000000003</v>
      </c>
      <c r="AJ1526">
        <v>65.760000000000005</v>
      </c>
      <c r="AK1526">
        <v>53.878</v>
      </c>
      <c r="AL1526">
        <v>2.2450000000000001</v>
      </c>
      <c r="AM1526">
        <v>43.087000000000003</v>
      </c>
      <c r="AN1526">
        <v>41.11</v>
      </c>
      <c r="AO1526">
        <v>56.567</v>
      </c>
      <c r="AP1526">
        <v>-2.2450000000000001</v>
      </c>
      <c r="AQ1526">
        <v>34.24</v>
      </c>
      <c r="AR1526">
        <v>62.180999999999997</v>
      </c>
      <c r="AS1526">
        <v>46.122</v>
      </c>
    </row>
    <row r="1527" spans="1:45" x14ac:dyDescent="0.25">
      <c r="A1527">
        <v>16</v>
      </c>
      <c r="B1527">
        <v>2</v>
      </c>
      <c r="C1527">
        <v>1</v>
      </c>
      <c r="D1527">
        <v>2023</v>
      </c>
      <c r="E1527">
        <v>15</v>
      </c>
      <c r="F1527" t="str">
        <f>IFERROR(VLOOKUP(G1527, Map!$A$1:$B$33, 2, FALSE),"WAS")</f>
        <v>CAR</v>
      </c>
      <c r="G1527" t="s">
        <v>142</v>
      </c>
      <c r="H1527" t="str">
        <f>IFERROR(VLOOKUP(I1527, Map!$A$1:$B$33, 2, FALSE),"WAS")</f>
        <v>ATL</v>
      </c>
      <c r="I1527" t="s">
        <v>167</v>
      </c>
      <c r="J1527" t="s">
        <v>185</v>
      </c>
      <c r="K1527" t="s">
        <v>188</v>
      </c>
      <c r="L1527">
        <v>1</v>
      </c>
      <c r="M1527">
        <v>0</v>
      </c>
      <c r="N1527">
        <v>27.75</v>
      </c>
      <c r="O1527">
        <v>2.46428571428571</v>
      </c>
      <c r="P1527">
        <v>-1.5</v>
      </c>
      <c r="Q1527">
        <v>0</v>
      </c>
      <c r="R1527">
        <v>7.8</v>
      </c>
      <c r="S1527">
        <v>9</v>
      </c>
      <c r="T1527">
        <v>6.3</v>
      </c>
      <c r="U1527">
        <v>4</v>
      </c>
      <c r="V1527">
        <v>46</v>
      </c>
      <c r="W1527">
        <v>0</v>
      </c>
      <c r="X1527">
        <v>16</v>
      </c>
      <c r="Y1527">
        <v>46</v>
      </c>
      <c r="Z1527">
        <v>28.8</v>
      </c>
      <c r="AA1527">
        <v>50.8</v>
      </c>
      <c r="AB1527">
        <v>36</v>
      </c>
      <c r="AC1527">
        <v>82</v>
      </c>
      <c r="AD1527">
        <v>31.1</v>
      </c>
      <c r="AE1527">
        <v>17.8</v>
      </c>
      <c r="AF1527">
        <v>33.319000000000003</v>
      </c>
      <c r="AG1527">
        <v>8.0239999999999991</v>
      </c>
      <c r="AH1527">
        <v>66.412999999999997</v>
      </c>
      <c r="AI1527">
        <v>89.7</v>
      </c>
      <c r="AJ1527">
        <v>17.53</v>
      </c>
      <c r="AK1527">
        <v>53.735999999999997</v>
      </c>
      <c r="AL1527">
        <v>-5.6539999999999999</v>
      </c>
      <c r="AM1527">
        <v>66.412999999999997</v>
      </c>
      <c r="AN1527">
        <v>8.0239999999999991</v>
      </c>
      <c r="AO1527">
        <v>33.319000000000003</v>
      </c>
      <c r="AP1527">
        <v>5.6539999999999999</v>
      </c>
      <c r="AQ1527">
        <v>82.47</v>
      </c>
      <c r="AR1527">
        <v>10.3</v>
      </c>
      <c r="AS1527">
        <v>46.264000000000003</v>
      </c>
    </row>
    <row r="1528" spans="1:45" x14ac:dyDescent="0.25">
      <c r="A1528">
        <v>41</v>
      </c>
      <c r="B1528">
        <v>21</v>
      </c>
      <c r="C1528">
        <v>1</v>
      </c>
      <c r="D1528">
        <v>2023</v>
      </c>
      <c r="E1528">
        <v>15</v>
      </c>
      <c r="F1528" t="str">
        <f>IFERROR(VLOOKUP(G1528, Map!$A$1:$B$33, 2, FALSE),"WAS")</f>
        <v>BUF</v>
      </c>
      <c r="G1528" t="s">
        <v>165</v>
      </c>
      <c r="H1528" t="str">
        <f>IFERROR(VLOOKUP(I1528, Map!$A$1:$B$33, 2, FALSE),"WAS")</f>
        <v>DAL</v>
      </c>
      <c r="I1528" t="s">
        <v>150</v>
      </c>
      <c r="J1528" t="s">
        <v>180</v>
      </c>
      <c r="K1528" t="s">
        <v>184</v>
      </c>
      <c r="L1528">
        <v>1</v>
      </c>
      <c r="M1528">
        <v>0</v>
      </c>
      <c r="N1528">
        <v>41.607142857142897</v>
      </c>
      <c r="O1528">
        <v>-4.1785714285714297</v>
      </c>
      <c r="P1528">
        <v>-2</v>
      </c>
      <c r="Q1528">
        <v>0</v>
      </c>
      <c r="R1528">
        <v>8</v>
      </c>
      <c r="S1528">
        <v>9.1</v>
      </c>
      <c r="T1528">
        <v>6.5</v>
      </c>
      <c r="U1528">
        <v>4.3</v>
      </c>
      <c r="V1528">
        <v>49.6</v>
      </c>
      <c r="W1528">
        <v>0</v>
      </c>
      <c r="X1528">
        <v>16</v>
      </c>
      <c r="Y1528">
        <v>49.6</v>
      </c>
      <c r="Z1528">
        <v>29.3</v>
      </c>
      <c r="AA1528">
        <v>53.6</v>
      </c>
      <c r="AB1528">
        <v>36</v>
      </c>
      <c r="AC1528">
        <v>83</v>
      </c>
      <c r="AD1528">
        <v>32.4</v>
      </c>
      <c r="AE1528">
        <v>18</v>
      </c>
      <c r="AF1528">
        <v>49.639000000000003</v>
      </c>
      <c r="AG1528">
        <v>93.968000000000004</v>
      </c>
      <c r="AH1528">
        <v>49.963000000000001</v>
      </c>
      <c r="AI1528">
        <v>78.039000000000001</v>
      </c>
      <c r="AJ1528">
        <v>87.376000000000005</v>
      </c>
      <c r="AK1528">
        <v>94.361000000000004</v>
      </c>
      <c r="AL1528">
        <v>-5.3999999999999999E-2</v>
      </c>
      <c r="AM1528">
        <v>49.963000000000001</v>
      </c>
      <c r="AN1528">
        <v>93.968000000000004</v>
      </c>
      <c r="AO1528">
        <v>49.639000000000003</v>
      </c>
      <c r="AP1528">
        <v>5.3999999999999999E-2</v>
      </c>
      <c r="AQ1528">
        <v>12.624000000000001</v>
      </c>
      <c r="AR1528">
        <v>21.960999999999999</v>
      </c>
      <c r="AS1528">
        <v>5.6390000000000002</v>
      </c>
    </row>
    <row r="1529" spans="1:45" x14ac:dyDescent="0.25">
      <c r="A1529">
        <v>30</v>
      </c>
      <c r="B1529">
        <v>30</v>
      </c>
      <c r="C1529">
        <v>1</v>
      </c>
      <c r="D1529">
        <v>2023</v>
      </c>
      <c r="E1529">
        <v>15</v>
      </c>
      <c r="F1529" t="str">
        <f>IFERROR(VLOOKUP(G1529, Map!$A$1:$B$33, 2, FALSE),"WAS")</f>
        <v>MIA</v>
      </c>
      <c r="G1529" t="s">
        <v>152</v>
      </c>
      <c r="H1529" t="str">
        <f>IFERROR(VLOOKUP(I1529, Map!$A$1:$B$33, 2, FALSE),"WAS")</f>
        <v>NYJ</v>
      </c>
      <c r="I1529" t="s">
        <v>166</v>
      </c>
      <c r="J1529" t="s">
        <v>175</v>
      </c>
      <c r="K1529" t="s">
        <v>172</v>
      </c>
      <c r="L1529">
        <v>1</v>
      </c>
      <c r="M1529">
        <v>0</v>
      </c>
      <c r="N1529">
        <v>30.8571428571429</v>
      </c>
      <c r="O1529">
        <v>-8.1071428571428594</v>
      </c>
      <c r="P1529">
        <v>-2</v>
      </c>
      <c r="Q1529">
        <v>0</v>
      </c>
      <c r="R1529">
        <v>22.7</v>
      </c>
      <c r="S1529">
        <v>25.2</v>
      </c>
      <c r="T1529">
        <v>20.6</v>
      </c>
      <c r="U1529">
        <v>22.7</v>
      </c>
      <c r="V1529">
        <v>30.8</v>
      </c>
      <c r="W1529">
        <v>0</v>
      </c>
      <c r="X1529">
        <v>16</v>
      </c>
      <c r="Y1529">
        <v>30.8</v>
      </c>
      <c r="Z1529">
        <v>36.9</v>
      </c>
      <c r="AA1529">
        <v>65.2</v>
      </c>
      <c r="AB1529">
        <v>200</v>
      </c>
      <c r="AC1529">
        <v>84</v>
      </c>
      <c r="AD1529">
        <v>50.7</v>
      </c>
      <c r="AE1529">
        <v>26.5</v>
      </c>
      <c r="AF1529">
        <v>80.314999999999998</v>
      </c>
      <c r="AG1529">
        <v>49.524999999999999</v>
      </c>
      <c r="AH1529">
        <v>19.527999999999999</v>
      </c>
      <c r="AI1529">
        <v>99.701999999999998</v>
      </c>
      <c r="AJ1529">
        <v>58.112000000000002</v>
      </c>
      <c r="AK1529">
        <v>98.421999999999997</v>
      </c>
      <c r="AL1529">
        <v>11.319000000000001</v>
      </c>
      <c r="AM1529">
        <v>19.527999999999999</v>
      </c>
      <c r="AN1529">
        <v>49.524999999999999</v>
      </c>
      <c r="AO1529">
        <v>80.314999999999998</v>
      </c>
      <c r="AP1529">
        <v>-11.319000000000001</v>
      </c>
      <c r="AQ1529">
        <v>41.887999999999998</v>
      </c>
      <c r="AR1529">
        <v>0.29799999999999999</v>
      </c>
      <c r="AS1529">
        <v>1.5780000000000001</v>
      </c>
    </row>
    <row r="1530" spans="1:45" x14ac:dyDescent="0.25">
      <c r="A1530">
        <v>37</v>
      </c>
      <c r="B1530">
        <v>3</v>
      </c>
      <c r="C1530">
        <v>1</v>
      </c>
      <c r="D1530">
        <v>2023</v>
      </c>
      <c r="E1530">
        <v>15</v>
      </c>
      <c r="F1530" t="str">
        <f>IFERROR(VLOOKUP(G1530, Map!$A$1:$B$33, 2, FALSE),"WAS")</f>
        <v>SEA</v>
      </c>
      <c r="G1530" t="s">
        <v>144</v>
      </c>
      <c r="H1530" t="str">
        <f>IFERROR(VLOOKUP(I1530, Map!$A$1:$B$33, 2, FALSE),"WAS")</f>
        <v>PHI</v>
      </c>
      <c r="I1530" t="s">
        <v>147</v>
      </c>
      <c r="J1530" t="s">
        <v>182</v>
      </c>
      <c r="K1530" t="s">
        <v>206</v>
      </c>
      <c r="L1530">
        <v>1</v>
      </c>
      <c r="M1530">
        <v>0</v>
      </c>
      <c r="N1530">
        <v>39.357142857142897</v>
      </c>
      <c r="O1530">
        <v>3.6785714285714302</v>
      </c>
      <c r="P1530">
        <v>2</v>
      </c>
      <c r="Q1530">
        <v>0</v>
      </c>
      <c r="R1530">
        <v>7.7</v>
      </c>
      <c r="S1530">
        <v>8.9</v>
      </c>
      <c r="T1530">
        <v>6</v>
      </c>
      <c r="U1530">
        <v>5.3</v>
      </c>
      <c r="V1530">
        <v>7.5</v>
      </c>
      <c r="W1530">
        <v>0</v>
      </c>
      <c r="X1530">
        <v>11</v>
      </c>
      <c r="Y1530">
        <v>7.5</v>
      </c>
      <c r="Z1530">
        <v>15.5</v>
      </c>
      <c r="AA1530">
        <v>23.8</v>
      </c>
      <c r="AB1530">
        <v>98</v>
      </c>
      <c r="AC1530">
        <v>83</v>
      </c>
      <c r="AD1530">
        <v>13.1</v>
      </c>
      <c r="AE1530">
        <v>7.5</v>
      </c>
      <c r="AF1530">
        <v>41.899000000000001</v>
      </c>
      <c r="AG1530">
        <v>59.851999999999997</v>
      </c>
      <c r="AH1530">
        <v>57.765000000000001</v>
      </c>
      <c r="AI1530">
        <v>45.174999999999997</v>
      </c>
      <c r="AJ1530">
        <v>63.758000000000003</v>
      </c>
      <c r="AK1530">
        <v>54.131</v>
      </c>
      <c r="AL1530">
        <v>-2.6480000000000001</v>
      </c>
      <c r="AM1530">
        <v>57.765000000000001</v>
      </c>
      <c r="AN1530">
        <v>59.851999999999997</v>
      </c>
      <c r="AO1530">
        <v>41.899000000000001</v>
      </c>
      <c r="AP1530">
        <v>2.6480000000000001</v>
      </c>
      <c r="AQ1530">
        <v>36.241999999999997</v>
      </c>
      <c r="AR1530">
        <v>54.825000000000003</v>
      </c>
      <c r="AS1530">
        <v>45.869</v>
      </c>
    </row>
    <row r="1531" spans="1:45" x14ac:dyDescent="0.25">
      <c r="A1531">
        <v>54</v>
      </c>
      <c r="B1531">
        <v>-14</v>
      </c>
      <c r="C1531">
        <v>0</v>
      </c>
      <c r="D1531">
        <v>2023</v>
      </c>
      <c r="E1531">
        <v>15</v>
      </c>
      <c r="F1531" t="str">
        <f>IFERROR(VLOOKUP(G1531, Map!$A$1:$B$33, 2, FALSE),"WAS")</f>
        <v>GB</v>
      </c>
      <c r="G1531" t="s">
        <v>154</v>
      </c>
      <c r="H1531" t="str">
        <f>IFERROR(VLOOKUP(I1531, Map!$A$1:$B$33, 2, FALSE),"WAS")</f>
        <v>TB</v>
      </c>
      <c r="I1531" t="s">
        <v>141</v>
      </c>
      <c r="J1531" t="s">
        <v>200</v>
      </c>
      <c r="K1531" t="s">
        <v>186</v>
      </c>
      <c r="L1531">
        <v>0</v>
      </c>
      <c r="M1531">
        <v>0</v>
      </c>
      <c r="N1531">
        <v>35.607142857142897</v>
      </c>
      <c r="O1531">
        <v>-3.4285714285714302</v>
      </c>
      <c r="P1531">
        <v>-2.5</v>
      </c>
      <c r="Q1531">
        <v>0</v>
      </c>
      <c r="R1531">
        <v>4.3</v>
      </c>
      <c r="S1531">
        <v>5</v>
      </c>
      <c r="T1531">
        <v>3.1</v>
      </c>
      <c r="U1531">
        <v>0.9</v>
      </c>
      <c r="V1531">
        <v>0.6</v>
      </c>
      <c r="W1531">
        <v>0</v>
      </c>
      <c r="X1531">
        <v>5</v>
      </c>
      <c r="Y1531">
        <v>0.6</v>
      </c>
      <c r="Z1531">
        <v>17</v>
      </c>
      <c r="AA1531">
        <v>34.9</v>
      </c>
      <c r="AB1531">
        <v>221</v>
      </c>
      <c r="AC1531">
        <v>93</v>
      </c>
      <c r="AD1531">
        <v>22.7</v>
      </c>
      <c r="AE1531">
        <v>12.3</v>
      </c>
      <c r="AF1531">
        <v>56.152000000000001</v>
      </c>
      <c r="AG1531">
        <v>57.344000000000001</v>
      </c>
      <c r="AH1531">
        <v>43.499000000000002</v>
      </c>
      <c r="AI1531">
        <v>12.868</v>
      </c>
      <c r="AJ1531">
        <v>58.481999999999999</v>
      </c>
      <c r="AK1531">
        <v>21.756</v>
      </c>
      <c r="AL1531">
        <v>2.1059999999999999</v>
      </c>
      <c r="AM1531">
        <v>43.499000000000002</v>
      </c>
      <c r="AN1531">
        <v>57.344000000000001</v>
      </c>
      <c r="AO1531">
        <v>56.152000000000001</v>
      </c>
      <c r="AP1531">
        <v>-2.1059999999999999</v>
      </c>
      <c r="AQ1531">
        <v>41.518000000000001</v>
      </c>
      <c r="AR1531">
        <v>87.132000000000005</v>
      </c>
      <c r="AS1531">
        <v>78.244</v>
      </c>
    </row>
    <row r="1532" spans="1:45" x14ac:dyDescent="0.25">
      <c r="A1532">
        <v>30</v>
      </c>
      <c r="B1532">
        <v>18</v>
      </c>
      <c r="C1532">
        <v>1</v>
      </c>
      <c r="D1532">
        <v>2023</v>
      </c>
      <c r="E1532">
        <v>15</v>
      </c>
      <c r="F1532" t="str">
        <f>IFERROR(VLOOKUP(G1532, Map!$A$1:$B$33, 2, FALSE),"WAS")</f>
        <v>NO</v>
      </c>
      <c r="G1532" t="s">
        <v>168</v>
      </c>
      <c r="H1532" t="str">
        <f>IFERROR(VLOOKUP(I1532, Map!$A$1:$B$33, 2, FALSE),"WAS")</f>
        <v>NYG</v>
      </c>
      <c r="I1532" t="s">
        <v>149</v>
      </c>
      <c r="J1532" t="s">
        <v>192</v>
      </c>
      <c r="K1532" t="s">
        <v>219</v>
      </c>
      <c r="L1532">
        <v>1</v>
      </c>
      <c r="M1532">
        <v>0</v>
      </c>
      <c r="N1532">
        <v>33.107142857142897</v>
      </c>
      <c r="O1532">
        <v>-5.28571428571429</v>
      </c>
      <c r="P1532">
        <v>-2.5</v>
      </c>
      <c r="Q1532">
        <v>0</v>
      </c>
      <c r="R1532">
        <v>13.7</v>
      </c>
      <c r="S1532">
        <v>15.2</v>
      </c>
      <c r="T1532">
        <v>12.8</v>
      </c>
      <c r="U1532">
        <v>11.2</v>
      </c>
      <c r="V1532">
        <v>5.8</v>
      </c>
      <c r="W1532">
        <v>0</v>
      </c>
      <c r="X1532">
        <v>5</v>
      </c>
      <c r="Y1532">
        <v>5.8</v>
      </c>
      <c r="Z1532">
        <v>22.9</v>
      </c>
      <c r="AA1532">
        <v>41</v>
      </c>
      <c r="AB1532">
        <v>336</v>
      </c>
      <c r="AC1532">
        <v>86</v>
      </c>
      <c r="AD1532">
        <v>35.799999999999997</v>
      </c>
      <c r="AE1532">
        <v>20.2</v>
      </c>
      <c r="AF1532">
        <v>79.477000000000004</v>
      </c>
      <c r="AG1532">
        <v>44.454999999999998</v>
      </c>
      <c r="AH1532">
        <v>20.359000000000002</v>
      </c>
      <c r="AI1532">
        <v>89.103999999999999</v>
      </c>
      <c r="AJ1532">
        <v>71.213999999999999</v>
      </c>
      <c r="AK1532">
        <v>84.412999999999997</v>
      </c>
      <c r="AL1532">
        <v>10.925000000000001</v>
      </c>
      <c r="AM1532">
        <v>20.359000000000002</v>
      </c>
      <c r="AN1532">
        <v>44.454999999999998</v>
      </c>
      <c r="AO1532">
        <v>79.477000000000004</v>
      </c>
      <c r="AP1532">
        <v>-10.925000000000001</v>
      </c>
      <c r="AQ1532">
        <v>28.786000000000001</v>
      </c>
      <c r="AR1532">
        <v>10.896000000000001</v>
      </c>
      <c r="AS1532">
        <v>15.587</v>
      </c>
    </row>
    <row r="1533" spans="1:45" x14ac:dyDescent="0.25">
      <c r="A1533">
        <v>43</v>
      </c>
      <c r="B1533">
        <v>17</v>
      </c>
      <c r="C1533">
        <v>1</v>
      </c>
      <c r="D1533">
        <v>2023</v>
      </c>
      <c r="E1533">
        <v>15</v>
      </c>
      <c r="F1533" t="str">
        <f>IFERROR(VLOOKUP(G1533, Map!$A$1:$B$33, 2, FALSE),"WAS")</f>
        <v>IND</v>
      </c>
      <c r="G1533" t="s">
        <v>138</v>
      </c>
      <c r="H1533" t="str">
        <f>IFERROR(VLOOKUP(I1533, Map!$A$1:$B$33, 2, FALSE),"WAS")</f>
        <v>PIT</v>
      </c>
      <c r="I1533" t="s">
        <v>145</v>
      </c>
      <c r="J1533" t="s">
        <v>177</v>
      </c>
      <c r="K1533" t="s">
        <v>170</v>
      </c>
      <c r="L1533">
        <v>1</v>
      </c>
      <c r="M1533">
        <v>0</v>
      </c>
      <c r="N1533">
        <v>36.6</v>
      </c>
      <c r="O1533">
        <v>-2.7</v>
      </c>
      <c r="P1533">
        <v>-1</v>
      </c>
      <c r="Q1533">
        <v>0</v>
      </c>
      <c r="R1533">
        <v>5.9</v>
      </c>
      <c r="S1533">
        <v>10</v>
      </c>
      <c r="T1533">
        <v>3.3</v>
      </c>
      <c r="U1533">
        <v>1.7</v>
      </c>
      <c r="V1533">
        <v>3.5</v>
      </c>
      <c r="W1533">
        <v>0</v>
      </c>
      <c r="X1533">
        <v>4</v>
      </c>
      <c r="Y1533">
        <v>3.5</v>
      </c>
      <c r="Z1533">
        <v>16.399999999999999</v>
      </c>
      <c r="AA1533">
        <v>33.1</v>
      </c>
      <c r="AB1533">
        <v>139</v>
      </c>
      <c r="AC1533">
        <v>60</v>
      </c>
      <c r="AD1533">
        <v>23.8</v>
      </c>
      <c r="AE1533">
        <v>12.9</v>
      </c>
      <c r="AF1533">
        <v>43.567999999999998</v>
      </c>
      <c r="AG1533">
        <v>34.268000000000001</v>
      </c>
      <c r="AH1533">
        <v>56.082000000000001</v>
      </c>
      <c r="AI1533">
        <v>90.748000000000005</v>
      </c>
      <c r="AJ1533">
        <v>77.236000000000004</v>
      </c>
      <c r="AK1533">
        <v>80.668000000000006</v>
      </c>
      <c r="AL1533">
        <v>-2.0830000000000002</v>
      </c>
      <c r="AM1533">
        <v>56.082000000000001</v>
      </c>
      <c r="AN1533">
        <v>34.268000000000001</v>
      </c>
      <c r="AO1533">
        <v>43.567999999999998</v>
      </c>
      <c r="AP1533">
        <v>2.0830000000000002</v>
      </c>
      <c r="AQ1533">
        <v>22.763999999999999</v>
      </c>
      <c r="AR1533">
        <v>9.2520000000000007</v>
      </c>
      <c r="AS1533">
        <v>19.332000000000001</v>
      </c>
    </row>
    <row r="1534" spans="1:45" x14ac:dyDescent="0.25">
      <c r="A1534">
        <v>74</v>
      </c>
      <c r="B1534">
        <v>-16</v>
      </c>
      <c r="C1534">
        <v>0</v>
      </c>
      <c r="D1534">
        <v>2023</v>
      </c>
      <c r="E1534">
        <v>15</v>
      </c>
      <c r="F1534" t="str">
        <f>IFERROR(VLOOKUP(G1534, Map!$A$1:$B$33, 2, FALSE),"WAS")</f>
        <v>ARI</v>
      </c>
      <c r="G1534" t="s">
        <v>156</v>
      </c>
      <c r="H1534" t="str">
        <f>IFERROR(VLOOKUP(I1534, Map!$A$1:$B$33, 2, FALSE),"WAS")</f>
        <v>SF</v>
      </c>
      <c r="I1534" t="s">
        <v>143</v>
      </c>
      <c r="J1534" t="s">
        <v>190</v>
      </c>
      <c r="K1534" t="s">
        <v>197</v>
      </c>
      <c r="L1534">
        <v>0</v>
      </c>
      <c r="M1534">
        <v>0</v>
      </c>
      <c r="N1534">
        <v>42.571428571428598</v>
      </c>
      <c r="O1534">
        <v>11.964285714285699</v>
      </c>
      <c r="P1534">
        <v>6</v>
      </c>
      <c r="Q1534">
        <v>0</v>
      </c>
      <c r="R1534">
        <v>16.3</v>
      </c>
      <c r="S1534">
        <v>23.8</v>
      </c>
      <c r="T1534">
        <v>10.5</v>
      </c>
      <c r="U1534">
        <v>13.4</v>
      </c>
      <c r="V1534">
        <v>0</v>
      </c>
      <c r="W1534">
        <v>0</v>
      </c>
      <c r="X1534">
        <v>0</v>
      </c>
      <c r="Y1534">
        <v>0</v>
      </c>
      <c r="Z1534">
        <v>6.2</v>
      </c>
      <c r="AA1534">
        <v>19.100000000000001</v>
      </c>
      <c r="AB1534">
        <v>7</v>
      </c>
      <c r="AC1534">
        <v>28</v>
      </c>
      <c r="AD1534">
        <v>10.5</v>
      </c>
      <c r="AE1534">
        <v>3</v>
      </c>
      <c r="AF1534">
        <v>14.788</v>
      </c>
      <c r="AG1534">
        <v>69.927000000000007</v>
      </c>
      <c r="AH1534">
        <v>85.093000000000004</v>
      </c>
      <c r="AI1534">
        <v>3.6</v>
      </c>
      <c r="AJ1534">
        <v>34.302</v>
      </c>
      <c r="AK1534">
        <v>11.662000000000001</v>
      </c>
      <c r="AL1534">
        <v>-13.795</v>
      </c>
      <c r="AM1534">
        <v>85.093000000000004</v>
      </c>
      <c r="AN1534">
        <v>69.927000000000007</v>
      </c>
      <c r="AO1534">
        <v>14.788</v>
      </c>
      <c r="AP1534">
        <v>13.795</v>
      </c>
      <c r="AQ1534">
        <v>65.697999999999993</v>
      </c>
      <c r="AR1534">
        <v>96.4</v>
      </c>
      <c r="AS1534">
        <v>88.337999999999994</v>
      </c>
    </row>
    <row r="1535" spans="1:45" x14ac:dyDescent="0.25">
      <c r="A1535">
        <v>37</v>
      </c>
      <c r="B1535">
        <v>3</v>
      </c>
      <c r="C1535">
        <v>1</v>
      </c>
      <c r="D1535">
        <v>2023</v>
      </c>
      <c r="E1535">
        <v>15</v>
      </c>
      <c r="F1535" t="str">
        <f>IFERROR(VLOOKUP(G1535, Map!$A$1:$B$33, 2, FALSE),"WAS")</f>
        <v>CLE</v>
      </c>
      <c r="G1535" t="s">
        <v>162</v>
      </c>
      <c r="H1535" t="str">
        <f>IFERROR(VLOOKUP(I1535, Map!$A$1:$B$33, 2, FALSE),"WAS")</f>
        <v>CHI</v>
      </c>
      <c r="I1535" t="s">
        <v>163</v>
      </c>
      <c r="J1535" t="s">
        <v>171</v>
      </c>
      <c r="K1535" t="s">
        <v>216</v>
      </c>
      <c r="L1535">
        <v>1</v>
      </c>
      <c r="M1535">
        <v>0</v>
      </c>
      <c r="N1535">
        <v>32.464285714285701</v>
      </c>
      <c r="O1535">
        <v>-2.6428571428571401</v>
      </c>
      <c r="P1535">
        <v>-2.5</v>
      </c>
      <c r="Q1535">
        <v>0</v>
      </c>
      <c r="R1535">
        <v>7.4</v>
      </c>
      <c r="S1535">
        <v>8.8000000000000007</v>
      </c>
      <c r="T1535">
        <v>6</v>
      </c>
      <c r="U1535">
        <v>1.8</v>
      </c>
      <c r="V1535">
        <v>8.3000000000000007</v>
      </c>
      <c r="W1535">
        <v>0</v>
      </c>
      <c r="X1535">
        <v>12</v>
      </c>
      <c r="Y1535">
        <v>8.3000000000000007</v>
      </c>
      <c r="Z1535">
        <v>33.6</v>
      </c>
      <c r="AA1535">
        <v>45.7</v>
      </c>
      <c r="AB1535">
        <v>162</v>
      </c>
      <c r="AC1535">
        <v>71</v>
      </c>
      <c r="AD1535">
        <v>35.1</v>
      </c>
      <c r="AE1535">
        <v>26.7</v>
      </c>
      <c r="AF1535">
        <v>56.997999999999998</v>
      </c>
      <c r="AG1535">
        <v>40.908000000000001</v>
      </c>
      <c r="AH1535">
        <v>42.66</v>
      </c>
      <c r="AI1535">
        <v>90.772999999999996</v>
      </c>
      <c r="AJ1535">
        <v>4.7460000000000004</v>
      </c>
      <c r="AK1535">
        <v>52.124000000000002</v>
      </c>
      <c r="AL1535">
        <v>2.39</v>
      </c>
      <c r="AM1535">
        <v>42.66</v>
      </c>
      <c r="AN1535">
        <v>40.908000000000001</v>
      </c>
      <c r="AO1535">
        <v>56.997999999999998</v>
      </c>
      <c r="AP1535">
        <v>-2.39</v>
      </c>
      <c r="AQ1535">
        <v>95.254000000000005</v>
      </c>
      <c r="AR1535">
        <v>9.2270000000000003</v>
      </c>
      <c r="AS1535">
        <v>47.875999999999998</v>
      </c>
    </row>
    <row r="1536" spans="1:45" x14ac:dyDescent="0.25">
      <c r="A1536">
        <v>44</v>
      </c>
      <c r="B1536">
        <v>-10</v>
      </c>
      <c r="C1536">
        <v>0</v>
      </c>
      <c r="D1536">
        <v>2023</v>
      </c>
      <c r="E1536">
        <v>15</v>
      </c>
      <c r="F1536" t="str">
        <f>IFERROR(VLOOKUP(G1536, Map!$A$1:$B$33, 2, FALSE),"WAS")</f>
        <v>NE</v>
      </c>
      <c r="G1536" t="s">
        <v>151</v>
      </c>
      <c r="H1536" t="str">
        <f>IFERROR(VLOOKUP(I1536, Map!$A$1:$B$33, 2, FALSE),"WAS")</f>
        <v>KC</v>
      </c>
      <c r="I1536" t="s">
        <v>158</v>
      </c>
      <c r="J1536" t="s">
        <v>187</v>
      </c>
      <c r="K1536" t="s">
        <v>202</v>
      </c>
      <c r="L1536">
        <v>0</v>
      </c>
      <c r="M1536">
        <v>0</v>
      </c>
      <c r="N1536">
        <v>34.178571428571402</v>
      </c>
      <c r="O1536">
        <v>9.3214285714285694</v>
      </c>
      <c r="P1536">
        <v>6</v>
      </c>
      <c r="Q1536">
        <v>0</v>
      </c>
      <c r="R1536">
        <v>4.9000000000000004</v>
      </c>
      <c r="S1536">
        <v>10.3</v>
      </c>
      <c r="T1536">
        <v>1.4</v>
      </c>
      <c r="U1536">
        <v>1.7</v>
      </c>
      <c r="V1536">
        <v>1.7</v>
      </c>
      <c r="W1536">
        <v>0</v>
      </c>
      <c r="X1536">
        <v>1</v>
      </c>
      <c r="Y1536">
        <v>1.7</v>
      </c>
      <c r="Z1536">
        <v>16.8</v>
      </c>
      <c r="AA1536">
        <v>31.7</v>
      </c>
      <c r="AB1536">
        <v>107</v>
      </c>
      <c r="AC1536">
        <v>90</v>
      </c>
      <c r="AD1536">
        <v>22.9</v>
      </c>
      <c r="AE1536">
        <v>11.6</v>
      </c>
      <c r="AF1536">
        <v>21.643999999999998</v>
      </c>
      <c r="AG1536">
        <v>53.460999999999999</v>
      </c>
      <c r="AH1536">
        <v>78.182000000000002</v>
      </c>
      <c r="AI1536">
        <v>47.801000000000002</v>
      </c>
      <c r="AJ1536">
        <v>9.8000000000000007</v>
      </c>
      <c r="AK1536">
        <v>17.425999999999998</v>
      </c>
      <c r="AL1536">
        <v>-10.334</v>
      </c>
      <c r="AM1536">
        <v>78.182000000000002</v>
      </c>
      <c r="AN1536">
        <v>53.460999999999999</v>
      </c>
      <c r="AO1536">
        <v>21.643999999999998</v>
      </c>
      <c r="AP1536">
        <v>10.334</v>
      </c>
      <c r="AQ1536">
        <v>90.2</v>
      </c>
      <c r="AR1536">
        <v>52.198999999999998</v>
      </c>
      <c r="AS1536">
        <v>82.573999999999998</v>
      </c>
    </row>
    <row r="1537" spans="1:45" x14ac:dyDescent="0.25">
      <c r="A1537">
        <v>30</v>
      </c>
      <c r="B1537">
        <v>-16</v>
      </c>
      <c r="C1537">
        <v>0</v>
      </c>
      <c r="D1537">
        <v>2023</v>
      </c>
      <c r="E1537">
        <v>15</v>
      </c>
      <c r="F1537" t="str">
        <f>IFERROR(VLOOKUP(G1537, Map!$A$1:$B$33, 2, FALSE),"WAS")</f>
        <v>JAX</v>
      </c>
      <c r="G1537" t="s">
        <v>139</v>
      </c>
      <c r="H1537" t="str">
        <f>IFERROR(VLOOKUP(I1537, Map!$A$1:$B$33, 2, FALSE),"WAS")</f>
        <v>BAL</v>
      </c>
      <c r="I1537" t="s">
        <v>146</v>
      </c>
      <c r="J1537" t="s">
        <v>220</v>
      </c>
      <c r="K1537" t="s">
        <v>181</v>
      </c>
      <c r="L1537">
        <v>0</v>
      </c>
      <c r="M1537">
        <v>0</v>
      </c>
      <c r="N1537">
        <v>35.566666666666698</v>
      </c>
      <c r="O1537">
        <v>4.8333333333333304</v>
      </c>
      <c r="P1537">
        <v>-1</v>
      </c>
      <c r="Q1537">
        <v>0</v>
      </c>
      <c r="R1537">
        <v>13.7</v>
      </c>
      <c r="S1537">
        <v>16.2</v>
      </c>
      <c r="T1537">
        <v>11</v>
      </c>
      <c r="U1537">
        <v>10.5</v>
      </c>
      <c r="V1537">
        <v>0</v>
      </c>
      <c r="W1537">
        <v>0</v>
      </c>
      <c r="X1537">
        <v>0</v>
      </c>
      <c r="Y1537">
        <v>0</v>
      </c>
      <c r="Z1537">
        <v>24.5</v>
      </c>
      <c r="AA1537">
        <v>42.5</v>
      </c>
      <c r="AB1537">
        <v>278</v>
      </c>
      <c r="AC1537">
        <v>73</v>
      </c>
      <c r="AD1537">
        <v>36.299999999999997</v>
      </c>
      <c r="AE1537">
        <v>19.7</v>
      </c>
      <c r="AF1537">
        <v>36.158000000000001</v>
      </c>
      <c r="AG1537">
        <v>89.912999999999997</v>
      </c>
      <c r="AH1537">
        <v>63.552</v>
      </c>
      <c r="AI1537">
        <v>45.793999999999997</v>
      </c>
      <c r="AJ1537">
        <v>20.102</v>
      </c>
      <c r="AK1537">
        <v>18.597000000000001</v>
      </c>
      <c r="AL1537">
        <v>-4.6340000000000003</v>
      </c>
      <c r="AM1537">
        <v>63.552</v>
      </c>
      <c r="AN1537">
        <v>89.912999999999997</v>
      </c>
      <c r="AO1537">
        <v>36.158000000000001</v>
      </c>
      <c r="AP1537">
        <v>4.6340000000000003</v>
      </c>
      <c r="AQ1537">
        <v>79.897999999999996</v>
      </c>
      <c r="AR1537">
        <v>54.206000000000003</v>
      </c>
      <c r="AS1537">
        <v>81.403000000000006</v>
      </c>
    </row>
    <row r="1538" spans="1:45" x14ac:dyDescent="0.25">
      <c r="A1538">
        <v>58</v>
      </c>
      <c r="B1538">
        <v>2</v>
      </c>
      <c r="C1538">
        <v>1</v>
      </c>
      <c r="D1538">
        <v>2023</v>
      </c>
      <c r="E1538">
        <v>16</v>
      </c>
      <c r="F1538" t="str">
        <f>IFERROR(VLOOKUP(G1538, Map!$A$1:$B$33, 2, FALSE),"WAS")</f>
        <v>NYJ</v>
      </c>
      <c r="G1538" t="s">
        <v>166</v>
      </c>
      <c r="H1538" t="str">
        <f>IFERROR(VLOOKUP(I1538, Map!$A$1:$B$33, 2, FALSE),"WAS")</f>
        <v>WAS</v>
      </c>
      <c r="I1538" t="s">
        <v>148</v>
      </c>
      <c r="J1538" t="s">
        <v>172</v>
      </c>
      <c r="K1538" t="s">
        <v>205</v>
      </c>
      <c r="L1538">
        <v>1</v>
      </c>
      <c r="M1538">
        <v>0</v>
      </c>
      <c r="N1538">
        <v>35.2083333333333</v>
      </c>
      <c r="O1538">
        <v>-3.125</v>
      </c>
      <c r="P1538">
        <v>-2</v>
      </c>
      <c r="Q1538">
        <v>0</v>
      </c>
      <c r="R1538">
        <v>3.8</v>
      </c>
      <c r="S1538">
        <v>8.4</v>
      </c>
      <c r="T1538">
        <v>0.8</v>
      </c>
      <c r="U1538">
        <v>1.5</v>
      </c>
      <c r="V1538">
        <v>0.6</v>
      </c>
      <c r="W1538">
        <v>0</v>
      </c>
      <c r="X1538">
        <v>3</v>
      </c>
      <c r="Y1538">
        <v>0.6</v>
      </c>
      <c r="Z1538">
        <v>8.1999999999999993</v>
      </c>
      <c r="AA1538">
        <v>18.399999999999999</v>
      </c>
      <c r="AB1538">
        <v>9</v>
      </c>
      <c r="AC1538">
        <v>91</v>
      </c>
      <c r="AD1538">
        <v>10</v>
      </c>
      <c r="AE1538">
        <v>4.3</v>
      </c>
      <c r="AF1538">
        <v>51.436999999999998</v>
      </c>
      <c r="AG1538">
        <v>10.66</v>
      </c>
      <c r="AH1538">
        <v>48.176000000000002</v>
      </c>
      <c r="AI1538">
        <v>65.766999999999996</v>
      </c>
      <c r="AJ1538">
        <v>24.658000000000001</v>
      </c>
      <c r="AK1538">
        <v>58.713000000000001</v>
      </c>
      <c r="AL1538">
        <v>0.54</v>
      </c>
      <c r="AM1538">
        <v>48.176000000000002</v>
      </c>
      <c r="AN1538">
        <v>10.66</v>
      </c>
      <c r="AO1538">
        <v>51.436999999999998</v>
      </c>
      <c r="AP1538">
        <v>-0.54</v>
      </c>
      <c r="AQ1538">
        <v>75.341999999999999</v>
      </c>
      <c r="AR1538">
        <v>34.232999999999997</v>
      </c>
      <c r="AS1538">
        <v>41.286999999999999</v>
      </c>
    </row>
    <row r="1539" spans="1:45" x14ac:dyDescent="0.25">
      <c r="A1539">
        <v>37</v>
      </c>
      <c r="B1539">
        <v>-3</v>
      </c>
      <c r="C1539">
        <v>0</v>
      </c>
      <c r="D1539">
        <v>2023</v>
      </c>
      <c r="E1539">
        <v>16</v>
      </c>
      <c r="F1539" t="str">
        <f>IFERROR(VLOOKUP(G1539, Map!$A$1:$B$33, 2, FALSE),"WAS")</f>
        <v>TEN</v>
      </c>
      <c r="G1539" t="s">
        <v>140</v>
      </c>
      <c r="H1539" t="str">
        <f>IFERROR(VLOOKUP(I1539, Map!$A$1:$B$33, 2, FALSE),"WAS")</f>
        <v>SEA</v>
      </c>
      <c r="I1539" t="s">
        <v>144</v>
      </c>
      <c r="J1539" t="s">
        <v>174</v>
      </c>
      <c r="K1539" t="s">
        <v>182</v>
      </c>
      <c r="L1539">
        <v>0</v>
      </c>
      <c r="M1539">
        <v>0</v>
      </c>
      <c r="N1539">
        <v>35.576923076923102</v>
      </c>
      <c r="O1539">
        <v>2.1923076923076898</v>
      </c>
      <c r="P1539">
        <v>2</v>
      </c>
      <c r="Q1539">
        <v>0</v>
      </c>
      <c r="R1539">
        <v>12.8</v>
      </c>
      <c r="S1539">
        <v>19</v>
      </c>
      <c r="T1539">
        <v>10</v>
      </c>
      <c r="U1539">
        <v>11.1</v>
      </c>
      <c r="V1539">
        <v>0.1</v>
      </c>
      <c r="W1539">
        <v>0</v>
      </c>
      <c r="X1539">
        <v>1</v>
      </c>
      <c r="Y1539">
        <v>0.1</v>
      </c>
      <c r="Z1539">
        <v>16.2</v>
      </c>
      <c r="AA1539">
        <v>30.6</v>
      </c>
      <c r="AB1539">
        <v>143</v>
      </c>
      <c r="AC1539">
        <v>79</v>
      </c>
      <c r="AD1539">
        <v>18.2</v>
      </c>
      <c r="AE1539">
        <v>9.9</v>
      </c>
      <c r="AF1539">
        <v>51.792999999999999</v>
      </c>
      <c r="AG1539">
        <v>51.807000000000002</v>
      </c>
      <c r="AH1539">
        <v>47.823</v>
      </c>
      <c r="AI1539">
        <v>26.459</v>
      </c>
      <c r="AJ1539">
        <v>63.374000000000002</v>
      </c>
      <c r="AK1539">
        <v>44.433999999999997</v>
      </c>
      <c r="AL1539">
        <v>0.65800000000000003</v>
      </c>
      <c r="AM1539">
        <v>47.823</v>
      </c>
      <c r="AN1539">
        <v>51.807000000000002</v>
      </c>
      <c r="AO1539">
        <v>51.792999999999999</v>
      </c>
      <c r="AP1539">
        <v>-0.65800000000000003</v>
      </c>
      <c r="AQ1539">
        <v>36.625999999999998</v>
      </c>
      <c r="AR1539">
        <v>73.540999999999997</v>
      </c>
      <c r="AS1539">
        <v>55.566000000000003</v>
      </c>
    </row>
    <row r="1540" spans="1:45" x14ac:dyDescent="0.25">
      <c r="A1540">
        <v>43</v>
      </c>
      <c r="B1540">
        <v>11</v>
      </c>
      <c r="C1540">
        <v>1</v>
      </c>
      <c r="D1540">
        <v>2023</v>
      </c>
      <c r="E1540">
        <v>16</v>
      </c>
      <c r="F1540" t="str">
        <f>IFERROR(VLOOKUP(G1540, Map!$A$1:$B$33, 2, FALSE),"WAS")</f>
        <v>CHI</v>
      </c>
      <c r="G1540" t="s">
        <v>163</v>
      </c>
      <c r="H1540" t="str">
        <f>IFERROR(VLOOKUP(I1540, Map!$A$1:$B$33, 2, FALSE),"WAS")</f>
        <v>ARI</v>
      </c>
      <c r="I1540" t="s">
        <v>156</v>
      </c>
      <c r="J1540" t="s">
        <v>216</v>
      </c>
      <c r="K1540" t="s">
        <v>190</v>
      </c>
      <c r="L1540">
        <v>1</v>
      </c>
      <c r="M1540">
        <v>0</v>
      </c>
      <c r="N1540">
        <v>36.107142857142897</v>
      </c>
      <c r="O1540">
        <v>-5.3571428571428603</v>
      </c>
      <c r="P1540">
        <v>-4.5</v>
      </c>
      <c r="Q1540">
        <v>0</v>
      </c>
      <c r="R1540">
        <v>8.8000000000000007</v>
      </c>
      <c r="S1540">
        <v>13.2</v>
      </c>
      <c r="T1540">
        <v>5.5</v>
      </c>
      <c r="U1540">
        <v>6.4</v>
      </c>
      <c r="V1540">
        <v>0</v>
      </c>
      <c r="W1540">
        <v>0</v>
      </c>
      <c r="X1540">
        <v>0</v>
      </c>
      <c r="Y1540">
        <v>0</v>
      </c>
      <c r="Z1540">
        <v>19.600000000000001</v>
      </c>
      <c r="AA1540">
        <v>31.3</v>
      </c>
      <c r="AB1540">
        <v>153</v>
      </c>
      <c r="AC1540">
        <v>96</v>
      </c>
      <c r="AD1540">
        <v>19.100000000000001</v>
      </c>
      <c r="AE1540">
        <v>12.9</v>
      </c>
      <c r="AF1540">
        <v>61.844999999999999</v>
      </c>
      <c r="AG1540">
        <v>33.773000000000003</v>
      </c>
      <c r="AH1540">
        <v>37.850999999999999</v>
      </c>
      <c r="AI1540">
        <v>81.304000000000002</v>
      </c>
      <c r="AJ1540">
        <v>78.301000000000002</v>
      </c>
      <c r="AK1540">
        <v>84.102999999999994</v>
      </c>
      <c r="AL1540">
        <v>4.0339999999999998</v>
      </c>
      <c r="AM1540">
        <v>37.850999999999999</v>
      </c>
      <c r="AN1540">
        <v>33.773000000000003</v>
      </c>
      <c r="AO1540">
        <v>61.844999999999999</v>
      </c>
      <c r="AP1540">
        <v>-4.0339999999999998</v>
      </c>
      <c r="AQ1540">
        <v>21.699000000000002</v>
      </c>
      <c r="AR1540">
        <v>18.696000000000002</v>
      </c>
      <c r="AS1540">
        <v>15.897</v>
      </c>
    </row>
    <row r="1541" spans="1:45" x14ac:dyDescent="0.25">
      <c r="A1541">
        <v>52</v>
      </c>
      <c r="B1541">
        <v>-14</v>
      </c>
      <c r="C1541">
        <v>0</v>
      </c>
      <c r="D1541">
        <v>2023</v>
      </c>
      <c r="E1541">
        <v>16</v>
      </c>
      <c r="F1541" t="str">
        <f>IFERROR(VLOOKUP(G1541, Map!$A$1:$B$33, 2, FALSE),"WAS")</f>
        <v>SF</v>
      </c>
      <c r="G1541" t="s">
        <v>143</v>
      </c>
      <c r="H1541" t="str">
        <f>IFERROR(VLOOKUP(I1541, Map!$A$1:$B$33, 2, FALSE),"WAS")</f>
        <v>BAL</v>
      </c>
      <c r="I1541" t="s">
        <v>146</v>
      </c>
      <c r="J1541" t="s">
        <v>197</v>
      </c>
      <c r="K1541" t="s">
        <v>181</v>
      </c>
      <c r="L1541">
        <v>0</v>
      </c>
      <c r="M1541">
        <v>0</v>
      </c>
      <c r="N1541">
        <v>40.230769230769198</v>
      </c>
      <c r="O1541">
        <v>-4.1153846153846203</v>
      </c>
      <c r="P1541">
        <v>-3</v>
      </c>
      <c r="Q1541">
        <v>0</v>
      </c>
      <c r="R1541">
        <v>9.9</v>
      </c>
      <c r="S1541">
        <v>14.2</v>
      </c>
      <c r="T1541">
        <v>6.6</v>
      </c>
      <c r="U1541">
        <v>8.4</v>
      </c>
      <c r="V1541">
        <v>0</v>
      </c>
      <c r="W1541">
        <v>0</v>
      </c>
      <c r="X1541">
        <v>0</v>
      </c>
      <c r="Y1541">
        <v>0</v>
      </c>
      <c r="Z1541">
        <v>9.6</v>
      </c>
      <c r="AA1541">
        <v>18.399999999999999</v>
      </c>
      <c r="AB1541">
        <v>29</v>
      </c>
      <c r="AC1541">
        <v>81</v>
      </c>
      <c r="AD1541">
        <v>9.9</v>
      </c>
      <c r="AE1541">
        <v>5.0999999999999996</v>
      </c>
      <c r="AF1541">
        <v>64.480999999999995</v>
      </c>
      <c r="AG1541">
        <v>95.602999999999994</v>
      </c>
      <c r="AH1541">
        <v>35.235999999999997</v>
      </c>
      <c r="AI1541">
        <v>41.395000000000003</v>
      </c>
      <c r="AJ1541">
        <v>9.6959999999999997</v>
      </c>
      <c r="AK1541">
        <v>13.515000000000001</v>
      </c>
      <c r="AL1541">
        <v>4.9550000000000001</v>
      </c>
      <c r="AM1541">
        <v>35.235999999999997</v>
      </c>
      <c r="AN1541">
        <v>95.602999999999994</v>
      </c>
      <c r="AO1541">
        <v>64.480999999999995</v>
      </c>
      <c r="AP1541">
        <v>-4.9550000000000001</v>
      </c>
      <c r="AQ1541">
        <v>90.304000000000002</v>
      </c>
      <c r="AR1541">
        <v>58.604999999999997</v>
      </c>
      <c r="AS1541">
        <v>86.484999999999999</v>
      </c>
    </row>
    <row r="1542" spans="1:45" x14ac:dyDescent="0.25">
      <c r="A1542">
        <v>52</v>
      </c>
      <c r="B1542">
        <v>8</v>
      </c>
      <c r="C1542">
        <v>1</v>
      </c>
      <c r="D1542">
        <v>2023</v>
      </c>
      <c r="E1542">
        <v>16</v>
      </c>
      <c r="F1542" t="str">
        <f>IFERROR(VLOOKUP(G1542, Map!$A$1:$B$33, 2, FALSE),"WAS")</f>
        <v>LA</v>
      </c>
      <c r="G1542" t="s">
        <v>155</v>
      </c>
      <c r="H1542" t="str">
        <f>IFERROR(VLOOKUP(I1542, Map!$A$1:$B$33, 2, FALSE),"WAS")</f>
        <v>NO</v>
      </c>
      <c r="I1542" t="s">
        <v>168</v>
      </c>
      <c r="J1542" t="s">
        <v>178</v>
      </c>
      <c r="K1542" t="s">
        <v>192</v>
      </c>
      <c r="L1542">
        <v>1</v>
      </c>
      <c r="M1542">
        <v>0</v>
      </c>
      <c r="N1542">
        <v>38.807692307692299</v>
      </c>
      <c r="O1542">
        <v>-4.3846153846153904</v>
      </c>
      <c r="P1542">
        <v>-1</v>
      </c>
      <c r="Q1542">
        <v>0</v>
      </c>
      <c r="R1542">
        <v>14.6</v>
      </c>
      <c r="S1542">
        <v>18</v>
      </c>
      <c r="T1542">
        <v>12.4</v>
      </c>
      <c r="U1542">
        <v>13.7</v>
      </c>
      <c r="V1542">
        <v>16.3</v>
      </c>
      <c r="W1542">
        <v>0</v>
      </c>
      <c r="X1542">
        <v>14</v>
      </c>
      <c r="Y1542">
        <v>16.3</v>
      </c>
      <c r="Z1542">
        <v>20.3</v>
      </c>
      <c r="AA1542">
        <v>37.4</v>
      </c>
      <c r="AB1542">
        <v>66</v>
      </c>
      <c r="AC1542">
        <v>84</v>
      </c>
      <c r="AD1542">
        <v>21.6</v>
      </c>
      <c r="AE1542">
        <v>10.4</v>
      </c>
      <c r="AF1542">
        <v>60.155000000000001</v>
      </c>
      <c r="AG1542">
        <v>67.194000000000003</v>
      </c>
      <c r="AH1542">
        <v>39.527000000000001</v>
      </c>
      <c r="AI1542">
        <v>72.448999999999998</v>
      </c>
      <c r="AJ1542">
        <v>93.015000000000001</v>
      </c>
      <c r="AK1542">
        <v>87.873000000000005</v>
      </c>
      <c r="AL1542">
        <v>3.4540000000000002</v>
      </c>
      <c r="AM1542">
        <v>39.527000000000001</v>
      </c>
      <c r="AN1542">
        <v>67.194000000000003</v>
      </c>
      <c r="AO1542">
        <v>60.155000000000001</v>
      </c>
      <c r="AP1542">
        <v>-3.4540000000000002</v>
      </c>
      <c r="AQ1542">
        <v>6.9850000000000003</v>
      </c>
      <c r="AR1542">
        <v>27.550999999999998</v>
      </c>
      <c r="AS1542">
        <v>12.127000000000001</v>
      </c>
    </row>
    <row r="1543" spans="1:45" x14ac:dyDescent="0.25">
      <c r="A1543">
        <v>46</v>
      </c>
      <c r="B1543">
        <v>-2</v>
      </c>
      <c r="C1543">
        <v>0</v>
      </c>
      <c r="D1543">
        <v>2023</v>
      </c>
      <c r="E1543">
        <v>16</v>
      </c>
      <c r="F1543" t="str">
        <f>IFERROR(VLOOKUP(G1543, Map!$A$1:$B$33, 2, FALSE),"WAS")</f>
        <v>LAC</v>
      </c>
      <c r="G1543" t="s">
        <v>160</v>
      </c>
      <c r="H1543" t="str">
        <f>IFERROR(VLOOKUP(I1543, Map!$A$1:$B$33, 2, FALSE),"WAS")</f>
        <v>BUF</v>
      </c>
      <c r="I1543" t="s">
        <v>165</v>
      </c>
      <c r="J1543" t="s">
        <v>210</v>
      </c>
      <c r="K1543" t="s">
        <v>180</v>
      </c>
      <c r="L1543">
        <v>0</v>
      </c>
      <c r="M1543">
        <v>0</v>
      </c>
      <c r="N1543">
        <v>37.538461538461497</v>
      </c>
      <c r="O1543">
        <v>9.8461538461538503</v>
      </c>
      <c r="P1543">
        <v>1</v>
      </c>
      <c r="Q1543">
        <v>0</v>
      </c>
      <c r="R1543">
        <v>13.5</v>
      </c>
      <c r="S1543">
        <v>17.899999999999999</v>
      </c>
      <c r="T1543">
        <v>9.5</v>
      </c>
      <c r="U1543">
        <v>13</v>
      </c>
      <c r="V1543">
        <v>0.1</v>
      </c>
      <c r="W1543">
        <v>0</v>
      </c>
      <c r="X1543">
        <v>1</v>
      </c>
      <c r="Y1543">
        <v>0.1</v>
      </c>
      <c r="Z1543">
        <v>11.3</v>
      </c>
      <c r="AA1543">
        <v>18.7</v>
      </c>
      <c r="AB1543">
        <v>19</v>
      </c>
      <c r="AC1543">
        <v>87</v>
      </c>
      <c r="AD1543">
        <v>10.9</v>
      </c>
      <c r="AE1543">
        <v>5.9</v>
      </c>
      <c r="AF1543">
        <v>18.196999999999999</v>
      </c>
      <c r="AG1543">
        <v>69.051000000000002</v>
      </c>
      <c r="AH1543">
        <v>81.656000000000006</v>
      </c>
      <c r="AI1543">
        <v>44.4</v>
      </c>
      <c r="AJ1543">
        <v>33.881</v>
      </c>
      <c r="AK1543">
        <v>45.4</v>
      </c>
      <c r="AL1543">
        <v>-11.955</v>
      </c>
      <c r="AM1543">
        <v>81.656000000000006</v>
      </c>
      <c r="AN1543">
        <v>69.051000000000002</v>
      </c>
      <c r="AO1543">
        <v>18.196999999999999</v>
      </c>
      <c r="AP1543">
        <v>11.955</v>
      </c>
      <c r="AQ1543">
        <v>66.119</v>
      </c>
      <c r="AR1543">
        <v>55.6</v>
      </c>
      <c r="AS1543">
        <v>54.6</v>
      </c>
    </row>
    <row r="1544" spans="1:45" x14ac:dyDescent="0.25">
      <c r="A1544">
        <v>42</v>
      </c>
      <c r="B1544">
        <v>2</v>
      </c>
      <c r="C1544">
        <v>1</v>
      </c>
      <c r="D1544">
        <v>2023</v>
      </c>
      <c r="E1544">
        <v>16</v>
      </c>
      <c r="F1544" t="str">
        <f>IFERROR(VLOOKUP(G1544, Map!$A$1:$B$33, 2, FALSE),"WAS")</f>
        <v>MIA</v>
      </c>
      <c r="G1544" t="s">
        <v>152</v>
      </c>
      <c r="H1544" t="str">
        <f>IFERROR(VLOOKUP(I1544, Map!$A$1:$B$33, 2, FALSE),"WAS")</f>
        <v>DAL</v>
      </c>
      <c r="I1544" t="s">
        <v>150</v>
      </c>
      <c r="J1544" t="s">
        <v>175</v>
      </c>
      <c r="K1544" t="s">
        <v>184</v>
      </c>
      <c r="L1544">
        <v>1</v>
      </c>
      <c r="M1544">
        <v>0</v>
      </c>
      <c r="N1544">
        <v>41.076923076923102</v>
      </c>
      <c r="O1544">
        <v>-1.65384615384615</v>
      </c>
      <c r="P1544">
        <v>-1.5</v>
      </c>
      <c r="Q1544">
        <v>0</v>
      </c>
      <c r="R1544">
        <v>21.1</v>
      </c>
      <c r="S1544">
        <v>23.8</v>
      </c>
      <c r="T1544">
        <v>19.100000000000001</v>
      </c>
      <c r="U1544">
        <v>21.2</v>
      </c>
      <c r="V1544">
        <v>1.2</v>
      </c>
      <c r="W1544">
        <v>0</v>
      </c>
      <c r="X1544">
        <v>8</v>
      </c>
      <c r="Y1544">
        <v>1.2</v>
      </c>
      <c r="Z1544">
        <v>23.4</v>
      </c>
      <c r="AA1544">
        <v>42.8</v>
      </c>
      <c r="AB1544">
        <v>79</v>
      </c>
      <c r="AC1544">
        <v>76</v>
      </c>
      <c r="AD1544">
        <v>28.3</v>
      </c>
      <c r="AE1544">
        <v>15.6</v>
      </c>
      <c r="AF1544">
        <v>49.706000000000003</v>
      </c>
      <c r="AG1544">
        <v>93.293999999999997</v>
      </c>
      <c r="AH1544">
        <v>49.895000000000003</v>
      </c>
      <c r="AI1544">
        <v>37.412999999999997</v>
      </c>
      <c r="AJ1544">
        <v>54.701999999999998</v>
      </c>
      <c r="AK1544">
        <v>52.468000000000004</v>
      </c>
      <c r="AL1544">
        <v>-3.1E-2</v>
      </c>
      <c r="AM1544">
        <v>49.895000000000003</v>
      </c>
      <c r="AN1544">
        <v>93.293999999999997</v>
      </c>
      <c r="AO1544">
        <v>49.706000000000003</v>
      </c>
      <c r="AP1544">
        <v>3.1E-2</v>
      </c>
      <c r="AQ1544">
        <v>45.298000000000002</v>
      </c>
      <c r="AR1544">
        <v>62.587000000000003</v>
      </c>
      <c r="AS1544">
        <v>47.531999999999996</v>
      </c>
    </row>
    <row r="1545" spans="1:45" x14ac:dyDescent="0.25">
      <c r="A1545">
        <v>34</v>
      </c>
      <c r="B1545">
        <v>-6</v>
      </c>
      <c r="C1545">
        <v>0</v>
      </c>
      <c r="D1545">
        <v>2023</v>
      </c>
      <c r="E1545">
        <v>16</v>
      </c>
      <c r="F1545" t="str">
        <f>IFERROR(VLOOKUP(G1545, Map!$A$1:$B$33, 2, FALSE),"WAS")</f>
        <v>KC</v>
      </c>
      <c r="G1545" t="s">
        <v>158</v>
      </c>
      <c r="H1545" t="str">
        <f>IFERROR(VLOOKUP(I1545, Map!$A$1:$B$33, 2, FALSE),"WAS")</f>
        <v>LV</v>
      </c>
      <c r="I1545" t="s">
        <v>157</v>
      </c>
      <c r="J1545" t="s">
        <v>202</v>
      </c>
      <c r="K1545" t="s">
        <v>179</v>
      </c>
      <c r="L1545">
        <v>0</v>
      </c>
      <c r="M1545">
        <v>0</v>
      </c>
      <c r="N1545">
        <v>41.1666666666667</v>
      </c>
      <c r="O1545">
        <v>-9.5</v>
      </c>
      <c r="P1545">
        <v>6.5</v>
      </c>
      <c r="Q1545">
        <v>38.5</v>
      </c>
      <c r="R1545">
        <v>5.6</v>
      </c>
      <c r="S1545">
        <v>13.1</v>
      </c>
      <c r="T1545">
        <v>2.1</v>
      </c>
      <c r="U1545">
        <v>1.6</v>
      </c>
      <c r="V1545">
        <v>36.799999999999997</v>
      </c>
      <c r="W1545">
        <v>0</v>
      </c>
      <c r="X1545">
        <v>15</v>
      </c>
      <c r="Y1545">
        <v>36.799999999999997</v>
      </c>
      <c r="Z1545">
        <v>22.1</v>
      </c>
      <c r="AA1545">
        <v>45.4</v>
      </c>
      <c r="AB1545">
        <v>277</v>
      </c>
      <c r="AC1545">
        <v>87</v>
      </c>
      <c r="AD1545">
        <v>35</v>
      </c>
      <c r="AE1545">
        <v>18.100000000000001</v>
      </c>
      <c r="AF1545">
        <v>82.488</v>
      </c>
      <c r="AG1545">
        <v>56.37</v>
      </c>
      <c r="AH1545">
        <v>17.373000000000001</v>
      </c>
      <c r="AI1545">
        <v>72.650000000000006</v>
      </c>
      <c r="AJ1545">
        <v>6.24</v>
      </c>
      <c r="AK1545">
        <v>23.689</v>
      </c>
      <c r="AL1545">
        <v>12.374000000000001</v>
      </c>
      <c r="AM1545">
        <v>17.373000000000001</v>
      </c>
      <c r="AN1545">
        <v>56.37</v>
      </c>
      <c r="AO1545">
        <v>82.488</v>
      </c>
      <c r="AP1545">
        <v>-12.374000000000001</v>
      </c>
      <c r="AQ1545">
        <v>93.76</v>
      </c>
      <c r="AR1545">
        <v>27.35</v>
      </c>
      <c r="AS1545">
        <v>76.311000000000007</v>
      </c>
    </row>
    <row r="1546" spans="1:45" x14ac:dyDescent="0.25">
      <c r="A1546">
        <v>63</v>
      </c>
      <c r="B1546">
        <v>-3</v>
      </c>
      <c r="C1546">
        <v>0</v>
      </c>
      <c r="D1546">
        <v>2023</v>
      </c>
      <c r="E1546">
        <v>16</v>
      </c>
      <c r="F1546" t="str">
        <f>IFERROR(VLOOKUP(G1546, Map!$A$1:$B$33, 2, FALSE),"WAS")</f>
        <v>CAR</v>
      </c>
      <c r="G1546" t="s">
        <v>142</v>
      </c>
      <c r="H1546" t="str">
        <f>IFERROR(VLOOKUP(I1546, Map!$A$1:$B$33, 2, FALSE),"WAS")</f>
        <v>GB</v>
      </c>
      <c r="I1546" t="s">
        <v>154</v>
      </c>
      <c r="J1546" t="s">
        <v>185</v>
      </c>
      <c r="K1546" t="s">
        <v>200</v>
      </c>
      <c r="L1546">
        <v>0</v>
      </c>
      <c r="M1546">
        <v>0</v>
      </c>
      <c r="N1546">
        <v>33.6666666666667</v>
      </c>
      <c r="O1546">
        <v>3.3333333333333299</v>
      </c>
      <c r="P1546">
        <v>1</v>
      </c>
      <c r="Q1546">
        <v>0</v>
      </c>
      <c r="R1546">
        <v>9.1999999999999993</v>
      </c>
      <c r="S1546">
        <v>16.5</v>
      </c>
      <c r="T1546">
        <v>3.4</v>
      </c>
      <c r="U1546">
        <v>7.1</v>
      </c>
      <c r="V1546">
        <v>0</v>
      </c>
      <c r="W1546">
        <v>0</v>
      </c>
      <c r="X1546">
        <v>0</v>
      </c>
      <c r="Y1546">
        <v>0</v>
      </c>
      <c r="Z1546">
        <v>9.8000000000000007</v>
      </c>
      <c r="AA1546">
        <v>15.1</v>
      </c>
      <c r="AB1546">
        <v>130</v>
      </c>
      <c r="AC1546">
        <v>75</v>
      </c>
      <c r="AD1546">
        <v>10.8</v>
      </c>
      <c r="AE1546">
        <v>5.7</v>
      </c>
      <c r="AF1546">
        <v>30.274999999999999</v>
      </c>
      <c r="AG1546">
        <v>27.082999999999998</v>
      </c>
      <c r="AH1546">
        <v>69.480999999999995</v>
      </c>
      <c r="AI1546">
        <v>11.962</v>
      </c>
      <c r="AJ1546">
        <v>71.917000000000002</v>
      </c>
      <c r="AK1546">
        <v>35.25</v>
      </c>
      <c r="AL1546">
        <v>-6.7759999999999998</v>
      </c>
      <c r="AM1546">
        <v>69.480999999999995</v>
      </c>
      <c r="AN1546">
        <v>27.082999999999998</v>
      </c>
      <c r="AO1546">
        <v>30.274999999999999</v>
      </c>
      <c r="AP1546">
        <v>6.7759999999999998</v>
      </c>
      <c r="AQ1546">
        <v>28.082999999999998</v>
      </c>
      <c r="AR1546">
        <v>88.037999999999997</v>
      </c>
      <c r="AS1546">
        <v>64.75</v>
      </c>
    </row>
    <row r="1547" spans="1:45" x14ac:dyDescent="0.25">
      <c r="A1547">
        <v>54</v>
      </c>
      <c r="B1547">
        <v>-6</v>
      </c>
      <c r="C1547">
        <v>0</v>
      </c>
      <c r="D1547">
        <v>2023</v>
      </c>
      <c r="E1547">
        <v>16</v>
      </c>
      <c r="F1547" t="str">
        <f>IFERROR(VLOOKUP(G1547, Map!$A$1:$B$33, 2, FALSE),"WAS")</f>
        <v>MIN</v>
      </c>
      <c r="G1547" t="s">
        <v>153</v>
      </c>
      <c r="H1547" t="str">
        <f>IFERROR(VLOOKUP(I1547, Map!$A$1:$B$33, 2, FALSE),"WAS")</f>
        <v>DET</v>
      </c>
      <c r="I1547" t="s">
        <v>164</v>
      </c>
      <c r="J1547" t="s">
        <v>214</v>
      </c>
      <c r="K1547" t="s">
        <v>173</v>
      </c>
      <c r="L1547">
        <v>0</v>
      </c>
      <c r="M1547">
        <v>0</v>
      </c>
      <c r="N1547">
        <v>40.961538461538503</v>
      </c>
      <c r="O1547">
        <v>2.3846153846153801</v>
      </c>
      <c r="P1547">
        <v>-1</v>
      </c>
      <c r="Q1547">
        <v>0</v>
      </c>
      <c r="R1547">
        <v>8.4</v>
      </c>
      <c r="S1547">
        <v>12</v>
      </c>
      <c r="T1547">
        <v>5.8</v>
      </c>
      <c r="U1547">
        <v>5.0999999999999996</v>
      </c>
      <c r="V1547">
        <v>2.9</v>
      </c>
      <c r="W1547">
        <v>0</v>
      </c>
      <c r="X1547">
        <v>6</v>
      </c>
      <c r="Y1547">
        <v>2.9</v>
      </c>
      <c r="Z1547">
        <v>22.4</v>
      </c>
      <c r="AA1547">
        <v>52.6</v>
      </c>
      <c r="AB1547">
        <v>146</v>
      </c>
      <c r="AC1547">
        <v>94</v>
      </c>
      <c r="AD1547">
        <v>35</v>
      </c>
      <c r="AE1547">
        <v>17.600000000000001</v>
      </c>
      <c r="AF1547">
        <v>38.979999999999997</v>
      </c>
      <c r="AG1547">
        <v>53.207000000000001</v>
      </c>
      <c r="AH1547">
        <v>60.707000000000001</v>
      </c>
      <c r="AI1547">
        <v>26.361999999999998</v>
      </c>
      <c r="AJ1547">
        <v>57.728000000000002</v>
      </c>
      <c r="AK1547">
        <v>32.731000000000002</v>
      </c>
      <c r="AL1547">
        <v>-3.6429999999999998</v>
      </c>
      <c r="AM1547">
        <v>60.707000000000001</v>
      </c>
      <c r="AN1547">
        <v>53.207000000000001</v>
      </c>
      <c r="AO1547">
        <v>38.979999999999997</v>
      </c>
      <c r="AP1547">
        <v>3.6429999999999998</v>
      </c>
      <c r="AQ1547">
        <v>42.271999999999998</v>
      </c>
      <c r="AR1547">
        <v>73.638000000000005</v>
      </c>
      <c r="AS1547">
        <v>67.269000000000005</v>
      </c>
    </row>
    <row r="1548" spans="1:45" x14ac:dyDescent="0.25">
      <c r="A1548">
        <v>42</v>
      </c>
      <c r="B1548">
        <v>18</v>
      </c>
      <c r="C1548">
        <v>1</v>
      </c>
      <c r="D1548">
        <v>2023</v>
      </c>
      <c r="E1548">
        <v>16</v>
      </c>
      <c r="F1548" t="str">
        <f>IFERROR(VLOOKUP(G1548, Map!$A$1:$B$33, 2, FALSE),"WAS")</f>
        <v>TB</v>
      </c>
      <c r="G1548" t="s">
        <v>141</v>
      </c>
      <c r="H1548" t="str">
        <f>IFERROR(VLOOKUP(I1548, Map!$A$1:$B$33, 2, FALSE),"WAS")</f>
        <v>JAX</v>
      </c>
      <c r="I1548" t="s">
        <v>139</v>
      </c>
      <c r="J1548" t="s">
        <v>186</v>
      </c>
      <c r="K1548" t="s">
        <v>220</v>
      </c>
      <c r="L1548">
        <v>1</v>
      </c>
      <c r="M1548">
        <v>0</v>
      </c>
      <c r="N1548">
        <v>36.538461538461497</v>
      </c>
      <c r="O1548">
        <v>0.115384615384615</v>
      </c>
      <c r="P1548">
        <v>1.5</v>
      </c>
      <c r="Q1548">
        <v>0</v>
      </c>
      <c r="R1548">
        <v>18</v>
      </c>
      <c r="S1548">
        <v>23.1</v>
      </c>
      <c r="T1548">
        <v>14.3</v>
      </c>
      <c r="U1548">
        <v>16.7</v>
      </c>
      <c r="V1548">
        <v>0</v>
      </c>
      <c r="W1548">
        <v>0</v>
      </c>
      <c r="X1548">
        <v>0</v>
      </c>
      <c r="Y1548">
        <v>0</v>
      </c>
      <c r="Z1548">
        <v>25.7</v>
      </c>
      <c r="AA1548">
        <v>45.7</v>
      </c>
      <c r="AB1548">
        <v>76</v>
      </c>
      <c r="AC1548">
        <v>76</v>
      </c>
      <c r="AD1548">
        <v>30.2</v>
      </c>
      <c r="AE1548">
        <v>17.5</v>
      </c>
      <c r="AF1548">
        <v>42.14</v>
      </c>
      <c r="AG1548">
        <v>57.716000000000001</v>
      </c>
      <c r="AH1548">
        <v>57.521000000000001</v>
      </c>
      <c r="AI1548">
        <v>90.519000000000005</v>
      </c>
      <c r="AJ1548">
        <v>78.111999999999995</v>
      </c>
      <c r="AK1548">
        <v>95.103999999999999</v>
      </c>
      <c r="AL1548">
        <v>-2.5619999999999998</v>
      </c>
      <c r="AM1548">
        <v>57.521000000000001</v>
      </c>
      <c r="AN1548">
        <v>57.716000000000001</v>
      </c>
      <c r="AO1548">
        <v>42.14</v>
      </c>
      <c r="AP1548">
        <v>2.5619999999999998</v>
      </c>
      <c r="AQ1548">
        <v>21.888000000000002</v>
      </c>
      <c r="AR1548">
        <v>9.4809999999999999</v>
      </c>
      <c r="AS1548">
        <v>4.8959999999999999</v>
      </c>
    </row>
    <row r="1549" spans="1:45" x14ac:dyDescent="0.25">
      <c r="A1549">
        <v>45</v>
      </c>
      <c r="B1549">
        <v>23</v>
      </c>
      <c r="C1549">
        <v>1</v>
      </c>
      <c r="D1549">
        <v>2023</v>
      </c>
      <c r="E1549">
        <v>16</v>
      </c>
      <c r="F1549" t="str">
        <f>IFERROR(VLOOKUP(G1549, Map!$A$1:$B$33, 2, FALSE),"WAS")</f>
        <v>PIT</v>
      </c>
      <c r="G1549" t="s">
        <v>145</v>
      </c>
      <c r="H1549" t="str">
        <f>IFERROR(VLOOKUP(I1549, Map!$A$1:$B$33, 2, FALSE),"WAS")</f>
        <v>CIN</v>
      </c>
      <c r="I1549" t="s">
        <v>161</v>
      </c>
      <c r="J1549" t="s">
        <v>170</v>
      </c>
      <c r="K1549" t="s">
        <v>176</v>
      </c>
      <c r="L1549">
        <v>1</v>
      </c>
      <c r="M1549">
        <v>0</v>
      </c>
      <c r="N1549">
        <v>34.892857142857103</v>
      </c>
      <c r="O1549">
        <v>-0.78571428571428603</v>
      </c>
      <c r="P1549">
        <v>2.5</v>
      </c>
      <c r="Q1549">
        <v>0</v>
      </c>
      <c r="R1549">
        <v>4.7</v>
      </c>
      <c r="S1549">
        <v>8.3000000000000007</v>
      </c>
      <c r="T1549">
        <v>1.7</v>
      </c>
      <c r="U1549">
        <v>1.4</v>
      </c>
      <c r="V1549">
        <v>0.9</v>
      </c>
      <c r="W1549">
        <v>0</v>
      </c>
      <c r="X1549">
        <v>2</v>
      </c>
      <c r="Y1549">
        <v>0.9</v>
      </c>
      <c r="Z1549">
        <v>11.4</v>
      </c>
      <c r="AA1549">
        <v>22.3</v>
      </c>
      <c r="AB1549">
        <v>159</v>
      </c>
      <c r="AC1549">
        <v>65</v>
      </c>
      <c r="AD1549">
        <v>14.2</v>
      </c>
      <c r="AE1549">
        <v>7.3</v>
      </c>
      <c r="AF1549">
        <v>38.566000000000003</v>
      </c>
      <c r="AG1549">
        <v>41.814</v>
      </c>
      <c r="AH1549">
        <v>61.125</v>
      </c>
      <c r="AI1549">
        <v>90.438999999999993</v>
      </c>
      <c r="AJ1549">
        <v>97.363</v>
      </c>
      <c r="AK1549">
        <v>98.14</v>
      </c>
      <c r="AL1549">
        <v>-3.786</v>
      </c>
      <c r="AM1549">
        <v>61.125</v>
      </c>
      <c r="AN1549">
        <v>41.814</v>
      </c>
      <c r="AO1549">
        <v>38.566000000000003</v>
      </c>
      <c r="AP1549">
        <v>3.786</v>
      </c>
      <c r="AQ1549">
        <v>2.637</v>
      </c>
      <c r="AR1549">
        <v>9.5609999999999999</v>
      </c>
      <c r="AS1549">
        <v>1.86</v>
      </c>
    </row>
    <row r="1550" spans="1:45" x14ac:dyDescent="0.25">
      <c r="A1550">
        <v>49</v>
      </c>
      <c r="B1550">
        <v>-3</v>
      </c>
      <c r="C1550">
        <v>0</v>
      </c>
      <c r="D1550">
        <v>2023</v>
      </c>
      <c r="E1550">
        <v>16</v>
      </c>
      <c r="F1550" t="str">
        <f>IFERROR(VLOOKUP(G1550, Map!$A$1:$B$33, 2, FALSE),"WAS")</f>
        <v>DEN</v>
      </c>
      <c r="G1550" t="s">
        <v>159</v>
      </c>
      <c r="H1550" t="str">
        <f>IFERROR(VLOOKUP(I1550, Map!$A$1:$B$33, 2, FALSE),"WAS")</f>
        <v>NE</v>
      </c>
      <c r="I1550" t="s">
        <v>151</v>
      </c>
      <c r="J1550" t="s">
        <v>183</v>
      </c>
      <c r="K1550" t="s">
        <v>187</v>
      </c>
      <c r="L1550">
        <v>0</v>
      </c>
      <c r="M1550">
        <v>0</v>
      </c>
      <c r="N1550">
        <v>32.269230769230802</v>
      </c>
      <c r="O1550">
        <v>-5.3846153846153904</v>
      </c>
      <c r="P1550">
        <v>-3</v>
      </c>
      <c r="Q1550">
        <v>0</v>
      </c>
      <c r="R1550">
        <v>-6.5</v>
      </c>
      <c r="S1550">
        <v>-1.9</v>
      </c>
      <c r="T1550">
        <v>-10.5</v>
      </c>
      <c r="U1550">
        <v>-10.8</v>
      </c>
      <c r="V1550">
        <v>0</v>
      </c>
      <c r="W1550">
        <v>0</v>
      </c>
      <c r="X1550">
        <v>0</v>
      </c>
      <c r="Y1550">
        <v>0</v>
      </c>
      <c r="Z1550">
        <v>7.8</v>
      </c>
      <c r="AA1550">
        <v>17.600000000000001</v>
      </c>
      <c r="AB1550">
        <v>134</v>
      </c>
      <c r="AC1550">
        <v>55</v>
      </c>
      <c r="AD1550">
        <v>11.5</v>
      </c>
      <c r="AE1550">
        <v>5.4</v>
      </c>
      <c r="AF1550">
        <v>65.468000000000004</v>
      </c>
      <c r="AG1550">
        <v>33.340000000000003</v>
      </c>
      <c r="AH1550">
        <v>34.256999999999998</v>
      </c>
      <c r="AI1550">
        <v>69.307000000000002</v>
      </c>
      <c r="AJ1550">
        <v>27.695</v>
      </c>
      <c r="AK1550">
        <v>35.305</v>
      </c>
      <c r="AL1550">
        <v>5.306</v>
      </c>
      <c r="AM1550">
        <v>34.256999999999998</v>
      </c>
      <c r="AN1550">
        <v>33.340000000000003</v>
      </c>
      <c r="AO1550">
        <v>65.468000000000004</v>
      </c>
      <c r="AP1550">
        <v>-5.306</v>
      </c>
      <c r="AQ1550">
        <v>72.305000000000007</v>
      </c>
      <c r="AR1550">
        <v>30.693000000000001</v>
      </c>
      <c r="AS1550">
        <v>64.694999999999993</v>
      </c>
    </row>
    <row r="1551" spans="1:45" x14ac:dyDescent="0.25">
      <c r="A1551">
        <v>58</v>
      </c>
      <c r="B1551">
        <v>8</v>
      </c>
      <c r="C1551">
        <v>1</v>
      </c>
      <c r="D1551">
        <v>2023</v>
      </c>
      <c r="E1551">
        <v>16</v>
      </c>
      <c r="F1551" t="str">
        <f>IFERROR(VLOOKUP(G1551, Map!$A$1:$B$33, 2, FALSE),"WAS")</f>
        <v>PHI</v>
      </c>
      <c r="G1551" t="s">
        <v>147</v>
      </c>
      <c r="H1551" t="str">
        <f>IFERROR(VLOOKUP(I1551, Map!$A$1:$B$33, 2, FALSE),"WAS")</f>
        <v>NYG</v>
      </c>
      <c r="I1551" t="s">
        <v>149</v>
      </c>
      <c r="J1551" t="s">
        <v>206</v>
      </c>
      <c r="K1551" t="s">
        <v>219</v>
      </c>
      <c r="L1551">
        <v>1</v>
      </c>
      <c r="M1551">
        <v>0</v>
      </c>
      <c r="N1551">
        <v>39.192307692307701</v>
      </c>
      <c r="O1551">
        <v>-11.615384615384601</v>
      </c>
      <c r="P1551">
        <v>-6.5</v>
      </c>
      <c r="Q1551">
        <v>41</v>
      </c>
      <c r="R1551">
        <v>6.8</v>
      </c>
      <c r="S1551">
        <v>11.1</v>
      </c>
      <c r="T1551">
        <v>3.4</v>
      </c>
      <c r="U1551">
        <v>4.5999999999999996</v>
      </c>
      <c r="V1551">
        <v>0</v>
      </c>
      <c r="W1551">
        <v>0</v>
      </c>
      <c r="X1551">
        <v>0</v>
      </c>
      <c r="Y1551">
        <v>0</v>
      </c>
      <c r="Z1551">
        <v>9.1999999999999993</v>
      </c>
      <c r="AA1551">
        <v>19.8</v>
      </c>
      <c r="AB1551">
        <v>53</v>
      </c>
      <c r="AC1551">
        <v>85</v>
      </c>
      <c r="AD1551">
        <v>11.2</v>
      </c>
      <c r="AE1551">
        <v>5.6</v>
      </c>
      <c r="AF1551">
        <v>87.61</v>
      </c>
      <c r="AG1551">
        <v>40.75</v>
      </c>
      <c r="AH1551">
        <v>12.291</v>
      </c>
      <c r="AI1551">
        <v>75.614000000000004</v>
      </c>
      <c r="AJ1551">
        <v>66.507999999999996</v>
      </c>
      <c r="AK1551">
        <v>78.528000000000006</v>
      </c>
      <c r="AL1551">
        <v>15.297000000000001</v>
      </c>
      <c r="AM1551">
        <v>12.291</v>
      </c>
      <c r="AN1551">
        <v>40.75</v>
      </c>
      <c r="AO1551">
        <v>87.61</v>
      </c>
      <c r="AP1551">
        <v>-15.297000000000001</v>
      </c>
      <c r="AQ1551">
        <v>33.491999999999997</v>
      </c>
      <c r="AR1551">
        <v>24.385999999999999</v>
      </c>
      <c r="AS1551">
        <v>21.472000000000001</v>
      </c>
    </row>
    <row r="1552" spans="1:45" x14ac:dyDescent="0.25">
      <c r="A1552">
        <v>39</v>
      </c>
      <c r="B1552">
        <v>19</v>
      </c>
      <c r="C1552">
        <v>1</v>
      </c>
      <c r="D1552">
        <v>2023</v>
      </c>
      <c r="E1552">
        <v>16</v>
      </c>
      <c r="F1552" t="str">
        <f>IFERROR(VLOOKUP(G1552, Map!$A$1:$B$33, 2, FALSE),"WAS")</f>
        <v>ATL</v>
      </c>
      <c r="G1552" t="s">
        <v>167</v>
      </c>
      <c r="H1552" t="str">
        <f>IFERROR(VLOOKUP(I1552, Map!$A$1:$B$33, 2, FALSE),"WAS")</f>
        <v>IND</v>
      </c>
      <c r="I1552" t="s">
        <v>138</v>
      </c>
      <c r="J1552" t="s">
        <v>188</v>
      </c>
      <c r="K1552" t="s">
        <v>177</v>
      </c>
      <c r="L1552">
        <v>1</v>
      </c>
      <c r="M1552">
        <v>0</v>
      </c>
      <c r="N1552">
        <v>36.8333333333333</v>
      </c>
      <c r="O1552">
        <v>-1.75</v>
      </c>
      <c r="P1552">
        <v>1.5</v>
      </c>
      <c r="Q1552">
        <v>0</v>
      </c>
      <c r="R1552">
        <v>11.5</v>
      </c>
      <c r="S1552">
        <v>17</v>
      </c>
      <c r="T1552">
        <v>7.2</v>
      </c>
      <c r="U1552">
        <v>8.9</v>
      </c>
      <c r="V1552">
        <v>0</v>
      </c>
      <c r="W1552">
        <v>0</v>
      </c>
      <c r="X1552">
        <v>0</v>
      </c>
      <c r="Y1552">
        <v>0</v>
      </c>
      <c r="Z1552">
        <v>23.5</v>
      </c>
      <c r="AA1552">
        <v>41</v>
      </c>
      <c r="AB1552">
        <v>102</v>
      </c>
      <c r="AC1552">
        <v>80</v>
      </c>
      <c r="AD1552">
        <v>24.9</v>
      </c>
      <c r="AE1552">
        <v>14.1</v>
      </c>
      <c r="AF1552">
        <v>50.776000000000003</v>
      </c>
      <c r="AG1552">
        <v>32.981999999999999</v>
      </c>
      <c r="AH1552">
        <v>48.831000000000003</v>
      </c>
      <c r="AI1552">
        <v>69.781999999999996</v>
      </c>
      <c r="AJ1552">
        <v>80.227999999999994</v>
      </c>
      <c r="AK1552">
        <v>83.227999999999994</v>
      </c>
      <c r="AL1552">
        <v>0.32200000000000001</v>
      </c>
      <c r="AM1552">
        <v>48.831000000000003</v>
      </c>
      <c r="AN1552">
        <v>32.981999999999999</v>
      </c>
      <c r="AO1552">
        <v>50.776000000000003</v>
      </c>
      <c r="AP1552">
        <v>-0.32200000000000001</v>
      </c>
      <c r="AQ1552">
        <v>19.771999999999998</v>
      </c>
      <c r="AR1552">
        <v>30.218</v>
      </c>
      <c r="AS1552">
        <v>16.771999999999998</v>
      </c>
    </row>
    <row r="1553" spans="1:45" x14ac:dyDescent="0.25">
      <c r="A1553">
        <v>58</v>
      </c>
      <c r="B1553">
        <v>-14</v>
      </c>
      <c r="C1553">
        <v>0</v>
      </c>
      <c r="D1553">
        <v>2023</v>
      </c>
      <c r="E1553">
        <v>16</v>
      </c>
      <c r="F1553" t="str">
        <f>IFERROR(VLOOKUP(G1553, Map!$A$1:$B$33, 2, FALSE),"WAS")</f>
        <v>HOU</v>
      </c>
      <c r="G1553" t="s">
        <v>137</v>
      </c>
      <c r="H1553" t="str">
        <f>IFERROR(VLOOKUP(I1553, Map!$A$1:$B$33, 2, FALSE),"WAS")</f>
        <v>CLE</v>
      </c>
      <c r="I1553" t="s">
        <v>162</v>
      </c>
      <c r="J1553" t="s">
        <v>209</v>
      </c>
      <c r="K1553" t="s">
        <v>171</v>
      </c>
      <c r="L1553">
        <v>0</v>
      </c>
      <c r="M1553">
        <v>0</v>
      </c>
      <c r="N1553">
        <v>34.653846153846203</v>
      </c>
      <c r="O1553">
        <v>2.7692307692307701</v>
      </c>
      <c r="P1553">
        <v>-2.5</v>
      </c>
      <c r="Q1553">
        <v>0</v>
      </c>
      <c r="R1553">
        <v>18.7</v>
      </c>
      <c r="S1553">
        <v>21.4</v>
      </c>
      <c r="T1553">
        <v>17.399999999999999</v>
      </c>
      <c r="U1553">
        <v>19.3</v>
      </c>
      <c r="V1553">
        <v>71.5</v>
      </c>
      <c r="W1553">
        <v>0</v>
      </c>
      <c r="X1553">
        <v>20</v>
      </c>
      <c r="Y1553">
        <v>71.5</v>
      </c>
      <c r="Z1553">
        <v>19.899999999999999</v>
      </c>
      <c r="AA1553">
        <v>33.1</v>
      </c>
      <c r="AB1553">
        <v>144</v>
      </c>
      <c r="AC1553">
        <v>91</v>
      </c>
      <c r="AD1553">
        <v>25.9</v>
      </c>
      <c r="AE1553">
        <v>13.4</v>
      </c>
      <c r="AF1553">
        <v>45.151000000000003</v>
      </c>
      <c r="AG1553">
        <v>34.484000000000002</v>
      </c>
      <c r="AH1553">
        <v>54.485999999999997</v>
      </c>
      <c r="AI1553">
        <v>14.329000000000001</v>
      </c>
      <c r="AJ1553">
        <v>11.842000000000001</v>
      </c>
      <c r="AK1553">
        <v>8.5790000000000006</v>
      </c>
      <c r="AL1553">
        <v>-1.5489999999999999</v>
      </c>
      <c r="AM1553">
        <v>54.485999999999997</v>
      </c>
      <c r="AN1553">
        <v>34.484000000000002</v>
      </c>
      <c r="AO1553">
        <v>45.151000000000003</v>
      </c>
      <c r="AP1553">
        <v>1.5489999999999999</v>
      </c>
      <c r="AQ1553">
        <v>88.158000000000001</v>
      </c>
      <c r="AR1553">
        <v>85.671000000000006</v>
      </c>
      <c r="AS1553">
        <v>91.421000000000006</v>
      </c>
    </row>
    <row r="1554" spans="1:45" x14ac:dyDescent="0.25">
      <c r="A1554">
        <v>66</v>
      </c>
      <c r="B1554">
        <v>-4</v>
      </c>
      <c r="C1554">
        <v>0</v>
      </c>
      <c r="D1554">
        <v>2023</v>
      </c>
      <c r="E1554">
        <v>17</v>
      </c>
      <c r="F1554" t="str">
        <f>IFERROR(VLOOKUP(G1554, Map!$A$1:$B$33, 2, FALSE),"WAS")</f>
        <v>PHI</v>
      </c>
      <c r="G1554" t="s">
        <v>147</v>
      </c>
      <c r="H1554" t="str">
        <f>IFERROR(VLOOKUP(I1554, Map!$A$1:$B$33, 2, FALSE),"WAS")</f>
        <v>ARI</v>
      </c>
      <c r="I1554" t="s">
        <v>156</v>
      </c>
      <c r="J1554" t="s">
        <v>206</v>
      </c>
      <c r="K1554" t="s">
        <v>190</v>
      </c>
      <c r="L1554">
        <v>0</v>
      </c>
      <c r="M1554">
        <v>0</v>
      </c>
      <c r="N1554">
        <v>40.269230769230802</v>
      </c>
      <c r="O1554">
        <v>-10.807692307692299</v>
      </c>
      <c r="P1554">
        <v>-9.5</v>
      </c>
      <c r="Q1554">
        <v>0</v>
      </c>
      <c r="R1554">
        <v>4.7</v>
      </c>
      <c r="S1554">
        <v>7.6</v>
      </c>
      <c r="T1554">
        <v>0</v>
      </c>
      <c r="U1554">
        <v>0.6</v>
      </c>
      <c r="V1554">
        <v>0</v>
      </c>
      <c r="W1554">
        <v>0</v>
      </c>
      <c r="X1554">
        <v>0</v>
      </c>
      <c r="Y1554">
        <v>0</v>
      </c>
      <c r="Z1554">
        <v>17.899999999999999</v>
      </c>
      <c r="AA1554">
        <v>33.799999999999997</v>
      </c>
      <c r="AB1554">
        <v>288</v>
      </c>
      <c r="AC1554">
        <v>62</v>
      </c>
      <c r="AD1554">
        <v>22.7</v>
      </c>
      <c r="AE1554">
        <v>11.6</v>
      </c>
      <c r="AF1554">
        <v>80.816000000000003</v>
      </c>
      <c r="AG1554">
        <v>45.947000000000003</v>
      </c>
      <c r="AH1554">
        <v>19.030999999999999</v>
      </c>
      <c r="AI1554">
        <v>17.042999999999999</v>
      </c>
      <c r="AJ1554">
        <v>86.346999999999994</v>
      </c>
      <c r="AK1554">
        <v>44.984000000000002</v>
      </c>
      <c r="AL1554">
        <v>11.53</v>
      </c>
      <c r="AM1554">
        <v>19.030999999999999</v>
      </c>
      <c r="AN1554">
        <v>45.947000000000003</v>
      </c>
      <c r="AO1554">
        <v>80.816000000000003</v>
      </c>
      <c r="AP1554">
        <v>-11.53</v>
      </c>
      <c r="AQ1554">
        <v>13.653</v>
      </c>
      <c r="AR1554">
        <v>82.956999999999994</v>
      </c>
      <c r="AS1554">
        <v>55.015999999999998</v>
      </c>
    </row>
    <row r="1555" spans="1:45" x14ac:dyDescent="0.25">
      <c r="A1555">
        <v>43</v>
      </c>
      <c r="B1555">
        <v>3</v>
      </c>
      <c r="C1555">
        <v>1</v>
      </c>
      <c r="D1555">
        <v>2023</v>
      </c>
      <c r="E1555">
        <v>17</v>
      </c>
      <c r="F1555" t="str">
        <f>IFERROR(VLOOKUP(G1555, Map!$A$1:$B$33, 2, FALSE),"WAS")</f>
        <v>IND</v>
      </c>
      <c r="G1555" t="s">
        <v>138</v>
      </c>
      <c r="H1555" t="str">
        <f>IFERROR(VLOOKUP(I1555, Map!$A$1:$B$33, 2, FALSE),"WAS")</f>
        <v>LV</v>
      </c>
      <c r="I1555" t="s">
        <v>157</v>
      </c>
      <c r="J1555" t="s">
        <v>177</v>
      </c>
      <c r="K1555" t="s">
        <v>179</v>
      </c>
      <c r="L1555">
        <v>1</v>
      </c>
      <c r="M1555">
        <v>0</v>
      </c>
      <c r="N1555">
        <v>39.192307692307701</v>
      </c>
      <c r="O1555">
        <v>-4.1153846153846203</v>
      </c>
      <c r="P1555">
        <v>1.5</v>
      </c>
      <c r="Q1555">
        <v>0</v>
      </c>
      <c r="R1555">
        <v>0.9</v>
      </c>
      <c r="S1555">
        <v>2.8</v>
      </c>
      <c r="T1555">
        <v>-0.2</v>
      </c>
      <c r="U1555">
        <v>-3.6</v>
      </c>
      <c r="V1555">
        <v>0.2</v>
      </c>
      <c r="W1555">
        <v>7.0000000000000007E-2</v>
      </c>
      <c r="X1555">
        <v>2</v>
      </c>
      <c r="Y1555">
        <v>0.1</v>
      </c>
      <c r="Z1555">
        <v>21.1</v>
      </c>
      <c r="AA1555">
        <v>39.200000000000003</v>
      </c>
      <c r="AB1555">
        <v>235</v>
      </c>
      <c r="AC1555">
        <v>82</v>
      </c>
      <c r="AD1555">
        <v>25.5</v>
      </c>
      <c r="AE1555">
        <v>13.9</v>
      </c>
      <c r="AF1555">
        <v>60.381999999999998</v>
      </c>
      <c r="AG1555">
        <v>35.072000000000003</v>
      </c>
      <c r="AH1555">
        <v>39.302</v>
      </c>
      <c r="AI1555">
        <v>57.546999999999997</v>
      </c>
      <c r="AJ1555">
        <v>77.626000000000005</v>
      </c>
      <c r="AK1555">
        <v>70.159000000000006</v>
      </c>
      <c r="AL1555">
        <v>3.5270000000000001</v>
      </c>
      <c r="AM1555">
        <v>39.302</v>
      </c>
      <c r="AN1555">
        <v>35.072000000000003</v>
      </c>
      <c r="AO1555">
        <v>60.381999999999998</v>
      </c>
      <c r="AP1555">
        <v>-3.5270000000000001</v>
      </c>
      <c r="AQ1555">
        <v>22.373999999999999</v>
      </c>
      <c r="AR1555">
        <v>42.453000000000003</v>
      </c>
      <c r="AS1555">
        <v>29.841000000000001</v>
      </c>
    </row>
    <row r="1556" spans="1:45" x14ac:dyDescent="0.25">
      <c r="A1556">
        <v>75</v>
      </c>
      <c r="B1556">
        <v>37</v>
      </c>
      <c r="C1556">
        <v>1</v>
      </c>
      <c r="D1556">
        <v>2023</v>
      </c>
      <c r="E1556">
        <v>17</v>
      </c>
      <c r="F1556" t="str">
        <f>IFERROR(VLOOKUP(G1556, Map!$A$1:$B$33, 2, FALSE),"WAS")</f>
        <v>BAL</v>
      </c>
      <c r="G1556" t="s">
        <v>146</v>
      </c>
      <c r="H1556" t="str">
        <f>IFERROR(VLOOKUP(I1556, Map!$A$1:$B$33, 2, FALSE),"WAS")</f>
        <v>MIA</v>
      </c>
      <c r="I1556" t="s">
        <v>152</v>
      </c>
      <c r="J1556" t="s">
        <v>181</v>
      </c>
      <c r="K1556" t="s">
        <v>175</v>
      </c>
      <c r="L1556">
        <v>1</v>
      </c>
      <c r="M1556">
        <v>0</v>
      </c>
      <c r="N1556">
        <v>39.846153846153797</v>
      </c>
      <c r="O1556">
        <v>-2.8076923076923102</v>
      </c>
      <c r="P1556">
        <v>-2</v>
      </c>
      <c r="Q1556">
        <v>0</v>
      </c>
      <c r="R1556">
        <v>5.0999999999999996</v>
      </c>
      <c r="S1556">
        <v>8.8000000000000007</v>
      </c>
      <c r="T1556">
        <v>0.2</v>
      </c>
      <c r="U1556">
        <v>1.2</v>
      </c>
      <c r="V1556">
        <v>0.3</v>
      </c>
      <c r="W1556">
        <v>0</v>
      </c>
      <c r="X1556">
        <v>1</v>
      </c>
      <c r="Y1556">
        <v>0.3</v>
      </c>
      <c r="Z1556">
        <v>17.100000000000001</v>
      </c>
      <c r="AA1556">
        <v>32.4</v>
      </c>
      <c r="AB1556">
        <v>264</v>
      </c>
      <c r="AC1556">
        <v>68</v>
      </c>
      <c r="AD1556">
        <v>23.4</v>
      </c>
      <c r="AE1556">
        <v>11.7</v>
      </c>
      <c r="AF1556">
        <v>55.713999999999999</v>
      </c>
      <c r="AG1556">
        <v>86.787000000000006</v>
      </c>
      <c r="AH1556">
        <v>43.933</v>
      </c>
      <c r="AI1556">
        <v>63.09</v>
      </c>
      <c r="AJ1556">
        <v>99.584000000000003</v>
      </c>
      <c r="AK1556">
        <v>96.191999999999993</v>
      </c>
      <c r="AL1556">
        <v>1.9550000000000001</v>
      </c>
      <c r="AM1556">
        <v>43.933</v>
      </c>
      <c r="AN1556">
        <v>86.787000000000006</v>
      </c>
      <c r="AO1556">
        <v>55.713999999999999</v>
      </c>
      <c r="AP1556">
        <v>-1.9550000000000001</v>
      </c>
      <c r="AQ1556">
        <v>0.41599999999999998</v>
      </c>
      <c r="AR1556">
        <v>36.909999999999997</v>
      </c>
      <c r="AS1556">
        <v>3.8079999999999998</v>
      </c>
    </row>
    <row r="1557" spans="1:45" x14ac:dyDescent="0.25">
      <c r="A1557">
        <v>48</v>
      </c>
      <c r="B1557">
        <v>6</v>
      </c>
      <c r="C1557">
        <v>1</v>
      </c>
      <c r="D1557">
        <v>2023</v>
      </c>
      <c r="E1557">
        <v>17</v>
      </c>
      <c r="F1557" t="str">
        <f>IFERROR(VLOOKUP(G1557, Map!$A$1:$B$33, 2, FALSE),"WAS")</f>
        <v>BUF</v>
      </c>
      <c r="G1557" t="s">
        <v>165</v>
      </c>
      <c r="H1557" t="str">
        <f>IFERROR(VLOOKUP(I1557, Map!$A$1:$B$33, 2, FALSE),"WAS")</f>
        <v>NE</v>
      </c>
      <c r="I1557" t="s">
        <v>151</v>
      </c>
      <c r="J1557" t="s">
        <v>180</v>
      </c>
      <c r="K1557" t="s">
        <v>187</v>
      </c>
      <c r="L1557">
        <v>1</v>
      </c>
      <c r="M1557">
        <v>0</v>
      </c>
      <c r="N1557">
        <v>34.461538461538503</v>
      </c>
      <c r="O1557">
        <v>-12.538461538461499</v>
      </c>
      <c r="P1557">
        <v>-6</v>
      </c>
      <c r="Q1557">
        <v>0</v>
      </c>
      <c r="R1557">
        <v>4</v>
      </c>
      <c r="S1557">
        <v>10.6</v>
      </c>
      <c r="T1557">
        <v>-1.5</v>
      </c>
      <c r="U1557">
        <v>0.7</v>
      </c>
      <c r="V1557">
        <v>0</v>
      </c>
      <c r="W1557">
        <v>0</v>
      </c>
      <c r="X1557">
        <v>0</v>
      </c>
      <c r="Y1557">
        <v>0</v>
      </c>
      <c r="Z1557">
        <v>14.2</v>
      </c>
      <c r="AA1557">
        <v>25.9</v>
      </c>
      <c r="AB1557">
        <v>235</v>
      </c>
      <c r="AC1557">
        <v>77</v>
      </c>
      <c r="AD1557">
        <v>16.5</v>
      </c>
      <c r="AE1557">
        <v>7.9</v>
      </c>
      <c r="AF1557">
        <v>86.98</v>
      </c>
      <c r="AG1557">
        <v>50.411999999999999</v>
      </c>
      <c r="AH1557">
        <v>12.916</v>
      </c>
      <c r="AI1557">
        <v>95.924999999999997</v>
      </c>
      <c r="AJ1557">
        <v>38.436</v>
      </c>
      <c r="AK1557">
        <v>74.899000000000001</v>
      </c>
      <c r="AL1557">
        <v>14.881</v>
      </c>
      <c r="AM1557">
        <v>12.916</v>
      </c>
      <c r="AN1557">
        <v>50.411999999999999</v>
      </c>
      <c r="AO1557">
        <v>86.98</v>
      </c>
      <c r="AP1557">
        <v>-14.881</v>
      </c>
      <c r="AQ1557">
        <v>61.564</v>
      </c>
      <c r="AR1557">
        <v>4.0750000000000002</v>
      </c>
      <c r="AS1557">
        <v>25.100999999999999</v>
      </c>
    </row>
    <row r="1558" spans="1:45" x14ac:dyDescent="0.25">
      <c r="A1558">
        <v>25</v>
      </c>
      <c r="B1558">
        <v>7</v>
      </c>
      <c r="C1558">
        <v>1</v>
      </c>
      <c r="D1558">
        <v>2023</v>
      </c>
      <c r="E1558">
        <v>17</v>
      </c>
      <c r="F1558" t="str">
        <f>IFERROR(VLOOKUP(G1558, Map!$A$1:$B$33, 2, FALSE),"WAS")</f>
        <v>DEN</v>
      </c>
      <c r="G1558" t="s">
        <v>159</v>
      </c>
      <c r="H1558" t="str">
        <f>IFERROR(VLOOKUP(I1558, Map!$A$1:$B$33, 2, FALSE),"WAS")</f>
        <v>LAC</v>
      </c>
      <c r="I1558" t="s">
        <v>160</v>
      </c>
      <c r="J1558" t="s">
        <v>183</v>
      </c>
      <c r="K1558" t="s">
        <v>210</v>
      </c>
      <c r="L1558">
        <v>1</v>
      </c>
      <c r="M1558">
        <v>0</v>
      </c>
      <c r="N1558">
        <v>31.928571428571399</v>
      </c>
      <c r="O1558">
        <v>-4.3571428571428603</v>
      </c>
      <c r="P1558">
        <v>-1</v>
      </c>
      <c r="Q1558">
        <v>0</v>
      </c>
      <c r="R1558">
        <v>-1.8</v>
      </c>
      <c r="S1558">
        <v>4</v>
      </c>
      <c r="T1558">
        <v>-7.2</v>
      </c>
      <c r="U1558">
        <v>-5.6</v>
      </c>
      <c r="V1558">
        <v>0</v>
      </c>
      <c r="W1558">
        <v>0</v>
      </c>
      <c r="X1558">
        <v>0</v>
      </c>
      <c r="Y1558">
        <v>0</v>
      </c>
      <c r="Z1558">
        <v>10.3</v>
      </c>
      <c r="AA1558">
        <v>15.5</v>
      </c>
      <c r="AB1558">
        <v>136</v>
      </c>
      <c r="AC1558">
        <v>62</v>
      </c>
      <c r="AD1558">
        <v>8.8000000000000007</v>
      </c>
      <c r="AE1558">
        <v>4</v>
      </c>
      <c r="AF1558">
        <v>53.097000000000001</v>
      </c>
      <c r="AG1558">
        <v>20.337</v>
      </c>
      <c r="AH1558">
        <v>46.53</v>
      </c>
      <c r="AI1558">
        <v>78.260000000000005</v>
      </c>
      <c r="AJ1558">
        <v>55.213999999999999</v>
      </c>
      <c r="AK1558">
        <v>75.078000000000003</v>
      </c>
      <c r="AL1558">
        <v>1.087</v>
      </c>
      <c r="AM1558">
        <v>46.53</v>
      </c>
      <c r="AN1558">
        <v>20.337</v>
      </c>
      <c r="AO1558">
        <v>53.097000000000001</v>
      </c>
      <c r="AP1558">
        <v>-1.087</v>
      </c>
      <c r="AQ1558">
        <v>44.786000000000001</v>
      </c>
      <c r="AR1558">
        <v>21.74</v>
      </c>
      <c r="AS1558">
        <v>24.922000000000001</v>
      </c>
    </row>
    <row r="1559" spans="1:45" x14ac:dyDescent="0.25">
      <c r="A1559">
        <v>29</v>
      </c>
      <c r="B1559">
        <v>23</v>
      </c>
      <c r="C1559">
        <v>1</v>
      </c>
      <c r="D1559">
        <v>2023</v>
      </c>
      <c r="E1559">
        <v>17</v>
      </c>
      <c r="F1559" t="str">
        <f>IFERROR(VLOOKUP(G1559, Map!$A$1:$B$33, 2, FALSE),"WAS")</f>
        <v>HOU</v>
      </c>
      <c r="G1559" t="s">
        <v>137</v>
      </c>
      <c r="H1559" t="str">
        <f>IFERROR(VLOOKUP(I1559, Map!$A$1:$B$33, 2, FALSE),"WAS")</f>
        <v>TEN</v>
      </c>
      <c r="I1559" t="s">
        <v>140</v>
      </c>
      <c r="J1559" t="s">
        <v>209</v>
      </c>
      <c r="K1559" t="s">
        <v>174</v>
      </c>
      <c r="L1559">
        <v>1</v>
      </c>
      <c r="M1559">
        <v>0</v>
      </c>
      <c r="N1559">
        <v>36.923076923076898</v>
      </c>
      <c r="O1559">
        <v>-4.4615384615384599</v>
      </c>
      <c r="P1559">
        <v>1</v>
      </c>
      <c r="Q1559">
        <v>0</v>
      </c>
      <c r="R1559">
        <v>11.6</v>
      </c>
      <c r="S1559">
        <v>21.4</v>
      </c>
      <c r="T1559">
        <v>5.3</v>
      </c>
      <c r="U1559">
        <v>9.4</v>
      </c>
      <c r="V1559">
        <v>0</v>
      </c>
      <c r="W1559">
        <v>0</v>
      </c>
      <c r="X1559">
        <v>0</v>
      </c>
      <c r="Y1559">
        <v>0</v>
      </c>
      <c r="Z1559">
        <v>16.600000000000001</v>
      </c>
      <c r="AA1559">
        <v>30.2</v>
      </c>
      <c r="AB1559">
        <v>207</v>
      </c>
      <c r="AC1559">
        <v>73</v>
      </c>
      <c r="AD1559">
        <v>16.8</v>
      </c>
      <c r="AE1559">
        <v>10.3</v>
      </c>
      <c r="AF1559">
        <v>57.912999999999997</v>
      </c>
      <c r="AG1559">
        <v>34.704999999999998</v>
      </c>
      <c r="AH1559">
        <v>41.750999999999998</v>
      </c>
      <c r="AI1559">
        <v>98.222999999999999</v>
      </c>
      <c r="AJ1559">
        <v>66.878</v>
      </c>
      <c r="AK1559">
        <v>96.37</v>
      </c>
      <c r="AL1559">
        <v>2.6909999999999998</v>
      </c>
      <c r="AM1559">
        <v>41.750999999999998</v>
      </c>
      <c r="AN1559">
        <v>34.704999999999998</v>
      </c>
      <c r="AO1559">
        <v>57.912999999999997</v>
      </c>
      <c r="AP1559">
        <v>-2.6909999999999998</v>
      </c>
      <c r="AQ1559">
        <v>33.122</v>
      </c>
      <c r="AR1559">
        <v>1.7769999999999999</v>
      </c>
      <c r="AS1559">
        <v>3.63</v>
      </c>
    </row>
    <row r="1560" spans="1:45" x14ac:dyDescent="0.25">
      <c r="A1560">
        <v>36</v>
      </c>
      <c r="B1560">
        <v>-10</v>
      </c>
      <c r="C1560">
        <v>0</v>
      </c>
      <c r="D1560">
        <v>2023</v>
      </c>
      <c r="E1560">
        <v>17</v>
      </c>
      <c r="F1560" t="str">
        <f>IFERROR(VLOOKUP(G1560, Map!$A$1:$B$33, 2, FALSE),"WAS")</f>
        <v>TB</v>
      </c>
      <c r="G1560" t="s">
        <v>141</v>
      </c>
      <c r="H1560" t="str">
        <f>IFERROR(VLOOKUP(I1560, Map!$A$1:$B$33, 2, FALSE),"WAS")</f>
        <v>NO</v>
      </c>
      <c r="I1560" t="s">
        <v>168</v>
      </c>
      <c r="J1560" t="s">
        <v>186</v>
      </c>
      <c r="K1560" t="s">
        <v>192</v>
      </c>
      <c r="L1560">
        <v>0</v>
      </c>
      <c r="M1560">
        <v>0</v>
      </c>
      <c r="N1560">
        <v>35.428571428571402</v>
      </c>
      <c r="O1560">
        <v>7.1428571428571397E-2</v>
      </c>
      <c r="P1560">
        <v>1</v>
      </c>
      <c r="Q1560">
        <v>0</v>
      </c>
      <c r="R1560">
        <v>12.3</v>
      </c>
      <c r="S1560">
        <v>18.7</v>
      </c>
      <c r="T1560">
        <v>7.8</v>
      </c>
      <c r="U1560">
        <v>11</v>
      </c>
      <c r="V1560">
        <v>0</v>
      </c>
      <c r="W1560">
        <v>0</v>
      </c>
      <c r="X1560">
        <v>0</v>
      </c>
      <c r="Y1560">
        <v>0</v>
      </c>
      <c r="Z1560">
        <v>10</v>
      </c>
      <c r="AA1560">
        <v>20.2</v>
      </c>
      <c r="AB1560">
        <v>101</v>
      </c>
      <c r="AC1560">
        <v>77</v>
      </c>
      <c r="AD1560">
        <v>12.6</v>
      </c>
      <c r="AE1560">
        <v>6.1</v>
      </c>
      <c r="AF1560">
        <v>47.749000000000002</v>
      </c>
      <c r="AG1560">
        <v>58.79</v>
      </c>
      <c r="AH1560">
        <v>51.866999999999997</v>
      </c>
      <c r="AI1560">
        <v>27.867000000000001</v>
      </c>
      <c r="AJ1560">
        <v>13.419</v>
      </c>
      <c r="AK1560">
        <v>10.090999999999999</v>
      </c>
      <c r="AL1560">
        <v>-0.68100000000000005</v>
      </c>
      <c r="AM1560">
        <v>51.866999999999997</v>
      </c>
      <c r="AN1560">
        <v>58.79</v>
      </c>
      <c r="AO1560">
        <v>47.749000000000002</v>
      </c>
      <c r="AP1560">
        <v>0.68100000000000005</v>
      </c>
      <c r="AQ1560">
        <v>86.581000000000003</v>
      </c>
      <c r="AR1560">
        <v>72.132999999999996</v>
      </c>
      <c r="AS1560">
        <v>89.909000000000006</v>
      </c>
    </row>
    <row r="1561" spans="1:45" x14ac:dyDescent="0.25">
      <c r="A1561">
        <v>54</v>
      </c>
      <c r="B1561">
        <v>20</v>
      </c>
      <c r="C1561">
        <v>1</v>
      </c>
      <c r="D1561">
        <v>2023</v>
      </c>
      <c r="E1561">
        <v>17</v>
      </c>
      <c r="F1561" t="str">
        <f>IFERROR(VLOOKUP(G1561, Map!$A$1:$B$33, 2, FALSE),"WAS")</f>
        <v>CHI</v>
      </c>
      <c r="G1561" t="s">
        <v>163</v>
      </c>
      <c r="H1561" t="str">
        <f>IFERROR(VLOOKUP(I1561, Map!$A$1:$B$33, 2, FALSE),"WAS")</f>
        <v>ATL</v>
      </c>
      <c r="I1561" t="s">
        <v>167</v>
      </c>
      <c r="J1561" t="s">
        <v>216</v>
      </c>
      <c r="K1561" t="s">
        <v>188</v>
      </c>
      <c r="L1561">
        <v>1</v>
      </c>
      <c r="M1561">
        <v>0</v>
      </c>
      <c r="N1561">
        <v>34.192307692307701</v>
      </c>
      <c r="O1561">
        <v>-3.6538461538461502</v>
      </c>
      <c r="P1561">
        <v>-2.5</v>
      </c>
      <c r="Q1561">
        <v>0</v>
      </c>
      <c r="R1561">
        <v>-0.1</v>
      </c>
      <c r="S1561">
        <v>2</v>
      </c>
      <c r="T1561">
        <v>-1.5</v>
      </c>
      <c r="U1561">
        <v>-5</v>
      </c>
      <c r="V1561">
        <v>1.5</v>
      </c>
      <c r="W1561">
        <v>1.05</v>
      </c>
      <c r="X1561">
        <v>10</v>
      </c>
      <c r="Y1561">
        <v>0</v>
      </c>
      <c r="Z1561">
        <v>20.2</v>
      </c>
      <c r="AA1561">
        <v>29.5</v>
      </c>
      <c r="AB1561">
        <v>268</v>
      </c>
      <c r="AC1561">
        <v>84</v>
      </c>
      <c r="AD1561">
        <v>23.5</v>
      </c>
      <c r="AE1561">
        <v>16.100000000000001</v>
      </c>
      <c r="AF1561">
        <v>48.57</v>
      </c>
      <c r="AG1561">
        <v>35.957999999999998</v>
      </c>
      <c r="AH1561">
        <v>51.04</v>
      </c>
      <c r="AI1561">
        <v>73.388000000000005</v>
      </c>
      <c r="AJ1561">
        <v>78.879000000000005</v>
      </c>
      <c r="AK1561">
        <v>90.658000000000001</v>
      </c>
      <c r="AL1561">
        <v>-0.40899999999999997</v>
      </c>
      <c r="AM1561">
        <v>51.04</v>
      </c>
      <c r="AN1561">
        <v>35.957999999999998</v>
      </c>
      <c r="AO1561">
        <v>48.57</v>
      </c>
      <c r="AP1561">
        <v>0.40899999999999997</v>
      </c>
      <c r="AQ1561">
        <v>21.120999999999999</v>
      </c>
      <c r="AR1561">
        <v>26.611999999999998</v>
      </c>
      <c r="AS1561">
        <v>9.3420000000000005</v>
      </c>
    </row>
    <row r="1562" spans="1:45" x14ac:dyDescent="0.25">
      <c r="A1562">
        <v>51</v>
      </c>
      <c r="B1562">
        <v>-1</v>
      </c>
      <c r="C1562">
        <v>0</v>
      </c>
      <c r="D1562">
        <v>2023</v>
      </c>
      <c r="E1562">
        <v>17</v>
      </c>
      <c r="F1562" t="str">
        <f>IFERROR(VLOOKUP(G1562, Map!$A$1:$B$33, 2, FALSE),"WAS")</f>
        <v>NYG</v>
      </c>
      <c r="G1562" t="s">
        <v>149</v>
      </c>
      <c r="H1562" t="str">
        <f>IFERROR(VLOOKUP(I1562, Map!$A$1:$B$33, 2, FALSE),"WAS")</f>
        <v>LA</v>
      </c>
      <c r="I1562" t="s">
        <v>155</v>
      </c>
      <c r="J1562" t="s">
        <v>219</v>
      </c>
      <c r="K1562" t="s">
        <v>178</v>
      </c>
      <c r="L1562">
        <v>0</v>
      </c>
      <c r="M1562">
        <v>0</v>
      </c>
      <c r="N1562">
        <v>36.576923076923102</v>
      </c>
      <c r="O1562">
        <v>5.0384615384615401</v>
      </c>
      <c r="P1562">
        <v>-4</v>
      </c>
      <c r="Q1562">
        <v>0</v>
      </c>
      <c r="R1562">
        <v>3.2</v>
      </c>
      <c r="S1562">
        <v>6.2</v>
      </c>
      <c r="T1562">
        <v>-1.5</v>
      </c>
      <c r="U1562">
        <v>-0.5</v>
      </c>
      <c r="V1562">
        <v>0</v>
      </c>
      <c r="W1562">
        <v>0</v>
      </c>
      <c r="X1562">
        <v>0</v>
      </c>
      <c r="Y1562">
        <v>0</v>
      </c>
      <c r="Z1562">
        <v>14.8</v>
      </c>
      <c r="AA1562">
        <v>30.2</v>
      </c>
      <c r="AB1562">
        <v>284</v>
      </c>
      <c r="AC1562">
        <v>70</v>
      </c>
      <c r="AD1562">
        <v>18.899999999999999</v>
      </c>
      <c r="AE1562">
        <v>9.1999999999999993</v>
      </c>
      <c r="AF1562">
        <v>17.664000000000001</v>
      </c>
      <c r="AG1562">
        <v>32.335000000000001</v>
      </c>
      <c r="AH1562">
        <v>82.194000000000003</v>
      </c>
      <c r="AI1562">
        <v>50.246000000000002</v>
      </c>
      <c r="AJ1562">
        <v>30.687000000000001</v>
      </c>
      <c r="AK1562">
        <v>42.03</v>
      </c>
      <c r="AL1562">
        <v>-12.211</v>
      </c>
      <c r="AM1562">
        <v>82.194000000000003</v>
      </c>
      <c r="AN1562">
        <v>32.335000000000001</v>
      </c>
      <c r="AO1562">
        <v>17.664000000000001</v>
      </c>
      <c r="AP1562">
        <v>12.211</v>
      </c>
      <c r="AQ1562">
        <v>69.313000000000002</v>
      </c>
      <c r="AR1562">
        <v>49.753999999999998</v>
      </c>
      <c r="AS1562">
        <v>57.97</v>
      </c>
    </row>
    <row r="1563" spans="1:45" x14ac:dyDescent="0.25">
      <c r="A1563">
        <v>26</v>
      </c>
      <c r="B1563">
        <v>26</v>
      </c>
      <c r="C1563">
        <v>1</v>
      </c>
      <c r="D1563">
        <v>2023</v>
      </c>
      <c r="E1563">
        <v>17</v>
      </c>
      <c r="F1563" t="str">
        <f>IFERROR(VLOOKUP(G1563, Map!$A$1:$B$33, 2, FALSE),"WAS")</f>
        <v>JAX</v>
      </c>
      <c r="G1563" t="s">
        <v>139</v>
      </c>
      <c r="H1563" t="str">
        <f>IFERROR(VLOOKUP(I1563, Map!$A$1:$B$33, 2, FALSE),"WAS")</f>
        <v>CAR</v>
      </c>
      <c r="I1563" t="s">
        <v>142</v>
      </c>
      <c r="J1563" t="s">
        <v>220</v>
      </c>
      <c r="K1563" t="s">
        <v>185</v>
      </c>
      <c r="L1563">
        <v>1</v>
      </c>
      <c r="M1563">
        <v>0</v>
      </c>
      <c r="N1563">
        <v>32.153846153846203</v>
      </c>
      <c r="O1563">
        <v>-4.0384615384615401</v>
      </c>
      <c r="P1563">
        <v>-3.5</v>
      </c>
      <c r="Q1563">
        <v>0</v>
      </c>
      <c r="R1563">
        <v>7.5</v>
      </c>
      <c r="S1563">
        <v>14.4</v>
      </c>
      <c r="T1563">
        <v>2.7</v>
      </c>
      <c r="U1563">
        <v>5.0999999999999996</v>
      </c>
      <c r="V1563">
        <v>0</v>
      </c>
      <c r="W1563">
        <v>0</v>
      </c>
      <c r="X1563">
        <v>0</v>
      </c>
      <c r="Y1563">
        <v>0</v>
      </c>
      <c r="Z1563">
        <v>11</v>
      </c>
      <c r="AA1563">
        <v>22</v>
      </c>
      <c r="AB1563">
        <v>274</v>
      </c>
      <c r="AC1563">
        <v>81</v>
      </c>
      <c r="AD1563">
        <v>14.2</v>
      </c>
      <c r="AE1563">
        <v>7.5</v>
      </c>
      <c r="AF1563">
        <v>65.563999999999993</v>
      </c>
      <c r="AG1563">
        <v>24.067</v>
      </c>
      <c r="AH1563">
        <v>34.161999999999999</v>
      </c>
      <c r="AI1563">
        <v>97.822999999999993</v>
      </c>
      <c r="AJ1563">
        <v>62.188000000000002</v>
      </c>
      <c r="AK1563">
        <v>93.516999999999996</v>
      </c>
      <c r="AL1563">
        <v>5.3339999999999996</v>
      </c>
      <c r="AM1563">
        <v>34.161999999999999</v>
      </c>
      <c r="AN1563">
        <v>24.067</v>
      </c>
      <c r="AO1563">
        <v>65.563999999999993</v>
      </c>
      <c r="AP1563">
        <v>-5.3339999999999996</v>
      </c>
      <c r="AQ1563">
        <v>37.811999999999998</v>
      </c>
      <c r="AR1563">
        <v>2.177</v>
      </c>
      <c r="AS1563">
        <v>6.4829999999999997</v>
      </c>
    </row>
    <row r="1564" spans="1:45" x14ac:dyDescent="0.25">
      <c r="A1564">
        <v>53</v>
      </c>
      <c r="B1564">
        <v>-7</v>
      </c>
      <c r="C1564">
        <v>0</v>
      </c>
      <c r="D1564">
        <v>2023</v>
      </c>
      <c r="E1564">
        <v>17</v>
      </c>
      <c r="F1564" t="str">
        <f>IFERROR(VLOOKUP(G1564, Map!$A$1:$B$33, 2, FALSE),"WAS")</f>
        <v>SEA</v>
      </c>
      <c r="G1564" t="s">
        <v>144</v>
      </c>
      <c r="H1564" t="str">
        <f>IFERROR(VLOOKUP(I1564, Map!$A$1:$B$33, 2, FALSE),"WAS")</f>
        <v>PIT</v>
      </c>
      <c r="I1564" t="s">
        <v>145</v>
      </c>
      <c r="J1564" t="s">
        <v>182</v>
      </c>
      <c r="K1564" t="s">
        <v>170</v>
      </c>
      <c r="L1564">
        <v>0</v>
      </c>
      <c r="M1564">
        <v>0</v>
      </c>
      <c r="N1564">
        <v>35.653846153846203</v>
      </c>
      <c r="O1564">
        <v>-3.1538461538461502</v>
      </c>
      <c r="P1564">
        <v>-2.5</v>
      </c>
      <c r="Q1564">
        <v>0</v>
      </c>
      <c r="R1564">
        <v>7.1</v>
      </c>
      <c r="S1564">
        <v>9.8000000000000007</v>
      </c>
      <c r="T1564">
        <v>5.5</v>
      </c>
      <c r="U1564">
        <v>4.5</v>
      </c>
      <c r="V1564">
        <v>0.1</v>
      </c>
      <c r="W1564">
        <v>0</v>
      </c>
      <c r="X1564">
        <v>1</v>
      </c>
      <c r="Y1564">
        <v>0.1</v>
      </c>
      <c r="Z1564">
        <v>18.7</v>
      </c>
      <c r="AA1564">
        <v>30.2</v>
      </c>
      <c r="AB1564">
        <v>182</v>
      </c>
      <c r="AC1564">
        <v>93</v>
      </c>
      <c r="AD1564">
        <v>20.2</v>
      </c>
      <c r="AE1564">
        <v>11</v>
      </c>
      <c r="AF1564">
        <v>67.105000000000004</v>
      </c>
      <c r="AG1564">
        <v>47.335000000000001</v>
      </c>
      <c r="AH1564">
        <v>32.633000000000003</v>
      </c>
      <c r="AI1564">
        <v>18.753</v>
      </c>
      <c r="AJ1564">
        <v>57.225000000000001</v>
      </c>
      <c r="AK1564">
        <v>26.135000000000002</v>
      </c>
      <c r="AL1564">
        <v>5.89</v>
      </c>
      <c r="AM1564">
        <v>32.633000000000003</v>
      </c>
      <c r="AN1564">
        <v>47.335000000000001</v>
      </c>
      <c r="AO1564">
        <v>67.105000000000004</v>
      </c>
      <c r="AP1564">
        <v>-5.89</v>
      </c>
      <c r="AQ1564">
        <v>42.774999999999999</v>
      </c>
      <c r="AR1564">
        <v>81.247</v>
      </c>
      <c r="AS1564">
        <v>73.864999999999995</v>
      </c>
    </row>
    <row r="1565" spans="1:45" x14ac:dyDescent="0.25">
      <c r="A1565">
        <v>57</v>
      </c>
      <c r="B1565">
        <v>17</v>
      </c>
      <c r="C1565">
        <v>1</v>
      </c>
      <c r="D1565">
        <v>2023</v>
      </c>
      <c r="E1565">
        <v>17</v>
      </c>
      <c r="F1565" t="str">
        <f>IFERROR(VLOOKUP(G1565, Map!$A$1:$B$33, 2, FALSE),"WAS")</f>
        <v>CLE</v>
      </c>
      <c r="G1565" t="s">
        <v>162</v>
      </c>
      <c r="H1565" t="str">
        <f>IFERROR(VLOOKUP(I1565, Map!$A$1:$B$33, 2, FALSE),"WAS")</f>
        <v>NYJ</v>
      </c>
      <c r="I1565" t="s">
        <v>166</v>
      </c>
      <c r="J1565" t="s">
        <v>171</v>
      </c>
      <c r="K1565" t="s">
        <v>172</v>
      </c>
      <c r="L1565">
        <v>1</v>
      </c>
      <c r="M1565">
        <v>0</v>
      </c>
      <c r="N1565">
        <v>30.5</v>
      </c>
      <c r="O1565">
        <v>-6.4615384615384599</v>
      </c>
      <c r="P1565">
        <v>1.5</v>
      </c>
      <c r="Q1565">
        <v>0</v>
      </c>
      <c r="R1565">
        <v>3.6</v>
      </c>
      <c r="S1565">
        <v>6</v>
      </c>
      <c r="T1565">
        <v>1.1000000000000001</v>
      </c>
      <c r="U1565">
        <v>-0.4</v>
      </c>
      <c r="V1565">
        <v>0</v>
      </c>
      <c r="W1565">
        <v>0</v>
      </c>
      <c r="X1565">
        <v>0</v>
      </c>
      <c r="Y1565">
        <v>0</v>
      </c>
      <c r="Z1565">
        <v>16.600000000000001</v>
      </c>
      <c r="AA1565">
        <v>21.6</v>
      </c>
      <c r="AB1565">
        <v>227</v>
      </c>
      <c r="AC1565">
        <v>80</v>
      </c>
      <c r="AD1565">
        <v>18.100000000000001</v>
      </c>
      <c r="AE1565">
        <v>13.5</v>
      </c>
      <c r="AF1565">
        <v>70.268000000000001</v>
      </c>
      <c r="AG1565">
        <v>32.472999999999999</v>
      </c>
      <c r="AH1565">
        <v>29.495000000000001</v>
      </c>
      <c r="AI1565">
        <v>84.650999999999996</v>
      </c>
      <c r="AJ1565">
        <v>72.349999999999994</v>
      </c>
      <c r="AK1565">
        <v>93.27</v>
      </c>
      <c r="AL1565">
        <v>7.0659999999999998</v>
      </c>
      <c r="AM1565">
        <v>29.495000000000001</v>
      </c>
      <c r="AN1565">
        <v>32.472999999999999</v>
      </c>
      <c r="AO1565">
        <v>70.268000000000001</v>
      </c>
      <c r="AP1565">
        <v>-7.0659999999999998</v>
      </c>
      <c r="AQ1565">
        <v>27.65</v>
      </c>
      <c r="AR1565">
        <v>15.349</v>
      </c>
      <c r="AS1565">
        <v>6.73</v>
      </c>
    </row>
    <row r="1566" spans="1:45" x14ac:dyDescent="0.25">
      <c r="A1566">
        <v>42</v>
      </c>
      <c r="B1566">
        <v>8</v>
      </c>
      <c r="C1566">
        <v>1</v>
      </c>
      <c r="D1566">
        <v>2023</v>
      </c>
      <c r="E1566">
        <v>17</v>
      </c>
      <c r="F1566" t="str">
        <f>IFERROR(VLOOKUP(G1566, Map!$A$1:$B$33, 2, FALSE),"WAS")</f>
        <v>KC</v>
      </c>
      <c r="G1566" t="s">
        <v>158</v>
      </c>
      <c r="H1566" t="str">
        <f>IFERROR(VLOOKUP(I1566, Map!$A$1:$B$33, 2, FALSE),"WAS")</f>
        <v>CIN</v>
      </c>
      <c r="I1566" t="s">
        <v>161</v>
      </c>
      <c r="J1566" t="s">
        <v>202</v>
      </c>
      <c r="K1566" t="s">
        <v>176</v>
      </c>
      <c r="L1566">
        <v>1</v>
      </c>
      <c r="M1566">
        <v>0</v>
      </c>
      <c r="N1566">
        <v>43.192307692307701</v>
      </c>
      <c r="O1566">
        <v>-6</v>
      </c>
      <c r="P1566">
        <v>-3</v>
      </c>
      <c r="Q1566">
        <v>45.5</v>
      </c>
      <c r="R1566">
        <v>0.8</v>
      </c>
      <c r="S1566">
        <v>3.8</v>
      </c>
      <c r="T1566">
        <v>-1.9</v>
      </c>
      <c r="U1566">
        <v>-4</v>
      </c>
      <c r="V1566">
        <v>0</v>
      </c>
      <c r="W1566">
        <v>0</v>
      </c>
      <c r="X1566">
        <v>0</v>
      </c>
      <c r="Y1566">
        <v>0</v>
      </c>
      <c r="Z1566">
        <v>19</v>
      </c>
      <c r="AA1566">
        <v>39.200000000000003</v>
      </c>
      <c r="AB1566">
        <v>323</v>
      </c>
      <c r="AC1566">
        <v>73</v>
      </c>
      <c r="AD1566">
        <v>29</v>
      </c>
      <c r="AE1566">
        <v>15.4</v>
      </c>
      <c r="AF1566">
        <v>72.835999999999999</v>
      </c>
      <c r="AG1566">
        <v>65.332999999999998</v>
      </c>
      <c r="AH1566">
        <v>26.948</v>
      </c>
      <c r="AI1566">
        <v>58.267000000000003</v>
      </c>
      <c r="AJ1566">
        <v>56.557000000000002</v>
      </c>
      <c r="AK1566">
        <v>66.933000000000007</v>
      </c>
      <c r="AL1566">
        <v>8.0630000000000006</v>
      </c>
      <c r="AM1566">
        <v>26.948</v>
      </c>
      <c r="AN1566">
        <v>65.332999999999998</v>
      </c>
      <c r="AO1566">
        <v>72.835999999999999</v>
      </c>
      <c r="AP1566">
        <v>-8.0630000000000006</v>
      </c>
      <c r="AQ1566">
        <v>43.442999999999998</v>
      </c>
      <c r="AR1566">
        <v>41.732999999999997</v>
      </c>
      <c r="AS1566">
        <v>33.067</v>
      </c>
    </row>
    <row r="1567" spans="1:45" x14ac:dyDescent="0.25">
      <c r="A1567">
        <v>43</v>
      </c>
      <c r="B1567">
        <v>-23</v>
      </c>
      <c r="C1567">
        <v>0</v>
      </c>
      <c r="D1567">
        <v>2023</v>
      </c>
      <c r="E1567">
        <v>17</v>
      </c>
      <c r="F1567" t="str">
        <f>IFERROR(VLOOKUP(G1567, Map!$A$1:$B$33, 2, FALSE),"WAS")</f>
        <v>MIN</v>
      </c>
      <c r="G1567" t="s">
        <v>153</v>
      </c>
      <c r="H1567" t="str">
        <f>IFERROR(VLOOKUP(I1567, Map!$A$1:$B$33, 2, FALSE),"WAS")</f>
        <v>GB</v>
      </c>
      <c r="I1567" t="s">
        <v>154</v>
      </c>
      <c r="J1567" t="s">
        <v>214</v>
      </c>
      <c r="K1567" t="s">
        <v>200</v>
      </c>
      <c r="L1567">
        <v>0</v>
      </c>
      <c r="M1567">
        <v>0</v>
      </c>
      <c r="N1567">
        <v>36.807692307692299</v>
      </c>
      <c r="O1567">
        <v>2.4230769230769198</v>
      </c>
      <c r="P1567">
        <v>0</v>
      </c>
      <c r="Q1567">
        <v>0</v>
      </c>
      <c r="R1567">
        <v>-4.5999999999999996</v>
      </c>
      <c r="S1567">
        <v>-0.6</v>
      </c>
      <c r="T1567">
        <v>-7.1</v>
      </c>
      <c r="U1567">
        <v>-8.9</v>
      </c>
      <c r="V1567">
        <v>0</v>
      </c>
      <c r="W1567">
        <v>0</v>
      </c>
      <c r="X1567">
        <v>0</v>
      </c>
      <c r="Y1567">
        <v>0</v>
      </c>
      <c r="Z1567">
        <v>11.1</v>
      </c>
      <c r="AA1567">
        <v>26.3</v>
      </c>
      <c r="AB1567">
        <v>237</v>
      </c>
      <c r="AC1567">
        <v>67</v>
      </c>
      <c r="AD1567">
        <v>17.100000000000001</v>
      </c>
      <c r="AE1567">
        <v>7.7</v>
      </c>
      <c r="AF1567">
        <v>48.615000000000002</v>
      </c>
      <c r="AG1567">
        <v>47.716999999999999</v>
      </c>
      <c r="AH1567">
        <v>50.994</v>
      </c>
      <c r="AI1567">
        <v>13.667</v>
      </c>
      <c r="AJ1567">
        <v>3.6840000000000002</v>
      </c>
      <c r="AK1567">
        <v>4.3040000000000003</v>
      </c>
      <c r="AL1567">
        <v>-0.39300000000000002</v>
      </c>
      <c r="AM1567">
        <v>50.994</v>
      </c>
      <c r="AN1567">
        <v>47.716999999999999</v>
      </c>
      <c r="AO1567">
        <v>48.615000000000002</v>
      </c>
      <c r="AP1567">
        <v>0.39300000000000002</v>
      </c>
      <c r="AQ1567">
        <v>96.316000000000003</v>
      </c>
      <c r="AR1567">
        <v>86.332999999999998</v>
      </c>
      <c r="AS1567">
        <v>95.695999999999998</v>
      </c>
    </row>
    <row r="1568" spans="1:45" x14ac:dyDescent="0.25">
      <c r="A1568">
        <v>37</v>
      </c>
      <c r="B1568">
        <v>-17</v>
      </c>
      <c r="C1568">
        <v>0</v>
      </c>
      <c r="D1568">
        <v>2023</v>
      </c>
      <c r="E1568">
        <v>17</v>
      </c>
      <c r="F1568" t="str">
        <f>IFERROR(VLOOKUP(G1568, Map!$A$1:$B$33, 2, FALSE),"WAS")</f>
        <v>WAS</v>
      </c>
      <c r="G1568" t="s">
        <v>148</v>
      </c>
      <c r="H1568" t="str">
        <f>IFERROR(VLOOKUP(I1568, Map!$A$1:$B$33, 2, FALSE),"WAS")</f>
        <v>SF</v>
      </c>
      <c r="I1568" t="s">
        <v>143</v>
      </c>
      <c r="J1568" t="s">
        <v>205</v>
      </c>
      <c r="K1568" t="s">
        <v>197</v>
      </c>
      <c r="L1568">
        <v>0</v>
      </c>
      <c r="M1568">
        <v>0</v>
      </c>
      <c r="N1568">
        <v>44.5</v>
      </c>
      <c r="O1568">
        <v>13.7692307692308</v>
      </c>
      <c r="P1568">
        <v>3</v>
      </c>
      <c r="Q1568">
        <v>0</v>
      </c>
      <c r="R1568">
        <v>5.4</v>
      </c>
      <c r="S1568">
        <v>9</v>
      </c>
      <c r="T1568">
        <v>-0.7</v>
      </c>
      <c r="U1568">
        <v>1.5</v>
      </c>
      <c r="V1568">
        <v>0</v>
      </c>
      <c r="W1568">
        <v>0</v>
      </c>
      <c r="X1568">
        <v>0</v>
      </c>
      <c r="Y1568">
        <v>0</v>
      </c>
      <c r="Z1568">
        <v>17.399999999999999</v>
      </c>
      <c r="AA1568">
        <v>32</v>
      </c>
      <c r="AB1568">
        <v>269</v>
      </c>
      <c r="AC1568">
        <v>64</v>
      </c>
      <c r="AD1568">
        <v>22.1</v>
      </c>
      <c r="AE1568">
        <v>10.7</v>
      </c>
      <c r="AF1568">
        <v>22.172999999999998</v>
      </c>
      <c r="AG1568">
        <v>75.72</v>
      </c>
      <c r="AH1568">
        <v>77.647999999999996</v>
      </c>
      <c r="AI1568">
        <v>14.673999999999999</v>
      </c>
      <c r="AJ1568">
        <v>35.33</v>
      </c>
      <c r="AK1568">
        <v>13.805999999999999</v>
      </c>
      <c r="AL1568">
        <v>-10.071</v>
      </c>
      <c r="AM1568">
        <v>77.647999999999996</v>
      </c>
      <c r="AN1568">
        <v>75.72</v>
      </c>
      <c r="AO1568">
        <v>22.172999999999998</v>
      </c>
      <c r="AP1568">
        <v>10.071</v>
      </c>
      <c r="AQ1568">
        <v>64.67</v>
      </c>
      <c r="AR1568">
        <v>85.325999999999993</v>
      </c>
      <c r="AS1568">
        <v>86.194000000000003</v>
      </c>
    </row>
    <row r="1569" spans="1:45" x14ac:dyDescent="0.25">
      <c r="A1569">
        <v>39</v>
      </c>
      <c r="B1569">
        <v>1</v>
      </c>
      <c r="C1569">
        <v>1</v>
      </c>
      <c r="D1569">
        <v>2023</v>
      </c>
      <c r="E1569">
        <v>17</v>
      </c>
      <c r="F1569" t="str">
        <f>IFERROR(VLOOKUP(G1569, Map!$A$1:$B$33, 2, FALSE),"WAS")</f>
        <v>DAL</v>
      </c>
      <c r="G1569" t="s">
        <v>150</v>
      </c>
      <c r="H1569" t="str">
        <f>IFERROR(VLOOKUP(I1569, Map!$A$1:$B$33, 2, FALSE),"WAS")</f>
        <v>DET</v>
      </c>
      <c r="I1569" t="s">
        <v>164</v>
      </c>
      <c r="J1569" t="s">
        <v>184</v>
      </c>
      <c r="K1569" t="s">
        <v>173</v>
      </c>
      <c r="L1569">
        <v>1</v>
      </c>
      <c r="M1569">
        <v>0</v>
      </c>
      <c r="N1569">
        <v>44.269230769230802</v>
      </c>
      <c r="O1569">
        <v>-4.0384615384615401</v>
      </c>
      <c r="P1569">
        <v>-1</v>
      </c>
      <c r="Q1569">
        <v>0</v>
      </c>
      <c r="R1569">
        <v>10.8</v>
      </c>
      <c r="S1569">
        <v>17</v>
      </c>
      <c r="T1569">
        <v>7.1</v>
      </c>
      <c r="U1569">
        <v>7.6</v>
      </c>
      <c r="V1569">
        <v>0</v>
      </c>
      <c r="W1569">
        <v>0</v>
      </c>
      <c r="X1569">
        <v>0</v>
      </c>
      <c r="Y1569">
        <v>0</v>
      </c>
      <c r="Z1569">
        <v>15.8</v>
      </c>
      <c r="AA1569">
        <v>24.5</v>
      </c>
      <c r="AB1569">
        <v>209</v>
      </c>
      <c r="AC1569">
        <v>56</v>
      </c>
      <c r="AD1569">
        <v>18.100000000000001</v>
      </c>
      <c r="AE1569">
        <v>10.5</v>
      </c>
      <c r="AF1569">
        <v>70.036000000000001</v>
      </c>
      <c r="AG1569">
        <v>77.843999999999994</v>
      </c>
      <c r="AH1569">
        <v>29.725000000000001</v>
      </c>
      <c r="AI1569">
        <v>74.715000000000003</v>
      </c>
      <c r="AJ1569">
        <v>42.067999999999998</v>
      </c>
      <c r="AK1569">
        <v>57.509</v>
      </c>
      <c r="AL1569">
        <v>6.9779999999999998</v>
      </c>
      <c r="AM1569">
        <v>29.725000000000001</v>
      </c>
      <c r="AN1569">
        <v>77.843999999999994</v>
      </c>
      <c r="AO1569">
        <v>70.036000000000001</v>
      </c>
      <c r="AP1569">
        <v>-6.9779999999999998</v>
      </c>
      <c r="AQ1569">
        <v>57.932000000000002</v>
      </c>
      <c r="AR1569">
        <v>25.285</v>
      </c>
      <c r="AS1569">
        <v>42.491</v>
      </c>
    </row>
    <row r="1570" spans="1:45" x14ac:dyDescent="0.25">
      <c r="A1570">
        <v>65</v>
      </c>
      <c r="B1570">
        <v>31</v>
      </c>
      <c r="C1570">
        <v>1</v>
      </c>
      <c r="D1570">
        <v>2023</v>
      </c>
      <c r="E1570">
        <v>18</v>
      </c>
      <c r="F1570" t="str">
        <f>IFERROR(VLOOKUP(G1570, Map!$A$1:$B$33, 2, FALSE),"WAS")</f>
        <v>NO</v>
      </c>
      <c r="G1570" t="s">
        <v>168</v>
      </c>
      <c r="H1570" t="str">
        <f>IFERROR(VLOOKUP(I1570, Map!$A$1:$B$33, 2, FALSE),"WAS")</f>
        <v>ATL</v>
      </c>
      <c r="I1570" t="s">
        <v>167</v>
      </c>
      <c r="J1570" t="s">
        <v>192</v>
      </c>
      <c r="K1570" t="s">
        <v>188</v>
      </c>
      <c r="L1570">
        <v>1</v>
      </c>
      <c r="M1570">
        <v>0</v>
      </c>
      <c r="N1570">
        <v>37.115384615384599</v>
      </c>
      <c r="O1570">
        <v>-5</v>
      </c>
      <c r="P1570">
        <v>-3</v>
      </c>
      <c r="Q1570">
        <v>0</v>
      </c>
      <c r="R1570">
        <v>9.9</v>
      </c>
      <c r="S1570">
        <v>12.6</v>
      </c>
      <c r="T1570">
        <v>7.7</v>
      </c>
      <c r="U1570">
        <v>8</v>
      </c>
      <c r="V1570">
        <v>0</v>
      </c>
      <c r="W1570">
        <v>0</v>
      </c>
      <c r="X1570">
        <v>0</v>
      </c>
      <c r="Y1570">
        <v>0</v>
      </c>
      <c r="Z1570">
        <v>12.6</v>
      </c>
      <c r="AA1570">
        <v>23.8</v>
      </c>
      <c r="AB1570">
        <v>329</v>
      </c>
      <c r="AC1570">
        <v>79</v>
      </c>
      <c r="AD1570">
        <v>14.9</v>
      </c>
      <c r="AE1570">
        <v>7.5</v>
      </c>
      <c r="AF1570">
        <v>62.06</v>
      </c>
      <c r="AG1570">
        <v>46.735999999999997</v>
      </c>
      <c r="AH1570">
        <v>37.637999999999998</v>
      </c>
      <c r="AI1570">
        <v>63.018000000000001</v>
      </c>
      <c r="AJ1570">
        <v>92.337999999999994</v>
      </c>
      <c r="AK1570">
        <v>90.262</v>
      </c>
      <c r="AL1570">
        <v>4.0999999999999996</v>
      </c>
      <c r="AM1570">
        <v>37.637999999999998</v>
      </c>
      <c r="AN1570">
        <v>46.735999999999997</v>
      </c>
      <c r="AO1570">
        <v>62.06</v>
      </c>
      <c r="AP1570">
        <v>-4.0999999999999996</v>
      </c>
      <c r="AQ1570">
        <v>7.6619999999999999</v>
      </c>
      <c r="AR1570">
        <v>36.981999999999999</v>
      </c>
      <c r="AS1570">
        <v>9.7379999999999995</v>
      </c>
    </row>
    <row r="1571" spans="1:45" x14ac:dyDescent="0.25">
      <c r="A1571">
        <v>20</v>
      </c>
      <c r="B1571">
        <v>-14</v>
      </c>
      <c r="C1571">
        <v>0</v>
      </c>
      <c r="D1571">
        <v>2023</v>
      </c>
      <c r="E1571">
        <v>18</v>
      </c>
      <c r="F1571" t="str">
        <f>IFERROR(VLOOKUP(G1571, Map!$A$1:$B$33, 2, FALSE),"WAS")</f>
        <v>NE</v>
      </c>
      <c r="G1571" t="s">
        <v>151</v>
      </c>
      <c r="H1571" t="str">
        <f>IFERROR(VLOOKUP(I1571, Map!$A$1:$B$33, 2, FALSE),"WAS")</f>
        <v>NYJ</v>
      </c>
      <c r="I1571" t="s">
        <v>166</v>
      </c>
      <c r="J1571" t="s">
        <v>187</v>
      </c>
      <c r="K1571" t="s">
        <v>172</v>
      </c>
      <c r="L1571">
        <v>0</v>
      </c>
      <c r="M1571">
        <v>0</v>
      </c>
      <c r="N1571">
        <v>23.769230769230798</v>
      </c>
      <c r="O1571">
        <v>-0.65384615384615397</v>
      </c>
      <c r="P1571">
        <v>1.5</v>
      </c>
      <c r="Q1571">
        <v>0</v>
      </c>
      <c r="R1571">
        <v>0</v>
      </c>
      <c r="S1571">
        <v>1.2</v>
      </c>
      <c r="T1571">
        <v>-4.2</v>
      </c>
      <c r="U1571">
        <v>-5</v>
      </c>
      <c r="V1571">
        <v>29.7</v>
      </c>
      <c r="W1571">
        <v>17.850000000000001</v>
      </c>
      <c r="X1571">
        <v>23</v>
      </c>
      <c r="Y1571">
        <v>4.3</v>
      </c>
      <c r="Z1571">
        <v>24.5</v>
      </c>
      <c r="AA1571">
        <v>54.4</v>
      </c>
      <c r="AB1571">
        <v>51</v>
      </c>
      <c r="AC1571">
        <v>92</v>
      </c>
      <c r="AD1571">
        <v>41.1</v>
      </c>
      <c r="AE1571">
        <v>19</v>
      </c>
      <c r="AF1571">
        <v>54.241</v>
      </c>
      <c r="AG1571">
        <v>8.6470000000000002</v>
      </c>
      <c r="AH1571">
        <v>45.393999999999998</v>
      </c>
      <c r="AI1571">
        <v>84.144999999999996</v>
      </c>
      <c r="AJ1571">
        <v>0.92400000000000004</v>
      </c>
      <c r="AK1571">
        <v>25.210999999999999</v>
      </c>
      <c r="AL1571">
        <v>1.464</v>
      </c>
      <c r="AM1571">
        <v>45.393999999999998</v>
      </c>
      <c r="AN1571">
        <v>8.6470000000000002</v>
      </c>
      <c r="AO1571">
        <v>54.241</v>
      </c>
      <c r="AP1571">
        <v>-1.464</v>
      </c>
      <c r="AQ1571">
        <v>99.075999999999993</v>
      </c>
      <c r="AR1571">
        <v>15.855</v>
      </c>
      <c r="AS1571">
        <v>74.789000000000001</v>
      </c>
    </row>
    <row r="1572" spans="1:45" x14ac:dyDescent="0.25">
      <c r="A1572">
        <v>37</v>
      </c>
      <c r="B1572">
        <v>17</v>
      </c>
      <c r="C1572">
        <v>1</v>
      </c>
      <c r="D1572">
        <v>2023</v>
      </c>
      <c r="E1572">
        <v>18</v>
      </c>
      <c r="F1572" t="str">
        <f>IFERROR(VLOOKUP(G1572, Map!$A$1:$B$33, 2, FALSE),"WAS")</f>
        <v>NYG</v>
      </c>
      <c r="G1572" t="s">
        <v>149</v>
      </c>
      <c r="H1572" t="str">
        <f>IFERROR(VLOOKUP(I1572, Map!$A$1:$B$33, 2, FALSE),"WAS")</f>
        <v>PHI</v>
      </c>
      <c r="I1572" t="s">
        <v>147</v>
      </c>
      <c r="J1572" t="s">
        <v>219</v>
      </c>
      <c r="K1572" t="s">
        <v>206</v>
      </c>
      <c r="L1572">
        <v>1</v>
      </c>
      <c r="M1572">
        <v>0</v>
      </c>
      <c r="N1572">
        <v>36.142857142857103</v>
      </c>
      <c r="O1572">
        <v>1</v>
      </c>
      <c r="P1572">
        <v>3</v>
      </c>
      <c r="Q1572">
        <v>0</v>
      </c>
      <c r="R1572">
        <v>1.7</v>
      </c>
      <c r="S1572">
        <v>3.5</v>
      </c>
      <c r="T1572">
        <v>0.7</v>
      </c>
      <c r="U1572">
        <v>-2.9</v>
      </c>
      <c r="V1572">
        <v>20</v>
      </c>
      <c r="W1572">
        <v>9.0299999999999994</v>
      </c>
      <c r="X1572">
        <v>20</v>
      </c>
      <c r="Y1572">
        <v>7.1</v>
      </c>
      <c r="Z1572">
        <v>27.3</v>
      </c>
      <c r="AA1572">
        <v>52.9</v>
      </c>
      <c r="AB1572">
        <v>29</v>
      </c>
      <c r="AC1572">
        <v>93</v>
      </c>
      <c r="AD1572">
        <v>35.200000000000003</v>
      </c>
      <c r="AE1572">
        <v>18</v>
      </c>
      <c r="AF1572">
        <v>15.941000000000001</v>
      </c>
      <c r="AG1572">
        <v>27.239000000000001</v>
      </c>
      <c r="AH1572">
        <v>83.930999999999997</v>
      </c>
      <c r="AI1572">
        <v>93.801000000000002</v>
      </c>
      <c r="AJ1572">
        <v>76.748000000000005</v>
      </c>
      <c r="AK1572">
        <v>92.468999999999994</v>
      </c>
      <c r="AL1572">
        <v>-13.105</v>
      </c>
      <c r="AM1572">
        <v>83.930999999999997</v>
      </c>
      <c r="AN1572">
        <v>27.239000000000001</v>
      </c>
      <c r="AO1572">
        <v>15.941000000000001</v>
      </c>
      <c r="AP1572">
        <v>13.105</v>
      </c>
      <c r="AQ1572">
        <v>23.251999999999999</v>
      </c>
      <c r="AR1572">
        <v>6.1989999999999998</v>
      </c>
      <c r="AS1572">
        <v>7.5309999999999997</v>
      </c>
    </row>
    <row r="1573" spans="1:45" x14ac:dyDescent="0.25">
      <c r="A1573">
        <v>27</v>
      </c>
      <c r="B1573">
        <v>-7</v>
      </c>
      <c r="C1573">
        <v>0</v>
      </c>
      <c r="D1573">
        <v>2023</v>
      </c>
      <c r="E1573">
        <v>18</v>
      </c>
      <c r="F1573" t="str">
        <f>IFERROR(VLOOKUP(G1573, Map!$A$1:$B$33, 2, FALSE),"WAS")</f>
        <v>BAL</v>
      </c>
      <c r="G1573" t="s">
        <v>146</v>
      </c>
      <c r="H1573" t="str">
        <f>IFERROR(VLOOKUP(I1573, Map!$A$1:$B$33, 2, FALSE),"WAS")</f>
        <v>PIT</v>
      </c>
      <c r="I1573" t="s">
        <v>145</v>
      </c>
      <c r="J1573" t="s">
        <v>181</v>
      </c>
      <c r="K1573" t="s">
        <v>170</v>
      </c>
      <c r="L1573">
        <v>0</v>
      </c>
      <c r="M1573">
        <v>0</v>
      </c>
      <c r="N1573">
        <v>28.461538461538499</v>
      </c>
      <c r="O1573">
        <v>2.2692307692307701</v>
      </c>
      <c r="P1573">
        <v>2.5</v>
      </c>
      <c r="Q1573">
        <v>0</v>
      </c>
      <c r="R1573">
        <v>0.2</v>
      </c>
      <c r="S1573">
        <v>5.4</v>
      </c>
      <c r="T1573">
        <v>-3.3</v>
      </c>
      <c r="U1573">
        <v>-4</v>
      </c>
      <c r="V1573">
        <v>16.399999999999999</v>
      </c>
      <c r="W1573">
        <v>0.35</v>
      </c>
      <c r="X1573">
        <v>9</v>
      </c>
      <c r="Y1573">
        <v>15.9</v>
      </c>
      <c r="Z1573">
        <v>31.5</v>
      </c>
      <c r="AA1573">
        <v>55.8</v>
      </c>
      <c r="AB1573">
        <v>97</v>
      </c>
      <c r="AC1573">
        <v>84</v>
      </c>
      <c r="AD1573">
        <v>21.4</v>
      </c>
      <c r="AE1573">
        <v>12.2</v>
      </c>
      <c r="AF1573">
        <v>78.921000000000006</v>
      </c>
      <c r="AG1573">
        <v>58.206000000000003</v>
      </c>
      <c r="AH1573">
        <v>20.911000000000001</v>
      </c>
      <c r="AI1573">
        <v>65.813999999999993</v>
      </c>
      <c r="AJ1573">
        <v>7.2629999999999999</v>
      </c>
      <c r="AK1573">
        <v>26.088000000000001</v>
      </c>
      <c r="AL1573">
        <v>10.631</v>
      </c>
      <c r="AM1573">
        <v>20.911000000000001</v>
      </c>
      <c r="AN1573">
        <v>58.206000000000003</v>
      </c>
      <c r="AO1573">
        <v>78.921000000000006</v>
      </c>
      <c r="AP1573">
        <v>-10.631</v>
      </c>
      <c r="AQ1573">
        <v>92.736999999999995</v>
      </c>
      <c r="AR1573">
        <v>34.186</v>
      </c>
      <c r="AS1573">
        <v>73.912000000000006</v>
      </c>
    </row>
    <row r="1574" spans="1:45" x14ac:dyDescent="0.25">
      <c r="A1574">
        <v>42</v>
      </c>
      <c r="B1574">
        <v>-4</v>
      </c>
      <c r="C1574">
        <v>0</v>
      </c>
      <c r="D1574">
        <v>2023</v>
      </c>
      <c r="E1574">
        <v>18</v>
      </c>
      <c r="F1574" t="str">
        <f>IFERROR(VLOOKUP(G1574, Map!$A$1:$B$33, 2, FALSE),"WAS")</f>
        <v>IND</v>
      </c>
      <c r="G1574" t="s">
        <v>138</v>
      </c>
      <c r="H1574" t="str">
        <f>IFERROR(VLOOKUP(I1574, Map!$A$1:$B$33, 2, FALSE),"WAS")</f>
        <v>HOU</v>
      </c>
      <c r="I1574" t="s">
        <v>137</v>
      </c>
      <c r="J1574" t="s">
        <v>177</v>
      </c>
      <c r="K1574" t="s">
        <v>209</v>
      </c>
      <c r="L1574">
        <v>0</v>
      </c>
      <c r="M1574">
        <v>0</v>
      </c>
      <c r="N1574">
        <v>39.730769230769198</v>
      </c>
      <c r="O1574">
        <v>1.15384615384615</v>
      </c>
      <c r="P1574">
        <v>1</v>
      </c>
      <c r="Q1574">
        <v>0</v>
      </c>
      <c r="R1574">
        <v>1.4</v>
      </c>
      <c r="S1574">
        <v>2.7</v>
      </c>
      <c r="T1574">
        <v>0.4</v>
      </c>
      <c r="U1574">
        <v>-3</v>
      </c>
      <c r="V1574">
        <v>2.1</v>
      </c>
      <c r="W1574">
        <v>0.98</v>
      </c>
      <c r="X1574">
        <v>14</v>
      </c>
      <c r="Y1574">
        <v>0.7</v>
      </c>
      <c r="Z1574">
        <v>24.5</v>
      </c>
      <c r="AA1574">
        <v>45</v>
      </c>
      <c r="AB1574">
        <v>262</v>
      </c>
      <c r="AC1574">
        <v>86</v>
      </c>
      <c r="AD1574">
        <v>26.6</v>
      </c>
      <c r="AE1574">
        <v>14.3</v>
      </c>
      <c r="AF1574">
        <v>51.582000000000001</v>
      </c>
      <c r="AG1574">
        <v>38.838000000000001</v>
      </c>
      <c r="AH1574">
        <v>48.031999999999996</v>
      </c>
      <c r="AI1574">
        <v>32.432000000000002</v>
      </c>
      <c r="AJ1574">
        <v>53.96</v>
      </c>
      <c r="AK1574">
        <v>39.164999999999999</v>
      </c>
      <c r="AL1574">
        <v>0.58699999999999997</v>
      </c>
      <c r="AM1574">
        <v>48.031999999999996</v>
      </c>
      <c r="AN1574">
        <v>38.838000000000001</v>
      </c>
      <c r="AO1574">
        <v>51.582000000000001</v>
      </c>
      <c r="AP1574">
        <v>-0.58699999999999997</v>
      </c>
      <c r="AQ1574">
        <v>46.04</v>
      </c>
      <c r="AR1574">
        <v>67.567999999999998</v>
      </c>
      <c r="AS1574">
        <v>60.835000000000001</v>
      </c>
    </row>
    <row r="1575" spans="1:45" x14ac:dyDescent="0.25">
      <c r="A1575">
        <v>35</v>
      </c>
      <c r="B1575">
        <v>-7</v>
      </c>
      <c r="C1575">
        <v>0</v>
      </c>
      <c r="D1575">
        <v>2023</v>
      </c>
      <c r="E1575">
        <v>18</v>
      </c>
      <c r="F1575" t="str">
        <f>IFERROR(VLOOKUP(G1575, Map!$A$1:$B$33, 2, FALSE),"WAS")</f>
        <v>MIA</v>
      </c>
      <c r="G1575" t="s">
        <v>152</v>
      </c>
      <c r="H1575" t="str">
        <f>IFERROR(VLOOKUP(I1575, Map!$A$1:$B$33, 2, FALSE),"WAS")</f>
        <v>BUF</v>
      </c>
      <c r="I1575" t="s">
        <v>165</v>
      </c>
      <c r="J1575" t="s">
        <v>175</v>
      </c>
      <c r="K1575" t="s">
        <v>180</v>
      </c>
      <c r="L1575">
        <v>0</v>
      </c>
      <c r="M1575">
        <v>0</v>
      </c>
      <c r="N1575">
        <v>39.807692307692299</v>
      </c>
      <c r="O1575">
        <v>2.5769230769230802</v>
      </c>
      <c r="P1575">
        <v>2</v>
      </c>
      <c r="Q1575">
        <v>0</v>
      </c>
      <c r="R1575">
        <v>19.399999999999999</v>
      </c>
      <c r="S1575">
        <v>24</v>
      </c>
      <c r="T1575">
        <v>15</v>
      </c>
      <c r="U1575">
        <v>19</v>
      </c>
      <c r="V1575">
        <v>0</v>
      </c>
      <c r="W1575">
        <v>0</v>
      </c>
      <c r="X1575">
        <v>0</v>
      </c>
      <c r="Y1575">
        <v>0</v>
      </c>
      <c r="Z1575">
        <v>21.6</v>
      </c>
      <c r="AA1575">
        <v>39.6</v>
      </c>
      <c r="AB1575">
        <v>57</v>
      </c>
      <c r="AC1575">
        <v>77</v>
      </c>
      <c r="AD1575">
        <v>26.9</v>
      </c>
      <c r="AE1575">
        <v>14.9</v>
      </c>
      <c r="AF1575">
        <v>45.271000000000001</v>
      </c>
      <c r="AG1575">
        <v>94.356999999999999</v>
      </c>
      <c r="AH1575">
        <v>54.366</v>
      </c>
      <c r="AI1575">
        <v>44.835999999999999</v>
      </c>
      <c r="AJ1575">
        <v>53.44</v>
      </c>
      <c r="AK1575">
        <v>31.957999999999998</v>
      </c>
      <c r="AL1575">
        <v>-1.506</v>
      </c>
      <c r="AM1575">
        <v>54.366</v>
      </c>
      <c r="AN1575">
        <v>94.356999999999999</v>
      </c>
      <c r="AO1575">
        <v>45.271000000000001</v>
      </c>
      <c r="AP1575">
        <v>1.506</v>
      </c>
      <c r="AQ1575">
        <v>46.56</v>
      </c>
      <c r="AR1575">
        <v>55.164000000000001</v>
      </c>
      <c r="AS1575">
        <v>68.042000000000002</v>
      </c>
    </row>
    <row r="1576" spans="1:45" x14ac:dyDescent="0.25">
      <c r="A1576">
        <v>48</v>
      </c>
      <c r="B1576">
        <v>-28</v>
      </c>
      <c r="C1576">
        <v>0</v>
      </c>
      <c r="D1576">
        <v>2023</v>
      </c>
      <c r="E1576">
        <v>18</v>
      </c>
      <c r="F1576" t="str">
        <f>IFERROR(VLOOKUP(G1576, Map!$A$1:$B$33, 2, FALSE),"WAS")</f>
        <v>WAS</v>
      </c>
      <c r="G1576" t="s">
        <v>148</v>
      </c>
      <c r="H1576" t="str">
        <f>IFERROR(VLOOKUP(I1576, Map!$A$1:$B$33, 2, FALSE),"WAS")</f>
        <v>DAL</v>
      </c>
      <c r="I1576" t="s">
        <v>150</v>
      </c>
      <c r="J1576" t="s">
        <v>205</v>
      </c>
      <c r="K1576" t="s">
        <v>184</v>
      </c>
      <c r="L1576">
        <v>0</v>
      </c>
      <c r="M1576">
        <v>0</v>
      </c>
      <c r="N1576">
        <v>43.5</v>
      </c>
      <c r="O1576">
        <v>14.153846153846199</v>
      </c>
      <c r="P1576">
        <v>3</v>
      </c>
      <c r="Q1576">
        <v>0</v>
      </c>
      <c r="R1576">
        <v>3.7</v>
      </c>
      <c r="S1576">
        <v>9.1</v>
      </c>
      <c r="T1576">
        <v>-0.1</v>
      </c>
      <c r="U1576">
        <v>-0.4</v>
      </c>
      <c r="V1576">
        <v>0.5</v>
      </c>
      <c r="W1576">
        <v>0</v>
      </c>
      <c r="X1576">
        <v>2</v>
      </c>
      <c r="Y1576">
        <v>0.5</v>
      </c>
      <c r="Z1576">
        <v>27.7</v>
      </c>
      <c r="AA1576">
        <v>55.1</v>
      </c>
      <c r="AB1576">
        <v>291</v>
      </c>
      <c r="AC1576">
        <v>82</v>
      </c>
      <c r="AD1576">
        <v>30.4</v>
      </c>
      <c r="AE1576">
        <v>14.4</v>
      </c>
      <c r="AF1576">
        <v>15.315</v>
      </c>
      <c r="AG1576">
        <v>54.753999999999998</v>
      </c>
      <c r="AH1576">
        <v>84.561999999999998</v>
      </c>
      <c r="AI1576">
        <v>5.8079999999999998</v>
      </c>
      <c r="AJ1576">
        <v>14.223000000000001</v>
      </c>
      <c r="AK1576">
        <v>5.5709999999999997</v>
      </c>
      <c r="AL1576">
        <v>-13.45</v>
      </c>
      <c r="AM1576">
        <v>84.561999999999998</v>
      </c>
      <c r="AN1576">
        <v>54.753999999999998</v>
      </c>
      <c r="AO1576">
        <v>15.315</v>
      </c>
      <c r="AP1576">
        <v>13.45</v>
      </c>
      <c r="AQ1576">
        <v>85.777000000000001</v>
      </c>
      <c r="AR1576">
        <v>94.191999999999993</v>
      </c>
      <c r="AS1576">
        <v>94.429000000000002</v>
      </c>
    </row>
    <row r="1577" spans="1:45" x14ac:dyDescent="0.25">
      <c r="A1577">
        <v>26</v>
      </c>
      <c r="B1577">
        <v>8</v>
      </c>
      <c r="C1577">
        <v>1</v>
      </c>
      <c r="D1577">
        <v>2023</v>
      </c>
      <c r="E1577">
        <v>18</v>
      </c>
      <c r="F1577" t="str">
        <f>IFERROR(VLOOKUP(G1577, Map!$A$1:$B$33, 2, FALSE),"WAS")</f>
        <v>GB</v>
      </c>
      <c r="G1577" t="s">
        <v>154</v>
      </c>
      <c r="H1577" t="str">
        <f>IFERROR(VLOOKUP(I1577, Map!$A$1:$B$33, 2, FALSE),"WAS")</f>
        <v>CHI</v>
      </c>
      <c r="I1577" t="s">
        <v>163</v>
      </c>
      <c r="J1577" t="s">
        <v>200</v>
      </c>
      <c r="K1577" t="s">
        <v>216</v>
      </c>
      <c r="L1577">
        <v>1</v>
      </c>
      <c r="M1577">
        <v>0</v>
      </c>
      <c r="N1577">
        <v>37.25</v>
      </c>
      <c r="O1577">
        <v>-3.46428571428571</v>
      </c>
      <c r="P1577">
        <v>-1.5</v>
      </c>
      <c r="Q1577">
        <v>0</v>
      </c>
      <c r="R1577">
        <v>-0.7</v>
      </c>
      <c r="S1577">
        <v>2.7</v>
      </c>
      <c r="T1577">
        <v>-3.6</v>
      </c>
      <c r="U1577">
        <v>-4.5999999999999996</v>
      </c>
      <c r="V1577">
        <v>0.2</v>
      </c>
      <c r="W1577">
        <v>0.21</v>
      </c>
      <c r="X1577">
        <v>2</v>
      </c>
      <c r="Y1577">
        <v>0</v>
      </c>
      <c r="Z1577">
        <v>16.5</v>
      </c>
      <c r="AA1577">
        <v>32.799999999999997</v>
      </c>
      <c r="AB1577">
        <v>290</v>
      </c>
      <c r="AC1577">
        <v>84</v>
      </c>
      <c r="AD1577">
        <v>16</v>
      </c>
      <c r="AE1577">
        <v>8.5</v>
      </c>
      <c r="AF1577">
        <v>57.387999999999998</v>
      </c>
      <c r="AG1577">
        <v>52.146999999999998</v>
      </c>
      <c r="AH1577">
        <v>42.273000000000003</v>
      </c>
      <c r="AI1577">
        <v>67.888999999999996</v>
      </c>
      <c r="AJ1577">
        <v>82.364999999999995</v>
      </c>
      <c r="AK1577">
        <v>73.962999999999994</v>
      </c>
      <c r="AL1577">
        <v>2.512</v>
      </c>
      <c r="AM1577">
        <v>42.273000000000003</v>
      </c>
      <c r="AN1577">
        <v>52.146999999999998</v>
      </c>
      <c r="AO1577">
        <v>57.387999999999998</v>
      </c>
      <c r="AP1577">
        <v>-2.512</v>
      </c>
      <c r="AQ1577">
        <v>17.635000000000002</v>
      </c>
      <c r="AR1577">
        <v>32.110999999999997</v>
      </c>
      <c r="AS1577">
        <v>26.036999999999999</v>
      </c>
    </row>
    <row r="1578" spans="1:45" x14ac:dyDescent="0.25">
      <c r="A1578">
        <v>45</v>
      </c>
      <c r="B1578">
        <v>17</v>
      </c>
      <c r="C1578">
        <v>1</v>
      </c>
      <c r="D1578">
        <v>2023</v>
      </c>
      <c r="E1578">
        <v>18</v>
      </c>
      <c r="F1578" t="str">
        <f>IFERROR(VLOOKUP(G1578, Map!$A$1:$B$33, 2, FALSE),"WAS")</f>
        <v>CIN</v>
      </c>
      <c r="G1578" t="s">
        <v>161</v>
      </c>
      <c r="H1578" t="str">
        <f>IFERROR(VLOOKUP(I1578, Map!$A$1:$B$33, 2, FALSE),"WAS")</f>
        <v>CLE</v>
      </c>
      <c r="I1578" t="s">
        <v>162</v>
      </c>
      <c r="J1578" t="s">
        <v>176</v>
      </c>
      <c r="K1578" t="s">
        <v>171</v>
      </c>
      <c r="L1578">
        <v>1</v>
      </c>
      <c r="M1578">
        <v>0</v>
      </c>
      <c r="N1578">
        <v>34.25</v>
      </c>
      <c r="O1578">
        <v>-6.75</v>
      </c>
      <c r="P1578">
        <v>-4.5</v>
      </c>
      <c r="Q1578">
        <v>36.5</v>
      </c>
      <c r="R1578">
        <v>2.2000000000000002</v>
      </c>
      <c r="S1578">
        <v>3.7</v>
      </c>
      <c r="T1578">
        <v>1.2</v>
      </c>
      <c r="U1578">
        <v>-2</v>
      </c>
      <c r="V1578">
        <v>2.1</v>
      </c>
      <c r="W1578">
        <v>0.14000000000000001</v>
      </c>
      <c r="X1578">
        <v>13</v>
      </c>
      <c r="Y1578">
        <v>1.9</v>
      </c>
      <c r="Z1578">
        <v>25.6</v>
      </c>
      <c r="AA1578">
        <v>50</v>
      </c>
      <c r="AB1578">
        <v>262</v>
      </c>
      <c r="AC1578">
        <v>87</v>
      </c>
      <c r="AD1578">
        <v>29.9</v>
      </c>
      <c r="AE1578">
        <v>14.9</v>
      </c>
      <c r="AF1578">
        <v>54.115000000000002</v>
      </c>
      <c r="AG1578">
        <v>46.243000000000002</v>
      </c>
      <c r="AH1578">
        <v>45.52</v>
      </c>
      <c r="AI1578">
        <v>98.650999999999996</v>
      </c>
      <c r="AJ1578">
        <v>80.88</v>
      </c>
      <c r="AK1578">
        <v>97.292000000000002</v>
      </c>
      <c r="AL1578">
        <v>1.423</v>
      </c>
      <c r="AM1578">
        <v>45.52</v>
      </c>
      <c r="AN1578">
        <v>46.243000000000002</v>
      </c>
      <c r="AO1578">
        <v>54.115000000000002</v>
      </c>
      <c r="AP1578">
        <v>-1.423</v>
      </c>
      <c r="AQ1578">
        <v>19.12</v>
      </c>
      <c r="AR1578">
        <v>1.349</v>
      </c>
      <c r="AS1578">
        <v>2.7080000000000002</v>
      </c>
    </row>
    <row r="1579" spans="1:45" x14ac:dyDescent="0.25">
      <c r="A1579">
        <v>50</v>
      </c>
      <c r="B1579">
        <v>10</v>
      </c>
      <c r="C1579">
        <v>1</v>
      </c>
      <c r="D1579">
        <v>2023</v>
      </c>
      <c r="E1579">
        <v>18</v>
      </c>
      <c r="F1579" t="str">
        <f>IFERROR(VLOOKUP(G1579, Map!$A$1:$B$33, 2, FALSE),"WAS")</f>
        <v>DET</v>
      </c>
      <c r="G1579" t="s">
        <v>164</v>
      </c>
      <c r="H1579" t="str">
        <f>IFERROR(VLOOKUP(I1579, Map!$A$1:$B$33, 2, FALSE),"WAS")</f>
        <v>MIN</v>
      </c>
      <c r="I1579" t="s">
        <v>153</v>
      </c>
      <c r="J1579" t="s">
        <v>173</v>
      </c>
      <c r="K1579" t="s">
        <v>214</v>
      </c>
      <c r="L1579">
        <v>1</v>
      </c>
      <c r="M1579">
        <v>0</v>
      </c>
      <c r="N1579">
        <v>40.346153846153797</v>
      </c>
      <c r="O1579">
        <v>-3.6923076923076898</v>
      </c>
      <c r="P1579">
        <v>-3</v>
      </c>
      <c r="Q1579">
        <v>0</v>
      </c>
      <c r="R1579">
        <v>0.3</v>
      </c>
      <c r="S1579">
        <v>2.6</v>
      </c>
      <c r="T1579">
        <v>-1</v>
      </c>
      <c r="U1579">
        <v>-3.4</v>
      </c>
      <c r="V1579">
        <v>1.5</v>
      </c>
      <c r="W1579">
        <v>0.98</v>
      </c>
      <c r="X1579">
        <v>12</v>
      </c>
      <c r="Y1579">
        <v>0.1</v>
      </c>
      <c r="Z1579">
        <v>17.3</v>
      </c>
      <c r="AA1579">
        <v>30.6</v>
      </c>
      <c r="AB1579">
        <v>287</v>
      </c>
      <c r="AC1579">
        <v>90</v>
      </c>
      <c r="AD1579">
        <v>17.899999999999999</v>
      </c>
      <c r="AE1579">
        <v>9.8000000000000007</v>
      </c>
      <c r="AF1579">
        <v>70.665999999999997</v>
      </c>
      <c r="AG1579">
        <v>51.548000000000002</v>
      </c>
      <c r="AH1579">
        <v>29.1</v>
      </c>
      <c r="AI1579">
        <v>57.156999999999996</v>
      </c>
      <c r="AJ1579">
        <v>91.662999999999997</v>
      </c>
      <c r="AK1579">
        <v>83.799000000000007</v>
      </c>
      <c r="AL1579">
        <v>7.21</v>
      </c>
      <c r="AM1579">
        <v>29.1</v>
      </c>
      <c r="AN1579">
        <v>51.548000000000002</v>
      </c>
      <c r="AO1579">
        <v>70.665999999999997</v>
      </c>
      <c r="AP1579">
        <v>-7.21</v>
      </c>
      <c r="AQ1579">
        <v>8.3369999999999997</v>
      </c>
      <c r="AR1579">
        <v>42.843000000000004</v>
      </c>
      <c r="AS1579">
        <v>16.201000000000001</v>
      </c>
    </row>
    <row r="1580" spans="1:45" x14ac:dyDescent="0.25">
      <c r="A1580">
        <v>41</v>
      </c>
      <c r="B1580">
        <v>13</v>
      </c>
      <c r="C1580">
        <v>1</v>
      </c>
      <c r="D1580">
        <v>2023</v>
      </c>
      <c r="E1580">
        <v>18</v>
      </c>
      <c r="F1580" t="str">
        <f>IFERROR(VLOOKUP(G1580, Map!$A$1:$B$33, 2, FALSE),"WAS")</f>
        <v>LV</v>
      </c>
      <c r="G1580" t="s">
        <v>157</v>
      </c>
      <c r="H1580" t="str">
        <f>IFERROR(VLOOKUP(I1580, Map!$A$1:$B$33, 2, FALSE),"WAS")</f>
        <v>DEN</v>
      </c>
      <c r="I1580" t="s">
        <v>159</v>
      </c>
      <c r="J1580" t="s">
        <v>179</v>
      </c>
      <c r="K1580" t="s">
        <v>183</v>
      </c>
      <c r="L1580">
        <v>1</v>
      </c>
      <c r="M1580">
        <v>0</v>
      </c>
      <c r="N1580">
        <v>35.538461538461497</v>
      </c>
      <c r="O1580">
        <v>-4.3461538461538503</v>
      </c>
      <c r="P1580">
        <v>1</v>
      </c>
      <c r="Q1580">
        <v>0</v>
      </c>
      <c r="R1580">
        <v>6.7</v>
      </c>
      <c r="S1580">
        <v>10.7</v>
      </c>
      <c r="T1580">
        <v>4.0999999999999996</v>
      </c>
      <c r="U1580">
        <v>-0.6</v>
      </c>
      <c r="V1580">
        <v>0.2</v>
      </c>
      <c r="W1580">
        <v>0</v>
      </c>
      <c r="X1580">
        <v>2</v>
      </c>
      <c r="Y1580">
        <v>0.2</v>
      </c>
      <c r="Z1580">
        <v>44.7</v>
      </c>
      <c r="AA1580">
        <v>68.8</v>
      </c>
      <c r="AB1580">
        <v>307</v>
      </c>
      <c r="AC1580">
        <v>32</v>
      </c>
      <c r="AD1580">
        <v>44.2</v>
      </c>
      <c r="AE1580">
        <v>28.5</v>
      </c>
      <c r="AF1580">
        <v>54.100999999999999</v>
      </c>
      <c r="AG1580">
        <v>27.655999999999999</v>
      </c>
      <c r="AH1580">
        <v>45.533000000000001</v>
      </c>
      <c r="AI1580">
        <v>67.382000000000005</v>
      </c>
      <c r="AJ1580">
        <v>78.045000000000002</v>
      </c>
      <c r="AK1580">
        <v>81.364999999999995</v>
      </c>
      <c r="AL1580">
        <v>1.4179999999999999</v>
      </c>
      <c r="AM1580">
        <v>45.533000000000001</v>
      </c>
      <c r="AN1580">
        <v>27.655999999999999</v>
      </c>
      <c r="AO1580">
        <v>54.100999999999999</v>
      </c>
      <c r="AP1580">
        <v>-1.4179999999999999</v>
      </c>
      <c r="AQ1580">
        <v>21.954999999999998</v>
      </c>
      <c r="AR1580">
        <v>32.618000000000002</v>
      </c>
      <c r="AS1580">
        <v>18.635000000000002</v>
      </c>
    </row>
    <row r="1581" spans="1:45" x14ac:dyDescent="0.25">
      <c r="A1581">
        <v>25</v>
      </c>
      <c r="B1581">
        <v>-1</v>
      </c>
      <c r="C1581">
        <v>0</v>
      </c>
      <c r="D1581">
        <v>2023</v>
      </c>
      <c r="E1581">
        <v>18</v>
      </c>
      <c r="F1581" t="str">
        <f>IFERROR(VLOOKUP(G1581, Map!$A$1:$B$33, 2, FALSE),"WAS")</f>
        <v>LAC</v>
      </c>
      <c r="G1581" t="s">
        <v>160</v>
      </c>
      <c r="H1581" t="str">
        <f>IFERROR(VLOOKUP(I1581, Map!$A$1:$B$33, 2, FALSE),"WAS")</f>
        <v>KC</v>
      </c>
      <c r="I1581" t="s">
        <v>158</v>
      </c>
      <c r="J1581" t="s">
        <v>210</v>
      </c>
      <c r="K1581" t="s">
        <v>202</v>
      </c>
      <c r="L1581">
        <v>0</v>
      </c>
      <c r="M1581">
        <v>0</v>
      </c>
      <c r="N1581">
        <v>28.884615384615401</v>
      </c>
      <c r="O1581">
        <v>-2.9230769230769198</v>
      </c>
      <c r="P1581">
        <v>-0.5</v>
      </c>
      <c r="Q1581">
        <v>0</v>
      </c>
      <c r="R1581">
        <v>10.9</v>
      </c>
      <c r="S1581">
        <v>15.3</v>
      </c>
      <c r="T1581">
        <v>8.1999999999999993</v>
      </c>
      <c r="U1581">
        <v>6.6</v>
      </c>
      <c r="V1581">
        <v>0</v>
      </c>
      <c r="W1581">
        <v>0</v>
      </c>
      <c r="X1581">
        <v>0</v>
      </c>
      <c r="Y1581">
        <v>0</v>
      </c>
      <c r="Z1581">
        <v>38.5</v>
      </c>
      <c r="AA1581">
        <v>58</v>
      </c>
      <c r="AB1581">
        <v>323</v>
      </c>
      <c r="AC1581">
        <v>70</v>
      </c>
      <c r="AD1581">
        <v>35.1</v>
      </c>
      <c r="AE1581">
        <v>22.3</v>
      </c>
      <c r="AF1581">
        <v>48.716999999999999</v>
      </c>
      <c r="AG1581">
        <v>29.288</v>
      </c>
      <c r="AH1581">
        <v>50.892000000000003</v>
      </c>
      <c r="AI1581">
        <v>78.02</v>
      </c>
      <c r="AJ1581">
        <v>24.186</v>
      </c>
      <c r="AK1581">
        <v>45.051000000000002</v>
      </c>
      <c r="AL1581">
        <v>-0.35899999999999999</v>
      </c>
      <c r="AM1581">
        <v>50.892000000000003</v>
      </c>
      <c r="AN1581">
        <v>29.288</v>
      </c>
      <c r="AO1581">
        <v>48.716999999999999</v>
      </c>
      <c r="AP1581">
        <v>0.35899999999999999</v>
      </c>
      <c r="AQ1581">
        <v>75.813999999999993</v>
      </c>
      <c r="AR1581">
        <v>21.98</v>
      </c>
      <c r="AS1581">
        <v>54.948999999999998</v>
      </c>
    </row>
    <row r="1582" spans="1:45" x14ac:dyDescent="0.25">
      <c r="A1582">
        <v>41</v>
      </c>
      <c r="B1582">
        <v>-1</v>
      </c>
      <c r="C1582">
        <v>0</v>
      </c>
      <c r="D1582">
        <v>2023</v>
      </c>
      <c r="E1582">
        <v>18</v>
      </c>
      <c r="F1582" t="str">
        <f>IFERROR(VLOOKUP(G1582, Map!$A$1:$B$33, 2, FALSE),"WAS")</f>
        <v>SF</v>
      </c>
      <c r="G1582" t="s">
        <v>143</v>
      </c>
      <c r="H1582" t="str">
        <f>IFERROR(VLOOKUP(I1582, Map!$A$1:$B$33, 2, FALSE),"WAS")</f>
        <v>LA</v>
      </c>
      <c r="I1582" t="s">
        <v>155</v>
      </c>
      <c r="J1582" t="s">
        <v>197</v>
      </c>
      <c r="K1582" t="s">
        <v>178</v>
      </c>
      <c r="L1582">
        <v>0</v>
      </c>
      <c r="M1582">
        <v>0</v>
      </c>
      <c r="N1582">
        <v>34.785714285714299</v>
      </c>
      <c r="O1582">
        <v>-4.75</v>
      </c>
      <c r="P1582">
        <v>-2.5</v>
      </c>
      <c r="Q1582">
        <v>0</v>
      </c>
      <c r="R1582">
        <v>6.6</v>
      </c>
      <c r="S1582">
        <v>11.2</v>
      </c>
      <c r="T1582">
        <v>2.8</v>
      </c>
      <c r="U1582">
        <v>3.7</v>
      </c>
      <c r="V1582">
        <v>0.5</v>
      </c>
      <c r="W1582">
        <v>0</v>
      </c>
      <c r="X1582">
        <v>2</v>
      </c>
      <c r="Y1582">
        <v>0.5</v>
      </c>
      <c r="Z1582">
        <v>17.100000000000001</v>
      </c>
      <c r="AA1582">
        <v>31</v>
      </c>
      <c r="AB1582">
        <v>304</v>
      </c>
      <c r="AC1582">
        <v>76</v>
      </c>
      <c r="AD1582">
        <v>16.100000000000001</v>
      </c>
      <c r="AE1582">
        <v>8.8000000000000007</v>
      </c>
      <c r="AF1582">
        <v>68.617000000000004</v>
      </c>
      <c r="AG1582">
        <v>69.762</v>
      </c>
      <c r="AH1582">
        <v>31.132999999999999</v>
      </c>
      <c r="AI1582">
        <v>41.32</v>
      </c>
      <c r="AJ1582">
        <v>71.727000000000004</v>
      </c>
      <c r="AK1582">
        <v>48.094999999999999</v>
      </c>
      <c r="AL1582">
        <v>6.4390000000000001</v>
      </c>
      <c r="AM1582">
        <v>31.132999999999999</v>
      </c>
      <c r="AN1582">
        <v>69.762</v>
      </c>
      <c r="AO1582">
        <v>68.617000000000004</v>
      </c>
      <c r="AP1582">
        <v>-6.4390000000000001</v>
      </c>
      <c r="AQ1582">
        <v>28.273</v>
      </c>
      <c r="AR1582">
        <v>58.68</v>
      </c>
      <c r="AS1582">
        <v>51.905000000000001</v>
      </c>
    </row>
    <row r="1583" spans="1:45" x14ac:dyDescent="0.25">
      <c r="A1583">
        <v>41</v>
      </c>
      <c r="B1583">
        <v>-1</v>
      </c>
      <c r="C1583">
        <v>0</v>
      </c>
      <c r="D1583">
        <v>2023</v>
      </c>
      <c r="E1583">
        <v>18</v>
      </c>
      <c r="F1583" t="str">
        <f>IFERROR(VLOOKUP(G1583, Map!$A$1:$B$33, 2, FALSE),"WAS")</f>
        <v>ARI</v>
      </c>
      <c r="G1583" t="s">
        <v>156</v>
      </c>
      <c r="H1583" t="str">
        <f>IFERROR(VLOOKUP(I1583, Map!$A$1:$B$33, 2, FALSE),"WAS")</f>
        <v>SEA</v>
      </c>
      <c r="I1583" t="s">
        <v>144</v>
      </c>
      <c r="J1583" t="s">
        <v>190</v>
      </c>
      <c r="K1583" t="s">
        <v>182</v>
      </c>
      <c r="L1583">
        <v>0</v>
      </c>
      <c r="M1583">
        <v>0</v>
      </c>
      <c r="N1583">
        <v>40.038461538461497</v>
      </c>
      <c r="O1583">
        <v>1.5</v>
      </c>
      <c r="P1583">
        <v>2.5</v>
      </c>
      <c r="Q1583">
        <v>0</v>
      </c>
      <c r="R1583">
        <v>9.9</v>
      </c>
      <c r="S1583">
        <v>14.4</v>
      </c>
      <c r="T1583">
        <v>7.5</v>
      </c>
      <c r="U1583">
        <v>6</v>
      </c>
      <c r="V1583">
        <v>0.1</v>
      </c>
      <c r="W1583">
        <v>0</v>
      </c>
      <c r="X1583">
        <v>1</v>
      </c>
      <c r="Y1583">
        <v>0.1</v>
      </c>
      <c r="Z1583">
        <v>31.4</v>
      </c>
      <c r="AA1583">
        <v>61.9</v>
      </c>
      <c r="AB1583">
        <v>338</v>
      </c>
      <c r="AC1583">
        <v>66</v>
      </c>
      <c r="AD1583">
        <v>35.4</v>
      </c>
      <c r="AE1583">
        <v>17.2</v>
      </c>
      <c r="AF1583">
        <v>36.591999999999999</v>
      </c>
      <c r="AG1583">
        <v>35.899000000000001</v>
      </c>
      <c r="AH1583">
        <v>63.113999999999997</v>
      </c>
      <c r="AI1583">
        <v>26.943999999999999</v>
      </c>
      <c r="AJ1583">
        <v>79.138999999999996</v>
      </c>
      <c r="AK1583">
        <v>54.314999999999998</v>
      </c>
      <c r="AL1583">
        <v>-4.4649999999999999</v>
      </c>
      <c r="AM1583">
        <v>63.113999999999997</v>
      </c>
      <c r="AN1583">
        <v>35.899000000000001</v>
      </c>
      <c r="AO1583">
        <v>36.591999999999999</v>
      </c>
      <c r="AP1583">
        <v>4.4649999999999999</v>
      </c>
      <c r="AQ1583">
        <v>20.861000000000001</v>
      </c>
      <c r="AR1583">
        <v>73.055999999999997</v>
      </c>
      <c r="AS1583">
        <v>45.685000000000002</v>
      </c>
    </row>
    <row r="1584" spans="1:45" x14ac:dyDescent="0.25">
      <c r="A1584">
        <v>9</v>
      </c>
      <c r="B1584">
        <v>-9</v>
      </c>
      <c r="C1584">
        <v>0</v>
      </c>
      <c r="D1584">
        <v>2023</v>
      </c>
      <c r="E1584">
        <v>18</v>
      </c>
      <c r="F1584" t="str">
        <f>IFERROR(VLOOKUP(G1584, Map!$A$1:$B$33, 2, FALSE),"WAS")</f>
        <v>CAR</v>
      </c>
      <c r="G1584" t="s">
        <v>142</v>
      </c>
      <c r="H1584" t="str">
        <f>IFERROR(VLOOKUP(I1584, Map!$A$1:$B$33, 2, FALSE),"WAS")</f>
        <v>TB</v>
      </c>
      <c r="I1584" t="s">
        <v>141</v>
      </c>
      <c r="J1584" t="s">
        <v>185</v>
      </c>
      <c r="K1584" t="s">
        <v>186</v>
      </c>
      <c r="L1584">
        <v>0</v>
      </c>
      <c r="M1584">
        <v>0</v>
      </c>
      <c r="N1584">
        <v>29.214285714285701</v>
      </c>
      <c r="O1584">
        <v>4.28571428571429</v>
      </c>
      <c r="P1584">
        <v>-3</v>
      </c>
      <c r="Q1584">
        <v>0</v>
      </c>
      <c r="R1584">
        <v>6.6</v>
      </c>
      <c r="S1584">
        <v>11.1</v>
      </c>
      <c r="T1584">
        <v>2.8</v>
      </c>
      <c r="U1584">
        <v>3.1</v>
      </c>
      <c r="V1584">
        <v>0</v>
      </c>
      <c r="W1584">
        <v>0</v>
      </c>
      <c r="X1584">
        <v>0</v>
      </c>
      <c r="Y1584">
        <v>0</v>
      </c>
      <c r="Z1584">
        <v>23.9</v>
      </c>
      <c r="AA1584">
        <v>45</v>
      </c>
      <c r="AB1584">
        <v>267</v>
      </c>
      <c r="AC1584">
        <v>81</v>
      </c>
      <c r="AD1584">
        <v>25</v>
      </c>
      <c r="AE1584">
        <v>13.4</v>
      </c>
      <c r="AF1584">
        <v>27.803999999999998</v>
      </c>
      <c r="AG1584">
        <v>18.268000000000001</v>
      </c>
      <c r="AH1584">
        <v>71.972999999999999</v>
      </c>
      <c r="AI1584">
        <v>75.17</v>
      </c>
      <c r="AJ1584">
        <v>7.6130000000000004</v>
      </c>
      <c r="AK1584">
        <v>22.268000000000001</v>
      </c>
      <c r="AL1584">
        <v>-7.7149999999999999</v>
      </c>
      <c r="AM1584">
        <v>71.972999999999999</v>
      </c>
      <c r="AN1584">
        <v>18.268000000000001</v>
      </c>
      <c r="AO1584">
        <v>27.803999999999998</v>
      </c>
      <c r="AP1584">
        <v>7.7149999999999999</v>
      </c>
      <c r="AQ1584">
        <v>92.387</v>
      </c>
      <c r="AR1584">
        <v>24.83</v>
      </c>
      <c r="AS1584">
        <v>77.731999999999999</v>
      </c>
    </row>
    <row r="1585" spans="1:45" x14ac:dyDescent="0.25">
      <c r="A1585">
        <v>48</v>
      </c>
      <c r="B1585">
        <v>8</v>
      </c>
      <c r="C1585">
        <v>1</v>
      </c>
      <c r="D1585">
        <v>2023</v>
      </c>
      <c r="E1585">
        <v>18</v>
      </c>
      <c r="F1585" t="str">
        <f>IFERROR(VLOOKUP(G1585, Map!$A$1:$B$33, 2, FALSE),"WAS")</f>
        <v>TEN</v>
      </c>
      <c r="G1585" t="s">
        <v>140</v>
      </c>
      <c r="H1585" t="str">
        <f>IFERROR(VLOOKUP(I1585, Map!$A$1:$B$33, 2, FALSE),"WAS")</f>
        <v>JAX</v>
      </c>
      <c r="I1585" t="s">
        <v>139</v>
      </c>
      <c r="J1585" t="s">
        <v>174</v>
      </c>
      <c r="K1585" t="s">
        <v>220</v>
      </c>
      <c r="L1585">
        <v>1</v>
      </c>
      <c r="M1585">
        <v>0</v>
      </c>
      <c r="N1585">
        <v>35.153846153846203</v>
      </c>
      <c r="O1585">
        <v>2.8846153846153899</v>
      </c>
      <c r="P1585">
        <v>-1.5</v>
      </c>
      <c r="Q1585">
        <v>0</v>
      </c>
      <c r="R1585">
        <v>5.5</v>
      </c>
      <c r="S1585">
        <v>8.1</v>
      </c>
      <c r="T1585">
        <v>3.6</v>
      </c>
      <c r="U1585">
        <v>1.7</v>
      </c>
      <c r="V1585">
        <v>1.4</v>
      </c>
      <c r="W1585">
        <v>0</v>
      </c>
      <c r="X1585">
        <v>10</v>
      </c>
      <c r="Y1585">
        <v>1.4</v>
      </c>
      <c r="Z1585">
        <v>19.5</v>
      </c>
      <c r="AA1585">
        <v>36.700000000000003</v>
      </c>
      <c r="AB1585">
        <v>265</v>
      </c>
      <c r="AC1585">
        <v>80</v>
      </c>
      <c r="AD1585">
        <v>26.4</v>
      </c>
      <c r="AE1585">
        <v>14</v>
      </c>
      <c r="AF1585">
        <v>42.540999999999997</v>
      </c>
      <c r="AG1585">
        <v>56.33</v>
      </c>
      <c r="AH1585">
        <v>57.118000000000002</v>
      </c>
      <c r="AI1585">
        <v>67.778999999999996</v>
      </c>
      <c r="AJ1585">
        <v>83.352999999999994</v>
      </c>
      <c r="AK1585">
        <v>76.887</v>
      </c>
      <c r="AL1585">
        <v>-2.4220000000000002</v>
      </c>
      <c r="AM1585">
        <v>57.118000000000002</v>
      </c>
      <c r="AN1585">
        <v>56.33</v>
      </c>
      <c r="AO1585">
        <v>42.540999999999997</v>
      </c>
      <c r="AP1585">
        <v>2.4220000000000002</v>
      </c>
      <c r="AQ1585">
        <v>16.646999999999998</v>
      </c>
      <c r="AR1585">
        <v>32.220999999999997</v>
      </c>
      <c r="AS1585">
        <v>23.113</v>
      </c>
    </row>
    <row r="1586" spans="1:45" x14ac:dyDescent="0.25">
      <c r="A1586">
        <v>62</v>
      </c>
      <c r="B1586">
        <v>6</v>
      </c>
      <c r="C1586">
        <v>1</v>
      </c>
      <c r="D1586">
        <v>2024</v>
      </c>
      <c r="E1586">
        <v>1</v>
      </c>
      <c r="F1586" t="str">
        <f>IFERROR(VLOOKUP(G1586, Map!$A$1:$B$33, 2, FALSE),"WAS")</f>
        <v>BUF</v>
      </c>
      <c r="G1586" t="s">
        <v>165</v>
      </c>
      <c r="H1586" t="str">
        <f>IFERROR(VLOOKUP(I1586, Map!$A$1:$B$33, 2, FALSE),"WAS")</f>
        <v>ARI</v>
      </c>
      <c r="I1586" t="s">
        <v>156</v>
      </c>
      <c r="J1586" t="s">
        <v>180</v>
      </c>
      <c r="K1586" t="s">
        <v>190</v>
      </c>
      <c r="L1586">
        <v>1</v>
      </c>
      <c r="M1586">
        <v>0</v>
      </c>
      <c r="N1586">
        <v>37</v>
      </c>
      <c r="O1586">
        <v>-5</v>
      </c>
      <c r="P1586">
        <v>-6.5</v>
      </c>
      <c r="Q1586">
        <v>45.5</v>
      </c>
      <c r="R1586">
        <v>20.399999999999999</v>
      </c>
      <c r="S1586">
        <v>24.7</v>
      </c>
      <c r="T1586">
        <v>16.8</v>
      </c>
      <c r="U1586">
        <v>18.2</v>
      </c>
      <c r="V1586">
        <v>0</v>
      </c>
      <c r="W1586">
        <v>0</v>
      </c>
      <c r="X1586">
        <v>0</v>
      </c>
      <c r="Y1586">
        <v>0</v>
      </c>
      <c r="Z1586">
        <v>18.2</v>
      </c>
      <c r="AA1586">
        <v>33.5</v>
      </c>
      <c r="AB1586">
        <v>30</v>
      </c>
      <c r="AC1586">
        <v>45</v>
      </c>
      <c r="AD1586">
        <v>25.5</v>
      </c>
      <c r="AE1586">
        <v>12.1</v>
      </c>
      <c r="AF1586">
        <v>65.864000000000004</v>
      </c>
      <c r="AG1586">
        <v>55.683999999999997</v>
      </c>
      <c r="AH1586">
        <v>33.863999999999997</v>
      </c>
      <c r="AI1586">
        <v>48.451999999999998</v>
      </c>
      <c r="AJ1586">
        <v>73.361000000000004</v>
      </c>
      <c r="AK1586">
        <v>66.712000000000003</v>
      </c>
      <c r="AL1586">
        <v>6.6340000000000003</v>
      </c>
      <c r="AM1586">
        <v>33.863999999999997</v>
      </c>
      <c r="AN1586">
        <v>55.683999999999997</v>
      </c>
      <c r="AO1586">
        <v>65.864000000000004</v>
      </c>
      <c r="AP1586">
        <v>-6.6340000000000003</v>
      </c>
      <c r="AQ1586">
        <v>26.638999999999999</v>
      </c>
      <c r="AR1586">
        <v>51.548000000000002</v>
      </c>
      <c r="AS1586">
        <v>33.287999999999997</v>
      </c>
    </row>
    <row r="1587" spans="1:45" x14ac:dyDescent="0.25">
      <c r="A1587">
        <v>46</v>
      </c>
      <c r="B1587">
        <v>6</v>
      </c>
      <c r="C1587">
        <v>1</v>
      </c>
      <c r="D1587">
        <v>2024</v>
      </c>
      <c r="E1587">
        <v>1</v>
      </c>
      <c r="F1587" t="str">
        <f>IFERROR(VLOOKUP(G1587, Map!$A$1:$B$33, 2, FALSE),"WAS")</f>
        <v>DET</v>
      </c>
      <c r="G1587" t="s">
        <v>164</v>
      </c>
      <c r="H1587" t="str">
        <f>IFERROR(VLOOKUP(I1587, Map!$A$1:$B$33, 2, FALSE),"WAS")</f>
        <v>LA</v>
      </c>
      <c r="I1587" t="s">
        <v>155</v>
      </c>
      <c r="J1587" t="s">
        <v>173</v>
      </c>
      <c r="K1587" t="s">
        <v>178</v>
      </c>
      <c r="L1587">
        <v>1</v>
      </c>
      <c r="M1587">
        <v>0</v>
      </c>
      <c r="N1587">
        <v>30.3333333333333</v>
      </c>
      <c r="O1587">
        <v>-2.3333333333333299</v>
      </c>
      <c r="P1587">
        <v>-1.5</v>
      </c>
      <c r="Q1587">
        <v>37.5</v>
      </c>
      <c r="R1587">
        <v>18.7</v>
      </c>
      <c r="S1587">
        <v>25.9</v>
      </c>
      <c r="T1587">
        <v>13.7</v>
      </c>
      <c r="U1587">
        <v>15.8</v>
      </c>
      <c r="V1587">
        <v>0</v>
      </c>
      <c r="W1587">
        <v>0</v>
      </c>
      <c r="X1587">
        <v>0</v>
      </c>
      <c r="Y1587">
        <v>0</v>
      </c>
      <c r="Z1587">
        <v>26.7</v>
      </c>
      <c r="AA1587">
        <v>49</v>
      </c>
      <c r="AB1587">
        <v>262</v>
      </c>
      <c r="AC1587">
        <v>54</v>
      </c>
      <c r="AD1587">
        <v>34.200000000000003</v>
      </c>
      <c r="AE1587">
        <v>18.899999999999999</v>
      </c>
      <c r="AF1587">
        <v>62.383000000000003</v>
      </c>
      <c r="AG1587">
        <v>68.576999999999998</v>
      </c>
      <c r="AH1587">
        <v>37.317</v>
      </c>
      <c r="AI1587">
        <v>45.884999999999998</v>
      </c>
      <c r="AJ1587">
        <v>72.152000000000001</v>
      </c>
      <c r="AK1587">
        <v>63.289000000000001</v>
      </c>
      <c r="AL1587">
        <v>4.6020000000000003</v>
      </c>
      <c r="AM1587">
        <v>37.317</v>
      </c>
      <c r="AN1587">
        <v>68.576999999999998</v>
      </c>
      <c r="AO1587">
        <v>62.383000000000003</v>
      </c>
      <c r="AP1587">
        <v>-4.6020000000000003</v>
      </c>
      <c r="AQ1587">
        <v>27.847999999999999</v>
      </c>
      <c r="AR1587">
        <v>54.115000000000002</v>
      </c>
      <c r="AS1587">
        <v>36.710999999999999</v>
      </c>
    </row>
    <row r="1588" spans="1:45" x14ac:dyDescent="0.25">
      <c r="A1588">
        <v>56</v>
      </c>
      <c r="B1588">
        <v>-2</v>
      </c>
      <c r="C1588">
        <v>0</v>
      </c>
      <c r="D1588">
        <v>2024</v>
      </c>
      <c r="E1588">
        <v>1</v>
      </c>
      <c r="F1588" t="str">
        <f>IFERROR(VLOOKUP(G1588, Map!$A$1:$B$33, 2, FALSE),"WAS")</f>
        <v>IND</v>
      </c>
      <c r="G1588" t="s">
        <v>138</v>
      </c>
      <c r="H1588" t="str">
        <f>IFERROR(VLOOKUP(I1588, Map!$A$1:$B$33, 2, FALSE),"WAS")</f>
        <v>HOU</v>
      </c>
      <c r="I1588" t="s">
        <v>137</v>
      </c>
      <c r="J1588" t="s">
        <v>177</v>
      </c>
      <c r="K1588" t="s">
        <v>209</v>
      </c>
      <c r="L1588">
        <v>0</v>
      </c>
      <c r="M1588">
        <v>0</v>
      </c>
      <c r="N1588">
        <v>34</v>
      </c>
      <c r="O1588">
        <v>1.6666666666666701</v>
      </c>
      <c r="P1588">
        <v>1.5</v>
      </c>
      <c r="Q1588">
        <v>48.5</v>
      </c>
      <c r="R1588">
        <v>14.1</v>
      </c>
      <c r="S1588">
        <v>21.2</v>
      </c>
      <c r="T1588">
        <v>7.5</v>
      </c>
      <c r="U1588">
        <v>12.3</v>
      </c>
      <c r="V1588">
        <v>0</v>
      </c>
      <c r="W1588">
        <v>0</v>
      </c>
      <c r="X1588">
        <v>0</v>
      </c>
      <c r="Y1588">
        <v>0</v>
      </c>
      <c r="Z1588">
        <v>14.3</v>
      </c>
      <c r="AA1588">
        <v>28.4</v>
      </c>
      <c r="AB1588">
        <v>350</v>
      </c>
      <c r="AC1588">
        <v>60</v>
      </c>
      <c r="AD1588">
        <v>15.6</v>
      </c>
      <c r="AE1588">
        <v>6.7</v>
      </c>
      <c r="AF1588">
        <v>44.421999999999997</v>
      </c>
      <c r="AG1588">
        <v>57.039000000000001</v>
      </c>
      <c r="AH1588">
        <v>55.222000000000001</v>
      </c>
      <c r="AI1588">
        <v>32.637999999999998</v>
      </c>
      <c r="AJ1588">
        <v>58.124000000000002</v>
      </c>
      <c r="AK1588">
        <v>41.223999999999997</v>
      </c>
      <c r="AL1588">
        <v>-2.4750000000000001</v>
      </c>
      <c r="AM1588">
        <v>55.222000000000001</v>
      </c>
      <c r="AN1588">
        <v>57.039000000000001</v>
      </c>
      <c r="AO1588">
        <v>44.421999999999997</v>
      </c>
      <c r="AP1588">
        <v>2.4750000000000001</v>
      </c>
      <c r="AQ1588">
        <v>41.875999999999998</v>
      </c>
      <c r="AR1588">
        <v>67.361999999999995</v>
      </c>
      <c r="AS1588">
        <v>58.776000000000003</v>
      </c>
    </row>
    <row r="1589" spans="1:45" x14ac:dyDescent="0.25">
      <c r="A1589">
        <v>50</v>
      </c>
      <c r="B1589">
        <v>-16</v>
      </c>
      <c r="C1589">
        <v>0</v>
      </c>
      <c r="D1589">
        <v>2024</v>
      </c>
      <c r="E1589">
        <v>1</v>
      </c>
      <c r="F1589" t="str">
        <f>IFERROR(VLOOKUP(G1589, Map!$A$1:$B$33, 2, FALSE),"WAS")</f>
        <v>CLE</v>
      </c>
      <c r="G1589" t="s">
        <v>162</v>
      </c>
      <c r="H1589" t="str">
        <f>IFERROR(VLOOKUP(I1589, Map!$A$1:$B$33, 2, FALSE),"WAS")</f>
        <v>DAL</v>
      </c>
      <c r="I1589" t="s">
        <v>150</v>
      </c>
      <c r="J1589" t="s">
        <v>171</v>
      </c>
      <c r="K1589" t="s">
        <v>184</v>
      </c>
      <c r="L1589">
        <v>0</v>
      </c>
      <c r="M1589">
        <v>0</v>
      </c>
      <c r="N1589">
        <v>29.6666666666667</v>
      </c>
      <c r="O1589">
        <v>6.8333333333333304</v>
      </c>
      <c r="P1589">
        <v>-2</v>
      </c>
      <c r="Q1589">
        <v>42.5</v>
      </c>
      <c r="R1589">
        <v>15</v>
      </c>
      <c r="S1589">
        <v>18.600000000000001</v>
      </c>
      <c r="T1589">
        <v>12.2</v>
      </c>
      <c r="U1589">
        <v>11.4</v>
      </c>
      <c r="V1589">
        <v>0</v>
      </c>
      <c r="W1589">
        <v>0</v>
      </c>
      <c r="X1589">
        <v>0</v>
      </c>
      <c r="Y1589">
        <v>0</v>
      </c>
      <c r="Z1589">
        <v>26.3</v>
      </c>
      <c r="AA1589">
        <v>35.6</v>
      </c>
      <c r="AB1589">
        <v>297</v>
      </c>
      <c r="AC1589">
        <v>63</v>
      </c>
      <c r="AD1589">
        <v>31.1</v>
      </c>
      <c r="AE1589">
        <v>22.6</v>
      </c>
      <c r="AF1589">
        <v>48.073999999999998</v>
      </c>
      <c r="AG1589">
        <v>58.570999999999998</v>
      </c>
      <c r="AH1589">
        <v>51.54</v>
      </c>
      <c r="AI1589">
        <v>52.414999999999999</v>
      </c>
      <c r="AJ1589">
        <v>2.89</v>
      </c>
      <c r="AK1589">
        <v>11.27</v>
      </c>
      <c r="AL1589">
        <v>-0.72</v>
      </c>
      <c r="AM1589">
        <v>51.54</v>
      </c>
      <c r="AN1589">
        <v>58.570999999999998</v>
      </c>
      <c r="AO1589">
        <v>48.073999999999998</v>
      </c>
      <c r="AP1589">
        <v>0.72</v>
      </c>
      <c r="AQ1589">
        <v>97.11</v>
      </c>
      <c r="AR1589">
        <v>47.585000000000001</v>
      </c>
      <c r="AS1589">
        <v>88.73</v>
      </c>
    </row>
    <row r="1590" spans="1:45" x14ac:dyDescent="0.25">
      <c r="A1590">
        <v>46</v>
      </c>
      <c r="B1590">
        <v>6</v>
      </c>
      <c r="C1590">
        <v>1</v>
      </c>
      <c r="D1590">
        <v>2024</v>
      </c>
      <c r="E1590">
        <v>1</v>
      </c>
      <c r="F1590" t="str">
        <f>IFERROR(VLOOKUP(G1590, Map!$A$1:$B$33, 2, FALSE),"WAS")</f>
        <v>SEA</v>
      </c>
      <c r="G1590" t="s">
        <v>144</v>
      </c>
      <c r="H1590" t="str">
        <f>IFERROR(VLOOKUP(I1590, Map!$A$1:$B$33, 2, FALSE),"WAS")</f>
        <v>DEN</v>
      </c>
      <c r="I1590" t="s">
        <v>159</v>
      </c>
      <c r="J1590" t="s">
        <v>182</v>
      </c>
      <c r="K1590" t="s">
        <v>183</v>
      </c>
      <c r="L1590">
        <v>1</v>
      </c>
      <c r="M1590">
        <v>0</v>
      </c>
      <c r="N1590">
        <v>29</v>
      </c>
      <c r="O1590">
        <v>-6.3333333333333304</v>
      </c>
      <c r="P1590">
        <v>-6.5</v>
      </c>
      <c r="Q1590">
        <v>42.5</v>
      </c>
      <c r="R1590">
        <v>19.600000000000001</v>
      </c>
      <c r="S1590">
        <v>26.1</v>
      </c>
      <c r="T1590">
        <v>15.2</v>
      </c>
      <c r="U1590">
        <v>19.600000000000001</v>
      </c>
      <c r="V1590">
        <v>0</v>
      </c>
      <c r="W1590">
        <v>0</v>
      </c>
      <c r="X1590">
        <v>0</v>
      </c>
      <c r="Y1590">
        <v>0</v>
      </c>
      <c r="Z1590">
        <v>16.2</v>
      </c>
      <c r="AA1590">
        <v>34.200000000000003</v>
      </c>
      <c r="AB1590">
        <v>202</v>
      </c>
      <c r="AC1590">
        <v>74</v>
      </c>
      <c r="AD1590">
        <v>21.1</v>
      </c>
      <c r="AE1590">
        <v>10.5</v>
      </c>
      <c r="AF1590">
        <v>65.796999999999997</v>
      </c>
      <c r="AG1590">
        <v>33.229999999999997</v>
      </c>
      <c r="AH1590">
        <v>33.93</v>
      </c>
      <c r="AI1590">
        <v>94.844999999999999</v>
      </c>
      <c r="AJ1590">
        <v>33.731999999999999</v>
      </c>
      <c r="AK1590">
        <v>70.320999999999998</v>
      </c>
      <c r="AL1590">
        <v>5.9669999999999996</v>
      </c>
      <c r="AM1590">
        <v>33.93</v>
      </c>
      <c r="AN1590">
        <v>33.229999999999997</v>
      </c>
      <c r="AO1590">
        <v>65.796999999999997</v>
      </c>
      <c r="AP1590">
        <v>-5.9669999999999996</v>
      </c>
      <c r="AQ1590">
        <v>66.268000000000001</v>
      </c>
      <c r="AR1590">
        <v>5.1550000000000002</v>
      </c>
      <c r="AS1590">
        <v>29.678999999999998</v>
      </c>
    </row>
    <row r="1591" spans="1:45" x14ac:dyDescent="0.25">
      <c r="A1591">
        <v>47</v>
      </c>
      <c r="B1591">
        <v>7</v>
      </c>
      <c r="C1591">
        <v>1</v>
      </c>
      <c r="D1591">
        <v>2024</v>
      </c>
      <c r="E1591">
        <v>1</v>
      </c>
      <c r="F1591" t="str">
        <f>IFERROR(VLOOKUP(G1591, Map!$A$1:$B$33, 2, FALSE),"WAS")</f>
        <v>KC</v>
      </c>
      <c r="G1591" t="s">
        <v>158</v>
      </c>
      <c r="H1591" t="str">
        <f>IFERROR(VLOOKUP(I1591, Map!$A$1:$B$33, 2, FALSE),"WAS")</f>
        <v>BAL</v>
      </c>
      <c r="I1591" t="s">
        <v>146</v>
      </c>
      <c r="J1591" t="s">
        <v>202</v>
      </c>
      <c r="K1591" t="s">
        <v>181</v>
      </c>
      <c r="L1591">
        <v>1</v>
      </c>
      <c r="M1591">
        <v>0</v>
      </c>
      <c r="N1591">
        <v>31.3333333333333</v>
      </c>
      <c r="O1591">
        <v>-4.3333333333333304</v>
      </c>
      <c r="P1591">
        <v>-2.5</v>
      </c>
      <c r="Q1591">
        <v>45.5</v>
      </c>
      <c r="R1591">
        <v>22.7</v>
      </c>
      <c r="S1591">
        <v>28.4</v>
      </c>
      <c r="T1591">
        <v>18.100000000000001</v>
      </c>
      <c r="U1591">
        <v>22.4</v>
      </c>
      <c r="V1591">
        <v>0.4</v>
      </c>
      <c r="W1591">
        <v>0</v>
      </c>
      <c r="X1591">
        <v>2</v>
      </c>
      <c r="Y1591">
        <v>0.4</v>
      </c>
      <c r="Z1591">
        <v>19.7</v>
      </c>
      <c r="AA1591">
        <v>38.9</v>
      </c>
      <c r="AB1591">
        <v>8</v>
      </c>
      <c r="AC1591">
        <v>61</v>
      </c>
      <c r="AD1591">
        <v>27.1</v>
      </c>
      <c r="AE1591">
        <v>13.8</v>
      </c>
      <c r="AF1591">
        <v>58.167000000000002</v>
      </c>
      <c r="AG1591">
        <v>78.581999999999994</v>
      </c>
      <c r="AH1591">
        <v>41.5</v>
      </c>
      <c r="AI1591">
        <v>62.463000000000001</v>
      </c>
      <c r="AJ1591">
        <v>77.742000000000004</v>
      </c>
      <c r="AK1591">
        <v>71.953999999999994</v>
      </c>
      <c r="AL1591">
        <v>3.2010000000000001</v>
      </c>
      <c r="AM1591">
        <v>41.5</v>
      </c>
      <c r="AN1591">
        <v>78.581999999999994</v>
      </c>
      <c r="AO1591">
        <v>58.167000000000002</v>
      </c>
      <c r="AP1591">
        <v>-3.2010000000000001</v>
      </c>
      <c r="AQ1591">
        <v>22.257999999999999</v>
      </c>
      <c r="AR1591">
        <v>37.536999999999999</v>
      </c>
      <c r="AS1591">
        <v>28.045999999999999</v>
      </c>
    </row>
    <row r="1592" spans="1:45" x14ac:dyDescent="0.25">
      <c r="A1592">
        <v>41</v>
      </c>
      <c r="B1592">
        <v>7</v>
      </c>
      <c r="C1592">
        <v>1</v>
      </c>
      <c r="D1592">
        <v>2024</v>
      </c>
      <c r="E1592">
        <v>1</v>
      </c>
      <c r="F1592" t="str">
        <f>IFERROR(VLOOKUP(G1592, Map!$A$1:$B$33, 2, FALSE),"WAS")</f>
        <v>CHI</v>
      </c>
      <c r="G1592" t="s">
        <v>163</v>
      </c>
      <c r="H1592" t="str">
        <f>IFERROR(VLOOKUP(I1592, Map!$A$1:$B$33, 2, FALSE),"WAS")</f>
        <v>TEN</v>
      </c>
      <c r="I1592" t="s">
        <v>140</v>
      </c>
      <c r="J1592" t="s">
        <v>216</v>
      </c>
      <c r="K1592" t="s">
        <v>174</v>
      </c>
      <c r="L1592">
        <v>1</v>
      </c>
      <c r="M1592">
        <v>0</v>
      </c>
      <c r="N1592">
        <v>28.6666666666667</v>
      </c>
      <c r="O1592">
        <v>-5</v>
      </c>
      <c r="P1592">
        <v>-4.5</v>
      </c>
      <c r="Q1592">
        <v>42.5</v>
      </c>
      <c r="R1592">
        <v>15</v>
      </c>
      <c r="S1592">
        <v>23</v>
      </c>
      <c r="T1592">
        <v>9.1999999999999993</v>
      </c>
      <c r="U1592">
        <v>12.6</v>
      </c>
      <c r="V1592">
        <v>0</v>
      </c>
      <c r="W1592">
        <v>0</v>
      </c>
      <c r="X1592">
        <v>0</v>
      </c>
      <c r="Y1592">
        <v>0</v>
      </c>
      <c r="Z1592">
        <v>18.2</v>
      </c>
      <c r="AA1592">
        <v>31.3</v>
      </c>
      <c r="AB1592">
        <v>270</v>
      </c>
      <c r="AC1592">
        <v>64</v>
      </c>
      <c r="AD1592">
        <v>21.4</v>
      </c>
      <c r="AE1592">
        <v>12.8</v>
      </c>
      <c r="AF1592">
        <v>62.784999999999997</v>
      </c>
      <c r="AG1592">
        <v>39.689</v>
      </c>
      <c r="AH1592">
        <v>36.917999999999999</v>
      </c>
      <c r="AI1592">
        <v>92.777000000000001</v>
      </c>
      <c r="AJ1592">
        <v>16.222000000000001</v>
      </c>
      <c r="AK1592">
        <v>64.757999999999996</v>
      </c>
      <c r="AL1592">
        <v>5.0830000000000002</v>
      </c>
      <c r="AM1592">
        <v>36.917999999999999</v>
      </c>
      <c r="AN1592">
        <v>39.689</v>
      </c>
      <c r="AO1592">
        <v>62.784999999999997</v>
      </c>
      <c r="AP1592">
        <v>-5.0830000000000002</v>
      </c>
      <c r="AQ1592">
        <v>83.778000000000006</v>
      </c>
      <c r="AR1592">
        <v>7.2229999999999999</v>
      </c>
      <c r="AS1592">
        <v>35.241999999999997</v>
      </c>
    </row>
    <row r="1593" spans="1:45" x14ac:dyDescent="0.25">
      <c r="A1593">
        <v>51</v>
      </c>
      <c r="B1593">
        <v>13</v>
      </c>
      <c r="C1593">
        <v>1</v>
      </c>
      <c r="D1593">
        <v>2024</v>
      </c>
      <c r="E1593">
        <v>1</v>
      </c>
      <c r="F1593" t="str">
        <f>IFERROR(VLOOKUP(G1593, Map!$A$1:$B$33, 2, FALSE),"WAS")</f>
        <v>SF</v>
      </c>
      <c r="G1593" t="s">
        <v>143</v>
      </c>
      <c r="H1593" t="str">
        <f>IFERROR(VLOOKUP(I1593, Map!$A$1:$B$33, 2, FALSE),"WAS")</f>
        <v>NYJ</v>
      </c>
      <c r="I1593" t="s">
        <v>166</v>
      </c>
      <c r="J1593" t="s">
        <v>197</v>
      </c>
      <c r="K1593" t="s">
        <v>172</v>
      </c>
      <c r="L1593">
        <v>1</v>
      </c>
      <c r="M1593">
        <v>0</v>
      </c>
      <c r="N1593">
        <v>30</v>
      </c>
      <c r="O1593">
        <v>-8.3333333333333304</v>
      </c>
      <c r="P1593">
        <v>-3.5</v>
      </c>
      <c r="Q1593">
        <v>43.5</v>
      </c>
      <c r="R1593">
        <v>17.2</v>
      </c>
      <c r="S1593">
        <v>24.1</v>
      </c>
      <c r="T1593">
        <v>13.2</v>
      </c>
      <c r="U1593">
        <v>17.100000000000001</v>
      </c>
      <c r="V1593">
        <v>0.5</v>
      </c>
      <c r="W1593">
        <v>0</v>
      </c>
      <c r="X1593">
        <v>3</v>
      </c>
      <c r="Y1593">
        <v>0.5</v>
      </c>
      <c r="Z1593">
        <v>23.1</v>
      </c>
      <c r="AA1593">
        <v>41.4</v>
      </c>
      <c r="AB1593">
        <v>349</v>
      </c>
      <c r="AC1593">
        <v>78</v>
      </c>
      <c r="AD1593">
        <v>18.399999999999999</v>
      </c>
      <c r="AE1593">
        <v>9.1</v>
      </c>
      <c r="AF1593">
        <v>63.052999999999997</v>
      </c>
      <c r="AG1593">
        <v>74.516999999999996</v>
      </c>
      <c r="AH1593">
        <v>36.652999999999999</v>
      </c>
      <c r="AI1593">
        <v>79.683999999999997</v>
      </c>
      <c r="AJ1593">
        <v>74.828999999999994</v>
      </c>
      <c r="AK1593">
        <v>87.447000000000003</v>
      </c>
      <c r="AL1593">
        <v>5.1440000000000001</v>
      </c>
      <c r="AM1593">
        <v>36.652999999999999</v>
      </c>
      <c r="AN1593">
        <v>74.516999999999996</v>
      </c>
      <c r="AO1593">
        <v>63.052999999999997</v>
      </c>
      <c r="AP1593">
        <v>-5.1440000000000001</v>
      </c>
      <c r="AQ1593">
        <v>25.170999999999999</v>
      </c>
      <c r="AR1593">
        <v>20.315999999999999</v>
      </c>
      <c r="AS1593">
        <v>12.553000000000001</v>
      </c>
    </row>
    <row r="1594" spans="1:45" x14ac:dyDescent="0.25">
      <c r="A1594">
        <v>57</v>
      </c>
      <c r="B1594">
        <v>37</v>
      </c>
      <c r="C1594">
        <v>1</v>
      </c>
      <c r="D1594">
        <v>2024</v>
      </c>
      <c r="E1594">
        <v>1</v>
      </c>
      <c r="F1594" t="str">
        <f>IFERROR(VLOOKUP(G1594, Map!$A$1:$B$33, 2, FALSE),"WAS")</f>
        <v>NO</v>
      </c>
      <c r="G1594" t="s">
        <v>168</v>
      </c>
      <c r="H1594" t="str">
        <f>IFERROR(VLOOKUP(I1594, Map!$A$1:$B$33, 2, FALSE),"WAS")</f>
        <v>CAR</v>
      </c>
      <c r="I1594" t="s">
        <v>142</v>
      </c>
      <c r="J1594" t="s">
        <v>192</v>
      </c>
      <c r="K1594" t="s">
        <v>185</v>
      </c>
      <c r="L1594">
        <v>1</v>
      </c>
      <c r="M1594">
        <v>0</v>
      </c>
      <c r="N1594">
        <v>33.3333333333333</v>
      </c>
      <c r="O1594">
        <v>-14.6666666666667</v>
      </c>
      <c r="P1594">
        <v>-3.5</v>
      </c>
      <c r="Q1594">
        <v>41.5</v>
      </c>
      <c r="R1594">
        <v>24.5</v>
      </c>
      <c r="S1594">
        <v>27.8</v>
      </c>
      <c r="T1594">
        <v>22.2</v>
      </c>
      <c r="U1594">
        <v>26.6</v>
      </c>
      <c r="V1594">
        <v>0.9</v>
      </c>
      <c r="W1594">
        <v>0</v>
      </c>
      <c r="X1594">
        <v>2</v>
      </c>
      <c r="Y1594">
        <v>0.9</v>
      </c>
      <c r="Z1594">
        <v>21.6</v>
      </c>
      <c r="AA1594">
        <v>37.799999999999997</v>
      </c>
      <c r="AB1594">
        <v>47</v>
      </c>
      <c r="AC1594">
        <v>77</v>
      </c>
      <c r="AD1594">
        <v>25.7</v>
      </c>
      <c r="AE1594">
        <v>13.7</v>
      </c>
      <c r="AF1594">
        <v>63.186999999999998</v>
      </c>
      <c r="AG1594">
        <v>19.873000000000001</v>
      </c>
      <c r="AH1594">
        <v>36.520000000000003</v>
      </c>
      <c r="AI1594">
        <v>98.614999999999995</v>
      </c>
      <c r="AJ1594">
        <v>91.873999999999995</v>
      </c>
      <c r="AK1594">
        <v>99.445999999999998</v>
      </c>
      <c r="AL1594">
        <v>5.0179999999999998</v>
      </c>
      <c r="AM1594">
        <v>36.520000000000003</v>
      </c>
      <c r="AN1594">
        <v>19.873000000000001</v>
      </c>
      <c r="AO1594">
        <v>63.186999999999998</v>
      </c>
      <c r="AP1594">
        <v>-5.0179999999999998</v>
      </c>
      <c r="AQ1594">
        <v>8.1259999999999994</v>
      </c>
      <c r="AR1594">
        <v>1.385</v>
      </c>
      <c r="AS1594">
        <v>0.55400000000000005</v>
      </c>
    </row>
    <row r="1595" spans="1:45" x14ac:dyDescent="0.25">
      <c r="A1595">
        <v>63</v>
      </c>
      <c r="B1595">
        <v>5</v>
      </c>
      <c r="C1595">
        <v>1</v>
      </c>
      <c r="D1595">
        <v>2024</v>
      </c>
      <c r="E1595">
        <v>1</v>
      </c>
      <c r="F1595" t="str">
        <f>IFERROR(VLOOKUP(G1595, Map!$A$1:$B$33, 2, FALSE),"WAS")</f>
        <v>PHI</v>
      </c>
      <c r="G1595" t="s">
        <v>147</v>
      </c>
      <c r="H1595" t="str">
        <f>IFERROR(VLOOKUP(I1595, Map!$A$1:$B$33, 2, FALSE),"WAS")</f>
        <v>GB</v>
      </c>
      <c r="I1595" t="s">
        <v>154</v>
      </c>
      <c r="J1595" t="s">
        <v>206</v>
      </c>
      <c r="K1595" t="s">
        <v>200</v>
      </c>
      <c r="L1595">
        <v>1</v>
      </c>
      <c r="M1595">
        <v>0</v>
      </c>
      <c r="N1595">
        <v>38.3333333333333</v>
      </c>
      <c r="O1595">
        <v>-3</v>
      </c>
      <c r="P1595">
        <v>-1.5</v>
      </c>
      <c r="Q1595">
        <v>49.5</v>
      </c>
      <c r="R1595">
        <v>19.7</v>
      </c>
      <c r="S1595">
        <v>28</v>
      </c>
      <c r="T1595">
        <v>13.7</v>
      </c>
      <c r="U1595">
        <v>20.6</v>
      </c>
      <c r="V1595">
        <v>1.2</v>
      </c>
      <c r="W1595">
        <v>0</v>
      </c>
      <c r="X1595">
        <v>3</v>
      </c>
      <c r="Y1595">
        <v>1.2</v>
      </c>
      <c r="Z1595">
        <v>15.6</v>
      </c>
      <c r="AA1595">
        <v>34.6</v>
      </c>
      <c r="AB1595">
        <v>15</v>
      </c>
      <c r="AC1595">
        <v>81</v>
      </c>
      <c r="AD1595">
        <v>23.7</v>
      </c>
      <c r="AE1595">
        <v>10.199999999999999</v>
      </c>
      <c r="AF1595">
        <v>56.158999999999999</v>
      </c>
      <c r="AG1595">
        <v>72.259</v>
      </c>
      <c r="AH1595">
        <v>43.491999999999997</v>
      </c>
      <c r="AI1595">
        <v>37.17</v>
      </c>
      <c r="AJ1595">
        <v>59.648000000000003</v>
      </c>
      <c r="AK1595">
        <v>62.247999999999998</v>
      </c>
      <c r="AL1595">
        <v>2.4590000000000001</v>
      </c>
      <c r="AM1595">
        <v>43.491999999999997</v>
      </c>
      <c r="AN1595">
        <v>72.259</v>
      </c>
      <c r="AO1595">
        <v>56.158999999999999</v>
      </c>
      <c r="AP1595">
        <v>-2.4590000000000001</v>
      </c>
      <c r="AQ1595">
        <v>40.351999999999997</v>
      </c>
      <c r="AR1595">
        <v>62.83</v>
      </c>
      <c r="AS1595">
        <v>37.752000000000002</v>
      </c>
    </row>
    <row r="1596" spans="1:45" x14ac:dyDescent="0.25">
      <c r="A1596">
        <v>28</v>
      </c>
      <c r="B1596">
        <v>-8</v>
      </c>
      <c r="C1596">
        <v>0</v>
      </c>
      <c r="D1596">
        <v>2024</v>
      </c>
      <c r="E1596">
        <v>1</v>
      </c>
      <c r="F1596" t="str">
        <f>IFERROR(VLOOKUP(G1596, Map!$A$1:$B$33, 2, FALSE),"WAS")</f>
        <v>ATL</v>
      </c>
      <c r="G1596" t="s">
        <v>167</v>
      </c>
      <c r="H1596" t="str">
        <f>IFERROR(VLOOKUP(I1596, Map!$A$1:$B$33, 2, FALSE),"WAS")</f>
        <v>PIT</v>
      </c>
      <c r="I1596" t="s">
        <v>145</v>
      </c>
      <c r="J1596" t="s">
        <v>188</v>
      </c>
      <c r="K1596" t="s">
        <v>170</v>
      </c>
      <c r="L1596">
        <v>0</v>
      </c>
      <c r="M1596">
        <v>0</v>
      </c>
      <c r="N1596">
        <v>23</v>
      </c>
      <c r="O1596">
        <v>0.33333333333333298</v>
      </c>
      <c r="P1596">
        <v>-4.5</v>
      </c>
      <c r="Q1596">
        <v>25.5</v>
      </c>
      <c r="R1596">
        <v>21.8</v>
      </c>
      <c r="S1596">
        <v>27.7</v>
      </c>
      <c r="T1596">
        <v>16.899999999999999</v>
      </c>
      <c r="U1596">
        <v>20.399999999999999</v>
      </c>
      <c r="V1596">
        <v>0</v>
      </c>
      <c r="W1596">
        <v>0</v>
      </c>
      <c r="X1596">
        <v>0</v>
      </c>
      <c r="Y1596">
        <v>0</v>
      </c>
      <c r="Z1596">
        <v>19.8</v>
      </c>
      <c r="AA1596">
        <v>37.4</v>
      </c>
      <c r="AB1596">
        <v>50</v>
      </c>
      <c r="AC1596">
        <v>50</v>
      </c>
      <c r="AD1596">
        <v>25.8</v>
      </c>
      <c r="AE1596">
        <v>13.2</v>
      </c>
      <c r="AF1596">
        <v>55.756999999999998</v>
      </c>
      <c r="AG1596">
        <v>49.542000000000002</v>
      </c>
      <c r="AH1596">
        <v>43.89</v>
      </c>
      <c r="AI1596">
        <v>74.375</v>
      </c>
      <c r="AJ1596">
        <v>10.358000000000001</v>
      </c>
      <c r="AK1596">
        <v>31.321999999999999</v>
      </c>
      <c r="AL1596">
        <v>2.3119999999999998</v>
      </c>
      <c r="AM1596">
        <v>43.89</v>
      </c>
      <c r="AN1596">
        <v>49.542000000000002</v>
      </c>
      <c r="AO1596">
        <v>55.756999999999998</v>
      </c>
      <c r="AP1596">
        <v>-2.3119999999999998</v>
      </c>
      <c r="AQ1596">
        <v>89.641999999999996</v>
      </c>
      <c r="AR1596">
        <v>25.625</v>
      </c>
      <c r="AS1596">
        <v>68.677999999999997</v>
      </c>
    </row>
    <row r="1597" spans="1:45" x14ac:dyDescent="0.25">
      <c r="A1597">
        <v>32</v>
      </c>
      <c r="B1597">
        <v>12</v>
      </c>
      <c r="C1597">
        <v>1</v>
      </c>
      <c r="D1597">
        <v>2024</v>
      </c>
      <c r="E1597">
        <v>1</v>
      </c>
      <c r="F1597" t="str">
        <f>IFERROR(VLOOKUP(G1597, Map!$A$1:$B$33, 2, FALSE),"WAS")</f>
        <v>LAC</v>
      </c>
      <c r="G1597" t="s">
        <v>160</v>
      </c>
      <c r="H1597" t="str">
        <f>IFERROR(VLOOKUP(I1597, Map!$A$1:$B$33, 2, FALSE),"WAS")</f>
        <v>LV</v>
      </c>
      <c r="I1597" t="s">
        <v>157</v>
      </c>
      <c r="J1597" t="s">
        <v>210</v>
      </c>
      <c r="K1597" t="s">
        <v>179</v>
      </c>
      <c r="L1597">
        <v>1</v>
      </c>
      <c r="M1597">
        <v>0</v>
      </c>
      <c r="N1597">
        <v>36.5</v>
      </c>
      <c r="O1597">
        <v>-8.75</v>
      </c>
      <c r="P1597">
        <v>-3</v>
      </c>
      <c r="Q1597">
        <v>32.5</v>
      </c>
      <c r="R1597">
        <v>29.9</v>
      </c>
      <c r="S1597">
        <v>39.5</v>
      </c>
      <c r="T1597">
        <v>22.8</v>
      </c>
      <c r="U1597">
        <v>29.7</v>
      </c>
      <c r="V1597">
        <v>0</v>
      </c>
      <c r="W1597">
        <v>0</v>
      </c>
      <c r="X1597">
        <v>0</v>
      </c>
      <c r="Y1597">
        <v>0</v>
      </c>
      <c r="Z1597">
        <v>22.9</v>
      </c>
      <c r="AA1597">
        <v>40.299999999999997</v>
      </c>
      <c r="AB1597">
        <v>255</v>
      </c>
      <c r="AC1597">
        <v>38</v>
      </c>
      <c r="AD1597">
        <v>17.7</v>
      </c>
      <c r="AE1597">
        <v>9.1999999999999993</v>
      </c>
      <c r="AF1597">
        <v>60.308999999999997</v>
      </c>
      <c r="AG1597">
        <v>36.1</v>
      </c>
      <c r="AH1597">
        <v>39.375</v>
      </c>
      <c r="AI1597">
        <v>88.751999999999995</v>
      </c>
      <c r="AJ1597">
        <v>33.677</v>
      </c>
      <c r="AK1597">
        <v>74.090999999999994</v>
      </c>
      <c r="AL1597">
        <v>4.1070000000000002</v>
      </c>
      <c r="AM1597">
        <v>39.375</v>
      </c>
      <c r="AN1597">
        <v>36.1</v>
      </c>
      <c r="AO1597">
        <v>60.308999999999997</v>
      </c>
      <c r="AP1597">
        <v>-4.1070000000000002</v>
      </c>
      <c r="AQ1597">
        <v>66.322999999999993</v>
      </c>
      <c r="AR1597">
        <v>11.247999999999999</v>
      </c>
      <c r="AS1597">
        <v>25.908999999999999</v>
      </c>
    </row>
    <row r="1598" spans="1:45" x14ac:dyDescent="0.25">
      <c r="A1598">
        <v>34</v>
      </c>
      <c r="B1598">
        <v>-22</v>
      </c>
      <c r="C1598">
        <v>0</v>
      </c>
      <c r="D1598">
        <v>2024</v>
      </c>
      <c r="E1598">
        <v>1</v>
      </c>
      <c r="F1598" t="str">
        <f>IFERROR(VLOOKUP(G1598, Map!$A$1:$B$33, 2, FALSE),"WAS")</f>
        <v>NYG</v>
      </c>
      <c r="G1598" t="s">
        <v>149</v>
      </c>
      <c r="H1598" t="str">
        <f>IFERROR(VLOOKUP(I1598, Map!$A$1:$B$33, 2, FALSE),"WAS")</f>
        <v>MIN</v>
      </c>
      <c r="I1598" t="s">
        <v>153</v>
      </c>
      <c r="J1598" t="s">
        <v>219</v>
      </c>
      <c r="K1598" t="s">
        <v>214</v>
      </c>
      <c r="L1598">
        <v>0</v>
      </c>
      <c r="M1598">
        <v>0</v>
      </c>
      <c r="N1598">
        <v>25.6666666666667</v>
      </c>
      <c r="O1598">
        <v>6.8333333333333304</v>
      </c>
      <c r="P1598">
        <v>1</v>
      </c>
      <c r="Q1598">
        <v>35.5</v>
      </c>
      <c r="R1598">
        <v>16.2</v>
      </c>
      <c r="S1598">
        <v>21.4</v>
      </c>
      <c r="T1598">
        <v>11.1</v>
      </c>
      <c r="U1598">
        <v>14.2</v>
      </c>
      <c r="V1598">
        <v>0.2</v>
      </c>
      <c r="W1598">
        <v>0</v>
      </c>
      <c r="X1598">
        <v>2</v>
      </c>
      <c r="Y1598">
        <v>0.2</v>
      </c>
      <c r="Z1598">
        <v>19.2</v>
      </c>
      <c r="AA1598">
        <v>39.6</v>
      </c>
      <c r="AB1598">
        <v>287</v>
      </c>
      <c r="AC1598">
        <v>66</v>
      </c>
      <c r="AD1598">
        <v>27.1</v>
      </c>
      <c r="AE1598">
        <v>13.2</v>
      </c>
      <c r="AF1598">
        <v>49.8</v>
      </c>
      <c r="AG1598">
        <v>29.821999999999999</v>
      </c>
      <c r="AH1598">
        <v>49.8</v>
      </c>
      <c r="AI1598">
        <v>19.286000000000001</v>
      </c>
      <c r="AJ1598">
        <v>7.992</v>
      </c>
      <c r="AK1598">
        <v>6.391</v>
      </c>
      <c r="AL1598">
        <v>-0.45</v>
      </c>
      <c r="AM1598">
        <v>49.8</v>
      </c>
      <c r="AN1598">
        <v>29.821999999999999</v>
      </c>
      <c r="AO1598">
        <v>49.8</v>
      </c>
      <c r="AP1598">
        <v>0.45</v>
      </c>
      <c r="AQ1598">
        <v>92.007999999999996</v>
      </c>
      <c r="AR1598">
        <v>80.713999999999999</v>
      </c>
      <c r="AS1598">
        <v>93.608999999999995</v>
      </c>
    </row>
    <row r="1599" spans="1:45" x14ac:dyDescent="0.25">
      <c r="A1599">
        <v>37</v>
      </c>
      <c r="B1599">
        <v>3</v>
      </c>
      <c r="C1599">
        <v>1</v>
      </c>
      <c r="D1599">
        <v>2024</v>
      </c>
      <c r="E1599">
        <v>1</v>
      </c>
      <c r="F1599" t="str">
        <f>IFERROR(VLOOKUP(G1599, Map!$A$1:$B$33, 2, FALSE),"WAS")</f>
        <v>MIA</v>
      </c>
      <c r="G1599" t="s">
        <v>152</v>
      </c>
      <c r="H1599" t="str">
        <f>IFERROR(VLOOKUP(I1599, Map!$A$1:$B$33, 2, FALSE),"WAS")</f>
        <v>JAX</v>
      </c>
      <c r="I1599" t="s">
        <v>139</v>
      </c>
      <c r="J1599" t="s">
        <v>175</v>
      </c>
      <c r="K1599" t="s">
        <v>220</v>
      </c>
      <c r="L1599">
        <v>1</v>
      </c>
      <c r="M1599">
        <v>0</v>
      </c>
      <c r="N1599">
        <v>30</v>
      </c>
      <c r="O1599">
        <v>-3</v>
      </c>
      <c r="P1599">
        <v>-3.5</v>
      </c>
      <c r="Q1599">
        <v>40.5</v>
      </c>
      <c r="R1599">
        <v>28.3</v>
      </c>
      <c r="S1599">
        <v>32</v>
      </c>
      <c r="T1599">
        <v>25.2</v>
      </c>
      <c r="U1599">
        <v>33.299999999999997</v>
      </c>
      <c r="V1599">
        <v>0.5</v>
      </c>
      <c r="W1599">
        <v>0</v>
      </c>
      <c r="X1599">
        <v>4</v>
      </c>
      <c r="Y1599">
        <v>0.5</v>
      </c>
      <c r="Z1599">
        <v>16.3</v>
      </c>
      <c r="AA1599">
        <v>33.5</v>
      </c>
      <c r="AB1599">
        <v>135</v>
      </c>
      <c r="AC1599">
        <v>78</v>
      </c>
      <c r="AD1599">
        <v>18.600000000000001</v>
      </c>
      <c r="AE1599">
        <v>9.9</v>
      </c>
      <c r="AF1599">
        <v>59.773000000000003</v>
      </c>
      <c r="AG1599">
        <v>59.933999999999997</v>
      </c>
      <c r="AH1599">
        <v>39.905999999999999</v>
      </c>
      <c r="AI1599">
        <v>66.224000000000004</v>
      </c>
      <c r="AJ1599">
        <v>44.384999999999998</v>
      </c>
      <c r="AK1599">
        <v>50.991</v>
      </c>
      <c r="AL1599">
        <v>4.0999999999999996</v>
      </c>
      <c r="AM1599">
        <v>39.905999999999999</v>
      </c>
      <c r="AN1599">
        <v>59.933999999999997</v>
      </c>
      <c r="AO1599">
        <v>59.773000000000003</v>
      </c>
      <c r="AP1599">
        <v>-4.0999999999999996</v>
      </c>
      <c r="AQ1599">
        <v>55.615000000000002</v>
      </c>
      <c r="AR1599">
        <v>33.776000000000003</v>
      </c>
      <c r="AS1599">
        <v>49.009</v>
      </c>
    </row>
    <row r="1600" spans="1:45" x14ac:dyDescent="0.25">
      <c r="A1600">
        <v>57</v>
      </c>
      <c r="B1600">
        <v>17</v>
      </c>
      <c r="C1600">
        <v>1</v>
      </c>
      <c r="D1600">
        <v>2024</v>
      </c>
      <c r="E1600">
        <v>1</v>
      </c>
      <c r="F1600" t="str">
        <f>IFERROR(VLOOKUP(G1600, Map!$A$1:$B$33, 2, FALSE),"WAS")</f>
        <v>TB</v>
      </c>
      <c r="G1600" t="s">
        <v>141</v>
      </c>
      <c r="H1600" t="str">
        <f>IFERROR(VLOOKUP(I1600, Map!$A$1:$B$33, 2, FALSE),"WAS")</f>
        <v>WAS</v>
      </c>
      <c r="I1600" t="s">
        <v>148</v>
      </c>
      <c r="J1600" t="s">
        <v>186</v>
      </c>
      <c r="K1600" t="s">
        <v>205</v>
      </c>
      <c r="L1600">
        <v>1</v>
      </c>
      <c r="M1600">
        <v>0</v>
      </c>
      <c r="N1600">
        <v>46</v>
      </c>
      <c r="O1600">
        <v>-14.5</v>
      </c>
      <c r="P1600">
        <v>-3.5</v>
      </c>
      <c r="Q1600">
        <v>41.5</v>
      </c>
      <c r="R1600">
        <v>26.4</v>
      </c>
      <c r="S1600">
        <v>30.3</v>
      </c>
      <c r="T1600">
        <v>24</v>
      </c>
      <c r="U1600">
        <v>31.3</v>
      </c>
      <c r="V1600">
        <v>1.7</v>
      </c>
      <c r="W1600">
        <v>0</v>
      </c>
      <c r="X1600">
        <v>6</v>
      </c>
      <c r="Y1600">
        <v>1.7</v>
      </c>
      <c r="Z1600">
        <v>14.2</v>
      </c>
      <c r="AA1600">
        <v>26.3</v>
      </c>
      <c r="AB1600">
        <v>107</v>
      </c>
      <c r="AC1600">
        <v>87</v>
      </c>
      <c r="AD1600">
        <v>20.2</v>
      </c>
      <c r="AE1600">
        <v>9.1</v>
      </c>
      <c r="AF1600">
        <v>60.509</v>
      </c>
      <c r="AG1600">
        <v>30.738</v>
      </c>
      <c r="AH1600">
        <v>39.176000000000002</v>
      </c>
      <c r="AI1600">
        <v>36.892000000000003</v>
      </c>
      <c r="AJ1600">
        <v>86.381</v>
      </c>
      <c r="AK1600">
        <v>88.727000000000004</v>
      </c>
      <c r="AL1600">
        <v>4.0819999999999999</v>
      </c>
      <c r="AM1600">
        <v>39.176000000000002</v>
      </c>
      <c r="AN1600">
        <v>30.738</v>
      </c>
      <c r="AO1600">
        <v>60.509</v>
      </c>
      <c r="AP1600">
        <v>-4.0819999999999999</v>
      </c>
      <c r="AQ1600">
        <v>13.619</v>
      </c>
      <c r="AR1600">
        <v>63.107999999999997</v>
      </c>
      <c r="AS1600">
        <v>11.273</v>
      </c>
    </row>
    <row r="1601" spans="1:45" x14ac:dyDescent="0.25">
      <c r="A1601">
        <v>26</v>
      </c>
      <c r="B1601">
        <v>-6</v>
      </c>
      <c r="C1601">
        <v>0</v>
      </c>
      <c r="D1601">
        <v>2024</v>
      </c>
      <c r="E1601">
        <v>1</v>
      </c>
      <c r="F1601" t="str">
        <f>IFERROR(VLOOKUP(G1601, Map!$A$1:$B$33, 2, FALSE),"WAS")</f>
        <v>CIN</v>
      </c>
      <c r="G1601" t="s">
        <v>161</v>
      </c>
      <c r="H1601" t="str">
        <f>IFERROR(VLOOKUP(I1601, Map!$A$1:$B$33, 2, FALSE),"WAS")</f>
        <v>NE</v>
      </c>
      <c r="I1601" t="s">
        <v>151</v>
      </c>
      <c r="J1601" t="s">
        <v>176</v>
      </c>
      <c r="K1601" t="s">
        <v>187</v>
      </c>
      <c r="L1601">
        <v>0</v>
      </c>
      <c r="M1601">
        <v>0</v>
      </c>
      <c r="N1601">
        <v>23</v>
      </c>
      <c r="O1601">
        <v>-1.6666666666666701</v>
      </c>
      <c r="P1601">
        <v>2.5</v>
      </c>
      <c r="Q1601">
        <v>28.5</v>
      </c>
      <c r="R1601">
        <v>15.2</v>
      </c>
      <c r="S1601">
        <v>21.8</v>
      </c>
      <c r="T1601">
        <v>9.3000000000000007</v>
      </c>
      <c r="U1601">
        <v>13.5</v>
      </c>
      <c r="V1601">
        <v>0</v>
      </c>
      <c r="W1601">
        <v>0</v>
      </c>
      <c r="X1601">
        <v>0</v>
      </c>
      <c r="Y1601">
        <v>0</v>
      </c>
      <c r="Z1601">
        <v>10.8</v>
      </c>
      <c r="AA1601">
        <v>31.3</v>
      </c>
      <c r="AB1601">
        <v>345</v>
      </c>
      <c r="AC1601">
        <v>54</v>
      </c>
      <c r="AD1601">
        <v>16.899999999999999</v>
      </c>
      <c r="AE1601">
        <v>6.6</v>
      </c>
      <c r="AF1601">
        <v>74.164000000000001</v>
      </c>
      <c r="AG1601">
        <v>40.929000000000002</v>
      </c>
      <c r="AH1601">
        <v>25.63</v>
      </c>
      <c r="AI1601">
        <v>51.457000000000001</v>
      </c>
      <c r="AJ1601">
        <v>23.521000000000001</v>
      </c>
      <c r="AK1601">
        <v>29.122</v>
      </c>
      <c r="AL1601">
        <v>9.5980000000000008</v>
      </c>
      <c r="AM1601">
        <v>25.63</v>
      </c>
      <c r="AN1601">
        <v>40.929000000000002</v>
      </c>
      <c r="AO1601">
        <v>74.164000000000001</v>
      </c>
      <c r="AP1601">
        <v>-9.5980000000000008</v>
      </c>
      <c r="AQ1601">
        <v>76.478999999999999</v>
      </c>
      <c r="AR1601">
        <v>48.542999999999999</v>
      </c>
      <c r="AS1601">
        <v>70.878</v>
      </c>
    </row>
    <row r="1602" spans="1:45" x14ac:dyDescent="0.25">
      <c r="A1602">
        <v>51</v>
      </c>
      <c r="B1602">
        <v>1</v>
      </c>
      <c r="C1602">
        <v>1</v>
      </c>
      <c r="D1602">
        <v>2024</v>
      </c>
      <c r="E1602">
        <v>2</v>
      </c>
      <c r="F1602" t="str">
        <f>IFERROR(VLOOKUP(G1602, Map!$A$1:$B$33, 2, FALSE),"WAS")</f>
        <v>KC</v>
      </c>
      <c r="G1602" t="s">
        <v>158</v>
      </c>
      <c r="H1602" t="str">
        <f>IFERROR(VLOOKUP(I1602, Map!$A$1:$B$33, 2, FALSE),"WAS")</f>
        <v>CIN</v>
      </c>
      <c r="I1602" t="s">
        <v>161</v>
      </c>
      <c r="J1602" t="s">
        <v>202</v>
      </c>
      <c r="K1602" t="s">
        <v>176</v>
      </c>
      <c r="L1602">
        <v>1</v>
      </c>
      <c r="M1602">
        <v>0</v>
      </c>
      <c r="N1602">
        <v>32.6666666666667</v>
      </c>
      <c r="O1602">
        <v>-2.6666666666666701</v>
      </c>
      <c r="P1602">
        <v>-1.5</v>
      </c>
      <c r="Q1602">
        <v>47.5</v>
      </c>
      <c r="R1602">
        <v>24.1</v>
      </c>
      <c r="S1602">
        <v>29.4</v>
      </c>
      <c r="T1602">
        <v>19</v>
      </c>
      <c r="U1602">
        <v>25.9</v>
      </c>
      <c r="V1602">
        <v>0.2</v>
      </c>
      <c r="W1602">
        <v>0</v>
      </c>
      <c r="X1602">
        <v>2</v>
      </c>
      <c r="Y1602">
        <v>0.2</v>
      </c>
      <c r="Z1602">
        <v>14</v>
      </c>
      <c r="AA1602">
        <v>27.4</v>
      </c>
      <c r="AB1602">
        <v>120</v>
      </c>
      <c r="AC1602">
        <v>71</v>
      </c>
      <c r="AD1602">
        <v>19.3</v>
      </c>
      <c r="AE1602">
        <v>9.3000000000000007</v>
      </c>
      <c r="AF1602">
        <v>66.198999999999998</v>
      </c>
      <c r="AG1602">
        <v>71.954999999999998</v>
      </c>
      <c r="AH1602">
        <v>33.531999999999996</v>
      </c>
      <c r="AI1602">
        <v>61.59</v>
      </c>
      <c r="AJ1602">
        <v>38.228999999999999</v>
      </c>
      <c r="AK1602">
        <v>50.930999999999997</v>
      </c>
      <c r="AL1602">
        <v>6.3120000000000003</v>
      </c>
      <c r="AM1602">
        <v>33.531999999999996</v>
      </c>
      <c r="AN1602">
        <v>71.954999999999998</v>
      </c>
      <c r="AO1602">
        <v>66.198999999999998</v>
      </c>
      <c r="AP1602">
        <v>-6.3120000000000003</v>
      </c>
      <c r="AQ1602">
        <v>61.771000000000001</v>
      </c>
      <c r="AR1602">
        <v>38.409999999999997</v>
      </c>
      <c r="AS1602">
        <v>49.069000000000003</v>
      </c>
    </row>
    <row r="1603" spans="1:45" x14ac:dyDescent="0.25">
      <c r="A1603">
        <v>41</v>
      </c>
      <c r="B1603">
        <v>-7</v>
      </c>
      <c r="C1603">
        <v>0</v>
      </c>
      <c r="D1603">
        <v>2024</v>
      </c>
      <c r="E1603">
        <v>2</v>
      </c>
      <c r="F1603" t="str">
        <f>IFERROR(VLOOKUP(G1603, Map!$A$1:$B$33, 2, FALSE),"WAS")</f>
        <v>TEN</v>
      </c>
      <c r="G1603" t="s">
        <v>140</v>
      </c>
      <c r="H1603" t="str">
        <f>IFERROR(VLOOKUP(I1603, Map!$A$1:$B$33, 2, FALSE),"WAS")</f>
        <v>NYJ</v>
      </c>
      <c r="I1603" t="s">
        <v>166</v>
      </c>
      <c r="J1603" t="s">
        <v>174</v>
      </c>
      <c r="K1603" t="s">
        <v>172</v>
      </c>
      <c r="L1603">
        <v>0</v>
      </c>
      <c r="M1603">
        <v>0</v>
      </c>
      <c r="N1603">
        <v>43</v>
      </c>
      <c r="O1603">
        <v>3.5</v>
      </c>
      <c r="P1603">
        <v>3.5</v>
      </c>
      <c r="Q1603">
        <v>42.5</v>
      </c>
      <c r="R1603">
        <v>23.2</v>
      </c>
      <c r="S1603">
        <v>29.6</v>
      </c>
      <c r="T1603">
        <v>19.100000000000001</v>
      </c>
      <c r="U1603">
        <v>25.7</v>
      </c>
      <c r="V1603">
        <v>10.1</v>
      </c>
      <c r="W1603">
        <v>0</v>
      </c>
      <c r="X1603">
        <v>6</v>
      </c>
      <c r="Y1603">
        <v>10.1</v>
      </c>
      <c r="Z1603">
        <v>15.3</v>
      </c>
      <c r="AA1603">
        <v>32.799999999999997</v>
      </c>
      <c r="AB1603">
        <v>86</v>
      </c>
      <c r="AC1603">
        <v>82</v>
      </c>
      <c r="AD1603">
        <v>19.3</v>
      </c>
      <c r="AE1603">
        <v>9</v>
      </c>
      <c r="AF1603">
        <v>42.695</v>
      </c>
      <c r="AG1603">
        <v>41.985999999999997</v>
      </c>
      <c r="AH1603">
        <v>56.962000000000003</v>
      </c>
      <c r="AI1603">
        <v>40.241999999999997</v>
      </c>
      <c r="AJ1603">
        <v>41.908000000000001</v>
      </c>
      <c r="AK1603">
        <v>38.505000000000003</v>
      </c>
      <c r="AL1603">
        <v>-2.9849999999999999</v>
      </c>
      <c r="AM1603">
        <v>56.962000000000003</v>
      </c>
      <c r="AN1603">
        <v>41.985999999999997</v>
      </c>
      <c r="AO1603">
        <v>42.695</v>
      </c>
      <c r="AP1603">
        <v>2.9849999999999999</v>
      </c>
      <c r="AQ1603">
        <v>58.091999999999999</v>
      </c>
      <c r="AR1603">
        <v>59.758000000000003</v>
      </c>
      <c r="AS1603">
        <v>61.494999999999997</v>
      </c>
    </row>
    <row r="1604" spans="1:45" x14ac:dyDescent="0.25">
      <c r="A1604">
        <v>43</v>
      </c>
      <c r="B1604">
        <v>-3</v>
      </c>
      <c r="C1604">
        <v>0</v>
      </c>
      <c r="D1604">
        <v>2024</v>
      </c>
      <c r="E1604">
        <v>2</v>
      </c>
      <c r="F1604" t="str">
        <f>IFERROR(VLOOKUP(G1604, Map!$A$1:$B$33, 2, FALSE),"WAS")</f>
        <v>NE</v>
      </c>
      <c r="G1604" t="s">
        <v>151</v>
      </c>
      <c r="H1604" t="str">
        <f>IFERROR(VLOOKUP(I1604, Map!$A$1:$B$33, 2, FALSE),"WAS")</f>
        <v>SEA</v>
      </c>
      <c r="I1604" t="s">
        <v>144</v>
      </c>
      <c r="J1604" t="s">
        <v>187</v>
      </c>
      <c r="K1604" t="s">
        <v>182</v>
      </c>
      <c r="L1604">
        <v>0</v>
      </c>
      <c r="M1604">
        <v>0</v>
      </c>
      <c r="N1604">
        <v>41.5</v>
      </c>
      <c r="O1604">
        <v>0</v>
      </c>
      <c r="P1604">
        <v>3.5</v>
      </c>
      <c r="Q1604">
        <v>39.5</v>
      </c>
      <c r="R1604">
        <v>18.899999999999999</v>
      </c>
      <c r="S1604">
        <v>25.3</v>
      </c>
      <c r="T1604">
        <v>14.6</v>
      </c>
      <c r="U1604">
        <v>19.100000000000001</v>
      </c>
      <c r="V1604">
        <v>0</v>
      </c>
      <c r="W1604">
        <v>0</v>
      </c>
      <c r="X1604">
        <v>0</v>
      </c>
      <c r="Y1604">
        <v>0</v>
      </c>
      <c r="Z1604">
        <v>11.1</v>
      </c>
      <c r="AA1604">
        <v>26.3</v>
      </c>
      <c r="AB1604">
        <v>68</v>
      </c>
      <c r="AC1604">
        <v>74</v>
      </c>
      <c r="AD1604">
        <v>17.2</v>
      </c>
      <c r="AE1604">
        <v>7.5</v>
      </c>
      <c r="AF1604">
        <v>44.82</v>
      </c>
      <c r="AG1604">
        <v>33.255000000000003</v>
      </c>
      <c r="AH1604">
        <v>54.82</v>
      </c>
      <c r="AI1604">
        <v>38.470999999999997</v>
      </c>
      <c r="AJ1604">
        <v>54.194000000000003</v>
      </c>
      <c r="AK1604">
        <v>42.256</v>
      </c>
      <c r="AL1604">
        <v>-2.4329999999999998</v>
      </c>
      <c r="AM1604">
        <v>54.82</v>
      </c>
      <c r="AN1604">
        <v>33.255000000000003</v>
      </c>
      <c r="AO1604">
        <v>44.82</v>
      </c>
      <c r="AP1604">
        <v>2.4329999999999998</v>
      </c>
      <c r="AQ1604">
        <v>45.805999999999997</v>
      </c>
      <c r="AR1604">
        <v>61.529000000000003</v>
      </c>
      <c r="AS1604">
        <v>57.744</v>
      </c>
    </row>
    <row r="1605" spans="1:45" x14ac:dyDescent="0.25">
      <c r="A1605">
        <v>32</v>
      </c>
      <c r="B1605">
        <v>6</v>
      </c>
      <c r="C1605">
        <v>1</v>
      </c>
      <c r="D1605">
        <v>2024</v>
      </c>
      <c r="E1605">
        <v>2</v>
      </c>
      <c r="F1605" t="str">
        <f>IFERROR(VLOOKUP(G1605, Map!$A$1:$B$33, 2, FALSE),"WAS")</f>
        <v>HOU</v>
      </c>
      <c r="G1605" t="s">
        <v>137</v>
      </c>
      <c r="H1605" t="str">
        <f>IFERROR(VLOOKUP(I1605, Map!$A$1:$B$33, 2, FALSE),"WAS")</f>
        <v>CHI</v>
      </c>
      <c r="I1605" t="s">
        <v>163</v>
      </c>
      <c r="J1605" t="s">
        <v>209</v>
      </c>
      <c r="K1605" t="s">
        <v>216</v>
      </c>
      <c r="L1605">
        <v>1</v>
      </c>
      <c r="M1605">
        <v>0</v>
      </c>
      <c r="N1605">
        <v>39.5</v>
      </c>
      <c r="O1605">
        <v>-8</v>
      </c>
      <c r="P1605">
        <v>-6.5</v>
      </c>
      <c r="Q1605">
        <v>33.5</v>
      </c>
      <c r="R1605">
        <v>27.1</v>
      </c>
      <c r="S1605">
        <v>31.9</v>
      </c>
      <c r="T1605">
        <v>23.2</v>
      </c>
      <c r="U1605">
        <v>32.700000000000003</v>
      </c>
      <c r="V1605">
        <v>1.5</v>
      </c>
      <c r="W1605">
        <v>0</v>
      </c>
      <c r="X1605">
        <v>6</v>
      </c>
      <c r="Y1605">
        <v>1.5</v>
      </c>
      <c r="Z1605">
        <v>8</v>
      </c>
      <c r="AA1605">
        <v>23</v>
      </c>
      <c r="AB1605">
        <v>101</v>
      </c>
      <c r="AC1605">
        <v>83</v>
      </c>
      <c r="AD1605">
        <v>11.1</v>
      </c>
      <c r="AE1605">
        <v>4.2</v>
      </c>
      <c r="AF1605">
        <v>65.528999999999996</v>
      </c>
      <c r="AG1605">
        <v>58.548999999999999</v>
      </c>
      <c r="AH1605">
        <v>34.195999999999998</v>
      </c>
      <c r="AI1605">
        <v>85.27</v>
      </c>
      <c r="AJ1605">
        <v>30.754000000000001</v>
      </c>
      <c r="AK1605">
        <v>70.683999999999997</v>
      </c>
      <c r="AL1605">
        <v>5.9039999999999999</v>
      </c>
      <c r="AM1605">
        <v>34.195999999999998</v>
      </c>
      <c r="AN1605">
        <v>58.548999999999999</v>
      </c>
      <c r="AO1605">
        <v>65.528999999999996</v>
      </c>
      <c r="AP1605">
        <v>-5.9039999999999999</v>
      </c>
      <c r="AQ1605">
        <v>69.245999999999995</v>
      </c>
      <c r="AR1605">
        <v>14.73</v>
      </c>
      <c r="AS1605">
        <v>29.315999999999999</v>
      </c>
    </row>
    <row r="1606" spans="1:45" x14ac:dyDescent="0.25">
      <c r="A1606">
        <v>51</v>
      </c>
      <c r="B1606">
        <v>31</v>
      </c>
      <c r="C1606">
        <v>1</v>
      </c>
      <c r="D1606">
        <v>2024</v>
      </c>
      <c r="E1606">
        <v>2</v>
      </c>
      <c r="F1606" t="str">
        <f>IFERROR(VLOOKUP(G1606, Map!$A$1:$B$33, 2, FALSE),"WAS")</f>
        <v>ARI</v>
      </c>
      <c r="G1606" t="s">
        <v>156</v>
      </c>
      <c r="H1606" t="str">
        <f>IFERROR(VLOOKUP(I1606, Map!$A$1:$B$33, 2, FALSE),"WAS")</f>
        <v>LA</v>
      </c>
      <c r="I1606" t="s">
        <v>155</v>
      </c>
      <c r="J1606" t="s">
        <v>190</v>
      </c>
      <c r="K1606" t="s">
        <v>178</v>
      </c>
      <c r="L1606">
        <v>1</v>
      </c>
      <c r="M1606">
        <v>0</v>
      </c>
      <c r="N1606">
        <v>50</v>
      </c>
      <c r="O1606">
        <v>-16</v>
      </c>
      <c r="P1606">
        <v>-1.5</v>
      </c>
      <c r="Q1606">
        <v>47.5</v>
      </c>
      <c r="R1606">
        <v>19.2</v>
      </c>
      <c r="S1606">
        <v>25.5</v>
      </c>
      <c r="T1606">
        <v>15.7</v>
      </c>
      <c r="U1606">
        <v>20.2</v>
      </c>
      <c r="V1606">
        <v>0.1</v>
      </c>
      <c r="W1606">
        <v>0</v>
      </c>
      <c r="X1606">
        <v>1</v>
      </c>
      <c r="Y1606">
        <v>0.1</v>
      </c>
      <c r="Z1606">
        <v>14.5</v>
      </c>
      <c r="AA1606">
        <v>34.6</v>
      </c>
      <c r="AB1606">
        <v>192</v>
      </c>
      <c r="AC1606">
        <v>78</v>
      </c>
      <c r="AD1606">
        <v>16.100000000000001</v>
      </c>
      <c r="AE1606">
        <v>5.9</v>
      </c>
      <c r="AF1606">
        <v>46.414000000000001</v>
      </c>
      <c r="AG1606">
        <v>52.804000000000002</v>
      </c>
      <c r="AH1606">
        <v>53.213999999999999</v>
      </c>
      <c r="AI1606">
        <v>96.341999999999999</v>
      </c>
      <c r="AJ1606">
        <v>97.653999999999996</v>
      </c>
      <c r="AK1606">
        <v>99.233999999999995</v>
      </c>
      <c r="AL1606">
        <v>-1.077</v>
      </c>
      <c r="AM1606">
        <v>53.213999999999999</v>
      </c>
      <c r="AN1606">
        <v>52.804000000000002</v>
      </c>
      <c r="AO1606">
        <v>46.414000000000001</v>
      </c>
      <c r="AP1606">
        <v>1.077</v>
      </c>
      <c r="AQ1606">
        <v>2.3460000000000001</v>
      </c>
      <c r="AR1606">
        <v>3.6579999999999999</v>
      </c>
      <c r="AS1606">
        <v>0.76600000000000001</v>
      </c>
    </row>
    <row r="1607" spans="1:45" x14ac:dyDescent="0.25">
      <c r="A1607">
        <v>36</v>
      </c>
      <c r="B1607">
        <v>-4</v>
      </c>
      <c r="C1607">
        <v>0</v>
      </c>
      <c r="D1607">
        <v>2024</v>
      </c>
      <c r="E1607">
        <v>2</v>
      </c>
      <c r="F1607" t="str">
        <f>IFERROR(VLOOKUP(G1607, Map!$A$1:$B$33, 2, FALSE),"WAS")</f>
        <v>DET</v>
      </c>
      <c r="G1607" t="s">
        <v>164</v>
      </c>
      <c r="H1607" t="str">
        <f>IFERROR(VLOOKUP(I1607, Map!$A$1:$B$33, 2, FALSE),"WAS")</f>
        <v>TB</v>
      </c>
      <c r="I1607" t="s">
        <v>141</v>
      </c>
      <c r="J1607" t="s">
        <v>173</v>
      </c>
      <c r="K1607" t="s">
        <v>186</v>
      </c>
      <c r="L1607">
        <v>0</v>
      </c>
      <c r="M1607">
        <v>0</v>
      </c>
      <c r="N1607">
        <v>47</v>
      </c>
      <c r="O1607">
        <v>-6</v>
      </c>
      <c r="P1607">
        <v>-4.5</v>
      </c>
      <c r="Q1607">
        <v>42.5</v>
      </c>
      <c r="R1607">
        <v>22.5</v>
      </c>
      <c r="S1607">
        <v>27.9</v>
      </c>
      <c r="T1607">
        <v>17.5</v>
      </c>
      <c r="U1607">
        <v>22.7</v>
      </c>
      <c r="V1607">
        <v>0</v>
      </c>
      <c r="W1607">
        <v>0</v>
      </c>
      <c r="X1607">
        <v>0</v>
      </c>
      <c r="Y1607">
        <v>0</v>
      </c>
      <c r="Z1607">
        <v>18.399999999999999</v>
      </c>
      <c r="AA1607">
        <v>32.4</v>
      </c>
      <c r="AB1607">
        <v>110</v>
      </c>
      <c r="AC1607">
        <v>66</v>
      </c>
      <c r="AD1607">
        <v>24.1</v>
      </c>
      <c r="AE1607">
        <v>12.7</v>
      </c>
      <c r="AF1607">
        <v>64.994</v>
      </c>
      <c r="AG1607">
        <v>66.56</v>
      </c>
      <c r="AH1607">
        <v>34.726999999999997</v>
      </c>
      <c r="AI1607">
        <v>52.902000000000001</v>
      </c>
      <c r="AJ1607">
        <v>34.061999999999998</v>
      </c>
      <c r="AK1607">
        <v>41.804000000000002</v>
      </c>
      <c r="AL1607">
        <v>5.9390000000000001</v>
      </c>
      <c r="AM1607">
        <v>34.726999999999997</v>
      </c>
      <c r="AN1607">
        <v>66.56</v>
      </c>
      <c r="AO1607">
        <v>64.994</v>
      </c>
      <c r="AP1607">
        <v>-5.9390000000000001</v>
      </c>
      <c r="AQ1607">
        <v>65.938000000000002</v>
      </c>
      <c r="AR1607">
        <v>47.097999999999999</v>
      </c>
      <c r="AS1607">
        <v>58.195999999999998</v>
      </c>
    </row>
    <row r="1608" spans="1:45" x14ac:dyDescent="0.25">
      <c r="A1608">
        <v>49</v>
      </c>
      <c r="B1608">
        <v>-3</v>
      </c>
      <c r="C1608">
        <v>0</v>
      </c>
      <c r="D1608">
        <v>2024</v>
      </c>
      <c r="E1608">
        <v>2</v>
      </c>
      <c r="F1608" t="str">
        <f>IFERROR(VLOOKUP(G1608, Map!$A$1:$B$33, 2, FALSE),"WAS")</f>
        <v>BAL</v>
      </c>
      <c r="G1608" t="s">
        <v>146</v>
      </c>
      <c r="H1608" t="str">
        <f>IFERROR(VLOOKUP(I1608, Map!$A$1:$B$33, 2, FALSE),"WAS")</f>
        <v>LV</v>
      </c>
      <c r="I1608" t="s">
        <v>157</v>
      </c>
      <c r="J1608" t="s">
        <v>181</v>
      </c>
      <c r="K1608" t="s">
        <v>179</v>
      </c>
      <c r="L1608">
        <v>0</v>
      </c>
      <c r="M1608">
        <v>0</v>
      </c>
      <c r="N1608">
        <v>42.5</v>
      </c>
      <c r="O1608">
        <v>-4.5</v>
      </c>
      <c r="P1608">
        <v>-0.5</v>
      </c>
      <c r="Q1608">
        <v>42.5</v>
      </c>
      <c r="R1608">
        <v>21.6</v>
      </c>
      <c r="S1608">
        <v>27.5</v>
      </c>
      <c r="T1608">
        <v>16.2</v>
      </c>
      <c r="U1608">
        <v>21.6</v>
      </c>
      <c r="V1608">
        <v>0</v>
      </c>
      <c r="W1608">
        <v>0</v>
      </c>
      <c r="X1608">
        <v>0</v>
      </c>
      <c r="Y1608">
        <v>0</v>
      </c>
      <c r="Z1608">
        <v>17.600000000000001</v>
      </c>
      <c r="AA1608">
        <v>35.299999999999997</v>
      </c>
      <c r="AB1608">
        <v>77</v>
      </c>
      <c r="AC1608">
        <v>66</v>
      </c>
      <c r="AD1608">
        <v>22.3</v>
      </c>
      <c r="AE1608">
        <v>11.1</v>
      </c>
      <c r="AF1608">
        <v>71.018000000000001</v>
      </c>
      <c r="AG1608">
        <v>47.701000000000001</v>
      </c>
      <c r="AH1608">
        <v>28.751000000000001</v>
      </c>
      <c r="AI1608">
        <v>64.372</v>
      </c>
      <c r="AJ1608">
        <v>47.743000000000002</v>
      </c>
      <c r="AK1608">
        <v>45.848999999999997</v>
      </c>
      <c r="AL1608">
        <v>8.9390000000000001</v>
      </c>
      <c r="AM1608">
        <v>28.751000000000001</v>
      </c>
      <c r="AN1608">
        <v>47.701000000000001</v>
      </c>
      <c r="AO1608">
        <v>71.018000000000001</v>
      </c>
      <c r="AP1608">
        <v>-8.9390000000000001</v>
      </c>
      <c r="AQ1608">
        <v>52.256999999999998</v>
      </c>
      <c r="AR1608">
        <v>35.628</v>
      </c>
      <c r="AS1608">
        <v>54.151000000000003</v>
      </c>
    </row>
    <row r="1609" spans="1:45" x14ac:dyDescent="0.25">
      <c r="A1609">
        <v>26</v>
      </c>
      <c r="B1609">
        <v>6</v>
      </c>
      <c r="C1609">
        <v>1</v>
      </c>
      <c r="D1609">
        <v>2024</v>
      </c>
      <c r="E1609">
        <v>2</v>
      </c>
      <c r="F1609" t="str">
        <f>IFERROR(VLOOKUP(G1609, Map!$A$1:$B$33, 2, FALSE),"WAS")</f>
        <v>GB</v>
      </c>
      <c r="G1609" t="s">
        <v>154</v>
      </c>
      <c r="H1609" t="str">
        <f>IFERROR(VLOOKUP(I1609, Map!$A$1:$B$33, 2, FALSE),"WAS")</f>
        <v>IND</v>
      </c>
      <c r="I1609" t="s">
        <v>138</v>
      </c>
      <c r="J1609" t="s">
        <v>200</v>
      </c>
      <c r="K1609" t="s">
        <v>177</v>
      </c>
      <c r="L1609">
        <v>1</v>
      </c>
      <c r="M1609">
        <v>0</v>
      </c>
      <c r="N1609">
        <v>31.5</v>
      </c>
      <c r="O1609">
        <v>-4.5</v>
      </c>
      <c r="P1609">
        <v>2.5</v>
      </c>
      <c r="Q1609">
        <v>21.5</v>
      </c>
      <c r="R1609">
        <v>22.7</v>
      </c>
      <c r="S1609">
        <v>29.9</v>
      </c>
      <c r="T1609">
        <v>17.100000000000001</v>
      </c>
      <c r="U1609">
        <v>23.7</v>
      </c>
      <c r="V1609">
        <v>0.1</v>
      </c>
      <c r="W1609">
        <v>0</v>
      </c>
      <c r="X1609">
        <v>1</v>
      </c>
      <c r="Y1609">
        <v>0.1</v>
      </c>
      <c r="Z1609">
        <v>15.6</v>
      </c>
      <c r="AA1609">
        <v>31.7</v>
      </c>
      <c r="AB1609">
        <v>156</v>
      </c>
      <c r="AC1609">
        <v>70</v>
      </c>
      <c r="AD1609">
        <v>16.600000000000001</v>
      </c>
      <c r="AE1609">
        <v>9</v>
      </c>
      <c r="AF1609">
        <v>44.686999999999998</v>
      </c>
      <c r="AG1609">
        <v>56.223999999999997</v>
      </c>
      <c r="AH1609">
        <v>54.954000000000001</v>
      </c>
      <c r="AI1609">
        <v>85.204999999999998</v>
      </c>
      <c r="AJ1609">
        <v>51.106000000000002</v>
      </c>
      <c r="AK1609">
        <v>82.200999999999993</v>
      </c>
      <c r="AL1609">
        <v>-1.829</v>
      </c>
      <c r="AM1609">
        <v>54.954000000000001</v>
      </c>
      <c r="AN1609">
        <v>56.223999999999997</v>
      </c>
      <c r="AO1609">
        <v>44.686999999999998</v>
      </c>
      <c r="AP1609">
        <v>1.829</v>
      </c>
      <c r="AQ1609">
        <v>48.893999999999998</v>
      </c>
      <c r="AR1609">
        <v>14.795</v>
      </c>
      <c r="AS1609">
        <v>17.798999999999999</v>
      </c>
    </row>
    <row r="1610" spans="1:45" x14ac:dyDescent="0.25">
      <c r="A1610">
        <v>43</v>
      </c>
      <c r="B1610">
        <v>-1</v>
      </c>
      <c r="C1610">
        <v>0</v>
      </c>
      <c r="D1610">
        <v>2024</v>
      </c>
      <c r="E1610">
        <v>2</v>
      </c>
      <c r="F1610" t="str">
        <f>IFERROR(VLOOKUP(G1610, Map!$A$1:$B$33, 2, FALSE),"WAS")</f>
        <v>PHI</v>
      </c>
      <c r="G1610" t="s">
        <v>147</v>
      </c>
      <c r="H1610" t="str">
        <f>IFERROR(VLOOKUP(I1610, Map!$A$1:$B$33, 2, FALSE),"WAS")</f>
        <v>ATL</v>
      </c>
      <c r="I1610" t="s">
        <v>167</v>
      </c>
      <c r="J1610" t="s">
        <v>206</v>
      </c>
      <c r="K1610" t="s">
        <v>188</v>
      </c>
      <c r="L1610">
        <v>0</v>
      </c>
      <c r="M1610">
        <v>0</v>
      </c>
      <c r="N1610">
        <v>28.6666666666667</v>
      </c>
      <c r="O1610">
        <v>-2.6666666666666701</v>
      </c>
      <c r="P1610">
        <v>-2.5</v>
      </c>
      <c r="Q1610">
        <v>39.5</v>
      </c>
      <c r="R1610">
        <v>21.3</v>
      </c>
      <c r="S1610">
        <v>26.9</v>
      </c>
      <c r="T1610">
        <v>17.2</v>
      </c>
      <c r="U1610">
        <v>21.4</v>
      </c>
      <c r="V1610">
        <v>0</v>
      </c>
      <c r="W1610">
        <v>0</v>
      </c>
      <c r="X1610">
        <v>0</v>
      </c>
      <c r="Y1610">
        <v>0</v>
      </c>
      <c r="Z1610">
        <v>19</v>
      </c>
      <c r="AA1610">
        <v>36.4</v>
      </c>
      <c r="AB1610">
        <v>72</v>
      </c>
      <c r="AC1610">
        <v>73</v>
      </c>
      <c r="AD1610">
        <v>25.5</v>
      </c>
      <c r="AE1610">
        <v>13.3</v>
      </c>
      <c r="AF1610">
        <v>63.052999999999997</v>
      </c>
      <c r="AG1610">
        <v>62.392000000000003</v>
      </c>
      <c r="AH1610">
        <v>36.652999999999999</v>
      </c>
      <c r="AI1610">
        <v>31.015000000000001</v>
      </c>
      <c r="AJ1610">
        <v>64.323999999999998</v>
      </c>
      <c r="AK1610">
        <v>49.707000000000001</v>
      </c>
      <c r="AL1610">
        <v>5.4109999999999996</v>
      </c>
      <c r="AM1610">
        <v>36.652999999999999</v>
      </c>
      <c r="AN1610">
        <v>62.392000000000003</v>
      </c>
      <c r="AO1610">
        <v>63.052999999999997</v>
      </c>
      <c r="AP1610">
        <v>-5.4109999999999996</v>
      </c>
      <c r="AQ1610">
        <v>35.676000000000002</v>
      </c>
      <c r="AR1610">
        <v>68.984999999999999</v>
      </c>
      <c r="AS1610">
        <v>50.292999999999999</v>
      </c>
    </row>
    <row r="1611" spans="1:45" x14ac:dyDescent="0.25">
      <c r="A1611">
        <v>40</v>
      </c>
      <c r="B1611">
        <v>6</v>
      </c>
      <c r="C1611">
        <v>1</v>
      </c>
      <c r="D1611">
        <v>2024</v>
      </c>
      <c r="E1611">
        <v>2</v>
      </c>
      <c r="F1611" t="str">
        <f>IFERROR(VLOOKUP(G1611, Map!$A$1:$B$33, 2, FALSE),"WAS")</f>
        <v>MIN</v>
      </c>
      <c r="G1611" t="s">
        <v>153</v>
      </c>
      <c r="H1611" t="str">
        <f>IFERROR(VLOOKUP(I1611, Map!$A$1:$B$33, 2, FALSE),"WAS")</f>
        <v>SF</v>
      </c>
      <c r="I1611" t="s">
        <v>143</v>
      </c>
      <c r="J1611" t="s">
        <v>214</v>
      </c>
      <c r="K1611" t="s">
        <v>197</v>
      </c>
      <c r="L1611">
        <v>1</v>
      </c>
      <c r="M1611">
        <v>0</v>
      </c>
      <c r="N1611">
        <v>44</v>
      </c>
      <c r="O1611">
        <v>-4</v>
      </c>
      <c r="P1611">
        <v>3.5</v>
      </c>
      <c r="Q1611">
        <v>41.5</v>
      </c>
      <c r="R1611">
        <v>23.1</v>
      </c>
      <c r="S1611">
        <v>29.7</v>
      </c>
      <c r="T1611">
        <v>18.399999999999999</v>
      </c>
      <c r="U1611">
        <v>24.8</v>
      </c>
      <c r="V1611">
        <v>0</v>
      </c>
      <c r="W1611">
        <v>0</v>
      </c>
      <c r="X1611">
        <v>0</v>
      </c>
      <c r="Y1611">
        <v>0</v>
      </c>
      <c r="Z1611">
        <v>17.8</v>
      </c>
      <c r="AA1611">
        <v>41.4</v>
      </c>
      <c r="AB1611">
        <v>170</v>
      </c>
      <c r="AC1611">
        <v>78</v>
      </c>
      <c r="AD1611">
        <v>22.1</v>
      </c>
      <c r="AE1611">
        <v>10.3</v>
      </c>
      <c r="AF1611">
        <v>37.847999999999999</v>
      </c>
      <c r="AG1611">
        <v>67.460999999999999</v>
      </c>
      <c r="AH1611">
        <v>61.847999999999999</v>
      </c>
      <c r="AI1611">
        <v>73.158000000000001</v>
      </c>
      <c r="AJ1611">
        <v>58.816000000000003</v>
      </c>
      <c r="AK1611">
        <v>78.44</v>
      </c>
      <c r="AL1611">
        <v>-4.9720000000000004</v>
      </c>
      <c r="AM1611">
        <v>61.847999999999999</v>
      </c>
      <c r="AN1611">
        <v>67.460999999999999</v>
      </c>
      <c r="AO1611">
        <v>37.847999999999999</v>
      </c>
      <c r="AP1611">
        <v>4.9720000000000004</v>
      </c>
      <c r="AQ1611">
        <v>41.183999999999997</v>
      </c>
      <c r="AR1611">
        <v>26.841999999999999</v>
      </c>
      <c r="AS1611">
        <v>21.56</v>
      </c>
    </row>
    <row r="1612" spans="1:45" x14ac:dyDescent="0.25">
      <c r="A1612">
        <v>19</v>
      </c>
      <c r="B1612">
        <v>-7</v>
      </c>
      <c r="C1612">
        <v>0</v>
      </c>
      <c r="D1612">
        <v>2024</v>
      </c>
      <c r="E1612">
        <v>2</v>
      </c>
      <c r="F1612" t="str">
        <f>IFERROR(VLOOKUP(G1612, Map!$A$1:$B$33, 2, FALSE),"WAS")</f>
        <v>DEN</v>
      </c>
      <c r="G1612" t="s">
        <v>159</v>
      </c>
      <c r="H1612" t="str">
        <f>IFERROR(VLOOKUP(I1612, Map!$A$1:$B$33, 2, FALSE),"WAS")</f>
        <v>PIT</v>
      </c>
      <c r="I1612" t="s">
        <v>145</v>
      </c>
      <c r="J1612" t="s">
        <v>183</v>
      </c>
      <c r="K1612" t="s">
        <v>170</v>
      </c>
      <c r="L1612">
        <v>0</v>
      </c>
      <c r="M1612">
        <v>0</v>
      </c>
      <c r="N1612">
        <v>18.5</v>
      </c>
      <c r="O1612">
        <v>3.5</v>
      </c>
      <c r="P1612">
        <v>3.5</v>
      </c>
      <c r="Q1612">
        <v>18.5</v>
      </c>
      <c r="R1612">
        <v>20.7</v>
      </c>
      <c r="S1612">
        <v>30.8</v>
      </c>
      <c r="T1612">
        <v>11.1</v>
      </c>
      <c r="U1612">
        <v>18.100000000000001</v>
      </c>
      <c r="V1612">
        <v>0</v>
      </c>
      <c r="W1612">
        <v>0</v>
      </c>
      <c r="X1612">
        <v>0</v>
      </c>
      <c r="Y1612">
        <v>0</v>
      </c>
      <c r="Z1612">
        <v>22.4</v>
      </c>
      <c r="AA1612">
        <v>45.4</v>
      </c>
      <c r="AB1612">
        <v>194</v>
      </c>
      <c r="AC1612">
        <v>33</v>
      </c>
      <c r="AD1612">
        <v>16.899999999999999</v>
      </c>
      <c r="AE1612">
        <v>7.1</v>
      </c>
      <c r="AF1612">
        <v>42.030999999999999</v>
      </c>
      <c r="AG1612">
        <v>28.43</v>
      </c>
      <c r="AH1612">
        <v>57.631</v>
      </c>
      <c r="AI1612">
        <v>55.313000000000002</v>
      </c>
      <c r="AJ1612">
        <v>8.7040000000000006</v>
      </c>
      <c r="AK1612">
        <v>24.509</v>
      </c>
      <c r="AL1612">
        <v>-2.9390000000000001</v>
      </c>
      <c r="AM1612">
        <v>57.631</v>
      </c>
      <c r="AN1612">
        <v>28.43</v>
      </c>
      <c r="AO1612">
        <v>42.030999999999999</v>
      </c>
      <c r="AP1612">
        <v>2.9390000000000001</v>
      </c>
      <c r="AQ1612">
        <v>91.296000000000006</v>
      </c>
      <c r="AR1612">
        <v>44.686999999999998</v>
      </c>
      <c r="AS1612">
        <v>75.491</v>
      </c>
    </row>
    <row r="1613" spans="1:45" x14ac:dyDescent="0.25">
      <c r="A1613">
        <v>63</v>
      </c>
      <c r="B1613">
        <v>-25</v>
      </c>
      <c r="C1613">
        <v>0</v>
      </c>
      <c r="D1613">
        <v>2024</v>
      </c>
      <c r="E1613">
        <v>2</v>
      </c>
      <c r="F1613" t="str">
        <f>IFERROR(VLOOKUP(G1613, Map!$A$1:$B$33, 2, FALSE),"WAS")</f>
        <v>DAL</v>
      </c>
      <c r="G1613" t="s">
        <v>150</v>
      </c>
      <c r="H1613" t="str">
        <f>IFERROR(VLOOKUP(I1613, Map!$A$1:$B$33, 2, FALSE),"WAS")</f>
        <v>NO</v>
      </c>
      <c r="I1613" t="s">
        <v>168</v>
      </c>
      <c r="J1613" t="s">
        <v>184</v>
      </c>
      <c r="K1613" t="s">
        <v>192</v>
      </c>
      <c r="L1613">
        <v>0</v>
      </c>
      <c r="M1613">
        <v>0</v>
      </c>
      <c r="N1613">
        <v>56</v>
      </c>
      <c r="O1613">
        <v>8</v>
      </c>
      <c r="P1613">
        <v>-6.5</v>
      </c>
      <c r="Q1613">
        <v>47.5</v>
      </c>
      <c r="R1613">
        <v>28</v>
      </c>
      <c r="S1613">
        <v>32.9</v>
      </c>
      <c r="T1613">
        <v>23.6</v>
      </c>
      <c r="U1613">
        <v>30.7</v>
      </c>
      <c r="V1613">
        <v>0.3</v>
      </c>
      <c r="W1613">
        <v>0</v>
      </c>
      <c r="X1613">
        <v>1</v>
      </c>
      <c r="Y1613">
        <v>0.3</v>
      </c>
      <c r="Z1613">
        <v>18.3</v>
      </c>
      <c r="AA1613">
        <v>37.799999999999997</v>
      </c>
      <c r="AB1613">
        <v>102</v>
      </c>
      <c r="AC1613">
        <v>64</v>
      </c>
      <c r="AD1613">
        <v>21.9</v>
      </c>
      <c r="AE1613">
        <v>10.6</v>
      </c>
      <c r="AF1613">
        <v>60.844000000000001</v>
      </c>
      <c r="AG1613">
        <v>61.798999999999999</v>
      </c>
      <c r="AH1613">
        <v>38.844000000000001</v>
      </c>
      <c r="AI1613">
        <v>0.17399999999999999</v>
      </c>
      <c r="AJ1613">
        <v>32.881999999999998</v>
      </c>
      <c r="AK1613">
        <v>3.8170000000000002</v>
      </c>
      <c r="AL1613">
        <v>4.1859999999999999</v>
      </c>
      <c r="AM1613">
        <v>38.844000000000001</v>
      </c>
      <c r="AN1613">
        <v>61.798999999999999</v>
      </c>
      <c r="AO1613">
        <v>60.844000000000001</v>
      </c>
      <c r="AP1613">
        <v>-4.1859999999999999</v>
      </c>
      <c r="AQ1613">
        <v>67.117999999999995</v>
      </c>
      <c r="AR1613">
        <v>99.825999999999993</v>
      </c>
      <c r="AS1613">
        <v>96.183000000000007</v>
      </c>
    </row>
    <row r="1614" spans="1:45" x14ac:dyDescent="0.25">
      <c r="A1614">
        <v>31</v>
      </c>
      <c r="B1614">
        <v>-5</v>
      </c>
      <c r="C1614">
        <v>0</v>
      </c>
      <c r="D1614">
        <v>2024</v>
      </c>
      <c r="E1614">
        <v>2</v>
      </c>
      <c r="F1614" t="str">
        <f>IFERROR(VLOOKUP(G1614, Map!$A$1:$B$33, 2, FALSE),"WAS")</f>
        <v>JAX</v>
      </c>
      <c r="G1614" t="s">
        <v>139</v>
      </c>
      <c r="H1614" t="str">
        <f>IFERROR(VLOOKUP(I1614, Map!$A$1:$B$33, 2, FALSE),"WAS")</f>
        <v>CLE</v>
      </c>
      <c r="I1614" t="s">
        <v>162</v>
      </c>
      <c r="J1614" t="s">
        <v>220</v>
      </c>
      <c r="K1614" t="s">
        <v>171</v>
      </c>
      <c r="L1614">
        <v>0</v>
      </c>
      <c r="M1614">
        <v>0</v>
      </c>
      <c r="N1614">
        <v>38.5</v>
      </c>
      <c r="O1614">
        <v>0</v>
      </c>
      <c r="P1614">
        <v>-3.5</v>
      </c>
      <c r="Q1614">
        <v>35.5</v>
      </c>
      <c r="R1614">
        <v>25.3</v>
      </c>
      <c r="S1614">
        <v>27.1</v>
      </c>
      <c r="T1614">
        <v>24</v>
      </c>
      <c r="U1614">
        <v>28</v>
      </c>
      <c r="V1614">
        <v>1.7</v>
      </c>
      <c r="W1614">
        <v>0</v>
      </c>
      <c r="X1614">
        <v>8</v>
      </c>
      <c r="Y1614">
        <v>1.7</v>
      </c>
      <c r="Z1614">
        <v>23.3</v>
      </c>
      <c r="AA1614">
        <v>43.9</v>
      </c>
      <c r="AB1614">
        <v>26</v>
      </c>
      <c r="AC1614">
        <v>83</v>
      </c>
      <c r="AD1614">
        <v>30.7</v>
      </c>
      <c r="AE1614">
        <v>16.5</v>
      </c>
      <c r="AF1614">
        <v>55.555999999999997</v>
      </c>
      <c r="AG1614">
        <v>45.884999999999998</v>
      </c>
      <c r="AH1614">
        <v>44.09</v>
      </c>
      <c r="AI1614">
        <v>53.085999999999999</v>
      </c>
      <c r="AJ1614">
        <v>38.091999999999999</v>
      </c>
      <c r="AK1614">
        <v>33.393000000000001</v>
      </c>
      <c r="AL1614">
        <v>2.4340000000000002</v>
      </c>
      <c r="AM1614">
        <v>44.09</v>
      </c>
      <c r="AN1614">
        <v>45.884999999999998</v>
      </c>
      <c r="AO1614">
        <v>55.555999999999997</v>
      </c>
      <c r="AP1614">
        <v>-2.4340000000000002</v>
      </c>
      <c r="AQ1614">
        <v>61.908000000000001</v>
      </c>
      <c r="AR1614">
        <v>46.914000000000001</v>
      </c>
      <c r="AS1614">
        <v>66.606999999999999</v>
      </c>
    </row>
    <row r="1615" spans="1:45" x14ac:dyDescent="0.25">
      <c r="A1615">
        <v>41</v>
      </c>
      <c r="B1615">
        <v>-21</v>
      </c>
      <c r="C1615">
        <v>0</v>
      </c>
      <c r="D1615">
        <v>2024</v>
      </c>
      <c r="E1615">
        <v>2</v>
      </c>
      <c r="F1615" t="str">
        <f>IFERROR(VLOOKUP(G1615, Map!$A$1:$B$33, 2, FALSE),"WAS")</f>
        <v>MIA</v>
      </c>
      <c r="G1615" t="s">
        <v>152</v>
      </c>
      <c r="H1615" t="str">
        <f>IFERROR(VLOOKUP(I1615, Map!$A$1:$B$33, 2, FALSE),"WAS")</f>
        <v>BUF</v>
      </c>
      <c r="I1615" t="s">
        <v>165</v>
      </c>
      <c r="J1615" t="s">
        <v>175</v>
      </c>
      <c r="K1615" t="s">
        <v>180</v>
      </c>
      <c r="L1615">
        <v>0</v>
      </c>
      <c r="M1615">
        <v>0</v>
      </c>
      <c r="N1615">
        <v>24.75</v>
      </c>
      <c r="O1615">
        <v>-1.25</v>
      </c>
      <c r="P1615">
        <v>-2.5</v>
      </c>
      <c r="Q1615">
        <v>49.5</v>
      </c>
      <c r="R1615">
        <v>27.7</v>
      </c>
      <c r="S1615">
        <v>32.1</v>
      </c>
      <c r="T1615">
        <v>25</v>
      </c>
      <c r="U1615">
        <v>33.799999999999997</v>
      </c>
      <c r="V1615">
        <v>6.1</v>
      </c>
      <c r="W1615">
        <v>0</v>
      </c>
      <c r="X1615">
        <v>9</v>
      </c>
      <c r="Y1615">
        <v>6.1</v>
      </c>
      <c r="Z1615">
        <v>10.1</v>
      </c>
      <c r="AA1615">
        <v>21.2</v>
      </c>
      <c r="AB1615">
        <v>198</v>
      </c>
      <c r="AC1615">
        <v>86</v>
      </c>
      <c r="AD1615">
        <v>13.1</v>
      </c>
      <c r="AE1615">
        <v>5.4</v>
      </c>
      <c r="AF1615">
        <v>48.006999999999998</v>
      </c>
      <c r="AG1615">
        <v>68.119</v>
      </c>
      <c r="AH1615">
        <v>51.606999999999999</v>
      </c>
      <c r="AI1615">
        <v>13.664</v>
      </c>
      <c r="AJ1615">
        <v>5.9939999999999998</v>
      </c>
      <c r="AK1615">
        <v>5.577</v>
      </c>
      <c r="AL1615">
        <v>-0.42699999999999999</v>
      </c>
      <c r="AM1615">
        <v>51.606999999999999</v>
      </c>
      <c r="AN1615">
        <v>68.119</v>
      </c>
      <c r="AO1615">
        <v>48.006999999999998</v>
      </c>
      <c r="AP1615">
        <v>0.42699999999999999</v>
      </c>
      <c r="AQ1615">
        <v>94.006</v>
      </c>
      <c r="AR1615">
        <v>86.335999999999999</v>
      </c>
      <c r="AS1615">
        <v>94.423000000000002</v>
      </c>
    </row>
    <row r="1616" spans="1:45" x14ac:dyDescent="0.25">
      <c r="A1616">
        <v>29</v>
      </c>
      <c r="B1616">
        <v>-23</v>
      </c>
      <c r="C1616">
        <v>0</v>
      </c>
      <c r="D1616">
        <v>2024</v>
      </c>
      <c r="E1616">
        <v>2</v>
      </c>
      <c r="F1616" t="str">
        <f>IFERROR(VLOOKUP(G1616, Map!$A$1:$B$33, 2, FALSE),"WAS")</f>
        <v>CAR</v>
      </c>
      <c r="G1616" t="s">
        <v>142</v>
      </c>
      <c r="H1616" t="str">
        <f>IFERROR(VLOOKUP(I1616, Map!$A$1:$B$33, 2, FALSE),"WAS")</f>
        <v>LAC</v>
      </c>
      <c r="I1616" t="s">
        <v>160</v>
      </c>
      <c r="J1616" t="s">
        <v>185</v>
      </c>
      <c r="K1616" t="s">
        <v>210</v>
      </c>
      <c r="L1616">
        <v>0</v>
      </c>
      <c r="M1616">
        <v>0</v>
      </c>
      <c r="N1616">
        <v>34.5</v>
      </c>
      <c r="O1616">
        <v>14</v>
      </c>
      <c r="P1616">
        <v>4.5</v>
      </c>
      <c r="Q1616">
        <v>30.5</v>
      </c>
      <c r="R1616">
        <v>22.5</v>
      </c>
      <c r="S1616">
        <v>27.4</v>
      </c>
      <c r="T1616">
        <v>18.399999999999999</v>
      </c>
      <c r="U1616">
        <v>21.7</v>
      </c>
      <c r="V1616">
        <v>0.7</v>
      </c>
      <c r="W1616">
        <v>0</v>
      </c>
      <c r="X1616">
        <v>5</v>
      </c>
      <c r="Y1616">
        <v>0.7</v>
      </c>
      <c r="Z1616">
        <v>25.5</v>
      </c>
      <c r="AA1616">
        <v>49.3</v>
      </c>
      <c r="AB1616">
        <v>56</v>
      </c>
      <c r="AC1616">
        <v>69</v>
      </c>
      <c r="AD1616">
        <v>38.4</v>
      </c>
      <c r="AE1616">
        <v>20.399999999999999</v>
      </c>
      <c r="AF1616">
        <v>32.601999999999997</v>
      </c>
      <c r="AG1616">
        <v>24.766999999999999</v>
      </c>
      <c r="AH1616">
        <v>67.135999999999996</v>
      </c>
      <c r="AI1616">
        <v>32.177</v>
      </c>
      <c r="AJ1616">
        <v>0.373</v>
      </c>
      <c r="AK1616">
        <v>3.198</v>
      </c>
      <c r="AL1616">
        <v>-6.952</v>
      </c>
      <c r="AM1616">
        <v>67.135999999999996</v>
      </c>
      <c r="AN1616">
        <v>24.766999999999999</v>
      </c>
      <c r="AO1616">
        <v>32.601999999999997</v>
      </c>
      <c r="AP1616">
        <v>6.952</v>
      </c>
      <c r="AQ1616">
        <v>99.626999999999995</v>
      </c>
      <c r="AR1616">
        <v>67.822999999999993</v>
      </c>
      <c r="AS1616">
        <v>96.802000000000007</v>
      </c>
    </row>
    <row r="1617" spans="1:45" x14ac:dyDescent="0.25">
      <c r="A1617">
        <v>39</v>
      </c>
      <c r="B1617">
        <v>3</v>
      </c>
      <c r="C1617">
        <v>1</v>
      </c>
      <c r="D1617">
        <v>2024</v>
      </c>
      <c r="E1617">
        <v>2</v>
      </c>
      <c r="F1617" t="str">
        <f>IFERROR(VLOOKUP(G1617, Map!$A$1:$B$33, 2, FALSE),"WAS")</f>
        <v>WAS</v>
      </c>
      <c r="G1617" t="s">
        <v>148</v>
      </c>
      <c r="H1617" t="str">
        <f>IFERROR(VLOOKUP(I1617, Map!$A$1:$B$33, 2, FALSE),"WAS")</f>
        <v>NYG</v>
      </c>
      <c r="I1617" t="s">
        <v>149</v>
      </c>
      <c r="J1617" t="s">
        <v>205</v>
      </c>
      <c r="K1617" t="s">
        <v>219</v>
      </c>
      <c r="L1617">
        <v>1</v>
      </c>
      <c r="M1617">
        <v>0</v>
      </c>
      <c r="N1617">
        <v>42.5</v>
      </c>
      <c r="O1617">
        <v>-1</v>
      </c>
      <c r="P1617">
        <v>-0.5</v>
      </c>
      <c r="Q1617">
        <v>42.5</v>
      </c>
      <c r="R1617">
        <v>21.1</v>
      </c>
      <c r="S1617">
        <v>27.7</v>
      </c>
      <c r="T1617">
        <v>16</v>
      </c>
      <c r="U1617">
        <v>21.2</v>
      </c>
      <c r="V1617">
        <v>0</v>
      </c>
      <c r="W1617">
        <v>0</v>
      </c>
      <c r="X1617">
        <v>0</v>
      </c>
      <c r="Y1617">
        <v>0</v>
      </c>
      <c r="Z1617">
        <v>17</v>
      </c>
      <c r="AA1617">
        <v>34.200000000000003</v>
      </c>
      <c r="AB1617">
        <v>73</v>
      </c>
      <c r="AC1617">
        <v>68</v>
      </c>
      <c r="AD1617">
        <v>21.5</v>
      </c>
      <c r="AE1617">
        <v>10.5</v>
      </c>
      <c r="AF1617">
        <v>59.438000000000002</v>
      </c>
      <c r="AG1617">
        <v>19.986000000000001</v>
      </c>
      <c r="AH1617">
        <v>40.238</v>
      </c>
      <c r="AI1617">
        <v>37.817999999999998</v>
      </c>
      <c r="AJ1617">
        <v>62.593000000000004</v>
      </c>
      <c r="AK1617">
        <v>56.604999999999997</v>
      </c>
      <c r="AL1617">
        <v>4.3</v>
      </c>
      <c r="AM1617">
        <v>40.238</v>
      </c>
      <c r="AN1617">
        <v>19.986000000000001</v>
      </c>
      <c r="AO1617">
        <v>59.438000000000002</v>
      </c>
      <c r="AP1617">
        <v>-4.3</v>
      </c>
      <c r="AQ1617">
        <v>37.406999999999996</v>
      </c>
      <c r="AR1617">
        <v>62.182000000000002</v>
      </c>
      <c r="AS1617">
        <v>43.395000000000003</v>
      </c>
    </row>
    <row r="1618" spans="1:45" x14ac:dyDescent="0.25">
      <c r="A1618">
        <v>30</v>
      </c>
      <c r="B1618">
        <v>10</v>
      </c>
      <c r="C1618">
        <v>1</v>
      </c>
      <c r="D1618">
        <v>2024</v>
      </c>
      <c r="E1618">
        <v>3</v>
      </c>
      <c r="F1618" t="str">
        <f>IFERROR(VLOOKUP(G1618, Map!$A$1:$B$33, 2, FALSE),"WAS")</f>
        <v>PIT</v>
      </c>
      <c r="G1618" t="s">
        <v>145</v>
      </c>
      <c r="H1618" t="str">
        <f>IFERROR(VLOOKUP(I1618, Map!$A$1:$B$33, 2, FALSE),"WAS")</f>
        <v>LAC</v>
      </c>
      <c r="I1618" t="s">
        <v>160</v>
      </c>
      <c r="J1618" t="s">
        <v>170</v>
      </c>
      <c r="K1618" t="s">
        <v>210</v>
      </c>
      <c r="L1618">
        <v>1</v>
      </c>
      <c r="M1618">
        <v>0</v>
      </c>
      <c r="N1618">
        <v>33.5</v>
      </c>
      <c r="O1618">
        <v>-8</v>
      </c>
      <c r="P1618">
        <v>-2.5</v>
      </c>
      <c r="Q1618">
        <v>31.5</v>
      </c>
      <c r="R1618">
        <v>21.4</v>
      </c>
      <c r="S1618">
        <v>27.5</v>
      </c>
      <c r="T1618">
        <v>15.8</v>
      </c>
      <c r="U1618">
        <v>23</v>
      </c>
      <c r="V1618">
        <v>0</v>
      </c>
      <c r="W1618">
        <v>0</v>
      </c>
      <c r="X1618">
        <v>0</v>
      </c>
      <c r="Y1618">
        <v>0</v>
      </c>
      <c r="Z1618">
        <v>10.1</v>
      </c>
      <c r="AA1618">
        <v>19.100000000000001</v>
      </c>
      <c r="AB1618">
        <v>36</v>
      </c>
      <c r="AC1618">
        <v>78</v>
      </c>
      <c r="AD1618">
        <v>13.2</v>
      </c>
      <c r="AE1618">
        <v>5.3</v>
      </c>
      <c r="AF1618">
        <v>46.015000000000001</v>
      </c>
      <c r="AG1618">
        <v>52.655999999999999</v>
      </c>
      <c r="AH1618">
        <v>53.615000000000002</v>
      </c>
      <c r="AI1618">
        <v>75.709000000000003</v>
      </c>
      <c r="AJ1618">
        <v>55.262999999999998</v>
      </c>
      <c r="AK1618">
        <v>72.655000000000001</v>
      </c>
      <c r="AL1618">
        <v>-0.96099999999999997</v>
      </c>
      <c r="AM1618">
        <v>53.615000000000002</v>
      </c>
      <c r="AN1618">
        <v>52.655999999999999</v>
      </c>
      <c r="AO1618">
        <v>46.015000000000001</v>
      </c>
      <c r="AP1618">
        <v>0.96099999999999997</v>
      </c>
      <c r="AQ1618">
        <v>44.737000000000002</v>
      </c>
      <c r="AR1618">
        <v>24.291</v>
      </c>
      <c r="AS1618">
        <v>27.344999999999999</v>
      </c>
    </row>
    <row r="1619" spans="1:45" x14ac:dyDescent="0.25">
      <c r="A1619">
        <v>27</v>
      </c>
      <c r="B1619">
        <v>21</v>
      </c>
      <c r="C1619">
        <v>1</v>
      </c>
      <c r="D1619">
        <v>2024</v>
      </c>
      <c r="E1619">
        <v>3</v>
      </c>
      <c r="F1619" t="str">
        <f>IFERROR(VLOOKUP(G1619, Map!$A$1:$B$33, 2, FALSE),"WAS")</f>
        <v>SEA</v>
      </c>
      <c r="G1619" t="s">
        <v>144</v>
      </c>
      <c r="H1619" t="str">
        <f>IFERROR(VLOOKUP(I1619, Map!$A$1:$B$33, 2, FALSE),"WAS")</f>
        <v>MIA</v>
      </c>
      <c r="I1619" t="s">
        <v>152</v>
      </c>
      <c r="J1619" t="s">
        <v>182</v>
      </c>
      <c r="K1619" t="s">
        <v>175</v>
      </c>
      <c r="L1619">
        <v>1</v>
      </c>
      <c r="M1619">
        <v>0</v>
      </c>
      <c r="N1619">
        <v>35</v>
      </c>
      <c r="O1619">
        <v>-12.5</v>
      </c>
      <c r="P1619">
        <v>-4.5</v>
      </c>
      <c r="Q1619">
        <v>28.5</v>
      </c>
      <c r="R1619">
        <v>14.3</v>
      </c>
      <c r="S1619">
        <v>19</v>
      </c>
      <c r="T1619">
        <v>10.1</v>
      </c>
      <c r="U1619">
        <v>13.5</v>
      </c>
      <c r="V1619">
        <v>0</v>
      </c>
      <c r="W1619">
        <v>0</v>
      </c>
      <c r="X1619">
        <v>0</v>
      </c>
      <c r="Y1619">
        <v>0</v>
      </c>
      <c r="Z1619">
        <v>13</v>
      </c>
      <c r="AA1619">
        <v>25.2</v>
      </c>
      <c r="AB1619">
        <v>1</v>
      </c>
      <c r="AC1619">
        <v>77</v>
      </c>
      <c r="AD1619">
        <v>13</v>
      </c>
      <c r="AE1619">
        <v>5.7</v>
      </c>
      <c r="AF1619">
        <v>66.533000000000001</v>
      </c>
      <c r="AG1619">
        <v>47.978999999999999</v>
      </c>
      <c r="AH1619">
        <v>33.200000000000003</v>
      </c>
      <c r="AI1619">
        <v>97.019000000000005</v>
      </c>
      <c r="AJ1619">
        <v>35.85</v>
      </c>
      <c r="AK1619">
        <v>91.652000000000001</v>
      </c>
      <c r="AL1619">
        <v>6.6710000000000003</v>
      </c>
      <c r="AM1619">
        <v>33.200000000000003</v>
      </c>
      <c r="AN1619">
        <v>47.978999999999999</v>
      </c>
      <c r="AO1619">
        <v>66.533000000000001</v>
      </c>
      <c r="AP1619">
        <v>-6.6710000000000003</v>
      </c>
      <c r="AQ1619">
        <v>64.150000000000006</v>
      </c>
      <c r="AR1619">
        <v>2.9809999999999999</v>
      </c>
      <c r="AS1619">
        <v>8.3480000000000008</v>
      </c>
    </row>
    <row r="1620" spans="1:45" x14ac:dyDescent="0.25">
      <c r="A1620">
        <v>39</v>
      </c>
      <c r="B1620">
        <v>-5</v>
      </c>
      <c r="C1620">
        <v>0</v>
      </c>
      <c r="D1620">
        <v>2024</v>
      </c>
      <c r="E1620">
        <v>3</v>
      </c>
      <c r="F1620" t="str">
        <f>IFERROR(VLOOKUP(G1620, Map!$A$1:$B$33, 2, FALSE),"WAS")</f>
        <v>ATL</v>
      </c>
      <c r="G1620" t="s">
        <v>167</v>
      </c>
      <c r="H1620" t="str">
        <f>IFERROR(VLOOKUP(I1620, Map!$A$1:$B$33, 2, FALSE),"WAS")</f>
        <v>KC</v>
      </c>
      <c r="I1620" t="s">
        <v>158</v>
      </c>
      <c r="J1620" t="s">
        <v>188</v>
      </c>
      <c r="K1620" t="s">
        <v>202</v>
      </c>
      <c r="L1620">
        <v>0</v>
      </c>
      <c r="M1620">
        <v>0</v>
      </c>
      <c r="N1620">
        <v>43.5</v>
      </c>
      <c r="O1620">
        <v>2.5</v>
      </c>
      <c r="P1620">
        <v>1.5</v>
      </c>
      <c r="Q1620">
        <v>40.5</v>
      </c>
      <c r="R1620">
        <v>27.3</v>
      </c>
      <c r="S1620">
        <v>32.799999999999997</v>
      </c>
      <c r="T1620">
        <v>21.7</v>
      </c>
      <c r="U1620">
        <v>28.9</v>
      </c>
      <c r="V1620">
        <v>0</v>
      </c>
      <c r="W1620">
        <v>0</v>
      </c>
      <c r="X1620">
        <v>0</v>
      </c>
      <c r="Y1620">
        <v>0</v>
      </c>
      <c r="Z1620">
        <v>12.3</v>
      </c>
      <c r="AA1620">
        <v>24.1</v>
      </c>
      <c r="AB1620">
        <v>290</v>
      </c>
      <c r="AC1620">
        <v>56</v>
      </c>
      <c r="AD1620">
        <v>16.7</v>
      </c>
      <c r="AE1620">
        <v>7.7</v>
      </c>
      <c r="AF1620">
        <v>42.097999999999999</v>
      </c>
      <c r="AG1620">
        <v>67.858000000000004</v>
      </c>
      <c r="AH1620">
        <v>57.564</v>
      </c>
      <c r="AI1620">
        <v>36.308</v>
      </c>
      <c r="AJ1620">
        <v>45.639000000000003</v>
      </c>
      <c r="AK1620">
        <v>39.722999999999999</v>
      </c>
      <c r="AL1620">
        <v>-2.8980000000000001</v>
      </c>
      <c r="AM1620">
        <v>57.564</v>
      </c>
      <c r="AN1620">
        <v>67.858000000000004</v>
      </c>
      <c r="AO1620">
        <v>42.097999999999999</v>
      </c>
      <c r="AP1620">
        <v>2.8980000000000001</v>
      </c>
      <c r="AQ1620">
        <v>54.360999999999997</v>
      </c>
      <c r="AR1620">
        <v>63.692</v>
      </c>
      <c r="AS1620">
        <v>60.277000000000001</v>
      </c>
    </row>
    <row r="1621" spans="1:45" x14ac:dyDescent="0.25">
      <c r="A1621">
        <v>33</v>
      </c>
      <c r="B1621">
        <v>-19</v>
      </c>
      <c r="C1621">
        <v>0</v>
      </c>
      <c r="D1621">
        <v>2024</v>
      </c>
      <c r="E1621">
        <v>3</v>
      </c>
      <c r="F1621" t="str">
        <f>IFERROR(VLOOKUP(G1621, Map!$A$1:$B$33, 2, FALSE),"WAS")</f>
        <v>TB</v>
      </c>
      <c r="G1621" t="s">
        <v>141</v>
      </c>
      <c r="H1621" t="str">
        <f>IFERROR(VLOOKUP(I1621, Map!$A$1:$B$33, 2, FALSE),"WAS")</f>
        <v>DEN</v>
      </c>
      <c r="I1621" t="s">
        <v>159</v>
      </c>
      <c r="J1621" t="s">
        <v>186</v>
      </c>
      <c r="K1621" t="s">
        <v>183</v>
      </c>
      <c r="L1621">
        <v>0</v>
      </c>
      <c r="M1621">
        <v>0</v>
      </c>
      <c r="N1621">
        <v>40</v>
      </c>
      <c r="O1621">
        <v>6.5</v>
      </c>
      <c r="P1621">
        <v>-5.5</v>
      </c>
      <c r="Q1621">
        <v>39.5</v>
      </c>
      <c r="R1621">
        <v>26.2</v>
      </c>
      <c r="S1621">
        <v>30.8</v>
      </c>
      <c r="T1621">
        <v>22.5</v>
      </c>
      <c r="U1621">
        <v>29.7</v>
      </c>
      <c r="V1621">
        <v>0</v>
      </c>
      <c r="W1621">
        <v>0</v>
      </c>
      <c r="X1621">
        <v>0</v>
      </c>
      <c r="Y1621">
        <v>0</v>
      </c>
      <c r="Z1621">
        <v>16.8</v>
      </c>
      <c r="AA1621">
        <v>32.799999999999997</v>
      </c>
      <c r="AB1621">
        <v>45</v>
      </c>
      <c r="AC1621">
        <v>77</v>
      </c>
      <c r="AD1621">
        <v>21</v>
      </c>
      <c r="AE1621">
        <v>10.7</v>
      </c>
      <c r="AF1621">
        <v>69.278000000000006</v>
      </c>
      <c r="AG1621">
        <v>32.057000000000002</v>
      </c>
      <c r="AH1621">
        <v>30.478000000000002</v>
      </c>
      <c r="AI1621">
        <v>36.920999999999999</v>
      </c>
      <c r="AJ1621">
        <v>5.0270000000000001</v>
      </c>
      <c r="AK1621">
        <v>8.3640000000000008</v>
      </c>
      <c r="AL1621">
        <v>8.0990000000000002</v>
      </c>
      <c r="AM1621">
        <v>30.478000000000002</v>
      </c>
      <c r="AN1621">
        <v>32.057000000000002</v>
      </c>
      <c r="AO1621">
        <v>69.278000000000006</v>
      </c>
      <c r="AP1621">
        <v>-8.0990000000000002</v>
      </c>
      <c r="AQ1621">
        <v>94.972999999999999</v>
      </c>
      <c r="AR1621">
        <v>63.079000000000001</v>
      </c>
      <c r="AS1621">
        <v>91.635999999999996</v>
      </c>
    </row>
    <row r="1622" spans="1:45" x14ac:dyDescent="0.25">
      <c r="A1622">
        <v>33</v>
      </c>
      <c r="B1622">
        <v>-7</v>
      </c>
      <c r="C1622">
        <v>0</v>
      </c>
      <c r="D1622">
        <v>2024</v>
      </c>
      <c r="E1622">
        <v>3</v>
      </c>
      <c r="F1622" t="str">
        <f>IFERROR(VLOOKUP(G1622, Map!$A$1:$B$33, 2, FALSE),"WAS")</f>
        <v>ARI</v>
      </c>
      <c r="G1622" t="s">
        <v>156</v>
      </c>
      <c r="H1622" t="str">
        <f>IFERROR(VLOOKUP(I1622, Map!$A$1:$B$33, 2, FALSE),"WAS")</f>
        <v>DET</v>
      </c>
      <c r="I1622" t="s">
        <v>164</v>
      </c>
      <c r="J1622" t="s">
        <v>190</v>
      </c>
      <c r="K1622" t="s">
        <v>173</v>
      </c>
      <c r="L1622">
        <v>0</v>
      </c>
      <c r="M1622">
        <v>0</v>
      </c>
      <c r="N1622">
        <v>43</v>
      </c>
      <c r="O1622">
        <v>3</v>
      </c>
      <c r="P1622">
        <v>2.5</v>
      </c>
      <c r="Q1622">
        <v>34.5</v>
      </c>
      <c r="R1622">
        <v>19.399999999999999</v>
      </c>
      <c r="S1622">
        <v>27.9</v>
      </c>
      <c r="T1622">
        <v>14.5</v>
      </c>
      <c r="U1622">
        <v>20.399999999999999</v>
      </c>
      <c r="V1622">
        <v>0</v>
      </c>
      <c r="W1622">
        <v>0</v>
      </c>
      <c r="X1622">
        <v>0</v>
      </c>
      <c r="Y1622">
        <v>0</v>
      </c>
      <c r="Z1622">
        <v>10.9</v>
      </c>
      <c r="AA1622">
        <v>29.5</v>
      </c>
      <c r="AB1622">
        <v>211</v>
      </c>
      <c r="AC1622">
        <v>76</v>
      </c>
      <c r="AD1622">
        <v>13.4</v>
      </c>
      <c r="AE1622">
        <v>4.8</v>
      </c>
      <c r="AF1622">
        <v>48.405999999999999</v>
      </c>
      <c r="AG1622">
        <v>69.03</v>
      </c>
      <c r="AH1622">
        <v>51.206000000000003</v>
      </c>
      <c r="AI1622">
        <v>43.194000000000003</v>
      </c>
      <c r="AJ1622">
        <v>20.422999999999998</v>
      </c>
      <c r="AK1622">
        <v>24.657</v>
      </c>
      <c r="AL1622">
        <v>-0.20399999999999999</v>
      </c>
      <c r="AM1622">
        <v>51.206000000000003</v>
      </c>
      <c r="AN1622">
        <v>69.03</v>
      </c>
      <c r="AO1622">
        <v>48.405999999999999</v>
      </c>
      <c r="AP1622">
        <v>0.20399999999999999</v>
      </c>
      <c r="AQ1622">
        <v>79.576999999999998</v>
      </c>
      <c r="AR1622">
        <v>56.805999999999997</v>
      </c>
      <c r="AS1622">
        <v>75.343000000000004</v>
      </c>
    </row>
    <row r="1623" spans="1:45" x14ac:dyDescent="0.25">
      <c r="A1623">
        <v>37</v>
      </c>
      <c r="B1623">
        <v>5</v>
      </c>
      <c r="C1623">
        <v>1</v>
      </c>
      <c r="D1623">
        <v>2024</v>
      </c>
      <c r="E1623">
        <v>3</v>
      </c>
      <c r="F1623" t="str">
        <f>IFERROR(VLOOKUP(G1623, Map!$A$1:$B$33, 2, FALSE),"WAS")</f>
        <v>IND</v>
      </c>
      <c r="G1623" t="s">
        <v>138</v>
      </c>
      <c r="H1623" t="str">
        <f>IFERROR(VLOOKUP(I1623, Map!$A$1:$B$33, 2, FALSE),"WAS")</f>
        <v>CHI</v>
      </c>
      <c r="I1623" t="s">
        <v>163</v>
      </c>
      <c r="J1623" t="s">
        <v>177</v>
      </c>
      <c r="K1623" t="s">
        <v>216</v>
      </c>
      <c r="L1623">
        <v>1</v>
      </c>
      <c r="M1623">
        <v>0</v>
      </c>
      <c r="N1623">
        <v>39.5</v>
      </c>
      <c r="O1623">
        <v>-8.5</v>
      </c>
      <c r="P1623">
        <v>-2.5</v>
      </c>
      <c r="Q1623">
        <v>35.5</v>
      </c>
      <c r="R1623">
        <v>22</v>
      </c>
      <c r="S1623">
        <v>26.7</v>
      </c>
      <c r="T1623">
        <v>18.100000000000001</v>
      </c>
      <c r="U1623">
        <v>23.2</v>
      </c>
      <c r="V1623">
        <v>5.0999999999999996</v>
      </c>
      <c r="W1623">
        <v>0</v>
      </c>
      <c r="X1623">
        <v>6</v>
      </c>
      <c r="Y1623">
        <v>5.0999999999999996</v>
      </c>
      <c r="Z1623">
        <v>12.8</v>
      </c>
      <c r="AA1623">
        <v>28.8</v>
      </c>
      <c r="AB1623">
        <v>188</v>
      </c>
      <c r="AC1623">
        <v>72</v>
      </c>
      <c r="AD1623">
        <v>13.9</v>
      </c>
      <c r="AE1623">
        <v>7.2</v>
      </c>
      <c r="AF1623">
        <v>51.942</v>
      </c>
      <c r="AG1623">
        <v>39.777999999999999</v>
      </c>
      <c r="AH1623">
        <v>47.674999999999997</v>
      </c>
      <c r="AI1623">
        <v>83.936000000000007</v>
      </c>
      <c r="AJ1623">
        <v>18.550999999999998</v>
      </c>
      <c r="AK1623">
        <v>65.867000000000004</v>
      </c>
      <c r="AL1623">
        <v>1.073</v>
      </c>
      <c r="AM1623">
        <v>47.674999999999997</v>
      </c>
      <c r="AN1623">
        <v>39.777999999999999</v>
      </c>
      <c r="AO1623">
        <v>51.942</v>
      </c>
      <c r="AP1623">
        <v>-1.073</v>
      </c>
      <c r="AQ1623">
        <v>81.448999999999998</v>
      </c>
      <c r="AR1623">
        <v>16.064</v>
      </c>
      <c r="AS1623">
        <v>34.133000000000003</v>
      </c>
    </row>
    <row r="1624" spans="1:45" x14ac:dyDescent="0.25">
      <c r="A1624">
        <v>71</v>
      </c>
      <c r="B1624">
        <v>-5</v>
      </c>
      <c r="C1624">
        <v>0</v>
      </c>
      <c r="D1624">
        <v>2024</v>
      </c>
      <c r="E1624">
        <v>3</v>
      </c>
      <c r="F1624" t="str">
        <f>IFERROR(VLOOKUP(G1624, Map!$A$1:$B$33, 2, FALSE),"WAS")</f>
        <v>CIN</v>
      </c>
      <c r="G1624" t="s">
        <v>161</v>
      </c>
      <c r="H1624" t="str">
        <f>IFERROR(VLOOKUP(I1624, Map!$A$1:$B$33, 2, FALSE),"WAS")</f>
        <v>WAS</v>
      </c>
      <c r="I1624" t="s">
        <v>148</v>
      </c>
      <c r="J1624" t="s">
        <v>176</v>
      </c>
      <c r="K1624" t="s">
        <v>205</v>
      </c>
      <c r="L1624">
        <v>0</v>
      </c>
      <c r="M1624">
        <v>0</v>
      </c>
      <c r="N1624">
        <v>55</v>
      </c>
      <c r="O1624">
        <v>-2.5</v>
      </c>
      <c r="P1624">
        <v>2.5</v>
      </c>
      <c r="Q1624">
        <v>46.5</v>
      </c>
      <c r="R1624">
        <v>22</v>
      </c>
      <c r="S1624">
        <v>27.8</v>
      </c>
      <c r="T1624">
        <v>18.8</v>
      </c>
      <c r="U1624">
        <v>23.9</v>
      </c>
      <c r="V1624">
        <v>10.6</v>
      </c>
      <c r="W1624">
        <v>0</v>
      </c>
      <c r="X1624">
        <v>11</v>
      </c>
      <c r="Y1624">
        <v>10.6</v>
      </c>
      <c r="Z1624">
        <v>22.7</v>
      </c>
      <c r="AA1624">
        <v>51.1</v>
      </c>
      <c r="AB1624">
        <v>183</v>
      </c>
      <c r="AC1624">
        <v>86</v>
      </c>
      <c r="AD1624">
        <v>26.1</v>
      </c>
      <c r="AE1624">
        <v>10.9</v>
      </c>
      <c r="AF1624">
        <v>63.052999999999997</v>
      </c>
      <c r="AG1624">
        <v>44.35</v>
      </c>
      <c r="AH1624">
        <v>36.652999999999999</v>
      </c>
      <c r="AI1624">
        <v>4.2430000000000003</v>
      </c>
      <c r="AJ1624">
        <v>91.703000000000003</v>
      </c>
      <c r="AK1624">
        <v>24.09</v>
      </c>
      <c r="AL1624">
        <v>5.0609999999999999</v>
      </c>
      <c r="AM1624">
        <v>36.652999999999999</v>
      </c>
      <c r="AN1624">
        <v>44.35</v>
      </c>
      <c r="AO1624">
        <v>63.052999999999997</v>
      </c>
      <c r="AP1624">
        <v>-5.0609999999999999</v>
      </c>
      <c r="AQ1624">
        <v>8.2970000000000006</v>
      </c>
      <c r="AR1624">
        <v>95.757000000000005</v>
      </c>
      <c r="AS1624">
        <v>75.91</v>
      </c>
    </row>
    <row r="1625" spans="1:45" x14ac:dyDescent="0.25">
      <c r="A1625">
        <v>41</v>
      </c>
      <c r="B1625">
        <v>27</v>
      </c>
      <c r="C1625">
        <v>1</v>
      </c>
      <c r="D1625">
        <v>2024</v>
      </c>
      <c r="E1625">
        <v>3</v>
      </c>
      <c r="F1625" t="str">
        <f>IFERROR(VLOOKUP(G1625, Map!$A$1:$B$33, 2, FALSE),"WAS")</f>
        <v>MIN</v>
      </c>
      <c r="G1625" t="s">
        <v>153</v>
      </c>
      <c r="H1625" t="str">
        <f>IFERROR(VLOOKUP(I1625, Map!$A$1:$B$33, 2, FALSE),"WAS")</f>
        <v>HOU</v>
      </c>
      <c r="I1625" t="s">
        <v>137</v>
      </c>
      <c r="J1625" t="s">
        <v>214</v>
      </c>
      <c r="K1625" t="s">
        <v>209</v>
      </c>
      <c r="L1625">
        <v>1</v>
      </c>
      <c r="M1625">
        <v>0</v>
      </c>
      <c r="N1625">
        <v>46</v>
      </c>
      <c r="O1625">
        <v>-12.25</v>
      </c>
      <c r="P1625">
        <v>2</v>
      </c>
      <c r="Q1625">
        <v>45.5</v>
      </c>
      <c r="R1625">
        <v>17</v>
      </c>
      <c r="S1625">
        <v>22.4</v>
      </c>
      <c r="T1625">
        <v>12.2</v>
      </c>
      <c r="U1625">
        <v>14.6</v>
      </c>
      <c r="V1625">
        <v>0</v>
      </c>
      <c r="W1625">
        <v>0</v>
      </c>
      <c r="X1625">
        <v>0</v>
      </c>
      <c r="Y1625">
        <v>0</v>
      </c>
      <c r="Z1625">
        <v>19.2</v>
      </c>
      <c r="AA1625">
        <v>37.799999999999997</v>
      </c>
      <c r="AB1625">
        <v>344</v>
      </c>
      <c r="AC1625">
        <v>58</v>
      </c>
      <c r="AD1625">
        <v>31.4</v>
      </c>
      <c r="AE1625">
        <v>14.5</v>
      </c>
      <c r="AF1625">
        <v>45.55</v>
      </c>
      <c r="AG1625">
        <v>60.206000000000003</v>
      </c>
      <c r="AH1625">
        <v>54.084000000000003</v>
      </c>
      <c r="AI1625">
        <v>90.945999999999998</v>
      </c>
      <c r="AJ1625">
        <v>77.284000000000006</v>
      </c>
      <c r="AK1625">
        <v>95.24</v>
      </c>
      <c r="AL1625">
        <v>-1.5529999999999999</v>
      </c>
      <c r="AM1625">
        <v>54.084000000000003</v>
      </c>
      <c r="AN1625">
        <v>60.206000000000003</v>
      </c>
      <c r="AO1625">
        <v>45.55</v>
      </c>
      <c r="AP1625">
        <v>1.5529999999999999</v>
      </c>
      <c r="AQ1625">
        <v>22.716000000000001</v>
      </c>
      <c r="AR1625">
        <v>9.0540000000000003</v>
      </c>
      <c r="AS1625">
        <v>4.76</v>
      </c>
    </row>
    <row r="1626" spans="1:45" x14ac:dyDescent="0.25">
      <c r="A1626">
        <v>51</v>
      </c>
      <c r="B1626">
        <v>3</v>
      </c>
      <c r="C1626">
        <v>1</v>
      </c>
      <c r="D1626">
        <v>2024</v>
      </c>
      <c r="E1626">
        <v>3</v>
      </c>
      <c r="F1626" t="str">
        <f>IFERROR(VLOOKUP(G1626, Map!$A$1:$B$33, 2, FALSE),"WAS")</f>
        <v>LA</v>
      </c>
      <c r="G1626" t="s">
        <v>155</v>
      </c>
      <c r="H1626" t="str">
        <f>IFERROR(VLOOKUP(I1626, Map!$A$1:$B$33, 2, FALSE),"WAS")</f>
        <v>SF</v>
      </c>
      <c r="I1626" t="s">
        <v>143</v>
      </c>
      <c r="J1626" t="s">
        <v>178</v>
      </c>
      <c r="K1626" t="s">
        <v>197</v>
      </c>
      <c r="L1626">
        <v>1</v>
      </c>
      <c r="M1626">
        <v>0</v>
      </c>
      <c r="N1626">
        <v>43.5</v>
      </c>
      <c r="O1626">
        <v>5.5</v>
      </c>
      <c r="P1626">
        <v>4.5</v>
      </c>
      <c r="Q1626">
        <v>42.5</v>
      </c>
      <c r="R1626">
        <v>19</v>
      </c>
      <c r="S1626">
        <v>25</v>
      </c>
      <c r="T1626">
        <v>14.9</v>
      </c>
      <c r="U1626">
        <v>19.5</v>
      </c>
      <c r="V1626">
        <v>0</v>
      </c>
      <c r="W1626">
        <v>0</v>
      </c>
      <c r="X1626">
        <v>0</v>
      </c>
      <c r="Y1626">
        <v>0</v>
      </c>
      <c r="Z1626">
        <v>25.8</v>
      </c>
      <c r="AA1626">
        <v>42.8</v>
      </c>
      <c r="AB1626">
        <v>243</v>
      </c>
      <c r="AC1626">
        <v>81</v>
      </c>
      <c r="AD1626">
        <v>18.600000000000001</v>
      </c>
      <c r="AE1626">
        <v>9.8000000000000007</v>
      </c>
      <c r="AF1626">
        <v>36.786000000000001</v>
      </c>
      <c r="AG1626">
        <v>62.177</v>
      </c>
      <c r="AH1626">
        <v>62.918999999999997</v>
      </c>
      <c r="AI1626">
        <v>14.696999999999999</v>
      </c>
      <c r="AJ1626">
        <v>82.433999999999997</v>
      </c>
      <c r="AK1626">
        <v>51.174999999999997</v>
      </c>
      <c r="AL1626">
        <v>-5.367</v>
      </c>
      <c r="AM1626">
        <v>62.918999999999997</v>
      </c>
      <c r="AN1626">
        <v>62.177</v>
      </c>
      <c r="AO1626">
        <v>36.786000000000001</v>
      </c>
      <c r="AP1626">
        <v>5.367</v>
      </c>
      <c r="AQ1626">
        <v>17.565999999999999</v>
      </c>
      <c r="AR1626">
        <v>85.302999999999997</v>
      </c>
      <c r="AS1626">
        <v>48.825000000000003</v>
      </c>
    </row>
    <row r="1627" spans="1:45" x14ac:dyDescent="0.25">
      <c r="A1627">
        <v>57</v>
      </c>
      <c r="B1627">
        <v>37</v>
      </c>
      <c r="C1627">
        <v>1</v>
      </c>
      <c r="D1627">
        <v>2024</v>
      </c>
      <c r="E1627">
        <v>3</v>
      </c>
      <c r="F1627" t="str">
        <f>IFERROR(VLOOKUP(G1627, Map!$A$1:$B$33, 2, FALSE),"WAS")</f>
        <v>BUF</v>
      </c>
      <c r="G1627" t="s">
        <v>165</v>
      </c>
      <c r="H1627" t="str">
        <f>IFERROR(VLOOKUP(I1627, Map!$A$1:$B$33, 2, FALSE),"WAS")</f>
        <v>JAX</v>
      </c>
      <c r="I1627" t="s">
        <v>139</v>
      </c>
      <c r="J1627" t="s">
        <v>180</v>
      </c>
      <c r="K1627" t="s">
        <v>220</v>
      </c>
      <c r="L1627">
        <v>1</v>
      </c>
      <c r="M1627">
        <v>0</v>
      </c>
      <c r="N1627">
        <v>51.5</v>
      </c>
      <c r="O1627">
        <v>-22</v>
      </c>
      <c r="P1627">
        <v>-4.5</v>
      </c>
      <c r="Q1627">
        <v>46.5</v>
      </c>
      <c r="R1627">
        <v>22.9</v>
      </c>
      <c r="S1627">
        <v>27.6</v>
      </c>
      <c r="T1627">
        <v>18.8</v>
      </c>
      <c r="U1627">
        <v>25.5</v>
      </c>
      <c r="V1627">
        <v>0.2</v>
      </c>
      <c r="W1627">
        <v>0</v>
      </c>
      <c r="X1627">
        <v>1</v>
      </c>
      <c r="Y1627">
        <v>0.2</v>
      </c>
      <c r="Z1627">
        <v>13.3</v>
      </c>
      <c r="AA1627">
        <v>23.8</v>
      </c>
      <c r="AB1627">
        <v>104</v>
      </c>
      <c r="AC1627">
        <v>84</v>
      </c>
      <c r="AD1627">
        <v>17.3</v>
      </c>
      <c r="AE1627">
        <v>8.1999999999999993</v>
      </c>
      <c r="AF1627">
        <v>65.662999999999997</v>
      </c>
      <c r="AG1627">
        <v>64.613</v>
      </c>
      <c r="AH1627">
        <v>34.063000000000002</v>
      </c>
      <c r="AI1627">
        <v>87.343999999999994</v>
      </c>
      <c r="AJ1627">
        <v>97.882999999999996</v>
      </c>
      <c r="AK1627">
        <v>98.308999999999997</v>
      </c>
      <c r="AL1627">
        <v>6.5229999999999997</v>
      </c>
      <c r="AM1627">
        <v>34.063000000000002</v>
      </c>
      <c r="AN1627">
        <v>64.613</v>
      </c>
      <c r="AO1627">
        <v>65.662999999999997</v>
      </c>
      <c r="AP1627">
        <v>-6.5229999999999997</v>
      </c>
      <c r="AQ1627">
        <v>2.117</v>
      </c>
      <c r="AR1627">
        <v>12.656000000000001</v>
      </c>
      <c r="AS1627">
        <v>1.6910000000000001</v>
      </c>
    </row>
    <row r="1628" spans="1:45" x14ac:dyDescent="0.25">
      <c r="A1628">
        <v>44</v>
      </c>
      <c r="B1628">
        <v>-16</v>
      </c>
      <c r="C1628">
        <v>0</v>
      </c>
      <c r="D1628">
        <v>2024</v>
      </c>
      <c r="E1628">
        <v>3</v>
      </c>
      <c r="F1628" t="str">
        <f>IFERROR(VLOOKUP(G1628, Map!$A$1:$B$33, 2, FALSE),"WAS")</f>
        <v>TEN</v>
      </c>
      <c r="G1628" t="s">
        <v>140</v>
      </c>
      <c r="H1628" t="str">
        <f>IFERROR(VLOOKUP(I1628, Map!$A$1:$B$33, 2, FALSE),"WAS")</f>
        <v>GB</v>
      </c>
      <c r="I1628" t="s">
        <v>154</v>
      </c>
      <c r="J1628" t="s">
        <v>174</v>
      </c>
      <c r="K1628" t="s">
        <v>200</v>
      </c>
      <c r="L1628">
        <v>0</v>
      </c>
      <c r="M1628">
        <v>0</v>
      </c>
      <c r="N1628">
        <v>40.5</v>
      </c>
      <c r="O1628">
        <v>5</v>
      </c>
      <c r="P1628">
        <v>-2.5</v>
      </c>
      <c r="Q1628">
        <v>36.5</v>
      </c>
      <c r="R1628">
        <v>23.9</v>
      </c>
      <c r="S1628">
        <v>28.2</v>
      </c>
      <c r="T1628">
        <v>21.1</v>
      </c>
      <c r="U1628">
        <v>28</v>
      </c>
      <c r="V1628">
        <v>9.6</v>
      </c>
      <c r="W1628">
        <v>0</v>
      </c>
      <c r="X1628">
        <v>8</v>
      </c>
      <c r="Y1628">
        <v>9.6</v>
      </c>
      <c r="Z1628">
        <v>15.5</v>
      </c>
      <c r="AA1628">
        <v>33.1</v>
      </c>
      <c r="AB1628">
        <v>232</v>
      </c>
      <c r="AC1628">
        <v>90</v>
      </c>
      <c r="AD1628">
        <v>14.1</v>
      </c>
      <c r="AE1628">
        <v>6</v>
      </c>
      <c r="AF1628">
        <v>50.603000000000002</v>
      </c>
      <c r="AG1628">
        <v>50.895000000000003</v>
      </c>
      <c r="AH1628">
        <v>49.003</v>
      </c>
      <c r="AI1628">
        <v>35.438000000000002</v>
      </c>
      <c r="AJ1628">
        <v>3.9049999999999998</v>
      </c>
      <c r="AK1628">
        <v>9.5250000000000004</v>
      </c>
      <c r="AL1628">
        <v>0.43</v>
      </c>
      <c r="AM1628">
        <v>49.003</v>
      </c>
      <c r="AN1628">
        <v>50.895000000000003</v>
      </c>
      <c r="AO1628">
        <v>50.603000000000002</v>
      </c>
      <c r="AP1628">
        <v>-0.43</v>
      </c>
      <c r="AQ1628">
        <v>96.094999999999999</v>
      </c>
      <c r="AR1628">
        <v>64.561999999999998</v>
      </c>
      <c r="AS1628">
        <v>90.474999999999994</v>
      </c>
    </row>
    <row r="1629" spans="1:45" x14ac:dyDescent="0.25">
      <c r="A1629">
        <v>58</v>
      </c>
      <c r="B1629">
        <v>-14</v>
      </c>
      <c r="C1629">
        <v>0</v>
      </c>
      <c r="D1629">
        <v>2024</v>
      </c>
      <c r="E1629">
        <v>3</v>
      </c>
      <c r="F1629" t="str">
        <f>IFERROR(VLOOKUP(G1629, Map!$A$1:$B$33, 2, FALSE),"WAS")</f>
        <v>LV</v>
      </c>
      <c r="G1629" t="s">
        <v>157</v>
      </c>
      <c r="H1629" t="str">
        <f>IFERROR(VLOOKUP(I1629, Map!$A$1:$B$33, 2, FALSE),"WAS")</f>
        <v>CAR</v>
      </c>
      <c r="I1629" t="s">
        <v>142</v>
      </c>
      <c r="J1629" t="s">
        <v>179</v>
      </c>
      <c r="K1629" t="s">
        <v>185</v>
      </c>
      <c r="L1629">
        <v>0</v>
      </c>
      <c r="M1629">
        <v>0</v>
      </c>
      <c r="N1629">
        <v>46.5</v>
      </c>
      <c r="O1629">
        <v>6</v>
      </c>
      <c r="P1629">
        <v>-5.5</v>
      </c>
      <c r="Q1629">
        <v>40.5</v>
      </c>
      <c r="R1629">
        <v>26.9</v>
      </c>
      <c r="S1629">
        <v>33.4</v>
      </c>
      <c r="T1629">
        <v>18.7</v>
      </c>
      <c r="U1629">
        <v>25.2</v>
      </c>
      <c r="V1629">
        <v>0</v>
      </c>
      <c r="W1629">
        <v>0</v>
      </c>
      <c r="X1629">
        <v>0</v>
      </c>
      <c r="Y1629">
        <v>0</v>
      </c>
      <c r="Z1629">
        <v>13.9</v>
      </c>
      <c r="AA1629">
        <v>26.3</v>
      </c>
      <c r="AB1629">
        <v>203</v>
      </c>
      <c r="AC1629">
        <v>26</v>
      </c>
      <c r="AD1629">
        <v>12.4</v>
      </c>
      <c r="AE1629">
        <v>5.5</v>
      </c>
      <c r="AF1629">
        <v>63.320999999999998</v>
      </c>
      <c r="AG1629">
        <v>12.298999999999999</v>
      </c>
      <c r="AH1629">
        <v>36.387</v>
      </c>
      <c r="AI1629">
        <v>11.179</v>
      </c>
      <c r="AJ1629">
        <v>31.283999999999999</v>
      </c>
      <c r="AK1629">
        <v>11.984999999999999</v>
      </c>
      <c r="AL1629">
        <v>5.0750000000000002</v>
      </c>
      <c r="AM1629">
        <v>36.387</v>
      </c>
      <c r="AN1629">
        <v>12.298999999999999</v>
      </c>
      <c r="AO1629">
        <v>63.320999999999998</v>
      </c>
      <c r="AP1629">
        <v>-5.0750000000000002</v>
      </c>
      <c r="AQ1629">
        <v>68.715999999999994</v>
      </c>
      <c r="AR1629">
        <v>88.820999999999998</v>
      </c>
      <c r="AS1629">
        <v>88.015000000000001</v>
      </c>
    </row>
    <row r="1630" spans="1:45" x14ac:dyDescent="0.25">
      <c r="A1630">
        <v>27</v>
      </c>
      <c r="B1630">
        <v>-3</v>
      </c>
      <c r="C1630">
        <v>0</v>
      </c>
      <c r="D1630">
        <v>2024</v>
      </c>
      <c r="E1630">
        <v>3</v>
      </c>
      <c r="F1630" t="str">
        <f>IFERROR(VLOOKUP(G1630, Map!$A$1:$B$33, 2, FALSE),"WAS")</f>
        <v>NO</v>
      </c>
      <c r="G1630" t="s">
        <v>168</v>
      </c>
      <c r="H1630" t="str">
        <f>IFERROR(VLOOKUP(I1630, Map!$A$1:$B$33, 2, FALSE),"WAS")</f>
        <v>PHI</v>
      </c>
      <c r="I1630" t="s">
        <v>147</v>
      </c>
      <c r="J1630" t="s">
        <v>192</v>
      </c>
      <c r="K1630" t="s">
        <v>206</v>
      </c>
      <c r="L1630">
        <v>0</v>
      </c>
      <c r="M1630">
        <v>0</v>
      </c>
      <c r="N1630">
        <v>32.5</v>
      </c>
      <c r="O1630">
        <v>-5</v>
      </c>
      <c r="P1630">
        <v>-2.5</v>
      </c>
      <c r="Q1630">
        <v>16.5</v>
      </c>
      <c r="R1630">
        <v>27.2</v>
      </c>
      <c r="S1630">
        <v>30.7</v>
      </c>
      <c r="T1630">
        <v>24.1</v>
      </c>
      <c r="U1630">
        <v>31.6</v>
      </c>
      <c r="V1630">
        <v>0.5</v>
      </c>
      <c r="W1630">
        <v>0</v>
      </c>
      <c r="X1630">
        <v>3</v>
      </c>
      <c r="Y1630">
        <v>0.5</v>
      </c>
      <c r="Z1630">
        <v>11.3</v>
      </c>
      <c r="AA1630">
        <v>23.4</v>
      </c>
      <c r="AB1630">
        <v>117</v>
      </c>
      <c r="AC1630">
        <v>78</v>
      </c>
      <c r="AD1630">
        <v>15.1</v>
      </c>
      <c r="AE1630">
        <v>7.9</v>
      </c>
      <c r="AF1630">
        <v>52.343000000000004</v>
      </c>
      <c r="AG1630">
        <v>71.638999999999996</v>
      </c>
      <c r="AH1630">
        <v>47.277000000000001</v>
      </c>
      <c r="AI1630">
        <v>54.350999999999999</v>
      </c>
      <c r="AJ1630">
        <v>22.123999999999999</v>
      </c>
      <c r="AK1630">
        <v>44.887999999999998</v>
      </c>
      <c r="AL1630">
        <v>0.86399999999999999</v>
      </c>
      <c r="AM1630">
        <v>47.277000000000001</v>
      </c>
      <c r="AN1630">
        <v>71.638999999999996</v>
      </c>
      <c r="AO1630">
        <v>52.343000000000004</v>
      </c>
      <c r="AP1630">
        <v>-0.86399999999999999</v>
      </c>
      <c r="AQ1630">
        <v>77.876000000000005</v>
      </c>
      <c r="AR1630">
        <v>45.649000000000001</v>
      </c>
      <c r="AS1630">
        <v>55.112000000000002</v>
      </c>
    </row>
    <row r="1631" spans="1:45" x14ac:dyDescent="0.25">
      <c r="A1631">
        <v>27</v>
      </c>
      <c r="B1631">
        <v>21</v>
      </c>
      <c r="C1631">
        <v>1</v>
      </c>
      <c r="D1631">
        <v>2024</v>
      </c>
      <c r="E1631">
        <v>3</v>
      </c>
      <c r="F1631" t="str">
        <f>IFERROR(VLOOKUP(G1631, Map!$A$1:$B$33, 2, FALSE),"WAS")</f>
        <v>NYJ</v>
      </c>
      <c r="G1631" t="s">
        <v>166</v>
      </c>
      <c r="H1631" t="str">
        <f>IFERROR(VLOOKUP(I1631, Map!$A$1:$B$33, 2, FALSE),"WAS")</f>
        <v>NE</v>
      </c>
      <c r="I1631" t="s">
        <v>151</v>
      </c>
      <c r="J1631" t="s">
        <v>172</v>
      </c>
      <c r="K1631" t="s">
        <v>187</v>
      </c>
      <c r="L1631">
        <v>1</v>
      </c>
      <c r="M1631">
        <v>0</v>
      </c>
      <c r="N1631">
        <v>39.5</v>
      </c>
      <c r="O1631">
        <v>-6.5</v>
      </c>
      <c r="P1631">
        <v>-6.5</v>
      </c>
      <c r="Q1631">
        <v>39.5</v>
      </c>
      <c r="R1631">
        <v>21.8</v>
      </c>
      <c r="S1631">
        <v>27.1</v>
      </c>
      <c r="T1631">
        <v>17.2</v>
      </c>
      <c r="U1631">
        <v>22.3</v>
      </c>
      <c r="V1631">
        <v>0.1</v>
      </c>
      <c r="W1631">
        <v>0</v>
      </c>
      <c r="X1631">
        <v>1</v>
      </c>
      <c r="Y1631">
        <v>0.1</v>
      </c>
      <c r="Z1631">
        <v>16.3</v>
      </c>
      <c r="AA1631">
        <v>31.7</v>
      </c>
      <c r="AB1631">
        <v>25</v>
      </c>
      <c r="AC1631">
        <v>71</v>
      </c>
      <c r="AD1631">
        <v>22.7</v>
      </c>
      <c r="AE1631">
        <v>11</v>
      </c>
      <c r="AF1631">
        <v>66.533000000000001</v>
      </c>
      <c r="AG1631">
        <v>40.764000000000003</v>
      </c>
      <c r="AH1631">
        <v>33.200000000000003</v>
      </c>
      <c r="AI1631">
        <v>93.578999999999994</v>
      </c>
      <c r="AJ1631">
        <v>86.643000000000001</v>
      </c>
      <c r="AK1631">
        <v>93.298000000000002</v>
      </c>
      <c r="AL1631">
        <v>6.5629999999999997</v>
      </c>
      <c r="AM1631">
        <v>33.200000000000003</v>
      </c>
      <c r="AN1631">
        <v>40.764000000000003</v>
      </c>
      <c r="AO1631">
        <v>66.533000000000001</v>
      </c>
      <c r="AP1631">
        <v>-6.5629999999999997</v>
      </c>
      <c r="AQ1631">
        <v>13.356999999999999</v>
      </c>
      <c r="AR1631">
        <v>6.4210000000000003</v>
      </c>
      <c r="AS1631">
        <v>6.702</v>
      </c>
    </row>
    <row r="1632" spans="1:45" x14ac:dyDescent="0.25">
      <c r="A1632">
        <v>53</v>
      </c>
      <c r="B1632">
        <v>-3</v>
      </c>
      <c r="C1632">
        <v>0</v>
      </c>
      <c r="D1632">
        <v>2024</v>
      </c>
      <c r="E1632">
        <v>3</v>
      </c>
      <c r="F1632" t="str">
        <f>IFERROR(VLOOKUP(G1632, Map!$A$1:$B$33, 2, FALSE),"WAS")</f>
        <v>DAL</v>
      </c>
      <c r="G1632" t="s">
        <v>150</v>
      </c>
      <c r="H1632" t="str">
        <f>IFERROR(VLOOKUP(I1632, Map!$A$1:$B$33, 2, FALSE),"WAS")</f>
        <v>BAL</v>
      </c>
      <c r="I1632" t="s">
        <v>146</v>
      </c>
      <c r="J1632" t="s">
        <v>184</v>
      </c>
      <c r="K1632" t="s">
        <v>181</v>
      </c>
      <c r="L1632">
        <v>0</v>
      </c>
      <c r="M1632">
        <v>0</v>
      </c>
      <c r="N1632">
        <v>48.5</v>
      </c>
      <c r="O1632">
        <v>3</v>
      </c>
      <c r="P1632">
        <v>1.5</v>
      </c>
      <c r="Q1632">
        <v>47.5</v>
      </c>
      <c r="R1632">
        <v>29.5</v>
      </c>
      <c r="S1632">
        <v>33.6</v>
      </c>
      <c r="T1632">
        <v>24.6</v>
      </c>
      <c r="U1632">
        <v>30.6</v>
      </c>
      <c r="V1632">
        <v>0</v>
      </c>
      <c r="W1632">
        <v>0</v>
      </c>
      <c r="X1632">
        <v>0</v>
      </c>
      <c r="Y1632">
        <v>0</v>
      </c>
      <c r="Z1632">
        <v>18.399999999999999</v>
      </c>
      <c r="AA1632">
        <v>30.6</v>
      </c>
      <c r="AB1632">
        <v>171</v>
      </c>
      <c r="AC1632">
        <v>52</v>
      </c>
      <c r="AD1632">
        <v>26.3</v>
      </c>
      <c r="AE1632">
        <v>14.3</v>
      </c>
      <c r="AF1632">
        <v>46.679000000000002</v>
      </c>
      <c r="AG1632">
        <v>61.646000000000001</v>
      </c>
      <c r="AH1632">
        <v>52.945999999999998</v>
      </c>
      <c r="AI1632">
        <v>6.9930000000000003</v>
      </c>
      <c r="AJ1632">
        <v>37.673999999999999</v>
      </c>
      <c r="AK1632">
        <v>21.689</v>
      </c>
      <c r="AL1632">
        <v>-1.0509999999999999</v>
      </c>
      <c r="AM1632">
        <v>52.945999999999998</v>
      </c>
      <c r="AN1632">
        <v>61.646000000000001</v>
      </c>
      <c r="AO1632">
        <v>46.679000000000002</v>
      </c>
      <c r="AP1632">
        <v>1.0509999999999999</v>
      </c>
      <c r="AQ1632">
        <v>62.326000000000001</v>
      </c>
      <c r="AR1632">
        <v>93.007000000000005</v>
      </c>
      <c r="AS1632">
        <v>78.311000000000007</v>
      </c>
    </row>
    <row r="1633" spans="1:45" x14ac:dyDescent="0.25">
      <c r="A1633">
        <v>36</v>
      </c>
      <c r="B1633">
        <v>-6</v>
      </c>
      <c r="C1633">
        <v>0</v>
      </c>
      <c r="D1633">
        <v>2024</v>
      </c>
      <c r="E1633">
        <v>3</v>
      </c>
      <c r="F1633" t="str">
        <f>IFERROR(VLOOKUP(G1633, Map!$A$1:$B$33, 2, FALSE),"WAS")</f>
        <v>CLE</v>
      </c>
      <c r="G1633" t="s">
        <v>162</v>
      </c>
      <c r="H1633" t="str">
        <f>IFERROR(VLOOKUP(I1633, Map!$A$1:$B$33, 2, FALSE),"WAS")</f>
        <v>NYG</v>
      </c>
      <c r="I1633" t="s">
        <v>149</v>
      </c>
      <c r="J1633" t="s">
        <v>171</v>
      </c>
      <c r="K1633" t="s">
        <v>219</v>
      </c>
      <c r="L1633">
        <v>0</v>
      </c>
      <c r="M1633">
        <v>0</v>
      </c>
      <c r="N1633">
        <v>38</v>
      </c>
      <c r="O1633">
        <v>-1.5</v>
      </c>
      <c r="P1633">
        <v>3.5</v>
      </c>
      <c r="Q1633">
        <v>37.5</v>
      </c>
      <c r="R1633">
        <v>22.7</v>
      </c>
      <c r="S1633">
        <v>26.4</v>
      </c>
      <c r="T1633">
        <v>17.2</v>
      </c>
      <c r="U1633">
        <v>24.5</v>
      </c>
      <c r="V1633">
        <v>0</v>
      </c>
      <c r="W1633">
        <v>0</v>
      </c>
      <c r="X1633">
        <v>0</v>
      </c>
      <c r="Y1633">
        <v>0</v>
      </c>
      <c r="Z1633">
        <v>13</v>
      </c>
      <c r="AA1633">
        <v>17.600000000000001</v>
      </c>
      <c r="AB1633">
        <v>87</v>
      </c>
      <c r="AC1633">
        <v>76</v>
      </c>
      <c r="AD1633">
        <v>12.1</v>
      </c>
      <c r="AE1633">
        <v>8.1999999999999993</v>
      </c>
      <c r="AF1633">
        <v>65.528999999999996</v>
      </c>
      <c r="AG1633">
        <v>28.863</v>
      </c>
      <c r="AH1633">
        <v>34.195999999999998</v>
      </c>
      <c r="AI1633">
        <v>44.226999999999997</v>
      </c>
      <c r="AJ1633">
        <v>6.3620000000000001</v>
      </c>
      <c r="AK1633">
        <v>22.885000000000002</v>
      </c>
      <c r="AL1633">
        <v>5.9160000000000004</v>
      </c>
      <c r="AM1633">
        <v>34.195999999999998</v>
      </c>
      <c r="AN1633">
        <v>28.863</v>
      </c>
      <c r="AO1633">
        <v>65.528999999999996</v>
      </c>
      <c r="AP1633">
        <v>-5.9160000000000004</v>
      </c>
      <c r="AQ1633">
        <v>93.638000000000005</v>
      </c>
      <c r="AR1633">
        <v>55.773000000000003</v>
      </c>
      <c r="AS1633">
        <v>77.114999999999995</v>
      </c>
    </row>
    <row r="1634" spans="1:45" x14ac:dyDescent="0.25">
      <c r="A1634">
        <v>36</v>
      </c>
      <c r="B1634">
        <v>4</v>
      </c>
      <c r="C1634">
        <v>1</v>
      </c>
      <c r="D1634">
        <v>2024</v>
      </c>
      <c r="E1634">
        <v>4</v>
      </c>
      <c r="F1634" t="str">
        <f>IFERROR(VLOOKUP(G1634, Map!$A$1:$B$33, 2, FALSE),"WAS")</f>
        <v>LV</v>
      </c>
      <c r="G1634" t="s">
        <v>157</v>
      </c>
      <c r="H1634" t="str">
        <f>IFERROR(VLOOKUP(I1634, Map!$A$1:$B$33, 2, FALSE),"WAS")</f>
        <v>CLE</v>
      </c>
      <c r="I1634" t="s">
        <v>162</v>
      </c>
      <c r="J1634" t="s">
        <v>179</v>
      </c>
      <c r="K1634" t="s">
        <v>171</v>
      </c>
      <c r="L1634">
        <v>1</v>
      </c>
      <c r="M1634">
        <v>0</v>
      </c>
      <c r="N1634">
        <v>38</v>
      </c>
      <c r="O1634">
        <v>-2</v>
      </c>
      <c r="P1634">
        <v>2.5</v>
      </c>
      <c r="Q1634">
        <v>37.5</v>
      </c>
      <c r="R1634">
        <v>32.799999999999997</v>
      </c>
      <c r="S1634">
        <v>40.700000000000003</v>
      </c>
      <c r="T1634">
        <v>26.6</v>
      </c>
      <c r="U1634">
        <v>29.5</v>
      </c>
      <c r="V1634">
        <v>0</v>
      </c>
      <c r="W1634">
        <v>0</v>
      </c>
      <c r="X1634">
        <v>0</v>
      </c>
      <c r="Y1634">
        <v>0</v>
      </c>
      <c r="Z1634">
        <v>25.8</v>
      </c>
      <c r="AA1634">
        <v>38.9</v>
      </c>
      <c r="AB1634">
        <v>234</v>
      </c>
      <c r="AC1634">
        <v>13</v>
      </c>
      <c r="AD1634">
        <v>18</v>
      </c>
      <c r="AE1634">
        <v>9.3000000000000007</v>
      </c>
      <c r="AF1634">
        <v>46.811999999999998</v>
      </c>
      <c r="AG1634">
        <v>24.716999999999999</v>
      </c>
      <c r="AH1634">
        <v>52.811999999999998</v>
      </c>
      <c r="AI1634">
        <v>77.629000000000005</v>
      </c>
      <c r="AJ1634">
        <v>38.826000000000001</v>
      </c>
      <c r="AK1634">
        <v>63.351999999999997</v>
      </c>
      <c r="AL1634">
        <v>-0.315</v>
      </c>
      <c r="AM1634">
        <v>52.811999999999998</v>
      </c>
      <c r="AN1634">
        <v>24.716999999999999</v>
      </c>
      <c r="AO1634">
        <v>46.811999999999998</v>
      </c>
      <c r="AP1634">
        <v>0.315</v>
      </c>
      <c r="AQ1634">
        <v>61.173999999999999</v>
      </c>
      <c r="AR1634">
        <v>22.370999999999999</v>
      </c>
      <c r="AS1634">
        <v>36.648000000000003</v>
      </c>
    </row>
    <row r="1635" spans="1:45" x14ac:dyDescent="0.25">
      <c r="A1635">
        <v>44</v>
      </c>
      <c r="B1635">
        <v>4</v>
      </c>
      <c r="C1635">
        <v>1</v>
      </c>
      <c r="D1635">
        <v>2024</v>
      </c>
      <c r="E1635">
        <v>4</v>
      </c>
      <c r="F1635" t="str">
        <f>IFERROR(VLOOKUP(G1635, Map!$A$1:$B$33, 2, FALSE),"WAS")</f>
        <v>HOU</v>
      </c>
      <c r="G1635" t="s">
        <v>137</v>
      </c>
      <c r="H1635" t="str">
        <f>IFERROR(VLOOKUP(I1635, Map!$A$1:$B$33, 2, FALSE),"WAS")</f>
        <v>JAX</v>
      </c>
      <c r="I1635" t="s">
        <v>139</v>
      </c>
      <c r="J1635" t="s">
        <v>209</v>
      </c>
      <c r="K1635" t="s">
        <v>220</v>
      </c>
      <c r="L1635">
        <v>1</v>
      </c>
      <c r="M1635">
        <v>0</v>
      </c>
      <c r="N1635">
        <v>44.5</v>
      </c>
      <c r="O1635">
        <v>-3</v>
      </c>
      <c r="P1635">
        <v>-0.5</v>
      </c>
      <c r="Q1635">
        <v>42.5</v>
      </c>
      <c r="R1635">
        <v>24.6</v>
      </c>
      <c r="S1635">
        <v>32.1</v>
      </c>
      <c r="T1635">
        <v>17.399999999999999</v>
      </c>
      <c r="U1635">
        <v>24.8</v>
      </c>
      <c r="V1635">
        <v>0</v>
      </c>
      <c r="W1635">
        <v>0</v>
      </c>
      <c r="X1635">
        <v>0</v>
      </c>
      <c r="Y1635">
        <v>0</v>
      </c>
      <c r="Z1635">
        <v>10.7</v>
      </c>
      <c r="AA1635">
        <v>17.3</v>
      </c>
      <c r="AB1635">
        <v>336</v>
      </c>
      <c r="AC1635">
        <v>51</v>
      </c>
      <c r="AD1635">
        <v>13</v>
      </c>
      <c r="AE1635">
        <v>7.2</v>
      </c>
      <c r="AF1635">
        <v>60.71</v>
      </c>
      <c r="AG1635">
        <v>45.259</v>
      </c>
      <c r="AH1635">
        <v>38.976999999999997</v>
      </c>
      <c r="AI1635">
        <v>55.947000000000003</v>
      </c>
      <c r="AJ1635">
        <v>69.11</v>
      </c>
      <c r="AK1635">
        <v>57.302999999999997</v>
      </c>
      <c r="AL1635">
        <v>4.3620000000000001</v>
      </c>
      <c r="AM1635">
        <v>38.976999999999997</v>
      </c>
      <c r="AN1635">
        <v>45.259</v>
      </c>
      <c r="AO1635">
        <v>60.71</v>
      </c>
      <c r="AP1635">
        <v>-4.3620000000000001</v>
      </c>
      <c r="AQ1635">
        <v>30.89</v>
      </c>
      <c r="AR1635">
        <v>44.052999999999997</v>
      </c>
      <c r="AS1635">
        <v>42.697000000000003</v>
      </c>
    </row>
    <row r="1636" spans="1:45" x14ac:dyDescent="0.25">
      <c r="A1636">
        <v>49</v>
      </c>
      <c r="B1636">
        <v>17</v>
      </c>
      <c r="C1636">
        <v>1</v>
      </c>
      <c r="D1636">
        <v>2024</v>
      </c>
      <c r="E1636">
        <v>4</v>
      </c>
      <c r="F1636" t="str">
        <f>IFERROR(VLOOKUP(G1636, Map!$A$1:$B$33, 2, FALSE),"WAS")</f>
        <v>TB</v>
      </c>
      <c r="G1636" t="s">
        <v>141</v>
      </c>
      <c r="H1636" t="str">
        <f>IFERROR(VLOOKUP(I1636, Map!$A$1:$B$33, 2, FALSE),"WAS")</f>
        <v>PHI</v>
      </c>
      <c r="I1636" t="s">
        <v>147</v>
      </c>
      <c r="J1636" t="s">
        <v>186</v>
      </c>
      <c r="K1636" t="s">
        <v>206</v>
      </c>
      <c r="L1636">
        <v>1</v>
      </c>
      <c r="M1636">
        <v>0</v>
      </c>
      <c r="N1636">
        <v>48</v>
      </c>
      <c r="O1636">
        <v>-11</v>
      </c>
      <c r="P1636">
        <v>0.5</v>
      </c>
      <c r="Q1636">
        <v>43.5</v>
      </c>
      <c r="R1636">
        <v>27.8</v>
      </c>
      <c r="S1636">
        <v>30.4</v>
      </c>
      <c r="T1636">
        <v>25.1</v>
      </c>
      <c r="U1636">
        <v>33</v>
      </c>
      <c r="V1636">
        <v>1.2</v>
      </c>
      <c r="W1636">
        <v>0</v>
      </c>
      <c r="X1636">
        <v>9</v>
      </c>
      <c r="Y1636">
        <v>1.2</v>
      </c>
      <c r="Z1636">
        <v>15.3</v>
      </c>
      <c r="AA1636">
        <v>32.4</v>
      </c>
      <c r="AB1636">
        <v>223</v>
      </c>
      <c r="AC1636">
        <v>81</v>
      </c>
      <c r="AD1636">
        <v>18.7</v>
      </c>
      <c r="AE1636">
        <v>8.6</v>
      </c>
      <c r="AF1636">
        <v>37.715000000000003</v>
      </c>
      <c r="AG1636">
        <v>56.610999999999997</v>
      </c>
      <c r="AH1636">
        <v>61.981999999999999</v>
      </c>
      <c r="AI1636">
        <v>70.685000000000002</v>
      </c>
      <c r="AJ1636">
        <v>89.759</v>
      </c>
      <c r="AK1636">
        <v>92.007999999999996</v>
      </c>
      <c r="AL1636">
        <v>-4.2480000000000002</v>
      </c>
      <c r="AM1636">
        <v>61.981999999999999</v>
      </c>
      <c r="AN1636">
        <v>56.610999999999997</v>
      </c>
      <c r="AO1636">
        <v>37.715000000000003</v>
      </c>
      <c r="AP1636">
        <v>4.2480000000000002</v>
      </c>
      <c r="AQ1636">
        <v>10.241</v>
      </c>
      <c r="AR1636">
        <v>29.315000000000001</v>
      </c>
      <c r="AS1636">
        <v>7.992</v>
      </c>
    </row>
    <row r="1637" spans="1:45" x14ac:dyDescent="0.25">
      <c r="A1637">
        <v>43</v>
      </c>
      <c r="B1637">
        <v>-19</v>
      </c>
      <c r="C1637">
        <v>0</v>
      </c>
      <c r="D1637">
        <v>2024</v>
      </c>
      <c r="E1637">
        <v>4</v>
      </c>
      <c r="F1637" t="str">
        <f>IFERROR(VLOOKUP(G1637, Map!$A$1:$B$33, 2, FALSE),"WAS")</f>
        <v>MIA</v>
      </c>
      <c r="G1637" t="s">
        <v>152</v>
      </c>
      <c r="H1637" t="str">
        <f>IFERROR(VLOOKUP(I1637, Map!$A$1:$B$33, 2, FALSE),"WAS")</f>
        <v>TEN</v>
      </c>
      <c r="I1637" t="s">
        <v>140</v>
      </c>
      <c r="J1637" t="s">
        <v>175</v>
      </c>
      <c r="K1637" t="s">
        <v>174</v>
      </c>
      <c r="L1637">
        <v>0</v>
      </c>
      <c r="M1637">
        <v>0</v>
      </c>
      <c r="N1637">
        <v>36.5</v>
      </c>
      <c r="O1637">
        <v>3.5</v>
      </c>
      <c r="P1637">
        <v>-2.5</v>
      </c>
      <c r="Q1637">
        <v>35.5</v>
      </c>
      <c r="R1637">
        <v>27.3</v>
      </c>
      <c r="S1637">
        <v>31.7</v>
      </c>
      <c r="T1637">
        <v>24</v>
      </c>
      <c r="U1637">
        <v>32.700000000000003</v>
      </c>
      <c r="V1637">
        <v>1.7</v>
      </c>
      <c r="W1637">
        <v>0</v>
      </c>
      <c r="X1637">
        <v>7</v>
      </c>
      <c r="Y1637">
        <v>1.7</v>
      </c>
      <c r="Z1637">
        <v>14.1</v>
      </c>
      <c r="AA1637">
        <v>29.2</v>
      </c>
      <c r="AB1637">
        <v>121</v>
      </c>
      <c r="AC1637">
        <v>85</v>
      </c>
      <c r="AD1637">
        <v>16.5</v>
      </c>
      <c r="AE1637">
        <v>8</v>
      </c>
      <c r="AF1637">
        <v>51.875</v>
      </c>
      <c r="AG1637">
        <v>30.224</v>
      </c>
      <c r="AH1637">
        <v>47.741999999999997</v>
      </c>
      <c r="AI1637">
        <v>70.584000000000003</v>
      </c>
      <c r="AJ1637">
        <v>2.0230000000000001</v>
      </c>
      <c r="AK1637">
        <v>17.459</v>
      </c>
      <c r="AL1637">
        <v>0.66500000000000004</v>
      </c>
      <c r="AM1637">
        <v>47.741999999999997</v>
      </c>
      <c r="AN1637">
        <v>30.224</v>
      </c>
      <c r="AO1637">
        <v>51.875</v>
      </c>
      <c r="AP1637">
        <v>-0.66500000000000004</v>
      </c>
      <c r="AQ1637">
        <v>97.977000000000004</v>
      </c>
      <c r="AR1637">
        <v>29.416</v>
      </c>
      <c r="AS1637">
        <v>82.540999999999997</v>
      </c>
    </row>
    <row r="1638" spans="1:45" x14ac:dyDescent="0.25">
      <c r="A1638">
        <v>19</v>
      </c>
      <c r="B1638">
        <v>-1</v>
      </c>
      <c r="C1638">
        <v>0</v>
      </c>
      <c r="D1638">
        <v>2024</v>
      </c>
      <c r="E1638">
        <v>4</v>
      </c>
      <c r="F1638" t="str">
        <f>IFERROR(VLOOKUP(G1638, Map!$A$1:$B$33, 2, FALSE),"WAS")</f>
        <v>NYJ</v>
      </c>
      <c r="G1638" t="s">
        <v>166</v>
      </c>
      <c r="H1638" t="str">
        <f>IFERROR(VLOOKUP(I1638, Map!$A$1:$B$33, 2, FALSE),"WAS")</f>
        <v>DEN</v>
      </c>
      <c r="I1638" t="s">
        <v>159</v>
      </c>
      <c r="J1638" t="s">
        <v>172</v>
      </c>
      <c r="K1638" t="s">
        <v>183</v>
      </c>
      <c r="L1638">
        <v>0</v>
      </c>
      <c r="M1638">
        <v>0</v>
      </c>
      <c r="N1638">
        <v>30</v>
      </c>
      <c r="O1638">
        <v>-5.5</v>
      </c>
      <c r="P1638">
        <v>-2.5</v>
      </c>
      <c r="Q1638">
        <v>20.5</v>
      </c>
      <c r="R1638">
        <v>17</v>
      </c>
      <c r="S1638">
        <v>17.899999999999999</v>
      </c>
      <c r="T1638">
        <v>16.2</v>
      </c>
      <c r="U1638">
        <v>16.399999999999999</v>
      </c>
      <c r="V1638">
        <v>3.6</v>
      </c>
      <c r="W1638">
        <v>0</v>
      </c>
      <c r="X1638">
        <v>15</v>
      </c>
      <c r="Y1638">
        <v>3.6</v>
      </c>
      <c r="Z1638">
        <v>17.100000000000001</v>
      </c>
      <c r="AA1638">
        <v>33.5</v>
      </c>
      <c r="AB1638">
        <v>66</v>
      </c>
      <c r="AC1638">
        <v>86</v>
      </c>
      <c r="AD1638">
        <v>27.3</v>
      </c>
      <c r="AE1638">
        <v>14.1</v>
      </c>
      <c r="AF1638">
        <v>70.683000000000007</v>
      </c>
      <c r="AG1638">
        <v>46.91</v>
      </c>
      <c r="AH1638">
        <v>29.082999999999998</v>
      </c>
      <c r="AI1638">
        <v>88.622</v>
      </c>
      <c r="AJ1638">
        <v>15.061</v>
      </c>
      <c r="AK1638">
        <v>46.968000000000004</v>
      </c>
      <c r="AL1638">
        <v>8.4920000000000009</v>
      </c>
      <c r="AM1638">
        <v>29.082999999999998</v>
      </c>
      <c r="AN1638">
        <v>46.91</v>
      </c>
      <c r="AO1638">
        <v>70.683000000000007</v>
      </c>
      <c r="AP1638">
        <v>-8.4920000000000009</v>
      </c>
      <c r="AQ1638">
        <v>84.938999999999993</v>
      </c>
      <c r="AR1638">
        <v>11.378</v>
      </c>
      <c r="AS1638">
        <v>53.031999999999996</v>
      </c>
    </row>
    <row r="1639" spans="1:45" x14ac:dyDescent="0.25">
      <c r="A1639">
        <v>71</v>
      </c>
      <c r="B1639">
        <v>13</v>
      </c>
      <c r="C1639">
        <v>1</v>
      </c>
      <c r="D1639">
        <v>2024</v>
      </c>
      <c r="E1639">
        <v>4</v>
      </c>
      <c r="F1639" t="str">
        <f>IFERROR(VLOOKUP(G1639, Map!$A$1:$B$33, 2, FALSE),"WAS")</f>
        <v>DET</v>
      </c>
      <c r="G1639" t="s">
        <v>164</v>
      </c>
      <c r="H1639" t="str">
        <f>IFERROR(VLOOKUP(I1639, Map!$A$1:$B$33, 2, FALSE),"WAS")</f>
        <v>SEA</v>
      </c>
      <c r="I1639" t="s">
        <v>144</v>
      </c>
      <c r="J1639" t="s">
        <v>173</v>
      </c>
      <c r="K1639" t="s">
        <v>182</v>
      </c>
      <c r="L1639">
        <v>1</v>
      </c>
      <c r="M1639">
        <v>0</v>
      </c>
      <c r="N1639">
        <v>60.5</v>
      </c>
      <c r="O1639">
        <v>-11</v>
      </c>
      <c r="P1639">
        <v>-4.5</v>
      </c>
      <c r="Q1639">
        <v>47.5</v>
      </c>
      <c r="R1639">
        <v>19.100000000000001</v>
      </c>
      <c r="S1639">
        <v>25.4</v>
      </c>
      <c r="T1639">
        <v>15.6</v>
      </c>
      <c r="U1639">
        <v>20.100000000000001</v>
      </c>
      <c r="V1639">
        <v>2.5</v>
      </c>
      <c r="W1639">
        <v>0</v>
      </c>
      <c r="X1639">
        <v>7</v>
      </c>
      <c r="Y1639">
        <v>2.5</v>
      </c>
      <c r="Z1639">
        <v>29</v>
      </c>
      <c r="AA1639">
        <v>50.8</v>
      </c>
      <c r="AB1639">
        <v>349</v>
      </c>
      <c r="AC1639">
        <v>85</v>
      </c>
      <c r="AD1639">
        <v>17.5</v>
      </c>
      <c r="AE1639">
        <v>8.8000000000000007</v>
      </c>
      <c r="AF1639">
        <v>60.844000000000001</v>
      </c>
      <c r="AG1639">
        <v>61.951999999999998</v>
      </c>
      <c r="AH1639">
        <v>38.844000000000001</v>
      </c>
      <c r="AI1639">
        <v>45.396999999999998</v>
      </c>
      <c r="AJ1639">
        <v>98.561999999999998</v>
      </c>
      <c r="AK1639">
        <v>87.474000000000004</v>
      </c>
      <c r="AL1639">
        <v>4.68</v>
      </c>
      <c r="AM1639">
        <v>38.844000000000001</v>
      </c>
      <c r="AN1639">
        <v>61.951999999999998</v>
      </c>
      <c r="AO1639">
        <v>60.844000000000001</v>
      </c>
      <c r="AP1639">
        <v>-4.68</v>
      </c>
      <c r="AQ1639">
        <v>1.4379999999999999</v>
      </c>
      <c r="AR1639">
        <v>54.603000000000002</v>
      </c>
      <c r="AS1639">
        <v>12.526</v>
      </c>
    </row>
    <row r="1640" spans="1:45" x14ac:dyDescent="0.25">
      <c r="A1640">
        <v>43</v>
      </c>
      <c r="B1640">
        <v>17</v>
      </c>
      <c r="C1640">
        <v>1</v>
      </c>
      <c r="D1640">
        <v>2024</v>
      </c>
      <c r="E1640">
        <v>4</v>
      </c>
      <c r="F1640" t="str">
        <f>IFERROR(VLOOKUP(G1640, Map!$A$1:$B$33, 2, FALSE),"WAS")</f>
        <v>SF</v>
      </c>
      <c r="G1640" t="s">
        <v>143</v>
      </c>
      <c r="H1640" t="str">
        <f>IFERROR(VLOOKUP(I1640, Map!$A$1:$B$33, 2, FALSE),"WAS")</f>
        <v>NE</v>
      </c>
      <c r="I1640" t="s">
        <v>151</v>
      </c>
      <c r="J1640" t="s">
        <v>197</v>
      </c>
      <c r="K1640" t="s">
        <v>187</v>
      </c>
      <c r="L1640">
        <v>1</v>
      </c>
      <c r="M1640">
        <v>0</v>
      </c>
      <c r="N1640">
        <v>43</v>
      </c>
      <c r="O1640">
        <v>-15.5</v>
      </c>
      <c r="P1640">
        <v>-10.5</v>
      </c>
      <c r="Q1640">
        <v>41.5</v>
      </c>
      <c r="R1640">
        <v>17.100000000000001</v>
      </c>
      <c r="S1640">
        <v>26.2</v>
      </c>
      <c r="T1640">
        <v>12.7</v>
      </c>
      <c r="U1640">
        <v>16.8</v>
      </c>
      <c r="V1640">
        <v>0</v>
      </c>
      <c r="W1640">
        <v>0</v>
      </c>
      <c r="X1640">
        <v>0</v>
      </c>
      <c r="Y1640">
        <v>0</v>
      </c>
      <c r="Z1640">
        <v>18.7</v>
      </c>
      <c r="AA1640">
        <v>34.6</v>
      </c>
      <c r="AB1640">
        <v>344</v>
      </c>
      <c r="AC1640">
        <v>76</v>
      </c>
      <c r="AD1640">
        <v>16.600000000000001</v>
      </c>
      <c r="AE1640">
        <v>7.5</v>
      </c>
      <c r="AF1640">
        <v>77.644000000000005</v>
      </c>
      <c r="AG1640">
        <v>52.107999999999997</v>
      </c>
      <c r="AH1640">
        <v>22.178000000000001</v>
      </c>
      <c r="AI1640">
        <v>99.337000000000003</v>
      </c>
      <c r="AJ1640">
        <v>80.367999999999995</v>
      </c>
      <c r="AK1640">
        <v>94.494</v>
      </c>
      <c r="AL1640">
        <v>11.75</v>
      </c>
      <c r="AM1640">
        <v>22.178000000000001</v>
      </c>
      <c r="AN1640">
        <v>52.107999999999997</v>
      </c>
      <c r="AO1640">
        <v>77.644000000000005</v>
      </c>
      <c r="AP1640">
        <v>-11.75</v>
      </c>
      <c r="AQ1640">
        <v>19.632000000000001</v>
      </c>
      <c r="AR1640">
        <v>0.66300000000000003</v>
      </c>
      <c r="AS1640">
        <v>5.5060000000000002</v>
      </c>
    </row>
    <row r="1641" spans="1:45" x14ac:dyDescent="0.25">
      <c r="A1641">
        <v>56</v>
      </c>
      <c r="B1641">
        <v>-28</v>
      </c>
      <c r="C1641">
        <v>0</v>
      </c>
      <c r="D1641">
        <v>2024</v>
      </c>
      <c r="E1641">
        <v>4</v>
      </c>
      <c r="F1641" t="str">
        <f>IFERROR(VLOOKUP(G1641, Map!$A$1:$B$33, 2, FALSE),"WAS")</f>
        <v>ARI</v>
      </c>
      <c r="G1641" t="s">
        <v>156</v>
      </c>
      <c r="H1641" t="str">
        <f>IFERROR(VLOOKUP(I1641, Map!$A$1:$B$33, 2, FALSE),"WAS")</f>
        <v>WAS</v>
      </c>
      <c r="I1641" t="s">
        <v>148</v>
      </c>
      <c r="J1641" t="s">
        <v>190</v>
      </c>
      <c r="K1641" t="s">
        <v>205</v>
      </c>
      <c r="L1641">
        <v>0</v>
      </c>
      <c r="M1641">
        <v>0</v>
      </c>
      <c r="N1641">
        <v>53</v>
      </c>
      <c r="O1641">
        <v>12</v>
      </c>
      <c r="P1641">
        <v>-3.5</v>
      </c>
      <c r="Q1641">
        <v>48.5</v>
      </c>
      <c r="R1641">
        <v>19.7</v>
      </c>
      <c r="S1641">
        <v>27.9</v>
      </c>
      <c r="T1641">
        <v>14.3</v>
      </c>
      <c r="U1641">
        <v>20</v>
      </c>
      <c r="V1641">
        <v>0</v>
      </c>
      <c r="W1641">
        <v>0</v>
      </c>
      <c r="X1641">
        <v>0</v>
      </c>
      <c r="Y1641">
        <v>0</v>
      </c>
      <c r="Z1641">
        <v>10.3</v>
      </c>
      <c r="AA1641">
        <v>27.4</v>
      </c>
      <c r="AB1641">
        <v>196</v>
      </c>
      <c r="AC1641">
        <v>68</v>
      </c>
      <c r="AD1641">
        <v>12.6</v>
      </c>
      <c r="AE1641">
        <v>4.5999999999999996</v>
      </c>
      <c r="AF1641">
        <v>60.375</v>
      </c>
      <c r="AG1641">
        <v>48.926000000000002</v>
      </c>
      <c r="AH1641">
        <v>39.308999999999997</v>
      </c>
      <c r="AI1641">
        <v>5.8159999999999998</v>
      </c>
      <c r="AJ1641">
        <v>35.067999999999998</v>
      </c>
      <c r="AK1641">
        <v>6.8289999999999997</v>
      </c>
      <c r="AL1641">
        <v>4.0960000000000001</v>
      </c>
      <c r="AM1641">
        <v>39.308999999999997</v>
      </c>
      <c r="AN1641">
        <v>48.926000000000002</v>
      </c>
      <c r="AO1641">
        <v>60.375</v>
      </c>
      <c r="AP1641">
        <v>-4.0960000000000001</v>
      </c>
      <c r="AQ1641">
        <v>64.932000000000002</v>
      </c>
      <c r="AR1641">
        <v>94.183999999999997</v>
      </c>
      <c r="AS1641">
        <v>93.171000000000006</v>
      </c>
    </row>
    <row r="1642" spans="1:45" x14ac:dyDescent="0.25">
      <c r="A1642">
        <v>35</v>
      </c>
      <c r="B1642">
        <v>-5</v>
      </c>
      <c r="C1642">
        <v>0</v>
      </c>
      <c r="D1642">
        <v>2024</v>
      </c>
      <c r="E1642">
        <v>4</v>
      </c>
      <c r="F1642" t="str">
        <f>IFERROR(VLOOKUP(G1642, Map!$A$1:$B$33, 2, FALSE),"WAS")</f>
        <v>NYG</v>
      </c>
      <c r="G1642" t="s">
        <v>149</v>
      </c>
      <c r="H1642" t="str">
        <f>IFERROR(VLOOKUP(I1642, Map!$A$1:$B$33, 2, FALSE),"WAS")</f>
        <v>DAL</v>
      </c>
      <c r="I1642" t="s">
        <v>150</v>
      </c>
      <c r="J1642" t="s">
        <v>219</v>
      </c>
      <c r="K1642" t="s">
        <v>184</v>
      </c>
      <c r="L1642">
        <v>0</v>
      </c>
      <c r="M1642">
        <v>0</v>
      </c>
      <c r="N1642">
        <v>41</v>
      </c>
      <c r="O1642">
        <v>3.5</v>
      </c>
      <c r="P1642">
        <v>1.5</v>
      </c>
      <c r="Q1642">
        <v>37.5</v>
      </c>
      <c r="R1642">
        <v>20.399999999999999</v>
      </c>
      <c r="S1642">
        <v>22.3</v>
      </c>
      <c r="T1642">
        <v>18.5</v>
      </c>
      <c r="U1642">
        <v>22.2</v>
      </c>
      <c r="V1642">
        <v>0.7</v>
      </c>
      <c r="W1642">
        <v>0</v>
      </c>
      <c r="X1642">
        <v>3</v>
      </c>
      <c r="Y1642">
        <v>0.7</v>
      </c>
      <c r="Z1642">
        <v>12.9</v>
      </c>
      <c r="AA1642">
        <v>24.1</v>
      </c>
      <c r="AB1642">
        <v>55</v>
      </c>
      <c r="AC1642">
        <v>85</v>
      </c>
      <c r="AD1642">
        <v>14.7</v>
      </c>
      <c r="AE1642">
        <v>7.1</v>
      </c>
      <c r="AF1642">
        <v>42.762</v>
      </c>
      <c r="AG1642">
        <v>35.659999999999997</v>
      </c>
      <c r="AH1642">
        <v>56.895000000000003</v>
      </c>
      <c r="AI1642">
        <v>36.738</v>
      </c>
      <c r="AJ1642">
        <v>39.954999999999998</v>
      </c>
      <c r="AK1642">
        <v>34.731999999999999</v>
      </c>
      <c r="AL1642">
        <v>-3.1240000000000001</v>
      </c>
      <c r="AM1642">
        <v>56.895000000000003</v>
      </c>
      <c r="AN1642">
        <v>35.659999999999997</v>
      </c>
      <c r="AO1642">
        <v>42.762</v>
      </c>
      <c r="AP1642">
        <v>3.1240000000000001</v>
      </c>
      <c r="AQ1642">
        <v>60.045000000000002</v>
      </c>
      <c r="AR1642">
        <v>63.262</v>
      </c>
      <c r="AS1642">
        <v>65.268000000000001</v>
      </c>
    </row>
    <row r="1643" spans="1:45" x14ac:dyDescent="0.25">
      <c r="A1643">
        <v>51</v>
      </c>
      <c r="B1643">
        <v>3</v>
      </c>
      <c r="C1643">
        <v>1</v>
      </c>
      <c r="D1643">
        <v>2024</v>
      </c>
      <c r="E1643">
        <v>4</v>
      </c>
      <c r="F1643" t="str">
        <f>IFERROR(VLOOKUP(G1643, Map!$A$1:$B$33, 2, FALSE),"WAS")</f>
        <v>IND</v>
      </c>
      <c r="G1643" t="s">
        <v>138</v>
      </c>
      <c r="H1643" t="str">
        <f>IFERROR(VLOOKUP(I1643, Map!$A$1:$B$33, 2, FALSE),"WAS")</f>
        <v>PIT</v>
      </c>
      <c r="I1643" t="s">
        <v>145</v>
      </c>
      <c r="J1643" t="s">
        <v>177</v>
      </c>
      <c r="K1643" t="s">
        <v>170</v>
      </c>
      <c r="L1643">
        <v>1</v>
      </c>
      <c r="M1643">
        <v>0</v>
      </c>
      <c r="N1643">
        <v>46</v>
      </c>
      <c r="O1643">
        <v>-1.5</v>
      </c>
      <c r="P1643">
        <v>2.5</v>
      </c>
      <c r="Q1643">
        <v>40.5</v>
      </c>
      <c r="R1643">
        <v>19.899999999999999</v>
      </c>
      <c r="S1643">
        <v>23.1</v>
      </c>
      <c r="T1643">
        <v>18.399999999999999</v>
      </c>
      <c r="U1643">
        <v>20.8</v>
      </c>
      <c r="V1643">
        <v>4.4000000000000004</v>
      </c>
      <c r="W1643">
        <v>0</v>
      </c>
      <c r="X1643">
        <v>13</v>
      </c>
      <c r="Y1643">
        <v>4.4000000000000004</v>
      </c>
      <c r="Z1643">
        <v>19.2</v>
      </c>
      <c r="AA1643">
        <v>37.1</v>
      </c>
      <c r="AB1643">
        <v>42</v>
      </c>
      <c r="AC1643">
        <v>89</v>
      </c>
      <c r="AD1643">
        <v>25.3</v>
      </c>
      <c r="AE1643">
        <v>13.5</v>
      </c>
      <c r="AF1643">
        <v>46.280999999999999</v>
      </c>
      <c r="AG1643">
        <v>45.595999999999997</v>
      </c>
      <c r="AH1643">
        <v>53.347000000000001</v>
      </c>
      <c r="AI1643">
        <v>62.027000000000001</v>
      </c>
      <c r="AJ1643">
        <v>81.075999999999993</v>
      </c>
      <c r="AK1643">
        <v>70.462000000000003</v>
      </c>
      <c r="AL1643">
        <v>-1.2669999999999999</v>
      </c>
      <c r="AM1643">
        <v>53.347000000000001</v>
      </c>
      <c r="AN1643">
        <v>45.595999999999997</v>
      </c>
      <c r="AO1643">
        <v>46.280999999999999</v>
      </c>
      <c r="AP1643">
        <v>1.2669999999999999</v>
      </c>
      <c r="AQ1643">
        <v>18.923999999999999</v>
      </c>
      <c r="AR1643">
        <v>37.972999999999999</v>
      </c>
      <c r="AS1643">
        <v>29.538</v>
      </c>
    </row>
    <row r="1644" spans="1:45" x14ac:dyDescent="0.25">
      <c r="A1644">
        <v>58</v>
      </c>
      <c r="B1644">
        <v>-10</v>
      </c>
      <c r="C1644">
        <v>0</v>
      </c>
      <c r="D1644">
        <v>2024</v>
      </c>
      <c r="E1644">
        <v>4</v>
      </c>
      <c r="F1644" t="str">
        <f>IFERROR(VLOOKUP(G1644, Map!$A$1:$B$33, 2, FALSE),"WAS")</f>
        <v>CAR</v>
      </c>
      <c r="G1644" t="s">
        <v>142</v>
      </c>
      <c r="H1644" t="str">
        <f>IFERROR(VLOOKUP(I1644, Map!$A$1:$B$33, 2, FALSE),"WAS")</f>
        <v>CIN</v>
      </c>
      <c r="I1644" t="s">
        <v>161</v>
      </c>
      <c r="J1644" t="s">
        <v>185</v>
      </c>
      <c r="K1644" t="s">
        <v>176</v>
      </c>
      <c r="L1644">
        <v>0</v>
      </c>
      <c r="M1644">
        <v>0</v>
      </c>
      <c r="N1644">
        <v>53</v>
      </c>
      <c r="O1644">
        <v>5</v>
      </c>
      <c r="P1644">
        <v>4.5</v>
      </c>
      <c r="Q1644">
        <v>47.5</v>
      </c>
      <c r="R1644">
        <v>22.5</v>
      </c>
      <c r="S1644">
        <v>26.3</v>
      </c>
      <c r="T1644">
        <v>19.2</v>
      </c>
      <c r="U1644">
        <v>24.5</v>
      </c>
      <c r="V1644">
        <v>0.2</v>
      </c>
      <c r="W1644">
        <v>0</v>
      </c>
      <c r="X1644">
        <v>1</v>
      </c>
      <c r="Y1644">
        <v>0.2</v>
      </c>
      <c r="Z1644">
        <v>13</v>
      </c>
      <c r="AA1644">
        <v>29.2</v>
      </c>
      <c r="AB1644">
        <v>201</v>
      </c>
      <c r="AC1644">
        <v>78</v>
      </c>
      <c r="AD1644">
        <v>17.899999999999999</v>
      </c>
      <c r="AE1644">
        <v>8.5</v>
      </c>
      <c r="AF1644">
        <v>35.524000000000001</v>
      </c>
      <c r="AG1644">
        <v>33.262</v>
      </c>
      <c r="AH1644">
        <v>64.191000000000003</v>
      </c>
      <c r="AI1644">
        <v>12.282999999999999</v>
      </c>
      <c r="AJ1644">
        <v>54.005000000000003</v>
      </c>
      <c r="AK1644">
        <v>23.887</v>
      </c>
      <c r="AL1644">
        <v>-6.0030000000000001</v>
      </c>
      <c r="AM1644">
        <v>64.191000000000003</v>
      </c>
      <c r="AN1644">
        <v>33.262</v>
      </c>
      <c r="AO1644">
        <v>35.524000000000001</v>
      </c>
      <c r="AP1644">
        <v>6.0030000000000001</v>
      </c>
      <c r="AQ1644">
        <v>45.994999999999997</v>
      </c>
      <c r="AR1644">
        <v>87.716999999999999</v>
      </c>
      <c r="AS1644">
        <v>76.113</v>
      </c>
    </row>
    <row r="1645" spans="1:45" x14ac:dyDescent="0.25">
      <c r="A1645">
        <v>60</v>
      </c>
      <c r="B1645">
        <v>-2</v>
      </c>
      <c r="C1645">
        <v>0</v>
      </c>
      <c r="D1645">
        <v>2024</v>
      </c>
      <c r="E1645">
        <v>4</v>
      </c>
      <c r="F1645" t="str">
        <f>IFERROR(VLOOKUP(G1645, Map!$A$1:$B$33, 2, FALSE),"WAS")</f>
        <v>GB</v>
      </c>
      <c r="G1645" t="s">
        <v>154</v>
      </c>
      <c r="H1645" t="str">
        <f>IFERROR(VLOOKUP(I1645, Map!$A$1:$B$33, 2, FALSE),"WAS")</f>
        <v>MIN</v>
      </c>
      <c r="I1645" t="s">
        <v>153</v>
      </c>
      <c r="J1645" t="s">
        <v>200</v>
      </c>
      <c r="K1645" t="s">
        <v>214</v>
      </c>
      <c r="L1645">
        <v>0</v>
      </c>
      <c r="M1645">
        <v>0</v>
      </c>
      <c r="N1645">
        <v>50.5</v>
      </c>
      <c r="O1645">
        <v>3.5</v>
      </c>
      <c r="P1645">
        <v>-2.5</v>
      </c>
      <c r="Q1645">
        <v>44.5</v>
      </c>
      <c r="R1645">
        <v>17.7</v>
      </c>
      <c r="S1645">
        <v>21.9</v>
      </c>
      <c r="T1645">
        <v>14.2</v>
      </c>
      <c r="U1645">
        <v>16.899999999999999</v>
      </c>
      <c r="V1645">
        <v>0</v>
      </c>
      <c r="W1645">
        <v>0</v>
      </c>
      <c r="X1645">
        <v>0</v>
      </c>
      <c r="Y1645">
        <v>0</v>
      </c>
      <c r="Z1645">
        <v>20.8</v>
      </c>
      <c r="AA1645">
        <v>42.1</v>
      </c>
      <c r="AB1645">
        <v>25</v>
      </c>
      <c r="AC1645">
        <v>77</v>
      </c>
      <c r="AD1645">
        <v>25.7</v>
      </c>
      <c r="AE1645">
        <v>13.2</v>
      </c>
      <c r="AF1645">
        <v>57.832000000000001</v>
      </c>
      <c r="AG1645">
        <v>71.778000000000006</v>
      </c>
      <c r="AH1645">
        <v>41.832000000000001</v>
      </c>
      <c r="AI1645">
        <v>26.515000000000001</v>
      </c>
      <c r="AJ1645">
        <v>22.332999999999998</v>
      </c>
      <c r="AK1645">
        <v>14.202</v>
      </c>
      <c r="AL1645">
        <v>3.085</v>
      </c>
      <c r="AM1645">
        <v>41.832000000000001</v>
      </c>
      <c r="AN1645">
        <v>71.778000000000006</v>
      </c>
      <c r="AO1645">
        <v>57.832000000000001</v>
      </c>
      <c r="AP1645">
        <v>-3.085</v>
      </c>
      <c r="AQ1645">
        <v>77.667000000000002</v>
      </c>
      <c r="AR1645">
        <v>73.484999999999999</v>
      </c>
      <c r="AS1645">
        <v>85.798000000000002</v>
      </c>
    </row>
    <row r="1646" spans="1:45" x14ac:dyDescent="0.25">
      <c r="A1646">
        <v>27</v>
      </c>
      <c r="B1646">
        <v>-7</v>
      </c>
      <c r="C1646">
        <v>0</v>
      </c>
      <c r="D1646">
        <v>2024</v>
      </c>
      <c r="E1646">
        <v>4</v>
      </c>
      <c r="F1646" t="str">
        <f>IFERROR(VLOOKUP(G1646, Map!$A$1:$B$33, 2, FALSE),"WAS")</f>
        <v>LAC</v>
      </c>
      <c r="G1646" t="s">
        <v>160</v>
      </c>
      <c r="H1646" t="str">
        <f>IFERROR(VLOOKUP(I1646, Map!$A$1:$B$33, 2, FALSE),"WAS")</f>
        <v>KC</v>
      </c>
      <c r="I1646" t="s">
        <v>158</v>
      </c>
      <c r="J1646" t="s">
        <v>210</v>
      </c>
      <c r="K1646" t="s">
        <v>202</v>
      </c>
      <c r="L1646">
        <v>0</v>
      </c>
      <c r="M1646">
        <v>0</v>
      </c>
      <c r="N1646">
        <v>34.5</v>
      </c>
      <c r="O1646">
        <v>5.5</v>
      </c>
      <c r="P1646">
        <v>3.5</v>
      </c>
      <c r="Q1646">
        <v>27.5</v>
      </c>
      <c r="R1646">
        <v>17.899999999999999</v>
      </c>
      <c r="S1646">
        <v>24</v>
      </c>
      <c r="T1646">
        <v>13.5</v>
      </c>
      <c r="U1646">
        <v>18.100000000000001</v>
      </c>
      <c r="V1646">
        <v>0</v>
      </c>
      <c r="W1646">
        <v>0</v>
      </c>
      <c r="X1646">
        <v>0</v>
      </c>
      <c r="Y1646">
        <v>0</v>
      </c>
      <c r="Z1646">
        <v>22.5</v>
      </c>
      <c r="AA1646">
        <v>40</v>
      </c>
      <c r="AB1646">
        <v>244</v>
      </c>
      <c r="AC1646">
        <v>81</v>
      </c>
      <c r="AD1646">
        <v>19.3</v>
      </c>
      <c r="AE1646">
        <v>9.5</v>
      </c>
      <c r="AF1646">
        <v>39.308999999999997</v>
      </c>
      <c r="AG1646">
        <v>66.356999999999999</v>
      </c>
      <c r="AH1646">
        <v>60.375</v>
      </c>
      <c r="AI1646">
        <v>62.932000000000002</v>
      </c>
      <c r="AJ1646">
        <v>17.597000000000001</v>
      </c>
      <c r="AK1646">
        <v>31.062999999999999</v>
      </c>
      <c r="AL1646">
        <v>-4.16</v>
      </c>
      <c r="AM1646">
        <v>60.375</v>
      </c>
      <c r="AN1646">
        <v>66.356999999999999</v>
      </c>
      <c r="AO1646">
        <v>39.308999999999997</v>
      </c>
      <c r="AP1646">
        <v>4.16</v>
      </c>
      <c r="AQ1646">
        <v>82.403000000000006</v>
      </c>
      <c r="AR1646">
        <v>37.067999999999998</v>
      </c>
      <c r="AS1646">
        <v>68.936999999999998</v>
      </c>
    </row>
    <row r="1647" spans="1:45" x14ac:dyDescent="0.25">
      <c r="A1647">
        <v>50</v>
      </c>
      <c r="B1647">
        <v>2</v>
      </c>
      <c r="C1647">
        <v>1</v>
      </c>
      <c r="D1647">
        <v>2024</v>
      </c>
      <c r="E1647">
        <v>4</v>
      </c>
      <c r="F1647" t="str">
        <f>IFERROR(VLOOKUP(G1647, Map!$A$1:$B$33, 2, FALSE),"WAS")</f>
        <v>ATL</v>
      </c>
      <c r="G1647" t="s">
        <v>167</v>
      </c>
      <c r="H1647" t="str">
        <f>IFERROR(VLOOKUP(I1647, Map!$A$1:$B$33, 2, FALSE),"WAS")</f>
        <v>NO</v>
      </c>
      <c r="I1647" t="s">
        <v>168</v>
      </c>
      <c r="J1647" t="s">
        <v>188</v>
      </c>
      <c r="K1647" t="s">
        <v>192</v>
      </c>
      <c r="L1647">
        <v>1</v>
      </c>
      <c r="M1647">
        <v>0</v>
      </c>
      <c r="N1647">
        <v>45</v>
      </c>
      <c r="O1647">
        <v>-5.5</v>
      </c>
      <c r="P1647">
        <v>-2.5</v>
      </c>
      <c r="Q1647">
        <v>42.5</v>
      </c>
      <c r="R1647">
        <v>20.6</v>
      </c>
      <c r="S1647">
        <v>24.7</v>
      </c>
      <c r="T1647">
        <v>16.7</v>
      </c>
      <c r="U1647">
        <v>21.6</v>
      </c>
      <c r="V1647">
        <v>0.3</v>
      </c>
      <c r="W1647">
        <v>0</v>
      </c>
      <c r="X1647">
        <v>2</v>
      </c>
      <c r="Y1647">
        <v>0.3</v>
      </c>
      <c r="Z1647">
        <v>17</v>
      </c>
      <c r="AA1647">
        <v>32.4</v>
      </c>
      <c r="AB1647">
        <v>238</v>
      </c>
      <c r="AC1647">
        <v>79</v>
      </c>
      <c r="AD1647">
        <v>17.899999999999999</v>
      </c>
      <c r="AE1647">
        <v>9.1</v>
      </c>
      <c r="AF1647">
        <v>48.273000000000003</v>
      </c>
      <c r="AG1647">
        <v>59.893000000000001</v>
      </c>
      <c r="AH1647">
        <v>51.338999999999999</v>
      </c>
      <c r="AI1647">
        <v>53.01</v>
      </c>
      <c r="AJ1647">
        <v>33.481000000000002</v>
      </c>
      <c r="AK1647">
        <v>54.527000000000001</v>
      </c>
      <c r="AL1647">
        <v>-0.436</v>
      </c>
      <c r="AM1647">
        <v>51.338999999999999</v>
      </c>
      <c r="AN1647">
        <v>59.893000000000001</v>
      </c>
      <c r="AO1647">
        <v>48.273000000000003</v>
      </c>
      <c r="AP1647">
        <v>0.436</v>
      </c>
      <c r="AQ1647">
        <v>66.519000000000005</v>
      </c>
      <c r="AR1647">
        <v>46.99</v>
      </c>
      <c r="AS1647">
        <v>45.472999999999999</v>
      </c>
    </row>
    <row r="1648" spans="1:45" x14ac:dyDescent="0.25">
      <c r="A1648">
        <v>45</v>
      </c>
      <c r="B1648">
        <v>25</v>
      </c>
      <c r="C1648">
        <v>1</v>
      </c>
      <c r="D1648">
        <v>2024</v>
      </c>
      <c r="E1648">
        <v>4</v>
      </c>
      <c r="F1648" t="str">
        <f>IFERROR(VLOOKUP(G1648, Map!$A$1:$B$33, 2, FALSE),"WAS")</f>
        <v>BAL</v>
      </c>
      <c r="G1648" t="s">
        <v>146</v>
      </c>
      <c r="H1648" t="str">
        <f>IFERROR(VLOOKUP(I1648, Map!$A$1:$B$33, 2, FALSE),"WAS")</f>
        <v>BUF</v>
      </c>
      <c r="I1648" t="s">
        <v>165</v>
      </c>
      <c r="J1648" t="s">
        <v>181</v>
      </c>
      <c r="K1648" t="s">
        <v>180</v>
      </c>
      <c r="L1648">
        <v>1</v>
      </c>
      <c r="M1648">
        <v>0</v>
      </c>
      <c r="N1648">
        <v>48</v>
      </c>
      <c r="O1648">
        <v>-14</v>
      </c>
      <c r="P1648">
        <v>-2.5</v>
      </c>
      <c r="Q1648">
        <v>47.5</v>
      </c>
      <c r="R1648">
        <v>18.5</v>
      </c>
      <c r="S1648">
        <v>20.100000000000001</v>
      </c>
      <c r="T1648">
        <v>17</v>
      </c>
      <c r="U1648">
        <v>19</v>
      </c>
      <c r="V1648">
        <v>3.8</v>
      </c>
      <c r="W1648">
        <v>0</v>
      </c>
      <c r="X1648">
        <v>15</v>
      </c>
      <c r="Y1648">
        <v>3.8</v>
      </c>
      <c r="Z1648">
        <v>16.3</v>
      </c>
      <c r="AA1648">
        <v>29.5</v>
      </c>
      <c r="AB1648">
        <v>46</v>
      </c>
      <c r="AC1648">
        <v>89</v>
      </c>
      <c r="AD1648">
        <v>24.2</v>
      </c>
      <c r="AE1648">
        <v>12.7</v>
      </c>
      <c r="AF1648">
        <v>44.09</v>
      </c>
      <c r="AG1648">
        <v>83.778000000000006</v>
      </c>
      <c r="AH1648">
        <v>55.555999999999997</v>
      </c>
      <c r="AI1648">
        <v>82.04</v>
      </c>
      <c r="AJ1648">
        <v>95.897999999999996</v>
      </c>
      <c r="AK1648">
        <v>96.313999999999993</v>
      </c>
      <c r="AL1648">
        <v>-2.133</v>
      </c>
      <c r="AM1648">
        <v>55.555999999999997</v>
      </c>
      <c r="AN1648">
        <v>83.778000000000006</v>
      </c>
      <c r="AO1648">
        <v>44.09</v>
      </c>
      <c r="AP1648">
        <v>2.133</v>
      </c>
      <c r="AQ1648">
        <v>4.1020000000000003</v>
      </c>
      <c r="AR1648">
        <v>17.96</v>
      </c>
      <c r="AS1648">
        <v>3.6859999999999999</v>
      </c>
    </row>
    <row r="1649" spans="1:45" x14ac:dyDescent="0.25">
      <c r="A1649">
        <v>42</v>
      </c>
      <c r="B1649">
        <v>6</v>
      </c>
      <c r="C1649">
        <v>1</v>
      </c>
      <c r="D1649">
        <v>2024</v>
      </c>
      <c r="E1649">
        <v>4</v>
      </c>
      <c r="F1649" t="str">
        <f>IFERROR(VLOOKUP(G1649, Map!$A$1:$B$33, 2, FALSE),"WAS")</f>
        <v>CHI</v>
      </c>
      <c r="G1649" t="s">
        <v>163</v>
      </c>
      <c r="H1649" t="str">
        <f>IFERROR(VLOOKUP(I1649, Map!$A$1:$B$33, 2, FALSE),"WAS")</f>
        <v>LA</v>
      </c>
      <c r="I1649" t="s">
        <v>155</v>
      </c>
      <c r="J1649" t="s">
        <v>216</v>
      </c>
      <c r="K1649" t="s">
        <v>178</v>
      </c>
      <c r="L1649">
        <v>1</v>
      </c>
      <c r="M1649">
        <v>0</v>
      </c>
      <c r="N1649">
        <v>42</v>
      </c>
      <c r="O1649">
        <v>-6</v>
      </c>
      <c r="P1649">
        <v>-3.5</v>
      </c>
      <c r="Q1649">
        <v>40.5</v>
      </c>
      <c r="R1649">
        <v>18.600000000000001</v>
      </c>
      <c r="S1649">
        <v>20.3</v>
      </c>
      <c r="T1649">
        <v>17.399999999999999</v>
      </c>
      <c r="U1649">
        <v>17.100000000000001</v>
      </c>
      <c r="V1649">
        <v>0.1</v>
      </c>
      <c r="W1649">
        <v>0</v>
      </c>
      <c r="X1649">
        <v>1</v>
      </c>
      <c r="Y1649">
        <v>0.1</v>
      </c>
      <c r="Z1649">
        <v>28.3</v>
      </c>
      <c r="AA1649">
        <v>44.6</v>
      </c>
      <c r="AB1649">
        <v>17</v>
      </c>
      <c r="AC1649">
        <v>83</v>
      </c>
      <c r="AD1649">
        <v>36.200000000000003</v>
      </c>
      <c r="AE1649">
        <v>23.5</v>
      </c>
      <c r="AF1649">
        <v>48.405999999999999</v>
      </c>
      <c r="AG1649">
        <v>44.265000000000001</v>
      </c>
      <c r="AH1649">
        <v>51.206000000000003</v>
      </c>
      <c r="AI1649">
        <v>51.66</v>
      </c>
      <c r="AJ1649">
        <v>63.222999999999999</v>
      </c>
      <c r="AK1649">
        <v>65.2</v>
      </c>
      <c r="AL1649">
        <v>-0.221</v>
      </c>
      <c r="AM1649">
        <v>51.206000000000003</v>
      </c>
      <c r="AN1649">
        <v>44.265000000000001</v>
      </c>
      <c r="AO1649">
        <v>48.405999999999999</v>
      </c>
      <c r="AP1649">
        <v>0.221</v>
      </c>
      <c r="AQ1649">
        <v>36.777000000000001</v>
      </c>
      <c r="AR1649">
        <v>48.34</v>
      </c>
      <c r="AS1649">
        <v>34.799999999999997</v>
      </c>
    </row>
    <row r="1650" spans="1:45" x14ac:dyDescent="0.25">
      <c r="A1650">
        <v>79</v>
      </c>
      <c r="B1650">
        <v>-3</v>
      </c>
      <c r="C1650">
        <v>0</v>
      </c>
      <c r="D1650">
        <v>2024</v>
      </c>
      <c r="E1650">
        <v>5</v>
      </c>
      <c r="F1650" t="str">
        <f>IFERROR(VLOOKUP(G1650, Map!$A$1:$B$33, 2, FALSE),"WAS")</f>
        <v>CIN</v>
      </c>
      <c r="G1650" t="s">
        <v>161</v>
      </c>
      <c r="H1650" t="str">
        <f>IFERROR(VLOOKUP(I1650, Map!$A$1:$B$33, 2, FALSE),"WAS")</f>
        <v>BAL</v>
      </c>
      <c r="I1650" t="s">
        <v>146</v>
      </c>
      <c r="J1650" t="s">
        <v>176</v>
      </c>
      <c r="K1650" t="s">
        <v>181</v>
      </c>
      <c r="L1650">
        <v>0</v>
      </c>
      <c r="M1650">
        <v>0</v>
      </c>
      <c r="N1650">
        <v>63.5</v>
      </c>
      <c r="O1650">
        <v>-2</v>
      </c>
      <c r="P1650">
        <v>2.5</v>
      </c>
      <c r="Q1650">
        <v>47.5</v>
      </c>
      <c r="R1650">
        <v>21.7</v>
      </c>
      <c r="S1650">
        <v>28.6</v>
      </c>
      <c r="T1650">
        <v>17</v>
      </c>
      <c r="U1650">
        <v>21.6</v>
      </c>
      <c r="V1650">
        <v>0</v>
      </c>
      <c r="W1650">
        <v>0</v>
      </c>
      <c r="X1650">
        <v>0</v>
      </c>
      <c r="Y1650">
        <v>0</v>
      </c>
      <c r="Z1650">
        <v>19.100000000000001</v>
      </c>
      <c r="AA1650">
        <v>39.6</v>
      </c>
      <c r="AB1650">
        <v>212</v>
      </c>
      <c r="AC1650">
        <v>67</v>
      </c>
      <c r="AD1650">
        <v>26.7</v>
      </c>
      <c r="AE1650">
        <v>13.5</v>
      </c>
      <c r="AF1650">
        <v>44.155999999999999</v>
      </c>
      <c r="AG1650">
        <v>75.168000000000006</v>
      </c>
      <c r="AH1650">
        <v>55.488999999999997</v>
      </c>
      <c r="AI1650">
        <v>21.972000000000001</v>
      </c>
      <c r="AJ1650">
        <v>82.411000000000001</v>
      </c>
      <c r="AK1650">
        <v>45.043999999999997</v>
      </c>
      <c r="AL1650">
        <v>-2.173</v>
      </c>
      <c r="AM1650">
        <v>55.488999999999997</v>
      </c>
      <c r="AN1650">
        <v>75.168000000000006</v>
      </c>
      <c r="AO1650">
        <v>44.155999999999999</v>
      </c>
      <c r="AP1650">
        <v>2.173</v>
      </c>
      <c r="AQ1650">
        <v>17.588999999999999</v>
      </c>
      <c r="AR1650">
        <v>78.028000000000006</v>
      </c>
      <c r="AS1650">
        <v>54.956000000000003</v>
      </c>
    </row>
    <row r="1651" spans="1:45" x14ac:dyDescent="0.25">
      <c r="A1651">
        <v>47</v>
      </c>
      <c r="B1651">
        <v>21</v>
      </c>
      <c r="C1651">
        <v>1</v>
      </c>
      <c r="D1651">
        <v>2024</v>
      </c>
      <c r="E1651">
        <v>5</v>
      </c>
      <c r="F1651" t="str">
        <f>IFERROR(VLOOKUP(G1651, Map!$A$1:$B$33, 2, FALSE),"WAS")</f>
        <v>WAS</v>
      </c>
      <c r="G1651" t="s">
        <v>148</v>
      </c>
      <c r="H1651" t="str">
        <f>IFERROR(VLOOKUP(I1651, Map!$A$1:$B$33, 2, FALSE),"WAS")</f>
        <v>CLE</v>
      </c>
      <c r="I1651" t="s">
        <v>162</v>
      </c>
      <c r="J1651" t="s">
        <v>205</v>
      </c>
      <c r="K1651" t="s">
        <v>171</v>
      </c>
      <c r="L1651">
        <v>1</v>
      </c>
      <c r="M1651">
        <v>0</v>
      </c>
      <c r="N1651">
        <v>46.5</v>
      </c>
      <c r="O1651">
        <v>-14</v>
      </c>
      <c r="P1651">
        <v>-3.5</v>
      </c>
      <c r="Q1651">
        <v>43.5</v>
      </c>
      <c r="R1651">
        <v>17.3</v>
      </c>
      <c r="S1651">
        <v>24</v>
      </c>
      <c r="T1651">
        <v>11</v>
      </c>
      <c r="U1651">
        <v>16.899999999999999</v>
      </c>
      <c r="V1651">
        <v>0</v>
      </c>
      <c r="W1651">
        <v>0</v>
      </c>
      <c r="X1651">
        <v>0</v>
      </c>
      <c r="Y1651">
        <v>0</v>
      </c>
      <c r="Z1651">
        <v>11.3</v>
      </c>
      <c r="AA1651">
        <v>23.8</v>
      </c>
      <c r="AB1651">
        <v>73</v>
      </c>
      <c r="AC1651">
        <v>71</v>
      </c>
      <c r="AD1651">
        <v>14.6</v>
      </c>
      <c r="AE1651">
        <v>7.2</v>
      </c>
      <c r="AF1651">
        <v>63.655000000000001</v>
      </c>
      <c r="AG1651">
        <v>42.841000000000001</v>
      </c>
      <c r="AH1651">
        <v>36.055</v>
      </c>
      <c r="AI1651">
        <v>98.331000000000003</v>
      </c>
      <c r="AJ1651">
        <v>77.406999999999996</v>
      </c>
      <c r="AK1651">
        <v>94.484999999999999</v>
      </c>
      <c r="AL1651">
        <v>5.1779999999999999</v>
      </c>
      <c r="AM1651">
        <v>36.055</v>
      </c>
      <c r="AN1651">
        <v>42.841000000000001</v>
      </c>
      <c r="AO1651">
        <v>63.655000000000001</v>
      </c>
      <c r="AP1651">
        <v>-5.1779999999999999</v>
      </c>
      <c r="AQ1651">
        <v>22.593</v>
      </c>
      <c r="AR1651">
        <v>1.669</v>
      </c>
      <c r="AS1651">
        <v>5.5149999999999997</v>
      </c>
    </row>
    <row r="1652" spans="1:45" x14ac:dyDescent="0.25">
      <c r="A1652">
        <v>49</v>
      </c>
      <c r="B1652">
        <v>-9</v>
      </c>
      <c r="C1652">
        <v>0</v>
      </c>
      <c r="D1652">
        <v>2024</v>
      </c>
      <c r="E1652">
        <v>5</v>
      </c>
      <c r="F1652" t="str">
        <f>IFERROR(VLOOKUP(G1652, Map!$A$1:$B$33, 2, FALSE),"WAS")</f>
        <v>SEA</v>
      </c>
      <c r="G1652" t="s">
        <v>144</v>
      </c>
      <c r="H1652" t="str">
        <f>IFERROR(VLOOKUP(I1652, Map!$A$1:$B$33, 2, FALSE),"WAS")</f>
        <v>NYG</v>
      </c>
      <c r="I1652" t="s">
        <v>149</v>
      </c>
      <c r="J1652" t="s">
        <v>182</v>
      </c>
      <c r="K1652" t="s">
        <v>219</v>
      </c>
      <c r="L1652">
        <v>0</v>
      </c>
      <c r="M1652">
        <v>0</v>
      </c>
      <c r="N1652">
        <v>41</v>
      </c>
      <c r="O1652">
        <v>-1.5</v>
      </c>
      <c r="P1652">
        <v>4.5</v>
      </c>
      <c r="Q1652">
        <v>40.5</v>
      </c>
      <c r="R1652">
        <v>12.2</v>
      </c>
      <c r="S1652">
        <v>18.899999999999999</v>
      </c>
      <c r="T1652">
        <v>9.1999999999999993</v>
      </c>
      <c r="U1652">
        <v>10.9</v>
      </c>
      <c r="V1652">
        <v>0</v>
      </c>
      <c r="W1652">
        <v>0</v>
      </c>
      <c r="X1652">
        <v>0</v>
      </c>
      <c r="Y1652">
        <v>0</v>
      </c>
      <c r="Z1652">
        <v>16.7</v>
      </c>
      <c r="AA1652">
        <v>29.2</v>
      </c>
      <c r="AB1652">
        <v>27</v>
      </c>
      <c r="AC1652">
        <v>84</v>
      </c>
      <c r="AD1652">
        <v>16.899999999999999</v>
      </c>
      <c r="AE1652">
        <v>8.1999999999999993</v>
      </c>
      <c r="AF1652">
        <v>63.253999999999998</v>
      </c>
      <c r="AG1652">
        <v>34.564</v>
      </c>
      <c r="AH1652">
        <v>36.454000000000001</v>
      </c>
      <c r="AI1652">
        <v>55.29</v>
      </c>
      <c r="AJ1652">
        <v>26.052</v>
      </c>
      <c r="AK1652">
        <v>25.532</v>
      </c>
      <c r="AL1652">
        <v>5.3620000000000001</v>
      </c>
      <c r="AM1652">
        <v>36.454000000000001</v>
      </c>
      <c r="AN1652">
        <v>34.564</v>
      </c>
      <c r="AO1652">
        <v>63.253999999999998</v>
      </c>
      <c r="AP1652">
        <v>-5.3620000000000001</v>
      </c>
      <c r="AQ1652">
        <v>73.947999999999993</v>
      </c>
      <c r="AR1652">
        <v>44.71</v>
      </c>
      <c r="AS1652">
        <v>74.468000000000004</v>
      </c>
    </row>
    <row r="1653" spans="1:45" x14ac:dyDescent="0.25">
      <c r="A1653">
        <v>52</v>
      </c>
      <c r="B1653">
        <v>16</v>
      </c>
      <c r="C1653">
        <v>1</v>
      </c>
      <c r="D1653">
        <v>2024</v>
      </c>
      <c r="E1653">
        <v>5</v>
      </c>
      <c r="F1653" t="str">
        <f>IFERROR(VLOOKUP(G1653, Map!$A$1:$B$33, 2, FALSE),"WAS")</f>
        <v>DEN</v>
      </c>
      <c r="G1653" t="s">
        <v>159</v>
      </c>
      <c r="H1653" t="str">
        <f>IFERROR(VLOOKUP(I1653, Map!$A$1:$B$33, 2, FALSE),"WAS")</f>
        <v>LV</v>
      </c>
      <c r="I1653" t="s">
        <v>157</v>
      </c>
      <c r="J1653" t="s">
        <v>183</v>
      </c>
      <c r="K1653" t="s">
        <v>179</v>
      </c>
      <c r="L1653">
        <v>1</v>
      </c>
      <c r="M1653">
        <v>0</v>
      </c>
      <c r="N1653">
        <v>42</v>
      </c>
      <c r="O1653">
        <v>-12.5</v>
      </c>
      <c r="P1653">
        <v>-2.5</v>
      </c>
      <c r="Q1653">
        <v>35.5</v>
      </c>
      <c r="R1653">
        <v>16.2</v>
      </c>
      <c r="S1653">
        <v>26.2</v>
      </c>
      <c r="T1653">
        <v>9.6999999999999993</v>
      </c>
      <c r="U1653">
        <v>12.9</v>
      </c>
      <c r="V1653">
        <v>0</v>
      </c>
      <c r="W1653">
        <v>0</v>
      </c>
      <c r="X1653">
        <v>0</v>
      </c>
      <c r="Y1653">
        <v>0</v>
      </c>
      <c r="Z1653">
        <v>25.9</v>
      </c>
      <c r="AA1653">
        <v>42.5</v>
      </c>
      <c r="AB1653">
        <v>353</v>
      </c>
      <c r="AC1653">
        <v>34</v>
      </c>
      <c r="AD1653">
        <v>18.2</v>
      </c>
      <c r="AE1653">
        <v>8.6</v>
      </c>
      <c r="AF1653">
        <v>50.536000000000001</v>
      </c>
      <c r="AG1653">
        <v>22.890999999999998</v>
      </c>
      <c r="AH1653">
        <v>49.07</v>
      </c>
      <c r="AI1653">
        <v>88.680999999999997</v>
      </c>
      <c r="AJ1653">
        <v>43.97</v>
      </c>
      <c r="AK1653">
        <v>80.132000000000005</v>
      </c>
      <c r="AL1653">
        <v>0.51100000000000001</v>
      </c>
      <c r="AM1653">
        <v>49.07</v>
      </c>
      <c r="AN1653">
        <v>22.890999999999998</v>
      </c>
      <c r="AO1653">
        <v>50.536000000000001</v>
      </c>
      <c r="AP1653">
        <v>-0.51100000000000001</v>
      </c>
      <c r="AQ1653">
        <v>56.03</v>
      </c>
      <c r="AR1653">
        <v>11.319000000000001</v>
      </c>
      <c r="AS1653">
        <v>19.867999999999999</v>
      </c>
    </row>
    <row r="1654" spans="1:45" x14ac:dyDescent="0.25">
      <c r="A1654">
        <v>43</v>
      </c>
      <c r="B1654">
        <v>-5</v>
      </c>
      <c r="C1654">
        <v>0</v>
      </c>
      <c r="D1654">
        <v>2024</v>
      </c>
      <c r="E1654">
        <v>5</v>
      </c>
      <c r="F1654" t="str">
        <f>IFERROR(VLOOKUP(G1654, Map!$A$1:$B$33, 2, FALSE),"WAS")</f>
        <v>LA</v>
      </c>
      <c r="G1654" t="s">
        <v>155</v>
      </c>
      <c r="H1654" t="str">
        <f>IFERROR(VLOOKUP(I1654, Map!$A$1:$B$33, 2, FALSE),"WAS")</f>
        <v>GB</v>
      </c>
      <c r="I1654" t="s">
        <v>154</v>
      </c>
      <c r="J1654" t="s">
        <v>178</v>
      </c>
      <c r="K1654" t="s">
        <v>200</v>
      </c>
      <c r="L1654">
        <v>0</v>
      </c>
      <c r="M1654">
        <v>0</v>
      </c>
      <c r="N1654">
        <v>46</v>
      </c>
      <c r="O1654">
        <v>2</v>
      </c>
      <c r="P1654">
        <v>1.5</v>
      </c>
      <c r="Q1654">
        <v>42.5</v>
      </c>
      <c r="R1654">
        <v>20.100000000000001</v>
      </c>
      <c r="S1654">
        <v>30.2</v>
      </c>
      <c r="T1654">
        <v>16.2</v>
      </c>
      <c r="U1654">
        <v>21.5</v>
      </c>
      <c r="V1654">
        <v>0</v>
      </c>
      <c r="W1654">
        <v>0</v>
      </c>
      <c r="X1654">
        <v>0</v>
      </c>
      <c r="Y1654">
        <v>0</v>
      </c>
      <c r="Z1654">
        <v>22.7</v>
      </c>
      <c r="AA1654">
        <v>39.200000000000003</v>
      </c>
      <c r="AB1654">
        <v>232</v>
      </c>
      <c r="AC1654">
        <v>83</v>
      </c>
      <c r="AD1654">
        <v>16.7</v>
      </c>
      <c r="AE1654">
        <v>7.1</v>
      </c>
      <c r="AF1654">
        <v>43.491999999999997</v>
      </c>
      <c r="AG1654">
        <v>60.899000000000001</v>
      </c>
      <c r="AH1654">
        <v>56.158999999999999</v>
      </c>
      <c r="AI1654">
        <v>44.042000000000002</v>
      </c>
      <c r="AJ1654">
        <v>30.623000000000001</v>
      </c>
      <c r="AK1654">
        <v>31.242999999999999</v>
      </c>
      <c r="AL1654">
        <v>-2.5739999999999998</v>
      </c>
      <c r="AM1654">
        <v>56.158999999999999</v>
      </c>
      <c r="AN1654">
        <v>60.899000000000001</v>
      </c>
      <c r="AO1654">
        <v>43.491999999999997</v>
      </c>
      <c r="AP1654">
        <v>2.5739999999999998</v>
      </c>
      <c r="AQ1654">
        <v>69.376999999999995</v>
      </c>
      <c r="AR1654">
        <v>55.957999999999998</v>
      </c>
      <c r="AS1654">
        <v>68.757000000000005</v>
      </c>
    </row>
    <row r="1655" spans="1:45" x14ac:dyDescent="0.25">
      <c r="A1655">
        <v>43</v>
      </c>
      <c r="B1655">
        <v>3</v>
      </c>
      <c r="C1655">
        <v>1</v>
      </c>
      <c r="D1655">
        <v>2024</v>
      </c>
      <c r="E1655">
        <v>5</v>
      </c>
      <c r="F1655" t="str">
        <f>IFERROR(VLOOKUP(G1655, Map!$A$1:$B$33, 2, FALSE),"WAS")</f>
        <v>HOU</v>
      </c>
      <c r="G1655" t="s">
        <v>137</v>
      </c>
      <c r="H1655" t="str">
        <f>IFERROR(VLOOKUP(I1655, Map!$A$1:$B$33, 2, FALSE),"WAS")</f>
        <v>BUF</v>
      </c>
      <c r="I1655" t="s">
        <v>165</v>
      </c>
      <c r="J1655" t="s">
        <v>209</v>
      </c>
      <c r="K1655" t="s">
        <v>180</v>
      </c>
      <c r="L1655">
        <v>1</v>
      </c>
      <c r="M1655">
        <v>0</v>
      </c>
      <c r="N1655">
        <v>46</v>
      </c>
      <c r="O1655">
        <v>-3.5</v>
      </c>
      <c r="P1655">
        <v>-1.5</v>
      </c>
      <c r="Q1655">
        <v>44.5</v>
      </c>
      <c r="R1655">
        <v>26.9</v>
      </c>
      <c r="S1655">
        <v>32.9</v>
      </c>
      <c r="T1655">
        <v>22.5</v>
      </c>
      <c r="U1655">
        <v>29.4</v>
      </c>
      <c r="V1655">
        <v>0</v>
      </c>
      <c r="W1655">
        <v>0</v>
      </c>
      <c r="X1655">
        <v>0</v>
      </c>
      <c r="Y1655">
        <v>0</v>
      </c>
      <c r="Z1655">
        <v>15.9</v>
      </c>
      <c r="AA1655">
        <v>29.2</v>
      </c>
      <c r="AB1655">
        <v>43</v>
      </c>
      <c r="AC1655">
        <v>68</v>
      </c>
      <c r="AD1655">
        <v>18.8</v>
      </c>
      <c r="AE1655">
        <v>10.4</v>
      </c>
      <c r="AF1655">
        <v>43.225999999999999</v>
      </c>
      <c r="AG1655">
        <v>70.41</v>
      </c>
      <c r="AH1655">
        <v>56.426000000000002</v>
      </c>
      <c r="AI1655">
        <v>66.457999999999998</v>
      </c>
      <c r="AJ1655">
        <v>39.22</v>
      </c>
      <c r="AK1655">
        <v>61.298999999999999</v>
      </c>
      <c r="AL1655">
        <v>-2.258</v>
      </c>
      <c r="AM1655">
        <v>56.426000000000002</v>
      </c>
      <c r="AN1655">
        <v>70.41</v>
      </c>
      <c r="AO1655">
        <v>43.225999999999999</v>
      </c>
      <c r="AP1655">
        <v>2.258</v>
      </c>
      <c r="AQ1655">
        <v>60.78</v>
      </c>
      <c r="AR1655">
        <v>33.542000000000002</v>
      </c>
      <c r="AS1655">
        <v>38.701000000000001</v>
      </c>
    </row>
    <row r="1656" spans="1:45" x14ac:dyDescent="0.25">
      <c r="A1656">
        <v>47</v>
      </c>
      <c r="B1656">
        <v>-1</v>
      </c>
      <c r="C1656">
        <v>0</v>
      </c>
      <c r="D1656">
        <v>2024</v>
      </c>
      <c r="E1656">
        <v>5</v>
      </c>
      <c r="F1656" t="str">
        <f>IFERROR(VLOOKUP(G1656, Map!$A$1:$B$33, 2, FALSE),"WAS")</f>
        <v>SF</v>
      </c>
      <c r="G1656" t="s">
        <v>143</v>
      </c>
      <c r="H1656" t="str">
        <f>IFERROR(VLOOKUP(I1656, Map!$A$1:$B$33, 2, FALSE),"WAS")</f>
        <v>ARI</v>
      </c>
      <c r="I1656" t="s">
        <v>156</v>
      </c>
      <c r="J1656" t="s">
        <v>197</v>
      </c>
      <c r="K1656" t="s">
        <v>190</v>
      </c>
      <c r="L1656">
        <v>0</v>
      </c>
      <c r="M1656">
        <v>0</v>
      </c>
      <c r="N1656">
        <v>48</v>
      </c>
      <c r="O1656">
        <v>-6</v>
      </c>
      <c r="P1656">
        <v>-4.5</v>
      </c>
      <c r="Q1656">
        <v>47.5</v>
      </c>
      <c r="R1656">
        <v>29.3</v>
      </c>
      <c r="S1656">
        <v>40.1</v>
      </c>
      <c r="T1656">
        <v>20.2</v>
      </c>
      <c r="U1656">
        <v>27.1</v>
      </c>
      <c r="V1656">
        <v>0</v>
      </c>
      <c r="W1656">
        <v>0</v>
      </c>
      <c r="X1656">
        <v>0</v>
      </c>
      <c r="Y1656">
        <v>0</v>
      </c>
      <c r="Z1656">
        <v>19.3</v>
      </c>
      <c r="AA1656">
        <v>31.7</v>
      </c>
      <c r="AB1656">
        <v>286</v>
      </c>
      <c r="AC1656">
        <v>24</v>
      </c>
      <c r="AD1656">
        <v>15.1</v>
      </c>
      <c r="AE1656">
        <v>8.4</v>
      </c>
      <c r="AF1656">
        <v>69.679000000000002</v>
      </c>
      <c r="AG1656">
        <v>67.89</v>
      </c>
      <c r="AH1656">
        <v>30.079000000000001</v>
      </c>
      <c r="AI1656">
        <v>39.713999999999999</v>
      </c>
      <c r="AJ1656">
        <v>38.853999999999999</v>
      </c>
      <c r="AK1656">
        <v>50.3</v>
      </c>
      <c r="AL1656">
        <v>7.92</v>
      </c>
      <c r="AM1656">
        <v>30.079000000000001</v>
      </c>
      <c r="AN1656">
        <v>67.89</v>
      </c>
      <c r="AO1656">
        <v>69.679000000000002</v>
      </c>
      <c r="AP1656">
        <v>-7.92</v>
      </c>
      <c r="AQ1656">
        <v>61.146000000000001</v>
      </c>
      <c r="AR1656">
        <v>60.286000000000001</v>
      </c>
      <c r="AS1656">
        <v>49.7</v>
      </c>
    </row>
    <row r="1657" spans="1:45" x14ac:dyDescent="0.25">
      <c r="A1657">
        <v>37</v>
      </c>
      <c r="B1657">
        <v>-3</v>
      </c>
      <c r="C1657">
        <v>0</v>
      </c>
      <c r="D1657">
        <v>2024</v>
      </c>
      <c r="E1657">
        <v>5</v>
      </c>
      <c r="F1657" t="str">
        <f>IFERROR(VLOOKUP(G1657, Map!$A$1:$B$33, 2, FALSE),"WAS")</f>
        <v>PIT</v>
      </c>
      <c r="G1657" t="s">
        <v>145</v>
      </c>
      <c r="H1657" t="str">
        <f>IFERROR(VLOOKUP(I1657, Map!$A$1:$B$33, 2, FALSE),"WAS")</f>
        <v>DAL</v>
      </c>
      <c r="I1657" t="s">
        <v>150</v>
      </c>
      <c r="J1657" t="s">
        <v>170</v>
      </c>
      <c r="K1657" t="s">
        <v>184</v>
      </c>
      <c r="L1657">
        <v>0</v>
      </c>
      <c r="M1657">
        <v>0</v>
      </c>
      <c r="N1657">
        <v>38.5</v>
      </c>
      <c r="O1657">
        <v>-4.5</v>
      </c>
      <c r="P1657">
        <v>-2.5</v>
      </c>
      <c r="Q1657">
        <v>32.5</v>
      </c>
      <c r="R1657">
        <v>15.5</v>
      </c>
      <c r="S1657">
        <v>19.399999999999999</v>
      </c>
      <c r="T1657">
        <v>10.5</v>
      </c>
      <c r="U1657">
        <v>14.1</v>
      </c>
      <c r="V1657">
        <v>22.5</v>
      </c>
      <c r="W1657">
        <v>0</v>
      </c>
      <c r="X1657">
        <v>4</v>
      </c>
      <c r="Y1657">
        <v>22.5</v>
      </c>
      <c r="Z1657">
        <v>17.2</v>
      </c>
      <c r="AA1657">
        <v>38.200000000000003</v>
      </c>
      <c r="AB1657">
        <v>304</v>
      </c>
      <c r="AC1657">
        <v>75</v>
      </c>
      <c r="AD1657">
        <v>27.2</v>
      </c>
      <c r="AE1657">
        <v>12.3</v>
      </c>
      <c r="AF1657">
        <v>51.139000000000003</v>
      </c>
      <c r="AG1657">
        <v>56.963999999999999</v>
      </c>
      <c r="AH1657">
        <v>48.472000000000001</v>
      </c>
      <c r="AI1657">
        <v>42.076000000000001</v>
      </c>
      <c r="AJ1657">
        <v>55.558</v>
      </c>
      <c r="AK1657">
        <v>43.601999999999997</v>
      </c>
      <c r="AL1657">
        <v>0.72899999999999998</v>
      </c>
      <c r="AM1657">
        <v>48.472000000000001</v>
      </c>
      <c r="AN1657">
        <v>56.963999999999999</v>
      </c>
      <c r="AO1657">
        <v>51.139000000000003</v>
      </c>
      <c r="AP1657">
        <v>-0.72899999999999998</v>
      </c>
      <c r="AQ1657">
        <v>44.442</v>
      </c>
      <c r="AR1657">
        <v>57.923999999999999</v>
      </c>
      <c r="AS1657">
        <v>56.398000000000003</v>
      </c>
    </row>
    <row r="1658" spans="1:45" x14ac:dyDescent="0.25">
      <c r="A1658">
        <v>40</v>
      </c>
      <c r="B1658">
        <v>6</v>
      </c>
      <c r="C1658">
        <v>1</v>
      </c>
      <c r="D1658">
        <v>2024</v>
      </c>
      <c r="E1658">
        <v>5</v>
      </c>
      <c r="F1658" t="str">
        <f>IFERROR(VLOOKUP(G1658, Map!$A$1:$B$33, 2, FALSE),"WAS")</f>
        <v>MIN</v>
      </c>
      <c r="G1658" t="s">
        <v>153</v>
      </c>
      <c r="H1658" t="str">
        <f>IFERROR(VLOOKUP(I1658, Map!$A$1:$B$33, 2, FALSE),"WAS")</f>
        <v>NYJ</v>
      </c>
      <c r="I1658" t="s">
        <v>166</v>
      </c>
      <c r="J1658" t="s">
        <v>214</v>
      </c>
      <c r="K1658" t="s">
        <v>172</v>
      </c>
      <c r="L1658">
        <v>1</v>
      </c>
      <c r="M1658">
        <v>0</v>
      </c>
      <c r="N1658">
        <v>27.3333333333333</v>
      </c>
      <c r="O1658">
        <v>0.33333333333333298</v>
      </c>
      <c r="P1658">
        <v>-2.5</v>
      </c>
      <c r="Q1658">
        <v>39.5</v>
      </c>
      <c r="R1658">
        <v>13.8</v>
      </c>
      <c r="S1658">
        <v>15.5</v>
      </c>
      <c r="T1658">
        <v>11.8</v>
      </c>
      <c r="U1658">
        <v>11.6</v>
      </c>
      <c r="V1658">
        <v>4</v>
      </c>
      <c r="W1658">
        <v>0</v>
      </c>
      <c r="X1658">
        <v>4</v>
      </c>
      <c r="Y1658">
        <v>4</v>
      </c>
      <c r="Z1658">
        <v>23.7</v>
      </c>
      <c r="AA1658">
        <v>40.299999999999997</v>
      </c>
      <c r="AB1658">
        <v>159</v>
      </c>
      <c r="AC1658">
        <v>82</v>
      </c>
      <c r="AD1658">
        <v>30</v>
      </c>
      <c r="AE1658">
        <v>16.899999999999999</v>
      </c>
      <c r="AF1658">
        <v>53.481000000000002</v>
      </c>
      <c r="AG1658">
        <v>66.513999999999996</v>
      </c>
      <c r="AH1658">
        <v>46.148000000000003</v>
      </c>
      <c r="AI1658">
        <v>94.319000000000003</v>
      </c>
      <c r="AJ1658">
        <v>17.044</v>
      </c>
      <c r="AK1658">
        <v>67.685000000000002</v>
      </c>
      <c r="AL1658">
        <v>1.611</v>
      </c>
      <c r="AM1658">
        <v>46.148000000000003</v>
      </c>
      <c r="AN1658">
        <v>66.513999999999996</v>
      </c>
      <c r="AO1658">
        <v>53.481000000000002</v>
      </c>
      <c r="AP1658">
        <v>-1.611</v>
      </c>
      <c r="AQ1658">
        <v>82.956000000000003</v>
      </c>
      <c r="AR1658">
        <v>5.681</v>
      </c>
      <c r="AS1658">
        <v>32.314999999999998</v>
      </c>
    </row>
    <row r="1659" spans="1:45" x14ac:dyDescent="0.25">
      <c r="A1659">
        <v>39</v>
      </c>
      <c r="B1659">
        <v>13</v>
      </c>
      <c r="C1659">
        <v>1</v>
      </c>
      <c r="D1659">
        <v>2024</v>
      </c>
      <c r="E1659">
        <v>5</v>
      </c>
      <c r="F1659" t="str">
        <f>IFERROR(VLOOKUP(G1659, Map!$A$1:$B$33, 2, FALSE),"WAS")</f>
        <v>KC</v>
      </c>
      <c r="G1659" t="s">
        <v>158</v>
      </c>
      <c r="H1659" t="str">
        <f>IFERROR(VLOOKUP(I1659, Map!$A$1:$B$33, 2, FALSE),"WAS")</f>
        <v>NO</v>
      </c>
      <c r="I1659" t="s">
        <v>168</v>
      </c>
      <c r="J1659" t="s">
        <v>202</v>
      </c>
      <c r="K1659" t="s">
        <v>192</v>
      </c>
      <c r="L1659">
        <v>1</v>
      </c>
      <c r="M1659">
        <v>0</v>
      </c>
      <c r="N1659">
        <v>43</v>
      </c>
      <c r="O1659">
        <v>-10.5</v>
      </c>
      <c r="P1659">
        <v>-5.5</v>
      </c>
      <c r="Q1659">
        <v>42.5</v>
      </c>
      <c r="R1659">
        <v>16</v>
      </c>
      <c r="S1659">
        <v>23.3</v>
      </c>
      <c r="T1659">
        <v>9.6</v>
      </c>
      <c r="U1659">
        <v>14.2</v>
      </c>
      <c r="V1659">
        <v>0</v>
      </c>
      <c r="W1659">
        <v>0</v>
      </c>
      <c r="X1659">
        <v>0</v>
      </c>
      <c r="Y1659">
        <v>0</v>
      </c>
      <c r="Z1659">
        <v>7.9</v>
      </c>
      <c r="AA1659">
        <v>15.8</v>
      </c>
      <c r="AB1659">
        <v>106</v>
      </c>
      <c r="AC1659">
        <v>53</v>
      </c>
      <c r="AD1659">
        <v>12.4</v>
      </c>
      <c r="AE1659">
        <v>5.7</v>
      </c>
      <c r="AF1659">
        <v>59.773000000000003</v>
      </c>
      <c r="AG1659">
        <v>77.599000000000004</v>
      </c>
      <c r="AH1659">
        <v>39.905999999999999</v>
      </c>
      <c r="AI1659">
        <v>63.927</v>
      </c>
      <c r="AJ1659">
        <v>75.626000000000005</v>
      </c>
      <c r="AK1659">
        <v>78.33</v>
      </c>
      <c r="AL1659">
        <v>4.1399999999999997</v>
      </c>
      <c r="AM1659">
        <v>39.905999999999999</v>
      </c>
      <c r="AN1659">
        <v>77.599000000000004</v>
      </c>
      <c r="AO1659">
        <v>59.773000000000003</v>
      </c>
      <c r="AP1659">
        <v>-4.1399999999999997</v>
      </c>
      <c r="AQ1659">
        <v>24.373999999999999</v>
      </c>
      <c r="AR1659">
        <v>36.073</v>
      </c>
      <c r="AS1659">
        <v>21.67</v>
      </c>
    </row>
    <row r="1660" spans="1:45" x14ac:dyDescent="0.25">
      <c r="A1660">
        <v>66</v>
      </c>
      <c r="B1660">
        <v>6</v>
      </c>
      <c r="C1660">
        <v>1</v>
      </c>
      <c r="D1660">
        <v>2024</v>
      </c>
      <c r="E1660">
        <v>5</v>
      </c>
      <c r="F1660" t="str">
        <f>IFERROR(VLOOKUP(G1660, Map!$A$1:$B$33, 2, FALSE),"WAS")</f>
        <v>ATL</v>
      </c>
      <c r="G1660" t="s">
        <v>167</v>
      </c>
      <c r="H1660" t="str">
        <f>IFERROR(VLOOKUP(I1660, Map!$A$1:$B$33, 2, FALSE),"WAS")</f>
        <v>TB</v>
      </c>
      <c r="I1660" t="s">
        <v>141</v>
      </c>
      <c r="J1660" t="s">
        <v>188</v>
      </c>
      <c r="K1660" t="s">
        <v>186</v>
      </c>
      <c r="L1660">
        <v>1</v>
      </c>
      <c r="M1660">
        <v>0</v>
      </c>
      <c r="N1660">
        <v>53.5</v>
      </c>
      <c r="O1660">
        <v>0.5</v>
      </c>
      <c r="P1660">
        <v>-2.5</v>
      </c>
      <c r="Q1660">
        <v>43.5</v>
      </c>
      <c r="R1660">
        <v>21.5</v>
      </c>
      <c r="S1660">
        <v>24.2</v>
      </c>
      <c r="T1660">
        <v>19</v>
      </c>
      <c r="U1660">
        <v>23.3</v>
      </c>
      <c r="V1660">
        <v>0.1</v>
      </c>
      <c r="W1660">
        <v>0</v>
      </c>
      <c r="X1660">
        <v>1</v>
      </c>
      <c r="Y1660">
        <v>0.1</v>
      </c>
      <c r="Z1660">
        <v>11.1</v>
      </c>
      <c r="AA1660">
        <v>20.5</v>
      </c>
      <c r="AB1660">
        <v>91</v>
      </c>
      <c r="AC1660">
        <v>82</v>
      </c>
      <c r="AD1660">
        <v>16.5</v>
      </c>
      <c r="AE1660">
        <v>8.6</v>
      </c>
      <c r="AF1660">
        <v>53.95</v>
      </c>
      <c r="AG1660">
        <v>51.103000000000002</v>
      </c>
      <c r="AH1660">
        <v>45.683</v>
      </c>
      <c r="AI1660">
        <v>32.06</v>
      </c>
      <c r="AJ1660">
        <v>79.893000000000001</v>
      </c>
      <c r="AK1660">
        <v>61.076999999999998</v>
      </c>
      <c r="AL1660">
        <v>0.99299999999999999</v>
      </c>
      <c r="AM1660">
        <v>45.683</v>
      </c>
      <c r="AN1660">
        <v>51.103000000000002</v>
      </c>
      <c r="AO1660">
        <v>53.95</v>
      </c>
      <c r="AP1660">
        <v>-0.99299999999999999</v>
      </c>
      <c r="AQ1660">
        <v>20.106999999999999</v>
      </c>
      <c r="AR1660">
        <v>67.94</v>
      </c>
      <c r="AS1660">
        <v>38.923000000000002</v>
      </c>
    </row>
    <row r="1661" spans="1:45" x14ac:dyDescent="0.25">
      <c r="A1661">
        <v>25</v>
      </c>
      <c r="B1661">
        <v>-5</v>
      </c>
      <c r="C1661">
        <v>0</v>
      </c>
      <c r="D1661">
        <v>2024</v>
      </c>
      <c r="E1661">
        <v>5</v>
      </c>
      <c r="F1661" t="str">
        <f>IFERROR(VLOOKUP(G1661, Map!$A$1:$B$33, 2, FALSE),"WAS")</f>
        <v>NE</v>
      </c>
      <c r="G1661" t="s">
        <v>151</v>
      </c>
      <c r="H1661" t="str">
        <f>IFERROR(VLOOKUP(I1661, Map!$A$1:$B$33, 2, FALSE),"WAS")</f>
        <v>MIA</v>
      </c>
      <c r="I1661" t="s">
        <v>152</v>
      </c>
      <c r="J1661" t="s">
        <v>187</v>
      </c>
      <c r="K1661" t="s">
        <v>175</v>
      </c>
      <c r="L1661">
        <v>0</v>
      </c>
      <c r="M1661">
        <v>0</v>
      </c>
      <c r="N1661">
        <v>31.5</v>
      </c>
      <c r="O1661">
        <v>2</v>
      </c>
      <c r="P1661">
        <v>1.5</v>
      </c>
      <c r="Q1661">
        <v>26.5</v>
      </c>
      <c r="R1661">
        <v>13</v>
      </c>
      <c r="S1661">
        <v>18.100000000000001</v>
      </c>
      <c r="T1661">
        <v>8.1999999999999993</v>
      </c>
      <c r="U1661">
        <v>11.4</v>
      </c>
      <c r="V1661">
        <v>0</v>
      </c>
      <c r="W1661">
        <v>0</v>
      </c>
      <c r="X1661">
        <v>0</v>
      </c>
      <c r="Y1661">
        <v>0</v>
      </c>
      <c r="Z1661">
        <v>13</v>
      </c>
      <c r="AA1661">
        <v>27</v>
      </c>
      <c r="AB1661">
        <v>8</v>
      </c>
      <c r="AC1661">
        <v>73</v>
      </c>
      <c r="AD1661">
        <v>18.399999999999999</v>
      </c>
      <c r="AE1661">
        <v>8.1999999999999993</v>
      </c>
      <c r="AF1661">
        <v>58.433999999999997</v>
      </c>
      <c r="AG1661">
        <v>18.75</v>
      </c>
      <c r="AH1661">
        <v>41.234000000000002</v>
      </c>
      <c r="AI1661">
        <v>55.543999999999997</v>
      </c>
      <c r="AJ1661">
        <v>25.672000000000001</v>
      </c>
      <c r="AK1661">
        <v>39.308999999999997</v>
      </c>
      <c r="AL1661">
        <v>3.286</v>
      </c>
      <c r="AM1661">
        <v>41.234000000000002</v>
      </c>
      <c r="AN1661">
        <v>18.75</v>
      </c>
      <c r="AO1661">
        <v>58.433999999999997</v>
      </c>
      <c r="AP1661">
        <v>-3.286</v>
      </c>
      <c r="AQ1661">
        <v>74.328000000000003</v>
      </c>
      <c r="AR1661">
        <v>44.456000000000003</v>
      </c>
      <c r="AS1661">
        <v>60.691000000000003</v>
      </c>
    </row>
    <row r="1662" spans="1:45" x14ac:dyDescent="0.25">
      <c r="A1662">
        <v>46</v>
      </c>
      <c r="B1662">
        <v>26</v>
      </c>
      <c r="C1662">
        <v>1</v>
      </c>
      <c r="D1662">
        <v>2024</v>
      </c>
      <c r="E1662">
        <v>5</v>
      </c>
      <c r="F1662" t="str">
        <f>IFERROR(VLOOKUP(G1662, Map!$A$1:$B$33, 2, FALSE),"WAS")</f>
        <v>CHI</v>
      </c>
      <c r="G1662" t="s">
        <v>163</v>
      </c>
      <c r="H1662" t="str">
        <f>IFERROR(VLOOKUP(I1662, Map!$A$1:$B$33, 2, FALSE),"WAS")</f>
        <v>CAR</v>
      </c>
      <c r="I1662" t="s">
        <v>142</v>
      </c>
      <c r="J1662" t="s">
        <v>216</v>
      </c>
      <c r="K1662" t="s">
        <v>185</v>
      </c>
      <c r="L1662">
        <v>1</v>
      </c>
      <c r="M1662">
        <v>0</v>
      </c>
      <c r="N1662">
        <v>43.5</v>
      </c>
      <c r="O1662">
        <v>-15</v>
      </c>
      <c r="P1662">
        <v>-3.5</v>
      </c>
      <c r="Q1662">
        <v>39.5</v>
      </c>
      <c r="R1662">
        <v>21.3</v>
      </c>
      <c r="S1662">
        <v>23.5</v>
      </c>
      <c r="T1662">
        <v>16.100000000000001</v>
      </c>
      <c r="U1662">
        <v>17.3</v>
      </c>
      <c r="V1662">
        <v>0</v>
      </c>
      <c r="W1662">
        <v>0</v>
      </c>
      <c r="X1662">
        <v>0</v>
      </c>
      <c r="Y1662">
        <v>0</v>
      </c>
      <c r="Z1662">
        <v>34.5</v>
      </c>
      <c r="AA1662">
        <v>49.7</v>
      </c>
      <c r="AB1662">
        <v>247</v>
      </c>
      <c r="AC1662">
        <v>47</v>
      </c>
      <c r="AD1662">
        <v>41.6</v>
      </c>
      <c r="AE1662">
        <v>27.1</v>
      </c>
      <c r="AF1662">
        <v>63.186999999999998</v>
      </c>
      <c r="AG1662">
        <v>22.332999999999998</v>
      </c>
      <c r="AH1662">
        <v>36.520000000000003</v>
      </c>
      <c r="AI1662">
        <v>90.287000000000006</v>
      </c>
      <c r="AJ1662">
        <v>85.671000000000006</v>
      </c>
      <c r="AK1662">
        <v>94.344999999999999</v>
      </c>
      <c r="AL1662">
        <v>5.0570000000000004</v>
      </c>
      <c r="AM1662">
        <v>36.520000000000003</v>
      </c>
      <c r="AN1662">
        <v>22.332999999999998</v>
      </c>
      <c r="AO1662">
        <v>63.186999999999998</v>
      </c>
      <c r="AP1662">
        <v>-5.0570000000000004</v>
      </c>
      <c r="AQ1662">
        <v>14.329000000000001</v>
      </c>
      <c r="AR1662">
        <v>9.7129999999999992</v>
      </c>
      <c r="AS1662">
        <v>5.6550000000000002</v>
      </c>
    </row>
    <row r="1663" spans="1:45" x14ac:dyDescent="0.25">
      <c r="A1663">
        <v>71</v>
      </c>
      <c r="B1663">
        <v>3</v>
      </c>
      <c r="C1663">
        <v>1</v>
      </c>
      <c r="D1663">
        <v>2024</v>
      </c>
      <c r="E1663">
        <v>5</v>
      </c>
      <c r="F1663" t="str">
        <f>IFERROR(VLOOKUP(G1663, Map!$A$1:$B$33, 2, FALSE),"WAS")</f>
        <v>JAX</v>
      </c>
      <c r="G1663" t="s">
        <v>139</v>
      </c>
      <c r="H1663" t="str">
        <f>IFERROR(VLOOKUP(I1663, Map!$A$1:$B$33, 2, FALSE),"WAS")</f>
        <v>IND</v>
      </c>
      <c r="I1663" t="s">
        <v>138</v>
      </c>
      <c r="J1663" t="s">
        <v>220</v>
      </c>
      <c r="K1663" t="s">
        <v>177</v>
      </c>
      <c r="L1663">
        <v>1</v>
      </c>
      <c r="M1663">
        <v>0</v>
      </c>
      <c r="N1663">
        <v>53.5</v>
      </c>
      <c r="O1663">
        <v>-6.5</v>
      </c>
      <c r="P1663">
        <v>-3.5</v>
      </c>
      <c r="Q1663">
        <v>44.5</v>
      </c>
      <c r="R1663">
        <v>23.7</v>
      </c>
      <c r="S1663">
        <v>24.5</v>
      </c>
      <c r="T1663">
        <v>22.7</v>
      </c>
      <c r="U1663">
        <v>26.7</v>
      </c>
      <c r="V1663">
        <v>23</v>
      </c>
      <c r="W1663">
        <v>0</v>
      </c>
      <c r="X1663">
        <v>20</v>
      </c>
      <c r="Y1663">
        <v>23</v>
      </c>
      <c r="Z1663">
        <v>20</v>
      </c>
      <c r="AA1663">
        <v>36.4</v>
      </c>
      <c r="AB1663">
        <v>63</v>
      </c>
      <c r="AC1663">
        <v>91</v>
      </c>
      <c r="AD1663">
        <v>26.9</v>
      </c>
      <c r="AE1663">
        <v>14.1</v>
      </c>
      <c r="AF1663">
        <v>49.402000000000001</v>
      </c>
      <c r="AG1663">
        <v>35.049999999999997</v>
      </c>
      <c r="AH1663">
        <v>50.201999999999998</v>
      </c>
      <c r="AI1663">
        <v>31.015000000000001</v>
      </c>
      <c r="AJ1663">
        <v>79.248999999999995</v>
      </c>
      <c r="AK1663">
        <v>61.515999999999998</v>
      </c>
      <c r="AL1663">
        <v>-0.436</v>
      </c>
      <c r="AM1663">
        <v>50.201999999999998</v>
      </c>
      <c r="AN1663">
        <v>35.049999999999997</v>
      </c>
      <c r="AO1663">
        <v>49.402000000000001</v>
      </c>
      <c r="AP1663">
        <v>0.436</v>
      </c>
      <c r="AQ1663">
        <v>20.751000000000001</v>
      </c>
      <c r="AR1663">
        <v>68.984999999999999</v>
      </c>
      <c r="AS1663">
        <v>38.484000000000002</v>
      </c>
    </row>
    <row r="1664" spans="1:45" x14ac:dyDescent="0.25">
      <c r="A1664">
        <v>56</v>
      </c>
      <c r="B1664">
        <v>-38</v>
      </c>
      <c r="C1664">
        <v>0</v>
      </c>
      <c r="D1664">
        <v>2024</v>
      </c>
      <c r="E1664">
        <v>6</v>
      </c>
      <c r="F1664" t="str">
        <f>IFERROR(VLOOKUP(G1664, Map!$A$1:$B$33, 2, FALSE),"WAS")</f>
        <v>DAL</v>
      </c>
      <c r="G1664" t="s">
        <v>150</v>
      </c>
      <c r="H1664" t="str">
        <f>IFERROR(VLOOKUP(I1664, Map!$A$1:$B$33, 2, FALSE),"WAS")</f>
        <v>DET</v>
      </c>
      <c r="I1664" t="s">
        <v>164</v>
      </c>
      <c r="J1664" t="s">
        <v>184</v>
      </c>
      <c r="K1664" t="s">
        <v>173</v>
      </c>
      <c r="L1664">
        <v>0</v>
      </c>
      <c r="M1664">
        <v>0</v>
      </c>
      <c r="N1664">
        <v>57</v>
      </c>
      <c r="O1664">
        <v>19</v>
      </c>
      <c r="P1664">
        <v>3.5</v>
      </c>
      <c r="Q1664">
        <v>52.5</v>
      </c>
      <c r="R1664">
        <v>28.2</v>
      </c>
      <c r="S1664">
        <v>36.9</v>
      </c>
      <c r="T1664">
        <v>21.2</v>
      </c>
      <c r="U1664">
        <v>25.7</v>
      </c>
      <c r="V1664">
        <v>0</v>
      </c>
      <c r="W1664">
        <v>0</v>
      </c>
      <c r="X1664">
        <v>0</v>
      </c>
      <c r="Y1664">
        <v>0</v>
      </c>
      <c r="Z1664">
        <v>19.899999999999999</v>
      </c>
      <c r="AA1664">
        <v>31.7</v>
      </c>
      <c r="AB1664">
        <v>213</v>
      </c>
      <c r="AC1664">
        <v>29</v>
      </c>
      <c r="AD1664">
        <v>25.1</v>
      </c>
      <c r="AE1664">
        <v>14.6</v>
      </c>
      <c r="AF1664">
        <v>42.960999999999999</v>
      </c>
      <c r="AG1664">
        <v>68.245000000000005</v>
      </c>
      <c r="AH1664">
        <v>56.694000000000003</v>
      </c>
      <c r="AI1664">
        <v>4.4610000000000003</v>
      </c>
      <c r="AJ1664">
        <v>5.0869999999999997</v>
      </c>
      <c r="AK1664">
        <v>1.6779999999999999</v>
      </c>
      <c r="AL1664">
        <v>-2.7709999999999999</v>
      </c>
      <c r="AM1664">
        <v>56.694000000000003</v>
      </c>
      <c r="AN1664">
        <v>68.245000000000005</v>
      </c>
      <c r="AO1664">
        <v>42.960999999999999</v>
      </c>
      <c r="AP1664">
        <v>2.7709999999999999</v>
      </c>
      <c r="AQ1664">
        <v>94.912999999999997</v>
      </c>
      <c r="AR1664">
        <v>95.539000000000001</v>
      </c>
      <c r="AS1664">
        <v>98.322000000000003</v>
      </c>
    </row>
    <row r="1665" spans="1:45" x14ac:dyDescent="0.25">
      <c r="A1665">
        <v>60</v>
      </c>
      <c r="B1665">
        <v>-12</v>
      </c>
      <c r="C1665">
        <v>0</v>
      </c>
      <c r="D1665">
        <v>2024</v>
      </c>
      <c r="E1665">
        <v>6</v>
      </c>
      <c r="F1665" t="str">
        <f>IFERROR(VLOOKUP(G1665, Map!$A$1:$B$33, 2, FALSE),"WAS")</f>
        <v>SEA</v>
      </c>
      <c r="G1665" t="s">
        <v>144</v>
      </c>
      <c r="H1665" t="str">
        <f>IFERROR(VLOOKUP(I1665, Map!$A$1:$B$33, 2, FALSE),"WAS")</f>
        <v>SF</v>
      </c>
      <c r="I1665" t="s">
        <v>143</v>
      </c>
      <c r="J1665" t="s">
        <v>182</v>
      </c>
      <c r="K1665" t="s">
        <v>197</v>
      </c>
      <c r="L1665">
        <v>0</v>
      </c>
      <c r="M1665">
        <v>0</v>
      </c>
      <c r="N1665">
        <v>50.5</v>
      </c>
      <c r="O1665">
        <v>4.5</v>
      </c>
      <c r="P1665">
        <v>3.5</v>
      </c>
      <c r="Q1665">
        <v>48.5</v>
      </c>
      <c r="R1665">
        <v>10.5</v>
      </c>
      <c r="S1665">
        <v>14.8</v>
      </c>
      <c r="T1665">
        <v>7.9</v>
      </c>
      <c r="U1665">
        <v>8.6999999999999993</v>
      </c>
      <c r="V1665">
        <v>0</v>
      </c>
      <c r="W1665">
        <v>0</v>
      </c>
      <c r="X1665">
        <v>0</v>
      </c>
      <c r="Y1665">
        <v>0</v>
      </c>
      <c r="Z1665">
        <v>20.100000000000001</v>
      </c>
      <c r="AA1665">
        <v>34.9</v>
      </c>
      <c r="AB1665">
        <v>6</v>
      </c>
      <c r="AC1665">
        <v>85</v>
      </c>
      <c r="AD1665">
        <v>18.8</v>
      </c>
      <c r="AE1665">
        <v>9.1999999999999993</v>
      </c>
      <c r="AF1665">
        <v>38.113999999999997</v>
      </c>
      <c r="AG1665">
        <v>64.521000000000001</v>
      </c>
      <c r="AH1665">
        <v>61.58</v>
      </c>
      <c r="AI1665">
        <v>16.678999999999998</v>
      </c>
      <c r="AJ1665">
        <v>34.188000000000002</v>
      </c>
      <c r="AK1665">
        <v>21.239000000000001</v>
      </c>
      <c r="AL1665">
        <v>-4.5780000000000003</v>
      </c>
      <c r="AM1665">
        <v>61.58</v>
      </c>
      <c r="AN1665">
        <v>64.521000000000001</v>
      </c>
      <c r="AO1665">
        <v>38.113999999999997</v>
      </c>
      <c r="AP1665">
        <v>4.5780000000000003</v>
      </c>
      <c r="AQ1665">
        <v>65.811999999999998</v>
      </c>
      <c r="AR1665">
        <v>83.320999999999998</v>
      </c>
      <c r="AS1665">
        <v>78.760999999999996</v>
      </c>
    </row>
    <row r="1666" spans="1:45" x14ac:dyDescent="0.25">
      <c r="A1666">
        <v>39</v>
      </c>
      <c r="B1666">
        <v>-7</v>
      </c>
      <c r="C1666">
        <v>0</v>
      </c>
      <c r="D1666">
        <v>2024</v>
      </c>
      <c r="E1666">
        <v>6</v>
      </c>
      <c r="F1666" t="str">
        <f>IFERROR(VLOOKUP(G1666, Map!$A$1:$B$33, 2, FALSE),"WAS")</f>
        <v>DEN</v>
      </c>
      <c r="G1666" t="s">
        <v>159</v>
      </c>
      <c r="H1666" t="str">
        <f>IFERROR(VLOOKUP(I1666, Map!$A$1:$B$33, 2, FALSE),"WAS")</f>
        <v>LAC</v>
      </c>
      <c r="I1666" t="s">
        <v>160</v>
      </c>
      <c r="J1666" t="s">
        <v>183</v>
      </c>
      <c r="K1666" t="s">
        <v>210</v>
      </c>
      <c r="L1666">
        <v>0</v>
      </c>
      <c r="M1666">
        <v>0</v>
      </c>
      <c r="N1666">
        <v>38</v>
      </c>
      <c r="O1666">
        <v>6.5</v>
      </c>
      <c r="P1666">
        <v>2.5</v>
      </c>
      <c r="Q1666">
        <v>37.5</v>
      </c>
      <c r="R1666">
        <v>14.4</v>
      </c>
      <c r="S1666">
        <v>23.9</v>
      </c>
      <c r="T1666">
        <v>7.3</v>
      </c>
      <c r="U1666">
        <v>11.1</v>
      </c>
      <c r="V1666">
        <v>0</v>
      </c>
      <c r="W1666">
        <v>0</v>
      </c>
      <c r="X1666">
        <v>0</v>
      </c>
      <c r="Y1666">
        <v>0</v>
      </c>
      <c r="Z1666">
        <v>14.2</v>
      </c>
      <c r="AA1666">
        <v>28.8</v>
      </c>
      <c r="AB1666">
        <v>353</v>
      </c>
      <c r="AC1666">
        <v>38</v>
      </c>
      <c r="AD1666">
        <v>15.8</v>
      </c>
      <c r="AE1666">
        <v>7.7</v>
      </c>
      <c r="AF1666">
        <v>44.488</v>
      </c>
      <c r="AG1666">
        <v>35.558999999999997</v>
      </c>
      <c r="AH1666">
        <v>55.155000000000001</v>
      </c>
      <c r="AI1666">
        <v>25.504000000000001</v>
      </c>
      <c r="AJ1666">
        <v>6.6840000000000002</v>
      </c>
      <c r="AK1666">
        <v>11.031000000000001</v>
      </c>
      <c r="AL1666">
        <v>-1.98</v>
      </c>
      <c r="AM1666">
        <v>55.155000000000001</v>
      </c>
      <c r="AN1666">
        <v>35.558999999999997</v>
      </c>
      <c r="AO1666">
        <v>44.488</v>
      </c>
      <c r="AP1666">
        <v>1.98</v>
      </c>
      <c r="AQ1666">
        <v>93.316000000000003</v>
      </c>
      <c r="AR1666">
        <v>74.495999999999995</v>
      </c>
      <c r="AS1666">
        <v>88.968999999999994</v>
      </c>
    </row>
    <row r="1667" spans="1:45" x14ac:dyDescent="0.25">
      <c r="A1667">
        <v>62</v>
      </c>
      <c r="B1667">
        <v>-20</v>
      </c>
      <c r="C1667">
        <v>0</v>
      </c>
      <c r="D1667">
        <v>2024</v>
      </c>
      <c r="E1667">
        <v>6</v>
      </c>
      <c r="F1667" t="str">
        <f>IFERROR(VLOOKUP(G1667, Map!$A$1:$B$33, 2, FALSE),"WAS")</f>
        <v>NE</v>
      </c>
      <c r="G1667" t="s">
        <v>151</v>
      </c>
      <c r="H1667" t="str">
        <f>IFERROR(VLOOKUP(I1667, Map!$A$1:$B$33, 2, FALSE),"WAS")</f>
        <v>HOU</v>
      </c>
      <c r="I1667" t="s">
        <v>137</v>
      </c>
      <c r="J1667" t="s">
        <v>187</v>
      </c>
      <c r="K1667" t="s">
        <v>209</v>
      </c>
      <c r="L1667">
        <v>0</v>
      </c>
      <c r="M1667">
        <v>0</v>
      </c>
      <c r="N1667">
        <v>51.5</v>
      </c>
      <c r="O1667">
        <v>11.5</v>
      </c>
      <c r="P1667">
        <v>6.5</v>
      </c>
      <c r="Q1667">
        <v>39.5</v>
      </c>
      <c r="R1667">
        <v>9</v>
      </c>
      <c r="S1667">
        <v>11.2</v>
      </c>
      <c r="T1667">
        <v>6.5</v>
      </c>
      <c r="U1667">
        <v>6.2</v>
      </c>
      <c r="V1667">
        <v>1.2</v>
      </c>
      <c r="W1667">
        <v>0</v>
      </c>
      <c r="X1667">
        <v>5</v>
      </c>
      <c r="Y1667">
        <v>1.2</v>
      </c>
      <c r="Z1667">
        <v>14.9</v>
      </c>
      <c r="AA1667">
        <v>29.9</v>
      </c>
      <c r="AB1667">
        <v>10</v>
      </c>
      <c r="AC1667">
        <v>69</v>
      </c>
      <c r="AD1667">
        <v>18.7</v>
      </c>
      <c r="AE1667">
        <v>8.9</v>
      </c>
      <c r="AF1667">
        <v>29.481999999999999</v>
      </c>
      <c r="AG1667">
        <v>35.948999999999998</v>
      </c>
      <c r="AH1667">
        <v>70.281999999999996</v>
      </c>
      <c r="AI1667">
        <v>25.806000000000001</v>
      </c>
      <c r="AJ1667">
        <v>4.7290000000000001</v>
      </c>
      <c r="AK1667">
        <v>6.9749999999999996</v>
      </c>
      <c r="AL1667">
        <v>-8.3580000000000005</v>
      </c>
      <c r="AM1667">
        <v>70.281999999999996</v>
      </c>
      <c r="AN1667">
        <v>35.948999999999998</v>
      </c>
      <c r="AO1667">
        <v>29.481999999999999</v>
      </c>
      <c r="AP1667">
        <v>8.3580000000000005</v>
      </c>
      <c r="AQ1667">
        <v>95.271000000000001</v>
      </c>
      <c r="AR1667">
        <v>74.194000000000003</v>
      </c>
      <c r="AS1667">
        <v>93.025000000000006</v>
      </c>
    </row>
    <row r="1668" spans="1:45" x14ac:dyDescent="0.25">
      <c r="A1668">
        <v>36</v>
      </c>
      <c r="B1668">
        <v>4</v>
      </c>
      <c r="C1668">
        <v>1</v>
      </c>
      <c r="D1668">
        <v>2024</v>
      </c>
      <c r="E1668">
        <v>6</v>
      </c>
      <c r="F1668" t="str">
        <f>IFERROR(VLOOKUP(G1668, Map!$A$1:$B$33, 2, FALSE),"WAS")</f>
        <v>PHI</v>
      </c>
      <c r="G1668" t="s">
        <v>147</v>
      </c>
      <c r="H1668" t="str">
        <f>IFERROR(VLOOKUP(I1668, Map!$A$1:$B$33, 2, FALSE),"WAS")</f>
        <v>CLE</v>
      </c>
      <c r="I1668" t="s">
        <v>162</v>
      </c>
      <c r="J1668" t="s">
        <v>206</v>
      </c>
      <c r="K1668" t="s">
        <v>171</v>
      </c>
      <c r="L1668">
        <v>1</v>
      </c>
      <c r="M1668">
        <v>0</v>
      </c>
      <c r="N1668">
        <v>40.5</v>
      </c>
      <c r="O1668">
        <v>-8</v>
      </c>
      <c r="P1668">
        <v>-7.5</v>
      </c>
      <c r="Q1668">
        <v>38.5</v>
      </c>
      <c r="R1668">
        <v>18</v>
      </c>
      <c r="S1668">
        <v>26.7</v>
      </c>
      <c r="T1668">
        <v>11.1</v>
      </c>
      <c r="U1668">
        <v>16.100000000000001</v>
      </c>
      <c r="V1668">
        <v>0</v>
      </c>
      <c r="W1668">
        <v>0</v>
      </c>
      <c r="X1668">
        <v>0</v>
      </c>
      <c r="Y1668">
        <v>0</v>
      </c>
      <c r="Z1668">
        <v>23.4</v>
      </c>
      <c r="AA1668">
        <v>43.6</v>
      </c>
      <c r="AB1668">
        <v>171</v>
      </c>
      <c r="AC1668">
        <v>54</v>
      </c>
      <c r="AD1668">
        <v>20.2</v>
      </c>
      <c r="AE1668">
        <v>10.5</v>
      </c>
      <c r="AF1668">
        <v>69.477999999999994</v>
      </c>
      <c r="AG1668">
        <v>44.941000000000003</v>
      </c>
      <c r="AH1668">
        <v>30.277999999999999</v>
      </c>
      <c r="AI1668">
        <v>72.239000000000004</v>
      </c>
      <c r="AJ1668">
        <v>67.796999999999997</v>
      </c>
      <c r="AK1668">
        <v>64.233000000000004</v>
      </c>
      <c r="AL1668">
        <v>7.9169999999999998</v>
      </c>
      <c r="AM1668">
        <v>30.277999999999999</v>
      </c>
      <c r="AN1668">
        <v>44.941000000000003</v>
      </c>
      <c r="AO1668">
        <v>69.477999999999994</v>
      </c>
      <c r="AP1668">
        <v>-7.9169999999999998</v>
      </c>
      <c r="AQ1668">
        <v>32.203000000000003</v>
      </c>
      <c r="AR1668">
        <v>27.760999999999999</v>
      </c>
      <c r="AS1668">
        <v>35.767000000000003</v>
      </c>
    </row>
    <row r="1669" spans="1:45" x14ac:dyDescent="0.25">
      <c r="A1669">
        <v>58</v>
      </c>
      <c r="B1669">
        <v>-18</v>
      </c>
      <c r="C1669">
        <v>0</v>
      </c>
      <c r="D1669">
        <v>2024</v>
      </c>
      <c r="E1669">
        <v>6</v>
      </c>
      <c r="F1669" t="str">
        <f>IFERROR(VLOOKUP(G1669, Map!$A$1:$B$33, 2, FALSE),"WAS")</f>
        <v>CAR</v>
      </c>
      <c r="G1669" t="s">
        <v>142</v>
      </c>
      <c r="H1669" t="str">
        <f>IFERROR(VLOOKUP(I1669, Map!$A$1:$B$33, 2, FALSE),"WAS")</f>
        <v>ATL</v>
      </c>
      <c r="I1669" t="s">
        <v>167</v>
      </c>
      <c r="J1669" t="s">
        <v>185</v>
      </c>
      <c r="K1669" t="s">
        <v>188</v>
      </c>
      <c r="L1669">
        <v>0</v>
      </c>
      <c r="M1669">
        <v>0</v>
      </c>
      <c r="N1669">
        <v>53.5</v>
      </c>
      <c r="O1669">
        <v>11</v>
      </c>
      <c r="P1669">
        <v>6.5</v>
      </c>
      <c r="Q1669">
        <v>45.5</v>
      </c>
      <c r="R1669">
        <v>16.7</v>
      </c>
      <c r="S1669">
        <v>25.6</v>
      </c>
      <c r="T1669">
        <v>10.7</v>
      </c>
      <c r="U1669">
        <v>15.3</v>
      </c>
      <c r="V1669">
        <v>0</v>
      </c>
      <c r="W1669">
        <v>0</v>
      </c>
      <c r="X1669">
        <v>0</v>
      </c>
      <c r="Y1669">
        <v>0</v>
      </c>
      <c r="Z1669">
        <v>15.3</v>
      </c>
      <c r="AA1669">
        <v>30.6</v>
      </c>
      <c r="AB1669">
        <v>217</v>
      </c>
      <c r="AC1669">
        <v>66</v>
      </c>
      <c r="AD1669">
        <v>19.7</v>
      </c>
      <c r="AE1669">
        <v>10.6</v>
      </c>
      <c r="AF1669">
        <v>37.183999999999997</v>
      </c>
      <c r="AG1669">
        <v>26.664999999999999</v>
      </c>
      <c r="AH1669">
        <v>62.517000000000003</v>
      </c>
      <c r="AI1669">
        <v>15.093</v>
      </c>
      <c r="AJ1669">
        <v>52.261000000000003</v>
      </c>
      <c r="AK1669">
        <v>22.916</v>
      </c>
      <c r="AL1669">
        <v>-5.1269999999999998</v>
      </c>
      <c r="AM1669">
        <v>62.517000000000003</v>
      </c>
      <c r="AN1669">
        <v>26.664999999999999</v>
      </c>
      <c r="AO1669">
        <v>37.183999999999997</v>
      </c>
      <c r="AP1669">
        <v>5.1269999999999998</v>
      </c>
      <c r="AQ1669">
        <v>47.738999999999997</v>
      </c>
      <c r="AR1669">
        <v>84.906999999999996</v>
      </c>
      <c r="AS1669">
        <v>77.084000000000003</v>
      </c>
    </row>
    <row r="1670" spans="1:45" x14ac:dyDescent="0.25">
      <c r="A1670">
        <v>24</v>
      </c>
      <c r="B1670">
        <v>-10</v>
      </c>
      <c r="C1670">
        <v>0</v>
      </c>
      <c r="D1670">
        <v>2024</v>
      </c>
      <c r="E1670">
        <v>6</v>
      </c>
      <c r="F1670" t="str">
        <f>IFERROR(VLOOKUP(G1670, Map!$A$1:$B$33, 2, FALSE),"WAS")</f>
        <v>NYG</v>
      </c>
      <c r="G1670" t="s">
        <v>149</v>
      </c>
      <c r="H1670" t="str">
        <f>IFERROR(VLOOKUP(I1670, Map!$A$1:$B$33, 2, FALSE),"WAS")</f>
        <v>CIN</v>
      </c>
      <c r="I1670" t="s">
        <v>161</v>
      </c>
      <c r="J1670" t="s">
        <v>219</v>
      </c>
      <c r="K1670" t="s">
        <v>176</v>
      </c>
      <c r="L1670">
        <v>0</v>
      </c>
      <c r="M1670">
        <v>0</v>
      </c>
      <c r="N1670">
        <v>34.5</v>
      </c>
      <c r="O1670">
        <v>2</v>
      </c>
      <c r="P1670">
        <v>-0.5</v>
      </c>
      <c r="Q1670">
        <v>23.5</v>
      </c>
      <c r="R1670">
        <v>14</v>
      </c>
      <c r="S1670">
        <v>19.600000000000001</v>
      </c>
      <c r="T1670">
        <v>10.199999999999999</v>
      </c>
      <c r="U1670">
        <v>11.9</v>
      </c>
      <c r="V1670">
        <v>0.1</v>
      </c>
      <c r="W1670">
        <v>0</v>
      </c>
      <c r="X1670">
        <v>1</v>
      </c>
      <c r="Y1670">
        <v>0.1</v>
      </c>
      <c r="Z1670">
        <v>33.700000000000003</v>
      </c>
      <c r="AA1670">
        <v>66.2</v>
      </c>
      <c r="AB1670">
        <v>293</v>
      </c>
      <c r="AC1670">
        <v>74</v>
      </c>
      <c r="AD1670">
        <v>28.4</v>
      </c>
      <c r="AE1670">
        <v>13.4</v>
      </c>
      <c r="AF1670">
        <v>39.11</v>
      </c>
      <c r="AG1670">
        <v>45.517000000000003</v>
      </c>
      <c r="AH1670">
        <v>60.576000000000001</v>
      </c>
      <c r="AI1670">
        <v>63.475999999999999</v>
      </c>
      <c r="AJ1670">
        <v>26.271000000000001</v>
      </c>
      <c r="AK1670">
        <v>30.847999999999999</v>
      </c>
      <c r="AL1670">
        <v>-4.0940000000000003</v>
      </c>
      <c r="AM1670">
        <v>60.576000000000001</v>
      </c>
      <c r="AN1670">
        <v>45.517000000000003</v>
      </c>
      <c r="AO1670">
        <v>39.11</v>
      </c>
      <c r="AP1670">
        <v>4.0940000000000003</v>
      </c>
      <c r="AQ1670">
        <v>73.728999999999999</v>
      </c>
      <c r="AR1670">
        <v>36.524000000000001</v>
      </c>
      <c r="AS1670">
        <v>69.152000000000001</v>
      </c>
    </row>
    <row r="1671" spans="1:45" x14ac:dyDescent="0.25">
      <c r="A1671">
        <v>43</v>
      </c>
      <c r="B1671">
        <v>-3</v>
      </c>
      <c r="C1671">
        <v>0</v>
      </c>
      <c r="D1671">
        <v>2024</v>
      </c>
      <c r="E1671">
        <v>6</v>
      </c>
      <c r="F1671" t="str">
        <f>IFERROR(VLOOKUP(G1671, Map!$A$1:$B$33, 2, FALSE),"WAS")</f>
        <v>NYJ</v>
      </c>
      <c r="G1671" t="s">
        <v>166</v>
      </c>
      <c r="H1671" t="str">
        <f>IFERROR(VLOOKUP(I1671, Map!$A$1:$B$33, 2, FALSE),"WAS")</f>
        <v>BUF</v>
      </c>
      <c r="I1671" t="s">
        <v>165</v>
      </c>
      <c r="J1671" t="s">
        <v>172</v>
      </c>
      <c r="K1671" t="s">
        <v>180</v>
      </c>
      <c r="L1671">
        <v>0</v>
      </c>
      <c r="M1671">
        <v>0</v>
      </c>
      <c r="N1671">
        <v>45</v>
      </c>
      <c r="O1671">
        <v>0.5</v>
      </c>
      <c r="P1671">
        <v>-0.5</v>
      </c>
      <c r="Q1671">
        <v>42.5</v>
      </c>
      <c r="R1671">
        <v>9.6999999999999993</v>
      </c>
      <c r="S1671">
        <v>14.2</v>
      </c>
      <c r="T1671">
        <v>5.4</v>
      </c>
      <c r="U1671">
        <v>5.4</v>
      </c>
      <c r="V1671">
        <v>0</v>
      </c>
      <c r="W1671">
        <v>0</v>
      </c>
      <c r="X1671">
        <v>0</v>
      </c>
      <c r="Y1671">
        <v>0</v>
      </c>
      <c r="Z1671">
        <v>24.7</v>
      </c>
      <c r="AA1671">
        <v>48.6</v>
      </c>
      <c r="AB1671">
        <v>298</v>
      </c>
      <c r="AC1671">
        <v>57</v>
      </c>
      <c r="AD1671">
        <v>32.5</v>
      </c>
      <c r="AE1671">
        <v>15.6</v>
      </c>
      <c r="AF1671">
        <v>44.289000000000001</v>
      </c>
      <c r="AG1671">
        <v>70.912000000000006</v>
      </c>
      <c r="AH1671">
        <v>55.354999999999997</v>
      </c>
      <c r="AI1671">
        <v>22.838999999999999</v>
      </c>
      <c r="AJ1671">
        <v>73.38</v>
      </c>
      <c r="AK1671">
        <v>42.241999999999997</v>
      </c>
      <c r="AL1671">
        <v>-1.9730000000000001</v>
      </c>
      <c r="AM1671">
        <v>55.354999999999997</v>
      </c>
      <c r="AN1671">
        <v>70.912000000000006</v>
      </c>
      <c r="AO1671">
        <v>44.289000000000001</v>
      </c>
      <c r="AP1671">
        <v>1.9730000000000001</v>
      </c>
      <c r="AQ1671">
        <v>26.62</v>
      </c>
      <c r="AR1671">
        <v>77.161000000000001</v>
      </c>
      <c r="AS1671">
        <v>57.758000000000003</v>
      </c>
    </row>
    <row r="1672" spans="1:45" x14ac:dyDescent="0.25">
      <c r="A1672">
        <v>37</v>
      </c>
      <c r="B1672">
        <v>-3</v>
      </c>
      <c r="C1672">
        <v>0</v>
      </c>
      <c r="D1672">
        <v>2024</v>
      </c>
      <c r="E1672">
        <v>6</v>
      </c>
      <c r="F1672" t="str">
        <f>IFERROR(VLOOKUP(G1672, Map!$A$1:$B$33, 2, FALSE),"WAS")</f>
        <v>TEN</v>
      </c>
      <c r="G1672" t="s">
        <v>140</v>
      </c>
      <c r="H1672" t="str">
        <f>IFERROR(VLOOKUP(I1672, Map!$A$1:$B$33, 2, FALSE),"WAS")</f>
        <v>IND</v>
      </c>
      <c r="I1672" t="s">
        <v>138</v>
      </c>
      <c r="J1672" t="s">
        <v>174</v>
      </c>
      <c r="K1672" t="s">
        <v>177</v>
      </c>
      <c r="L1672">
        <v>0</v>
      </c>
      <c r="M1672">
        <v>0</v>
      </c>
      <c r="N1672">
        <v>40.5</v>
      </c>
      <c r="O1672">
        <v>-1.5</v>
      </c>
      <c r="P1672">
        <v>-0.5</v>
      </c>
      <c r="Q1672">
        <v>39.5</v>
      </c>
      <c r="R1672">
        <v>21.6</v>
      </c>
      <c r="S1672">
        <v>29.2</v>
      </c>
      <c r="T1672">
        <v>17.2</v>
      </c>
      <c r="U1672">
        <v>21.3</v>
      </c>
      <c r="V1672">
        <v>0.8</v>
      </c>
      <c r="W1672">
        <v>0</v>
      </c>
      <c r="X1672">
        <v>1</v>
      </c>
      <c r="Y1672">
        <v>0.8</v>
      </c>
      <c r="Z1672">
        <v>17.5</v>
      </c>
      <c r="AA1672">
        <v>33.1</v>
      </c>
      <c r="AB1672">
        <v>230</v>
      </c>
      <c r="AC1672">
        <v>63</v>
      </c>
      <c r="AD1672">
        <v>23.1</v>
      </c>
      <c r="AE1672">
        <v>12.6</v>
      </c>
      <c r="AF1672">
        <v>44.953000000000003</v>
      </c>
      <c r="AG1672">
        <v>35.997</v>
      </c>
      <c r="AH1672">
        <v>54.686</v>
      </c>
      <c r="AI1672">
        <v>51.078000000000003</v>
      </c>
      <c r="AJ1672">
        <v>40.904000000000003</v>
      </c>
      <c r="AK1672">
        <v>41.973999999999997</v>
      </c>
      <c r="AL1672">
        <v>-1.9770000000000001</v>
      </c>
      <c r="AM1672">
        <v>54.686</v>
      </c>
      <c r="AN1672">
        <v>35.997</v>
      </c>
      <c r="AO1672">
        <v>44.953000000000003</v>
      </c>
      <c r="AP1672">
        <v>1.9770000000000001</v>
      </c>
      <c r="AQ1672">
        <v>59.095999999999997</v>
      </c>
      <c r="AR1672">
        <v>48.921999999999997</v>
      </c>
      <c r="AS1672">
        <v>58.026000000000003</v>
      </c>
    </row>
    <row r="1673" spans="1:45" x14ac:dyDescent="0.25">
      <c r="A1673">
        <v>53</v>
      </c>
      <c r="B1673">
        <v>7</v>
      </c>
      <c r="C1673">
        <v>1</v>
      </c>
      <c r="D1673">
        <v>2024</v>
      </c>
      <c r="E1673">
        <v>6</v>
      </c>
      <c r="F1673" t="str">
        <f>IFERROR(VLOOKUP(G1673, Map!$A$1:$B$33, 2, FALSE),"WAS")</f>
        <v>BAL</v>
      </c>
      <c r="G1673" t="s">
        <v>146</v>
      </c>
      <c r="H1673" t="str">
        <f>IFERROR(VLOOKUP(I1673, Map!$A$1:$B$33, 2, FALSE),"WAS")</f>
        <v>WAS</v>
      </c>
      <c r="I1673" t="s">
        <v>148</v>
      </c>
      <c r="J1673" t="s">
        <v>181</v>
      </c>
      <c r="K1673" t="s">
        <v>205</v>
      </c>
      <c r="L1673">
        <v>1</v>
      </c>
      <c r="M1673">
        <v>0</v>
      </c>
      <c r="N1673">
        <v>51.5</v>
      </c>
      <c r="O1673">
        <v>-9</v>
      </c>
      <c r="P1673">
        <v>-7.5</v>
      </c>
      <c r="Q1673">
        <v>50.5</v>
      </c>
      <c r="R1673">
        <v>18.2</v>
      </c>
      <c r="S1673">
        <v>26.2</v>
      </c>
      <c r="T1673">
        <v>11.7</v>
      </c>
      <c r="U1673">
        <v>17.600000000000001</v>
      </c>
      <c r="V1673">
        <v>0</v>
      </c>
      <c r="W1673">
        <v>0</v>
      </c>
      <c r="X1673">
        <v>0</v>
      </c>
      <c r="Y1673">
        <v>0</v>
      </c>
      <c r="Z1673">
        <v>24.5</v>
      </c>
      <c r="AA1673">
        <v>43.6</v>
      </c>
      <c r="AB1673">
        <v>202</v>
      </c>
      <c r="AC1673">
        <v>72</v>
      </c>
      <c r="AD1673">
        <v>19.600000000000001</v>
      </c>
      <c r="AE1673">
        <v>10.7</v>
      </c>
      <c r="AF1673">
        <v>65.128</v>
      </c>
      <c r="AG1673">
        <v>75.296000000000006</v>
      </c>
      <c r="AH1673">
        <v>34.594000000000001</v>
      </c>
      <c r="AI1673">
        <v>49.752000000000002</v>
      </c>
      <c r="AJ1673">
        <v>84.988</v>
      </c>
      <c r="AK1673">
        <v>76.620999999999995</v>
      </c>
      <c r="AL1673">
        <v>5.8860000000000001</v>
      </c>
      <c r="AM1673">
        <v>34.594000000000001</v>
      </c>
      <c r="AN1673">
        <v>75.296000000000006</v>
      </c>
      <c r="AO1673">
        <v>65.128</v>
      </c>
      <c r="AP1673">
        <v>-5.8860000000000001</v>
      </c>
      <c r="AQ1673">
        <v>15.012</v>
      </c>
      <c r="AR1673">
        <v>50.247999999999998</v>
      </c>
      <c r="AS1673">
        <v>23.379000000000001</v>
      </c>
    </row>
    <row r="1674" spans="1:45" x14ac:dyDescent="0.25">
      <c r="A1674">
        <v>51</v>
      </c>
      <c r="B1674">
        <v>19</v>
      </c>
      <c r="C1674">
        <v>1</v>
      </c>
      <c r="D1674">
        <v>2024</v>
      </c>
      <c r="E1674">
        <v>6</v>
      </c>
      <c r="F1674" t="str">
        <f>IFERROR(VLOOKUP(G1674, Map!$A$1:$B$33, 2, FALSE),"WAS")</f>
        <v>CHI</v>
      </c>
      <c r="G1674" t="s">
        <v>163</v>
      </c>
      <c r="H1674" t="str">
        <f>IFERROR(VLOOKUP(I1674, Map!$A$1:$B$33, 2, FALSE),"WAS")</f>
        <v>JAX</v>
      </c>
      <c r="I1674" t="s">
        <v>139</v>
      </c>
      <c r="J1674" t="s">
        <v>216</v>
      </c>
      <c r="K1674" t="s">
        <v>220</v>
      </c>
      <c r="L1674">
        <v>1</v>
      </c>
      <c r="M1674">
        <v>0</v>
      </c>
      <c r="N1674">
        <v>33.6666666666667</v>
      </c>
      <c r="O1674">
        <v>-6.6666666666666696</v>
      </c>
      <c r="P1674">
        <v>1.5</v>
      </c>
      <c r="Q1674">
        <v>44.5</v>
      </c>
      <c r="R1674">
        <v>8</v>
      </c>
      <c r="S1674">
        <v>10.7</v>
      </c>
      <c r="T1674">
        <v>4.8</v>
      </c>
      <c r="U1674">
        <v>5.0999999999999996</v>
      </c>
      <c r="V1674">
        <v>0</v>
      </c>
      <c r="W1674">
        <v>0</v>
      </c>
      <c r="X1674">
        <v>0</v>
      </c>
      <c r="Y1674">
        <v>0</v>
      </c>
      <c r="Z1674">
        <v>21.6</v>
      </c>
      <c r="AA1674">
        <v>35.6</v>
      </c>
      <c r="AB1674">
        <v>268</v>
      </c>
      <c r="AC1674">
        <v>73</v>
      </c>
      <c r="AD1674">
        <v>17.5</v>
      </c>
      <c r="AE1674">
        <v>9</v>
      </c>
      <c r="AF1674">
        <v>60.107999999999997</v>
      </c>
      <c r="AG1674">
        <v>43.776000000000003</v>
      </c>
      <c r="AH1674">
        <v>39.573999999999998</v>
      </c>
      <c r="AI1674">
        <v>79.427999999999997</v>
      </c>
      <c r="AJ1674">
        <v>87.953999999999994</v>
      </c>
      <c r="AK1674">
        <v>91.606999999999999</v>
      </c>
      <c r="AL1674">
        <v>3.581</v>
      </c>
      <c r="AM1674">
        <v>39.573999999999998</v>
      </c>
      <c r="AN1674">
        <v>43.776000000000003</v>
      </c>
      <c r="AO1674">
        <v>60.107999999999997</v>
      </c>
      <c r="AP1674">
        <v>-3.581</v>
      </c>
      <c r="AQ1674">
        <v>12.045999999999999</v>
      </c>
      <c r="AR1674">
        <v>20.571999999999999</v>
      </c>
      <c r="AS1674">
        <v>8.3930000000000007</v>
      </c>
    </row>
    <row r="1675" spans="1:45" x14ac:dyDescent="0.25">
      <c r="A1675">
        <v>45</v>
      </c>
      <c r="B1675">
        <v>-19</v>
      </c>
      <c r="C1675">
        <v>0</v>
      </c>
      <c r="D1675">
        <v>2024</v>
      </c>
      <c r="E1675">
        <v>6</v>
      </c>
      <c r="F1675" t="str">
        <f>IFERROR(VLOOKUP(G1675, Map!$A$1:$B$33, 2, FALSE),"WAS")</f>
        <v>LV</v>
      </c>
      <c r="G1675" t="s">
        <v>157</v>
      </c>
      <c r="H1675" t="str">
        <f>IFERROR(VLOOKUP(I1675, Map!$A$1:$B$33, 2, FALSE),"WAS")</f>
        <v>PIT</v>
      </c>
      <c r="I1675" t="s">
        <v>145</v>
      </c>
      <c r="J1675" t="s">
        <v>179</v>
      </c>
      <c r="K1675" t="s">
        <v>170</v>
      </c>
      <c r="L1675">
        <v>0</v>
      </c>
      <c r="M1675">
        <v>0</v>
      </c>
      <c r="N1675">
        <v>42</v>
      </c>
      <c r="O1675">
        <v>11.5</v>
      </c>
      <c r="P1675">
        <v>3.5</v>
      </c>
      <c r="Q1675">
        <v>36.5</v>
      </c>
      <c r="R1675">
        <v>26.2</v>
      </c>
      <c r="S1675">
        <v>33.700000000000003</v>
      </c>
      <c r="T1675">
        <v>20.3</v>
      </c>
      <c r="U1675">
        <v>22.7</v>
      </c>
      <c r="V1675">
        <v>0</v>
      </c>
      <c r="W1675">
        <v>0</v>
      </c>
      <c r="X1675">
        <v>0</v>
      </c>
      <c r="Y1675">
        <v>0</v>
      </c>
      <c r="Z1675">
        <v>19.600000000000001</v>
      </c>
      <c r="AA1675">
        <v>33.5</v>
      </c>
      <c r="AB1675">
        <v>226</v>
      </c>
      <c r="AC1675">
        <v>13</v>
      </c>
      <c r="AD1675">
        <v>12.8</v>
      </c>
      <c r="AE1675">
        <v>6.3</v>
      </c>
      <c r="AF1675">
        <v>45.152000000000001</v>
      </c>
      <c r="AG1675">
        <v>40.712000000000003</v>
      </c>
      <c r="AH1675">
        <v>54.484999999999999</v>
      </c>
      <c r="AI1675">
        <v>49.442999999999998</v>
      </c>
      <c r="AJ1675">
        <v>12.702</v>
      </c>
      <c r="AK1675">
        <v>12.691000000000001</v>
      </c>
      <c r="AL1675">
        <v>-1.8049999999999999</v>
      </c>
      <c r="AM1675">
        <v>54.484999999999999</v>
      </c>
      <c r="AN1675">
        <v>40.712000000000003</v>
      </c>
      <c r="AO1675">
        <v>45.152000000000001</v>
      </c>
      <c r="AP1675">
        <v>1.8049999999999999</v>
      </c>
      <c r="AQ1675">
        <v>87.298000000000002</v>
      </c>
      <c r="AR1675">
        <v>50.557000000000002</v>
      </c>
      <c r="AS1675">
        <v>87.308999999999997</v>
      </c>
    </row>
    <row r="1676" spans="1:45" x14ac:dyDescent="0.25">
      <c r="A1676">
        <v>47</v>
      </c>
      <c r="B1676">
        <v>21</v>
      </c>
      <c r="C1676">
        <v>1</v>
      </c>
      <c r="D1676">
        <v>2024</v>
      </c>
      <c r="E1676">
        <v>6</v>
      </c>
      <c r="F1676" t="str">
        <f>IFERROR(VLOOKUP(G1676, Map!$A$1:$B$33, 2, FALSE),"WAS")</f>
        <v>GB</v>
      </c>
      <c r="G1676" t="s">
        <v>154</v>
      </c>
      <c r="H1676" t="str">
        <f>IFERROR(VLOOKUP(I1676, Map!$A$1:$B$33, 2, FALSE),"WAS")</f>
        <v>ARI</v>
      </c>
      <c r="I1676" t="s">
        <v>156</v>
      </c>
      <c r="J1676" t="s">
        <v>200</v>
      </c>
      <c r="K1676" t="s">
        <v>190</v>
      </c>
      <c r="L1676">
        <v>1</v>
      </c>
      <c r="M1676">
        <v>0</v>
      </c>
      <c r="N1676">
        <v>48.5</v>
      </c>
      <c r="O1676">
        <v>-14</v>
      </c>
      <c r="P1676">
        <v>-6.5</v>
      </c>
      <c r="Q1676">
        <v>46.5</v>
      </c>
      <c r="R1676">
        <v>10.3</v>
      </c>
      <c r="S1676">
        <v>13</v>
      </c>
      <c r="T1676">
        <v>7.9</v>
      </c>
      <c r="U1676">
        <v>8.1</v>
      </c>
      <c r="V1676">
        <v>6.4</v>
      </c>
      <c r="W1676">
        <v>0</v>
      </c>
      <c r="X1676">
        <v>8</v>
      </c>
      <c r="Y1676">
        <v>6.4</v>
      </c>
      <c r="Z1676">
        <v>19.5</v>
      </c>
      <c r="AA1676">
        <v>36.700000000000003</v>
      </c>
      <c r="AB1676">
        <v>333</v>
      </c>
      <c r="AC1676">
        <v>81</v>
      </c>
      <c r="AD1676">
        <v>18.8</v>
      </c>
      <c r="AE1676">
        <v>9.3000000000000007</v>
      </c>
      <c r="AF1676">
        <v>61.512999999999998</v>
      </c>
      <c r="AG1676">
        <v>63.103999999999999</v>
      </c>
      <c r="AH1676">
        <v>38.18</v>
      </c>
      <c r="AI1676">
        <v>81.91</v>
      </c>
      <c r="AJ1676">
        <v>87.399000000000001</v>
      </c>
      <c r="AK1676">
        <v>92.759</v>
      </c>
      <c r="AL1676">
        <v>4.2489999999999997</v>
      </c>
      <c r="AM1676">
        <v>38.18</v>
      </c>
      <c r="AN1676">
        <v>63.103999999999999</v>
      </c>
      <c r="AO1676">
        <v>61.512999999999998</v>
      </c>
      <c r="AP1676">
        <v>-4.2489999999999997</v>
      </c>
      <c r="AQ1676">
        <v>12.601000000000001</v>
      </c>
      <c r="AR1676">
        <v>18.09</v>
      </c>
      <c r="AS1676">
        <v>7.2409999999999997</v>
      </c>
    </row>
    <row r="1677" spans="1:45" x14ac:dyDescent="0.25">
      <c r="A1677">
        <v>78</v>
      </c>
      <c r="B1677">
        <v>-24</v>
      </c>
      <c r="C1677">
        <v>0</v>
      </c>
      <c r="D1677">
        <v>2024</v>
      </c>
      <c r="E1677">
        <v>6</v>
      </c>
      <c r="F1677" t="str">
        <f>IFERROR(VLOOKUP(G1677, Map!$A$1:$B$33, 2, FALSE),"WAS")</f>
        <v>NO</v>
      </c>
      <c r="G1677" t="s">
        <v>168</v>
      </c>
      <c r="H1677" t="str">
        <f>IFERROR(VLOOKUP(I1677, Map!$A$1:$B$33, 2, FALSE),"WAS")</f>
        <v>TB</v>
      </c>
      <c r="I1677" t="s">
        <v>141</v>
      </c>
      <c r="J1677" t="s">
        <v>192</v>
      </c>
      <c r="K1677" t="s">
        <v>186</v>
      </c>
      <c r="L1677">
        <v>0</v>
      </c>
      <c r="M1677">
        <v>0</v>
      </c>
      <c r="N1677">
        <v>58.5</v>
      </c>
      <c r="O1677">
        <v>9</v>
      </c>
      <c r="P1677">
        <v>3.5</v>
      </c>
      <c r="Q1677">
        <v>42.5</v>
      </c>
      <c r="R1677">
        <v>22.7</v>
      </c>
      <c r="S1677">
        <v>27.6</v>
      </c>
      <c r="T1677">
        <v>18.7</v>
      </c>
      <c r="U1677">
        <v>24.6</v>
      </c>
      <c r="V1677">
        <v>0</v>
      </c>
      <c r="W1677">
        <v>0</v>
      </c>
      <c r="X1677">
        <v>0</v>
      </c>
      <c r="Y1677">
        <v>0</v>
      </c>
      <c r="Z1677">
        <v>11.6</v>
      </c>
      <c r="AA1677">
        <v>21.2</v>
      </c>
      <c r="AB1677">
        <v>217</v>
      </c>
      <c r="AC1677">
        <v>74</v>
      </c>
      <c r="AD1677">
        <v>14.1</v>
      </c>
      <c r="AE1677">
        <v>7.5</v>
      </c>
      <c r="AF1677">
        <v>40.305</v>
      </c>
      <c r="AG1677">
        <v>59.591999999999999</v>
      </c>
      <c r="AH1677">
        <v>59.371000000000002</v>
      </c>
      <c r="AI1677">
        <v>35.816000000000003</v>
      </c>
      <c r="AJ1677">
        <v>8.4459999999999997</v>
      </c>
      <c r="AK1677">
        <v>19.164999999999999</v>
      </c>
      <c r="AL1677">
        <v>-3.7629999999999999</v>
      </c>
      <c r="AM1677">
        <v>59.371000000000002</v>
      </c>
      <c r="AN1677">
        <v>59.591999999999999</v>
      </c>
      <c r="AO1677">
        <v>40.305</v>
      </c>
      <c r="AP1677">
        <v>3.7629999999999999</v>
      </c>
      <c r="AQ1677">
        <v>91.554000000000002</v>
      </c>
      <c r="AR1677">
        <v>64.183999999999997</v>
      </c>
      <c r="AS1677">
        <v>80.834999999999994</v>
      </c>
    </row>
    <row r="1678" spans="1:45" x14ac:dyDescent="0.25">
      <c r="A1678">
        <v>31</v>
      </c>
      <c r="B1678">
        <v>-25</v>
      </c>
      <c r="C1678">
        <v>0</v>
      </c>
      <c r="D1678">
        <v>2024</v>
      </c>
      <c r="E1678">
        <v>7</v>
      </c>
      <c r="F1678" t="str">
        <f>IFERROR(VLOOKUP(G1678, Map!$A$1:$B$33, 2, FALSE),"WAS")</f>
        <v>NYG</v>
      </c>
      <c r="G1678" t="s">
        <v>149</v>
      </c>
      <c r="H1678" t="str">
        <f>IFERROR(VLOOKUP(I1678, Map!$A$1:$B$33, 2, FALSE),"WAS")</f>
        <v>PHI</v>
      </c>
      <c r="I1678" t="s">
        <v>147</v>
      </c>
      <c r="J1678" t="s">
        <v>219</v>
      </c>
      <c r="K1678" t="s">
        <v>206</v>
      </c>
      <c r="L1678">
        <v>0</v>
      </c>
      <c r="M1678">
        <v>0</v>
      </c>
      <c r="N1678">
        <v>37.5</v>
      </c>
      <c r="O1678">
        <v>13</v>
      </c>
      <c r="P1678">
        <v>3.5</v>
      </c>
      <c r="Q1678">
        <v>32.5</v>
      </c>
      <c r="R1678">
        <v>14</v>
      </c>
      <c r="S1678">
        <v>23.7</v>
      </c>
      <c r="T1678">
        <v>6.3</v>
      </c>
      <c r="U1678">
        <v>11.8</v>
      </c>
      <c r="V1678">
        <v>0</v>
      </c>
      <c r="W1678">
        <v>0</v>
      </c>
      <c r="X1678">
        <v>0</v>
      </c>
      <c r="Y1678">
        <v>0</v>
      </c>
      <c r="Z1678">
        <v>11.2</v>
      </c>
      <c r="AA1678">
        <v>18.399999999999999</v>
      </c>
      <c r="AB1678">
        <v>257</v>
      </c>
      <c r="AC1678">
        <v>57</v>
      </c>
      <c r="AD1678">
        <v>12.9</v>
      </c>
      <c r="AE1678">
        <v>6.2</v>
      </c>
      <c r="AF1678">
        <v>36.851999999999997</v>
      </c>
      <c r="AG1678">
        <v>46.392000000000003</v>
      </c>
      <c r="AH1678">
        <v>62.851999999999997</v>
      </c>
      <c r="AI1678">
        <v>26.033999999999999</v>
      </c>
      <c r="AJ1678">
        <v>6.4489999999999998</v>
      </c>
      <c r="AK1678">
        <v>7.6909999999999998</v>
      </c>
      <c r="AL1678">
        <v>-5.2290000000000001</v>
      </c>
      <c r="AM1678">
        <v>62.851999999999997</v>
      </c>
      <c r="AN1678">
        <v>46.392000000000003</v>
      </c>
      <c r="AO1678">
        <v>36.851999999999997</v>
      </c>
      <c r="AP1678">
        <v>5.2290000000000001</v>
      </c>
      <c r="AQ1678">
        <v>93.551000000000002</v>
      </c>
      <c r="AR1678">
        <v>73.965999999999994</v>
      </c>
      <c r="AS1678">
        <v>92.308999999999997</v>
      </c>
    </row>
    <row r="1679" spans="1:45" x14ac:dyDescent="0.25">
      <c r="A1679">
        <v>35</v>
      </c>
      <c r="B1679">
        <v>-7</v>
      </c>
      <c r="C1679">
        <v>0</v>
      </c>
      <c r="D1679">
        <v>2024</v>
      </c>
      <c r="E1679">
        <v>7</v>
      </c>
      <c r="F1679" t="str">
        <f>IFERROR(VLOOKUP(G1679, Map!$A$1:$B$33, 2, FALSE),"WAS")</f>
        <v>CLE</v>
      </c>
      <c r="G1679" t="s">
        <v>162</v>
      </c>
      <c r="H1679" t="str">
        <f>IFERROR(VLOOKUP(I1679, Map!$A$1:$B$33, 2, FALSE),"WAS")</f>
        <v>CIN</v>
      </c>
      <c r="I1679" t="s">
        <v>161</v>
      </c>
      <c r="J1679" t="s">
        <v>171</v>
      </c>
      <c r="K1679" t="s">
        <v>176</v>
      </c>
      <c r="L1679">
        <v>0</v>
      </c>
      <c r="M1679">
        <v>0</v>
      </c>
      <c r="N1679">
        <v>36</v>
      </c>
      <c r="O1679">
        <v>10</v>
      </c>
      <c r="P1679">
        <v>5.5</v>
      </c>
      <c r="Q1679">
        <v>29.5</v>
      </c>
      <c r="R1679">
        <v>14.5</v>
      </c>
      <c r="S1679">
        <v>19.2</v>
      </c>
      <c r="T1679">
        <v>11</v>
      </c>
      <c r="U1679">
        <v>12.6</v>
      </c>
      <c r="V1679">
        <v>0</v>
      </c>
      <c r="W1679">
        <v>0</v>
      </c>
      <c r="X1679">
        <v>0</v>
      </c>
      <c r="Y1679">
        <v>0</v>
      </c>
      <c r="Z1679">
        <v>15.2</v>
      </c>
      <c r="AA1679">
        <v>22</v>
      </c>
      <c r="AB1679">
        <v>210</v>
      </c>
      <c r="AC1679">
        <v>72</v>
      </c>
      <c r="AD1679">
        <v>17.600000000000001</v>
      </c>
      <c r="AE1679">
        <v>12.3</v>
      </c>
      <c r="AF1679">
        <v>39.11</v>
      </c>
      <c r="AG1679">
        <v>39.296999999999997</v>
      </c>
      <c r="AH1679">
        <v>60.576000000000001</v>
      </c>
      <c r="AI1679">
        <v>73.587000000000003</v>
      </c>
      <c r="AJ1679">
        <v>22.097999999999999</v>
      </c>
      <c r="AK1679">
        <v>20.594000000000001</v>
      </c>
      <c r="AL1679">
        <v>-4.5209999999999999</v>
      </c>
      <c r="AM1679">
        <v>60.576000000000001</v>
      </c>
      <c r="AN1679">
        <v>39.296999999999997</v>
      </c>
      <c r="AO1679">
        <v>39.11</v>
      </c>
      <c r="AP1679">
        <v>4.5209999999999999</v>
      </c>
      <c r="AQ1679">
        <v>77.902000000000001</v>
      </c>
      <c r="AR1679">
        <v>26.413</v>
      </c>
      <c r="AS1679">
        <v>79.406000000000006</v>
      </c>
    </row>
    <row r="1680" spans="1:45" x14ac:dyDescent="0.25">
      <c r="A1680">
        <v>46</v>
      </c>
      <c r="B1680">
        <v>-10</v>
      </c>
      <c r="C1680">
        <v>0</v>
      </c>
      <c r="D1680">
        <v>2024</v>
      </c>
      <c r="E1680">
        <v>7</v>
      </c>
      <c r="F1680" t="str">
        <f>IFERROR(VLOOKUP(G1680, Map!$A$1:$B$33, 2, FALSE),"WAS")</f>
        <v>SF</v>
      </c>
      <c r="G1680" t="s">
        <v>143</v>
      </c>
      <c r="H1680" t="str">
        <f>IFERROR(VLOOKUP(I1680, Map!$A$1:$B$33, 2, FALSE),"WAS")</f>
        <v>KC</v>
      </c>
      <c r="I1680" t="s">
        <v>158</v>
      </c>
      <c r="J1680" t="s">
        <v>197</v>
      </c>
      <c r="K1680" t="s">
        <v>202</v>
      </c>
      <c r="L1680">
        <v>0</v>
      </c>
      <c r="M1680">
        <v>0</v>
      </c>
      <c r="N1680">
        <v>27.6666666666667</v>
      </c>
      <c r="O1680">
        <v>2.3333333333333299</v>
      </c>
      <c r="P1680">
        <v>-2.5</v>
      </c>
      <c r="Q1680">
        <v>35.5</v>
      </c>
      <c r="R1680">
        <v>19.5</v>
      </c>
      <c r="S1680">
        <v>30.1</v>
      </c>
      <c r="T1680">
        <v>10.4</v>
      </c>
      <c r="U1680">
        <v>16.5</v>
      </c>
      <c r="V1680">
        <v>0</v>
      </c>
      <c r="W1680">
        <v>0</v>
      </c>
      <c r="X1680">
        <v>0</v>
      </c>
      <c r="Y1680">
        <v>0</v>
      </c>
      <c r="Z1680">
        <v>13.6</v>
      </c>
      <c r="AA1680">
        <v>23.4</v>
      </c>
      <c r="AB1680">
        <v>87</v>
      </c>
      <c r="AC1680">
        <v>30</v>
      </c>
      <c r="AD1680">
        <v>11.5</v>
      </c>
      <c r="AE1680">
        <v>6.4</v>
      </c>
      <c r="AF1680">
        <v>50.804000000000002</v>
      </c>
      <c r="AG1680">
        <v>86.471999999999994</v>
      </c>
      <c r="AH1680">
        <v>48.804000000000002</v>
      </c>
      <c r="AI1680">
        <v>52.122999999999998</v>
      </c>
      <c r="AJ1680">
        <v>16.190000000000001</v>
      </c>
      <c r="AK1680">
        <v>26.074000000000002</v>
      </c>
      <c r="AL1680">
        <v>0.45300000000000001</v>
      </c>
      <c r="AM1680">
        <v>48.804000000000002</v>
      </c>
      <c r="AN1680">
        <v>86.471999999999994</v>
      </c>
      <c r="AO1680">
        <v>50.804000000000002</v>
      </c>
      <c r="AP1680">
        <v>-0.45300000000000001</v>
      </c>
      <c r="AQ1680">
        <v>83.81</v>
      </c>
      <c r="AR1680">
        <v>47.877000000000002</v>
      </c>
      <c r="AS1680">
        <v>73.926000000000002</v>
      </c>
    </row>
    <row r="1681" spans="1:45" x14ac:dyDescent="0.25">
      <c r="A1681">
        <v>43</v>
      </c>
      <c r="B1681">
        <v>-23</v>
      </c>
      <c r="C1681">
        <v>0</v>
      </c>
      <c r="D1681">
        <v>2024</v>
      </c>
      <c r="E1681">
        <v>7</v>
      </c>
      <c r="F1681" t="str">
        <f>IFERROR(VLOOKUP(G1681, Map!$A$1:$B$33, 2, FALSE),"WAS")</f>
        <v>NO</v>
      </c>
      <c r="G1681" t="s">
        <v>168</v>
      </c>
      <c r="H1681" t="str">
        <f>IFERROR(VLOOKUP(I1681, Map!$A$1:$B$33, 2, FALSE),"WAS")</f>
        <v>DEN</v>
      </c>
      <c r="I1681" t="s">
        <v>159</v>
      </c>
      <c r="J1681" t="s">
        <v>192</v>
      </c>
      <c r="K1681" t="s">
        <v>183</v>
      </c>
      <c r="L1681">
        <v>0</v>
      </c>
      <c r="M1681">
        <v>0</v>
      </c>
      <c r="N1681">
        <v>35</v>
      </c>
      <c r="O1681">
        <v>14.5</v>
      </c>
      <c r="P1681">
        <v>2.5</v>
      </c>
      <c r="Q1681">
        <v>32.5</v>
      </c>
      <c r="R1681">
        <v>17.3</v>
      </c>
      <c r="S1681">
        <v>21.5</v>
      </c>
      <c r="T1681">
        <v>13.8</v>
      </c>
      <c r="U1681">
        <v>15.5</v>
      </c>
      <c r="V1681">
        <v>0</v>
      </c>
      <c r="W1681">
        <v>0</v>
      </c>
      <c r="X1681">
        <v>0</v>
      </c>
      <c r="Y1681">
        <v>0</v>
      </c>
      <c r="Z1681">
        <v>24.2</v>
      </c>
      <c r="AA1681">
        <v>44.6</v>
      </c>
      <c r="AB1681">
        <v>65</v>
      </c>
      <c r="AC1681">
        <v>64</v>
      </c>
      <c r="AD1681">
        <v>24.5</v>
      </c>
      <c r="AE1681">
        <v>13.8</v>
      </c>
      <c r="AF1681">
        <v>48.338999999999999</v>
      </c>
      <c r="AG1681">
        <v>39.985999999999997</v>
      </c>
      <c r="AH1681">
        <v>51.273000000000003</v>
      </c>
      <c r="AI1681">
        <v>29.268999999999998</v>
      </c>
      <c r="AJ1681">
        <v>9.3659999999999997</v>
      </c>
      <c r="AK1681">
        <v>8.2170000000000005</v>
      </c>
      <c r="AL1681">
        <v>-0.47299999999999998</v>
      </c>
      <c r="AM1681">
        <v>51.273000000000003</v>
      </c>
      <c r="AN1681">
        <v>39.985999999999997</v>
      </c>
      <c r="AO1681">
        <v>48.338999999999999</v>
      </c>
      <c r="AP1681">
        <v>0.47299999999999998</v>
      </c>
      <c r="AQ1681">
        <v>90.634</v>
      </c>
      <c r="AR1681">
        <v>70.730999999999995</v>
      </c>
      <c r="AS1681">
        <v>91.783000000000001</v>
      </c>
    </row>
    <row r="1682" spans="1:45" x14ac:dyDescent="0.25">
      <c r="A1682">
        <v>46</v>
      </c>
      <c r="B1682">
        <v>2</v>
      </c>
      <c r="C1682">
        <v>1</v>
      </c>
      <c r="D1682">
        <v>2024</v>
      </c>
      <c r="E1682">
        <v>7</v>
      </c>
      <c r="F1682" t="str">
        <f>IFERROR(VLOOKUP(G1682, Map!$A$1:$B$33, 2, FALSE),"WAS")</f>
        <v>GB</v>
      </c>
      <c r="G1682" t="s">
        <v>154</v>
      </c>
      <c r="H1682" t="str">
        <f>IFERROR(VLOOKUP(I1682, Map!$A$1:$B$33, 2, FALSE),"WAS")</f>
        <v>HOU</v>
      </c>
      <c r="I1682" t="s">
        <v>137</v>
      </c>
      <c r="J1682" t="s">
        <v>200</v>
      </c>
      <c r="K1682" t="s">
        <v>209</v>
      </c>
      <c r="L1682">
        <v>1</v>
      </c>
      <c r="M1682">
        <v>0</v>
      </c>
      <c r="N1682">
        <v>47</v>
      </c>
      <c r="O1682">
        <v>-2.5</v>
      </c>
      <c r="P1682">
        <v>-1.5</v>
      </c>
      <c r="Q1682">
        <v>46.5</v>
      </c>
      <c r="R1682">
        <v>17.8</v>
      </c>
      <c r="S1682">
        <v>24.3</v>
      </c>
      <c r="T1682">
        <v>13.3</v>
      </c>
      <c r="U1682">
        <v>14.2</v>
      </c>
      <c r="V1682">
        <v>0</v>
      </c>
      <c r="W1682">
        <v>0</v>
      </c>
      <c r="X1682">
        <v>0</v>
      </c>
      <c r="Y1682">
        <v>0</v>
      </c>
      <c r="Z1682">
        <v>21</v>
      </c>
      <c r="AA1682">
        <v>40.700000000000003</v>
      </c>
      <c r="AB1682">
        <v>220</v>
      </c>
      <c r="AC1682">
        <v>47</v>
      </c>
      <c r="AD1682">
        <v>34.5</v>
      </c>
      <c r="AE1682">
        <v>18.5</v>
      </c>
      <c r="AF1682">
        <v>57.765000000000001</v>
      </c>
      <c r="AG1682">
        <v>73.376999999999995</v>
      </c>
      <c r="AH1682">
        <v>41.898000000000003</v>
      </c>
      <c r="AI1682">
        <v>75.704999999999998</v>
      </c>
      <c r="AJ1682">
        <v>49.433999999999997</v>
      </c>
      <c r="AK1682">
        <v>57.956000000000003</v>
      </c>
      <c r="AL1682">
        <v>3.2240000000000002</v>
      </c>
      <c r="AM1682">
        <v>41.898000000000003</v>
      </c>
      <c r="AN1682">
        <v>73.376999999999995</v>
      </c>
      <c r="AO1682">
        <v>57.765000000000001</v>
      </c>
      <c r="AP1682">
        <v>-3.2240000000000002</v>
      </c>
      <c r="AQ1682">
        <v>50.566000000000003</v>
      </c>
      <c r="AR1682">
        <v>24.295000000000002</v>
      </c>
      <c r="AS1682">
        <v>42.043999999999997</v>
      </c>
    </row>
    <row r="1683" spans="1:45" x14ac:dyDescent="0.25">
      <c r="A1683">
        <v>47</v>
      </c>
      <c r="B1683">
        <v>33</v>
      </c>
      <c r="C1683">
        <v>1</v>
      </c>
      <c r="D1683">
        <v>2024</v>
      </c>
      <c r="E1683">
        <v>7</v>
      </c>
      <c r="F1683" t="str">
        <f>IFERROR(VLOOKUP(G1683, Map!$A$1:$B$33, 2, FALSE),"WAS")</f>
        <v>WAS</v>
      </c>
      <c r="G1683" t="s">
        <v>148</v>
      </c>
      <c r="H1683" t="str">
        <f>IFERROR(VLOOKUP(I1683, Map!$A$1:$B$33, 2, FALSE),"WAS")</f>
        <v>CAR</v>
      </c>
      <c r="I1683" t="s">
        <v>142</v>
      </c>
      <c r="J1683" t="s">
        <v>205</v>
      </c>
      <c r="K1683" t="s">
        <v>185</v>
      </c>
      <c r="L1683">
        <v>1</v>
      </c>
      <c r="M1683">
        <v>0</v>
      </c>
      <c r="N1683">
        <v>50.5</v>
      </c>
      <c r="O1683">
        <v>-23</v>
      </c>
      <c r="P1683">
        <v>-10.5</v>
      </c>
      <c r="Q1683">
        <v>50.5</v>
      </c>
      <c r="R1683">
        <v>12.6</v>
      </c>
      <c r="S1683">
        <v>22</v>
      </c>
      <c r="T1683">
        <v>5.3</v>
      </c>
      <c r="U1683">
        <v>10.8</v>
      </c>
      <c r="V1683">
        <v>0</v>
      </c>
      <c r="W1683">
        <v>0</v>
      </c>
      <c r="X1683">
        <v>0</v>
      </c>
      <c r="Y1683">
        <v>0</v>
      </c>
      <c r="Z1683">
        <v>10.1</v>
      </c>
      <c r="AA1683">
        <v>18.7</v>
      </c>
      <c r="AB1683">
        <v>280</v>
      </c>
      <c r="AC1683">
        <v>68</v>
      </c>
      <c r="AD1683">
        <v>12.2</v>
      </c>
      <c r="AE1683">
        <v>6.9</v>
      </c>
      <c r="AF1683">
        <v>72.489999999999995</v>
      </c>
      <c r="AG1683">
        <v>32.133000000000003</v>
      </c>
      <c r="AH1683">
        <v>27.29</v>
      </c>
      <c r="AI1683">
        <v>99.915999999999997</v>
      </c>
      <c r="AJ1683">
        <v>82.509</v>
      </c>
      <c r="AK1683">
        <v>99.373000000000005</v>
      </c>
      <c r="AL1683">
        <v>9.1859999999999999</v>
      </c>
      <c r="AM1683">
        <v>27.29</v>
      </c>
      <c r="AN1683">
        <v>32.133000000000003</v>
      </c>
      <c r="AO1683">
        <v>72.489999999999995</v>
      </c>
      <c r="AP1683">
        <v>-9.1859999999999999</v>
      </c>
      <c r="AQ1683">
        <v>17.491</v>
      </c>
      <c r="AR1683">
        <v>8.4000000000000005E-2</v>
      </c>
      <c r="AS1683">
        <v>0.627</v>
      </c>
    </row>
    <row r="1684" spans="1:45" x14ac:dyDescent="0.25">
      <c r="A1684">
        <v>72</v>
      </c>
      <c r="B1684">
        <v>-10</v>
      </c>
      <c r="C1684">
        <v>0</v>
      </c>
      <c r="D1684">
        <v>2024</v>
      </c>
      <c r="E1684">
        <v>7</v>
      </c>
      <c r="F1684" t="str">
        <f>IFERROR(VLOOKUP(G1684, Map!$A$1:$B$33, 2, FALSE),"WAS")</f>
        <v>TB</v>
      </c>
      <c r="G1684" t="s">
        <v>141</v>
      </c>
      <c r="H1684" t="str">
        <f>IFERROR(VLOOKUP(I1684, Map!$A$1:$B$33, 2, FALSE),"WAS")</f>
        <v>BAL</v>
      </c>
      <c r="I1684" t="s">
        <v>146</v>
      </c>
      <c r="J1684" t="s">
        <v>186</v>
      </c>
      <c r="K1684" t="s">
        <v>181</v>
      </c>
      <c r="L1684">
        <v>0</v>
      </c>
      <c r="M1684">
        <v>0</v>
      </c>
      <c r="N1684">
        <v>58</v>
      </c>
      <c r="O1684">
        <v>11</v>
      </c>
      <c r="P1684">
        <v>4.5</v>
      </c>
      <c r="Q1684">
        <v>50.5</v>
      </c>
      <c r="R1684">
        <v>23.8</v>
      </c>
      <c r="S1684">
        <v>28.8</v>
      </c>
      <c r="T1684">
        <v>19.899999999999999</v>
      </c>
      <c r="U1684">
        <v>24.7</v>
      </c>
      <c r="V1684">
        <v>0</v>
      </c>
      <c r="W1684">
        <v>0</v>
      </c>
      <c r="X1684">
        <v>0</v>
      </c>
      <c r="Y1684">
        <v>0</v>
      </c>
      <c r="Z1684">
        <v>22.6</v>
      </c>
      <c r="AA1684">
        <v>41.4</v>
      </c>
      <c r="AB1684">
        <v>36</v>
      </c>
      <c r="AC1684">
        <v>76</v>
      </c>
      <c r="AD1684">
        <v>31.6</v>
      </c>
      <c r="AE1684">
        <v>18</v>
      </c>
      <c r="AF1684">
        <v>41.034999999999997</v>
      </c>
      <c r="AG1684">
        <v>77.05</v>
      </c>
      <c r="AH1684">
        <v>58.634999999999998</v>
      </c>
      <c r="AI1684">
        <v>5.4640000000000004</v>
      </c>
      <c r="AJ1684">
        <v>51.497999999999998</v>
      </c>
      <c r="AK1684">
        <v>12.545</v>
      </c>
      <c r="AL1684">
        <v>-3.2610000000000001</v>
      </c>
      <c r="AM1684">
        <v>58.634999999999998</v>
      </c>
      <c r="AN1684">
        <v>77.05</v>
      </c>
      <c r="AO1684">
        <v>41.034999999999997</v>
      </c>
      <c r="AP1684">
        <v>3.2610000000000001</v>
      </c>
      <c r="AQ1684">
        <v>48.502000000000002</v>
      </c>
      <c r="AR1684">
        <v>94.536000000000001</v>
      </c>
      <c r="AS1684">
        <v>87.454999999999998</v>
      </c>
    </row>
    <row r="1685" spans="1:45" x14ac:dyDescent="0.25">
      <c r="A1685">
        <v>48</v>
      </c>
      <c r="B1685">
        <v>-20</v>
      </c>
      <c r="C1685">
        <v>0</v>
      </c>
      <c r="D1685">
        <v>2024</v>
      </c>
      <c r="E1685">
        <v>7</v>
      </c>
      <c r="F1685" t="str">
        <f>IFERROR(VLOOKUP(G1685, Map!$A$1:$B$33, 2, FALSE),"WAS")</f>
        <v>ATL</v>
      </c>
      <c r="G1685" t="s">
        <v>167</v>
      </c>
      <c r="H1685" t="str">
        <f>IFERROR(VLOOKUP(I1685, Map!$A$1:$B$33, 2, FALSE),"WAS")</f>
        <v>SEA</v>
      </c>
      <c r="I1685" t="s">
        <v>144</v>
      </c>
      <c r="J1685" t="s">
        <v>188</v>
      </c>
      <c r="K1685" t="s">
        <v>182</v>
      </c>
      <c r="L1685">
        <v>0</v>
      </c>
      <c r="M1685">
        <v>0</v>
      </c>
      <c r="N1685">
        <v>51</v>
      </c>
      <c r="O1685">
        <v>7</v>
      </c>
      <c r="P1685">
        <v>-2.5</v>
      </c>
      <c r="Q1685">
        <v>50.5</v>
      </c>
      <c r="R1685">
        <v>14.2</v>
      </c>
      <c r="S1685">
        <v>23.1</v>
      </c>
      <c r="T1685">
        <v>8.1</v>
      </c>
      <c r="U1685">
        <v>12.1</v>
      </c>
      <c r="V1685">
        <v>0</v>
      </c>
      <c r="W1685">
        <v>0</v>
      </c>
      <c r="X1685">
        <v>0</v>
      </c>
      <c r="Y1685">
        <v>0</v>
      </c>
      <c r="Z1685">
        <v>11.3</v>
      </c>
      <c r="AA1685">
        <v>19.100000000000001</v>
      </c>
      <c r="AB1685">
        <v>42</v>
      </c>
      <c r="AC1685">
        <v>59</v>
      </c>
      <c r="AD1685">
        <v>14.5</v>
      </c>
      <c r="AE1685">
        <v>7.6</v>
      </c>
      <c r="AF1685">
        <v>57.765000000000001</v>
      </c>
      <c r="AG1685">
        <v>50.366</v>
      </c>
      <c r="AH1685">
        <v>41.898000000000003</v>
      </c>
      <c r="AI1685">
        <v>15.148999999999999</v>
      </c>
      <c r="AJ1685">
        <v>37.494999999999997</v>
      </c>
      <c r="AK1685">
        <v>15.163</v>
      </c>
      <c r="AL1685">
        <v>2.9180000000000001</v>
      </c>
      <c r="AM1685">
        <v>41.898000000000003</v>
      </c>
      <c r="AN1685">
        <v>50.366</v>
      </c>
      <c r="AO1685">
        <v>57.765000000000001</v>
      </c>
      <c r="AP1685">
        <v>-2.9180000000000001</v>
      </c>
      <c r="AQ1685">
        <v>62.505000000000003</v>
      </c>
      <c r="AR1685">
        <v>84.850999999999999</v>
      </c>
      <c r="AS1685">
        <v>84.837000000000003</v>
      </c>
    </row>
    <row r="1686" spans="1:45" x14ac:dyDescent="0.25">
      <c r="A1686">
        <v>35</v>
      </c>
      <c r="B1686">
        <v>5</v>
      </c>
      <c r="C1686">
        <v>1</v>
      </c>
      <c r="D1686">
        <v>2024</v>
      </c>
      <c r="E1686">
        <v>7</v>
      </c>
      <c r="F1686" t="str">
        <f>IFERROR(VLOOKUP(G1686, Map!$A$1:$B$33, 2, FALSE),"WAS")</f>
        <v>LA</v>
      </c>
      <c r="G1686" t="s">
        <v>155</v>
      </c>
      <c r="H1686" t="str">
        <f>IFERROR(VLOOKUP(I1686, Map!$A$1:$B$33, 2, FALSE),"WAS")</f>
        <v>LV</v>
      </c>
      <c r="I1686" t="s">
        <v>157</v>
      </c>
      <c r="J1686" t="s">
        <v>178</v>
      </c>
      <c r="K1686" t="s">
        <v>179</v>
      </c>
      <c r="L1686">
        <v>1</v>
      </c>
      <c r="M1686">
        <v>0</v>
      </c>
      <c r="N1686">
        <v>42</v>
      </c>
      <c r="O1686">
        <v>-6</v>
      </c>
      <c r="P1686">
        <v>-4.5</v>
      </c>
      <c r="Q1686">
        <v>40.5</v>
      </c>
      <c r="R1686">
        <v>19.7</v>
      </c>
      <c r="S1686">
        <v>29.2</v>
      </c>
      <c r="T1686">
        <v>12.9</v>
      </c>
      <c r="U1686">
        <v>16.8</v>
      </c>
      <c r="V1686">
        <v>0</v>
      </c>
      <c r="W1686">
        <v>0</v>
      </c>
      <c r="X1686">
        <v>0</v>
      </c>
      <c r="Y1686">
        <v>0</v>
      </c>
      <c r="Z1686">
        <v>23.9</v>
      </c>
      <c r="AA1686">
        <v>40</v>
      </c>
      <c r="AB1686">
        <v>262</v>
      </c>
      <c r="AC1686">
        <v>37</v>
      </c>
      <c r="AD1686">
        <v>16.5</v>
      </c>
      <c r="AE1686">
        <v>9.6999999999999993</v>
      </c>
      <c r="AF1686">
        <v>63.052999999999997</v>
      </c>
      <c r="AG1686">
        <v>36.585000000000001</v>
      </c>
      <c r="AH1686">
        <v>36.652999999999999</v>
      </c>
      <c r="AI1686">
        <v>93.867999999999995</v>
      </c>
      <c r="AJ1686">
        <v>19.491</v>
      </c>
      <c r="AK1686">
        <v>70.262</v>
      </c>
      <c r="AL1686">
        <v>5.3220000000000001</v>
      </c>
      <c r="AM1686">
        <v>36.652999999999999</v>
      </c>
      <c r="AN1686">
        <v>36.585000000000001</v>
      </c>
      <c r="AO1686">
        <v>63.052999999999997</v>
      </c>
      <c r="AP1686">
        <v>-5.3220000000000001</v>
      </c>
      <c r="AQ1686">
        <v>80.509</v>
      </c>
      <c r="AR1686">
        <v>6.1319999999999997</v>
      </c>
      <c r="AS1686">
        <v>29.738</v>
      </c>
    </row>
    <row r="1687" spans="1:45" x14ac:dyDescent="0.25">
      <c r="A1687">
        <v>52</v>
      </c>
      <c r="B1687">
        <v>22</v>
      </c>
      <c r="C1687">
        <v>1</v>
      </c>
      <c r="D1687">
        <v>2024</v>
      </c>
      <c r="E1687">
        <v>7</v>
      </c>
      <c r="F1687" t="str">
        <f>IFERROR(VLOOKUP(G1687, Map!$A$1:$B$33, 2, FALSE),"WAS")</f>
        <v>PIT</v>
      </c>
      <c r="G1687" t="s">
        <v>145</v>
      </c>
      <c r="H1687" t="str">
        <f>IFERROR(VLOOKUP(I1687, Map!$A$1:$B$33, 2, FALSE),"WAS")</f>
        <v>NYJ</v>
      </c>
      <c r="I1687" t="s">
        <v>166</v>
      </c>
      <c r="J1687" t="s">
        <v>170</v>
      </c>
      <c r="K1687" t="s">
        <v>172</v>
      </c>
      <c r="L1687">
        <v>1</v>
      </c>
      <c r="M1687">
        <v>0</v>
      </c>
      <c r="N1687">
        <v>44.5</v>
      </c>
      <c r="O1687">
        <v>-7</v>
      </c>
      <c r="P1687">
        <v>2.5</v>
      </c>
      <c r="Q1687">
        <v>40.5</v>
      </c>
      <c r="R1687">
        <v>14.2</v>
      </c>
      <c r="S1687">
        <v>23.7</v>
      </c>
      <c r="T1687">
        <v>7.5</v>
      </c>
      <c r="U1687">
        <v>12.4</v>
      </c>
      <c r="V1687">
        <v>0</v>
      </c>
      <c r="W1687">
        <v>0</v>
      </c>
      <c r="X1687">
        <v>0</v>
      </c>
      <c r="Y1687">
        <v>0</v>
      </c>
      <c r="Z1687">
        <v>9.6</v>
      </c>
      <c r="AA1687">
        <v>22.3</v>
      </c>
      <c r="AB1687">
        <v>223</v>
      </c>
      <c r="AC1687">
        <v>64</v>
      </c>
      <c r="AD1687">
        <v>14.9</v>
      </c>
      <c r="AE1687">
        <v>7.4</v>
      </c>
      <c r="AF1687">
        <v>50.469000000000001</v>
      </c>
      <c r="AG1687">
        <v>61.914000000000001</v>
      </c>
      <c r="AH1687">
        <v>49.136000000000003</v>
      </c>
      <c r="AI1687">
        <v>67.016000000000005</v>
      </c>
      <c r="AJ1687">
        <v>75.484999999999999</v>
      </c>
      <c r="AK1687">
        <v>84.531999999999996</v>
      </c>
      <c r="AL1687">
        <v>0.316</v>
      </c>
      <c r="AM1687">
        <v>49.136000000000003</v>
      </c>
      <c r="AN1687">
        <v>61.914000000000001</v>
      </c>
      <c r="AO1687">
        <v>50.469000000000001</v>
      </c>
      <c r="AP1687">
        <v>-0.316</v>
      </c>
      <c r="AQ1687">
        <v>24.515000000000001</v>
      </c>
      <c r="AR1687">
        <v>32.984000000000002</v>
      </c>
      <c r="AS1687">
        <v>15.468</v>
      </c>
    </row>
    <row r="1688" spans="1:45" x14ac:dyDescent="0.25">
      <c r="A1688">
        <v>32</v>
      </c>
      <c r="B1688">
        <v>2</v>
      </c>
      <c r="C1688">
        <v>1</v>
      </c>
      <c r="D1688">
        <v>2024</v>
      </c>
      <c r="E1688">
        <v>7</v>
      </c>
      <c r="F1688" t="str">
        <f>IFERROR(VLOOKUP(G1688, Map!$A$1:$B$33, 2, FALSE),"WAS")</f>
        <v>ARI</v>
      </c>
      <c r="G1688" t="s">
        <v>156</v>
      </c>
      <c r="H1688" t="str">
        <f>IFERROR(VLOOKUP(I1688, Map!$A$1:$B$33, 2, FALSE),"WAS")</f>
        <v>LAC</v>
      </c>
      <c r="I1688" t="s">
        <v>160</v>
      </c>
      <c r="J1688" t="s">
        <v>190</v>
      </c>
      <c r="K1688" t="s">
        <v>210</v>
      </c>
      <c r="L1688">
        <v>1</v>
      </c>
      <c r="M1688">
        <v>0</v>
      </c>
      <c r="N1688">
        <v>37</v>
      </c>
      <c r="O1688">
        <v>0</v>
      </c>
      <c r="P1688">
        <v>1.5</v>
      </c>
      <c r="Q1688">
        <v>29.5</v>
      </c>
      <c r="R1688">
        <v>23.7</v>
      </c>
      <c r="S1688">
        <v>31.6</v>
      </c>
      <c r="T1688">
        <v>17.7</v>
      </c>
      <c r="U1688">
        <v>21.6</v>
      </c>
      <c r="V1688">
        <v>0</v>
      </c>
      <c r="W1688">
        <v>0</v>
      </c>
      <c r="X1688">
        <v>0</v>
      </c>
      <c r="Y1688">
        <v>0</v>
      </c>
      <c r="Z1688">
        <v>10.4</v>
      </c>
      <c r="AA1688">
        <v>28.4</v>
      </c>
      <c r="AB1688">
        <v>217</v>
      </c>
      <c r="AC1688">
        <v>28</v>
      </c>
      <c r="AD1688">
        <v>10.8</v>
      </c>
      <c r="AE1688">
        <v>4</v>
      </c>
      <c r="AF1688">
        <v>51.273000000000003</v>
      </c>
      <c r="AG1688">
        <v>47.704999999999998</v>
      </c>
      <c r="AH1688">
        <v>48.338999999999999</v>
      </c>
      <c r="AI1688">
        <v>52.296999999999997</v>
      </c>
      <c r="AJ1688">
        <v>61.295000000000002</v>
      </c>
      <c r="AK1688">
        <v>54.756999999999998</v>
      </c>
      <c r="AL1688">
        <v>0.72199999999999998</v>
      </c>
      <c r="AM1688">
        <v>48.338999999999999</v>
      </c>
      <c r="AN1688">
        <v>47.704999999999998</v>
      </c>
      <c r="AO1688">
        <v>51.273000000000003</v>
      </c>
      <c r="AP1688">
        <v>-0.72199999999999998</v>
      </c>
      <c r="AQ1688">
        <v>38.704999999999998</v>
      </c>
      <c r="AR1688">
        <v>47.703000000000003</v>
      </c>
      <c r="AS1688">
        <v>45.243000000000002</v>
      </c>
    </row>
    <row r="1689" spans="1:45" x14ac:dyDescent="0.25">
      <c r="A1689">
        <v>44</v>
      </c>
      <c r="B1689">
        <v>24</v>
      </c>
      <c r="C1689">
        <v>1</v>
      </c>
      <c r="D1689">
        <v>2024</v>
      </c>
      <c r="E1689">
        <v>7</v>
      </c>
      <c r="F1689" t="str">
        <f>IFERROR(VLOOKUP(G1689, Map!$A$1:$B$33, 2, FALSE),"WAS")</f>
        <v>BUF</v>
      </c>
      <c r="G1689" t="s">
        <v>165</v>
      </c>
      <c r="H1689" t="str">
        <f>IFERROR(VLOOKUP(I1689, Map!$A$1:$B$33, 2, FALSE),"WAS")</f>
        <v>TEN</v>
      </c>
      <c r="I1689" t="s">
        <v>140</v>
      </c>
      <c r="J1689" t="s">
        <v>180</v>
      </c>
      <c r="K1689" t="s">
        <v>174</v>
      </c>
      <c r="L1689">
        <v>1</v>
      </c>
      <c r="M1689">
        <v>0</v>
      </c>
      <c r="N1689">
        <v>42.5</v>
      </c>
      <c r="O1689">
        <v>-16</v>
      </c>
      <c r="P1689">
        <v>-9.5</v>
      </c>
      <c r="Q1689">
        <v>41.5</v>
      </c>
      <c r="R1689">
        <v>13.8</v>
      </c>
      <c r="S1689">
        <v>22.5</v>
      </c>
      <c r="T1689">
        <v>7.2</v>
      </c>
      <c r="U1689">
        <v>12</v>
      </c>
      <c r="V1689">
        <v>0</v>
      </c>
      <c r="W1689">
        <v>0</v>
      </c>
      <c r="X1689">
        <v>0</v>
      </c>
      <c r="Y1689">
        <v>0</v>
      </c>
      <c r="Z1689">
        <v>10</v>
      </c>
      <c r="AA1689">
        <v>19.8</v>
      </c>
      <c r="AB1689">
        <v>24</v>
      </c>
      <c r="AC1689">
        <v>63</v>
      </c>
      <c r="AD1689">
        <v>15.2</v>
      </c>
      <c r="AE1689">
        <v>7.7</v>
      </c>
      <c r="AF1689">
        <v>62.784999999999997</v>
      </c>
      <c r="AG1689">
        <v>57.165999999999997</v>
      </c>
      <c r="AH1689">
        <v>36.917999999999999</v>
      </c>
      <c r="AI1689">
        <v>84.363</v>
      </c>
      <c r="AJ1689">
        <v>73.516000000000005</v>
      </c>
      <c r="AK1689">
        <v>85.521000000000001</v>
      </c>
      <c r="AL1689">
        <v>4.8940000000000001</v>
      </c>
      <c r="AM1689">
        <v>36.917999999999999</v>
      </c>
      <c r="AN1689">
        <v>57.165999999999997</v>
      </c>
      <c r="AO1689">
        <v>62.784999999999997</v>
      </c>
      <c r="AP1689">
        <v>-4.8940000000000001</v>
      </c>
      <c r="AQ1689">
        <v>26.484000000000002</v>
      </c>
      <c r="AR1689">
        <v>15.637</v>
      </c>
      <c r="AS1689">
        <v>14.478999999999999</v>
      </c>
    </row>
    <row r="1690" spans="1:45" x14ac:dyDescent="0.25">
      <c r="A1690">
        <v>60</v>
      </c>
      <c r="B1690">
        <v>-2</v>
      </c>
      <c r="C1690">
        <v>0</v>
      </c>
      <c r="D1690">
        <v>2024</v>
      </c>
      <c r="E1690">
        <v>7</v>
      </c>
      <c r="F1690" t="str">
        <f>IFERROR(VLOOKUP(G1690, Map!$A$1:$B$33, 2, FALSE),"WAS")</f>
        <v>MIN</v>
      </c>
      <c r="G1690" t="s">
        <v>153</v>
      </c>
      <c r="H1690" t="str">
        <f>IFERROR(VLOOKUP(I1690, Map!$A$1:$B$33, 2, FALSE),"WAS")</f>
        <v>DET</v>
      </c>
      <c r="I1690" t="s">
        <v>164</v>
      </c>
      <c r="J1690" t="s">
        <v>214</v>
      </c>
      <c r="K1690" t="s">
        <v>173</v>
      </c>
      <c r="L1690">
        <v>0</v>
      </c>
      <c r="M1690">
        <v>0</v>
      </c>
      <c r="N1690">
        <v>55</v>
      </c>
      <c r="O1690">
        <v>-2.5</v>
      </c>
      <c r="P1690">
        <v>-1.5</v>
      </c>
      <c r="Q1690">
        <v>50.5</v>
      </c>
      <c r="R1690">
        <v>17</v>
      </c>
      <c r="S1690">
        <v>25.6</v>
      </c>
      <c r="T1690">
        <v>11.8</v>
      </c>
      <c r="U1690">
        <v>15.5</v>
      </c>
      <c r="V1690">
        <v>0</v>
      </c>
      <c r="W1690">
        <v>0</v>
      </c>
      <c r="X1690">
        <v>0</v>
      </c>
      <c r="Y1690">
        <v>0</v>
      </c>
      <c r="Z1690">
        <v>18.5</v>
      </c>
      <c r="AA1690">
        <v>40.299999999999997</v>
      </c>
      <c r="AB1690">
        <v>223</v>
      </c>
      <c r="AC1690">
        <v>66</v>
      </c>
      <c r="AD1690">
        <v>21.9</v>
      </c>
      <c r="AE1690">
        <v>11</v>
      </c>
      <c r="AF1690">
        <v>43.558</v>
      </c>
      <c r="AG1690">
        <v>79.162999999999997</v>
      </c>
      <c r="AH1690">
        <v>56.091999999999999</v>
      </c>
      <c r="AI1690">
        <v>32.698999999999998</v>
      </c>
      <c r="AJ1690">
        <v>49.875999999999998</v>
      </c>
      <c r="AK1690">
        <v>39.985999999999997</v>
      </c>
      <c r="AL1690">
        <v>-2.694</v>
      </c>
      <c r="AM1690">
        <v>56.091999999999999</v>
      </c>
      <c r="AN1690">
        <v>79.162999999999997</v>
      </c>
      <c r="AO1690">
        <v>43.558</v>
      </c>
      <c r="AP1690">
        <v>2.694</v>
      </c>
      <c r="AQ1690">
        <v>50.124000000000002</v>
      </c>
      <c r="AR1690">
        <v>67.301000000000002</v>
      </c>
      <c r="AS1690">
        <v>60.014000000000003</v>
      </c>
    </row>
    <row r="1691" spans="1:45" x14ac:dyDescent="0.25">
      <c r="A1691">
        <v>48</v>
      </c>
      <c r="B1691">
        <v>16</v>
      </c>
      <c r="C1691">
        <v>1</v>
      </c>
      <c r="D1691">
        <v>2024</v>
      </c>
      <c r="E1691">
        <v>7</v>
      </c>
      <c r="F1691" t="str">
        <f>IFERROR(VLOOKUP(G1691, Map!$A$1:$B$33, 2, FALSE),"WAS")</f>
        <v>JAX</v>
      </c>
      <c r="G1691" t="s">
        <v>139</v>
      </c>
      <c r="H1691" t="str">
        <f>IFERROR(VLOOKUP(I1691, Map!$A$1:$B$33, 2, FALSE),"WAS")</f>
        <v>NE</v>
      </c>
      <c r="I1691" t="s">
        <v>151</v>
      </c>
      <c r="J1691" t="s">
        <v>220</v>
      </c>
      <c r="K1691" t="s">
        <v>187</v>
      </c>
      <c r="L1691">
        <v>1</v>
      </c>
      <c r="M1691">
        <v>0</v>
      </c>
      <c r="N1691">
        <v>28</v>
      </c>
      <c r="O1691">
        <v>-6</v>
      </c>
      <c r="P1691">
        <v>-6.5</v>
      </c>
      <c r="Q1691">
        <v>41.5</v>
      </c>
      <c r="R1691">
        <v>14.1</v>
      </c>
      <c r="S1691">
        <v>17.5</v>
      </c>
      <c r="T1691">
        <v>11</v>
      </c>
      <c r="U1691">
        <v>11</v>
      </c>
      <c r="V1691">
        <v>3.6</v>
      </c>
      <c r="W1691">
        <v>0</v>
      </c>
      <c r="X1691">
        <v>9</v>
      </c>
      <c r="Y1691">
        <v>3.6</v>
      </c>
      <c r="Z1691">
        <v>36.700000000000003</v>
      </c>
      <c r="AA1691">
        <v>61.6</v>
      </c>
      <c r="AB1691">
        <v>202</v>
      </c>
      <c r="AC1691">
        <v>87</v>
      </c>
      <c r="AD1691">
        <v>42.4</v>
      </c>
      <c r="AE1691">
        <v>24.8</v>
      </c>
      <c r="AF1691">
        <v>70.147999999999996</v>
      </c>
      <c r="AG1691">
        <v>17.721</v>
      </c>
      <c r="AH1691">
        <v>29.614000000000001</v>
      </c>
      <c r="AI1691">
        <v>50.76</v>
      </c>
      <c r="AJ1691">
        <v>91.27</v>
      </c>
      <c r="AK1691">
        <v>88.57</v>
      </c>
      <c r="AL1691">
        <v>7.84</v>
      </c>
      <c r="AM1691">
        <v>29.614000000000001</v>
      </c>
      <c r="AN1691">
        <v>17.721</v>
      </c>
      <c r="AO1691">
        <v>70.147999999999996</v>
      </c>
      <c r="AP1691">
        <v>-7.84</v>
      </c>
      <c r="AQ1691">
        <v>8.73</v>
      </c>
      <c r="AR1691">
        <v>49.24</v>
      </c>
      <c r="AS1691">
        <v>11.43</v>
      </c>
    </row>
    <row r="1692" spans="1:45" x14ac:dyDescent="0.25">
      <c r="A1692">
        <v>26</v>
      </c>
      <c r="B1692">
        <v>6</v>
      </c>
      <c r="C1692">
        <v>1</v>
      </c>
      <c r="D1692">
        <v>2024</v>
      </c>
      <c r="E1692">
        <v>7</v>
      </c>
      <c r="F1692" t="str">
        <f>IFERROR(VLOOKUP(G1692, Map!$A$1:$B$33, 2, FALSE),"WAS")</f>
        <v>IND</v>
      </c>
      <c r="G1692" t="s">
        <v>138</v>
      </c>
      <c r="H1692" t="str">
        <f>IFERROR(VLOOKUP(I1692, Map!$A$1:$B$33, 2, FALSE),"WAS")</f>
        <v>MIA</v>
      </c>
      <c r="I1692" t="s">
        <v>152</v>
      </c>
      <c r="J1692" t="s">
        <v>177</v>
      </c>
      <c r="K1692" t="s">
        <v>175</v>
      </c>
      <c r="L1692">
        <v>1</v>
      </c>
      <c r="M1692">
        <v>0</v>
      </c>
      <c r="N1692">
        <v>35.5</v>
      </c>
      <c r="O1692">
        <v>-6</v>
      </c>
      <c r="P1692">
        <v>-3.5</v>
      </c>
      <c r="Q1692">
        <v>27.5</v>
      </c>
      <c r="R1692">
        <v>12.6</v>
      </c>
      <c r="S1692">
        <v>22</v>
      </c>
      <c r="T1692">
        <v>5.4</v>
      </c>
      <c r="U1692">
        <v>10.3</v>
      </c>
      <c r="V1692">
        <v>0</v>
      </c>
      <c r="W1692">
        <v>0</v>
      </c>
      <c r="X1692">
        <v>0</v>
      </c>
      <c r="Y1692">
        <v>0</v>
      </c>
      <c r="Z1692">
        <v>10.9</v>
      </c>
      <c r="AA1692">
        <v>22.7</v>
      </c>
      <c r="AB1692">
        <v>234</v>
      </c>
      <c r="AC1692">
        <v>64</v>
      </c>
      <c r="AD1692">
        <v>14.8</v>
      </c>
      <c r="AE1692">
        <v>8.9</v>
      </c>
      <c r="AF1692">
        <v>69.010000000000005</v>
      </c>
      <c r="AG1692">
        <v>40.703000000000003</v>
      </c>
      <c r="AH1692">
        <v>30.742999999999999</v>
      </c>
      <c r="AI1692">
        <v>84.021000000000001</v>
      </c>
      <c r="AJ1692">
        <v>22.359000000000002</v>
      </c>
      <c r="AK1692">
        <v>62.314</v>
      </c>
      <c r="AL1692">
        <v>7.5339999999999998</v>
      </c>
      <c r="AM1692">
        <v>30.742999999999999</v>
      </c>
      <c r="AN1692">
        <v>40.703000000000003</v>
      </c>
      <c r="AO1692">
        <v>69.010000000000005</v>
      </c>
      <c r="AP1692">
        <v>-7.5339999999999998</v>
      </c>
      <c r="AQ1692">
        <v>77.641000000000005</v>
      </c>
      <c r="AR1692">
        <v>15.978999999999999</v>
      </c>
      <c r="AS1692">
        <v>37.686</v>
      </c>
    </row>
    <row r="1693" spans="1:45" x14ac:dyDescent="0.25">
      <c r="A1693">
        <v>55</v>
      </c>
      <c r="B1693">
        <v>-1</v>
      </c>
      <c r="C1693">
        <v>0</v>
      </c>
      <c r="D1693">
        <v>2024</v>
      </c>
      <c r="E1693">
        <v>8</v>
      </c>
      <c r="F1693" t="str">
        <f>IFERROR(VLOOKUP(G1693, Map!$A$1:$B$33, 2, FALSE),"WAS")</f>
        <v>MIA</v>
      </c>
      <c r="G1693" t="s">
        <v>152</v>
      </c>
      <c r="H1693" t="str">
        <f>IFERROR(VLOOKUP(I1693, Map!$A$1:$B$33, 2, FALSE),"WAS")</f>
        <v>ARI</v>
      </c>
      <c r="I1693" t="s">
        <v>156</v>
      </c>
      <c r="J1693" t="s">
        <v>175</v>
      </c>
      <c r="K1693" t="s">
        <v>190</v>
      </c>
      <c r="L1693">
        <v>0</v>
      </c>
      <c r="M1693">
        <v>0</v>
      </c>
      <c r="N1693">
        <v>51</v>
      </c>
      <c r="O1693">
        <v>-3.5</v>
      </c>
      <c r="P1693">
        <v>-2.5</v>
      </c>
      <c r="Q1693">
        <v>46.5</v>
      </c>
      <c r="R1693">
        <v>24.1</v>
      </c>
      <c r="S1693">
        <v>27.6</v>
      </c>
      <c r="T1693">
        <v>21.1</v>
      </c>
      <c r="U1693">
        <v>25</v>
      </c>
      <c r="V1693">
        <v>0</v>
      </c>
      <c r="W1693">
        <v>0</v>
      </c>
      <c r="X1693">
        <v>0</v>
      </c>
      <c r="Y1693">
        <v>0</v>
      </c>
      <c r="Z1693">
        <v>20.8</v>
      </c>
      <c r="AA1693">
        <v>40</v>
      </c>
      <c r="AB1693">
        <v>53</v>
      </c>
      <c r="AC1693">
        <v>69</v>
      </c>
      <c r="AD1693">
        <v>24.6</v>
      </c>
      <c r="AE1693">
        <v>13.1</v>
      </c>
      <c r="AF1693">
        <v>47.808</v>
      </c>
      <c r="AG1693">
        <v>42.088999999999999</v>
      </c>
      <c r="AH1693">
        <v>51.808</v>
      </c>
      <c r="AI1693">
        <v>24.850999999999999</v>
      </c>
      <c r="AJ1693">
        <v>73.957999999999998</v>
      </c>
      <c r="AK1693">
        <v>46.83</v>
      </c>
      <c r="AL1693">
        <v>-0.65300000000000002</v>
      </c>
      <c r="AM1693">
        <v>51.808</v>
      </c>
      <c r="AN1693">
        <v>42.088999999999999</v>
      </c>
      <c r="AO1693">
        <v>47.808</v>
      </c>
      <c r="AP1693">
        <v>0.65300000000000002</v>
      </c>
      <c r="AQ1693">
        <v>26.042000000000002</v>
      </c>
      <c r="AR1693">
        <v>75.149000000000001</v>
      </c>
      <c r="AS1693">
        <v>53.17</v>
      </c>
    </row>
    <row r="1694" spans="1:45" x14ac:dyDescent="0.25">
      <c r="A1694">
        <v>34</v>
      </c>
      <c r="B1694">
        <v>18</v>
      </c>
      <c r="C1694">
        <v>1</v>
      </c>
      <c r="D1694">
        <v>2024</v>
      </c>
      <c r="E1694">
        <v>8</v>
      </c>
      <c r="F1694" t="str">
        <f>IFERROR(VLOOKUP(G1694, Map!$A$1:$B$33, 2, FALSE),"WAS")</f>
        <v>LAC</v>
      </c>
      <c r="G1694" t="s">
        <v>160</v>
      </c>
      <c r="H1694" t="str">
        <f>IFERROR(VLOOKUP(I1694, Map!$A$1:$B$33, 2, FALSE),"WAS")</f>
        <v>NO</v>
      </c>
      <c r="I1694" t="s">
        <v>168</v>
      </c>
      <c r="J1694" t="s">
        <v>210</v>
      </c>
      <c r="K1694" t="s">
        <v>192</v>
      </c>
      <c r="L1694">
        <v>1</v>
      </c>
      <c r="M1694">
        <v>0</v>
      </c>
      <c r="N1694">
        <v>36.5</v>
      </c>
      <c r="O1694">
        <v>-12.5</v>
      </c>
      <c r="P1694">
        <v>-7.5</v>
      </c>
      <c r="Q1694">
        <v>31.5</v>
      </c>
      <c r="R1694">
        <v>18.2</v>
      </c>
      <c r="S1694">
        <v>26</v>
      </c>
      <c r="T1694">
        <v>12.6</v>
      </c>
      <c r="U1694">
        <v>18.2</v>
      </c>
      <c r="V1694">
        <v>0</v>
      </c>
      <c r="W1694">
        <v>0</v>
      </c>
      <c r="X1694">
        <v>0</v>
      </c>
      <c r="Y1694">
        <v>0</v>
      </c>
      <c r="Z1694">
        <v>17.5</v>
      </c>
      <c r="AA1694">
        <v>30.6</v>
      </c>
      <c r="AB1694">
        <v>211</v>
      </c>
      <c r="AC1694">
        <v>77</v>
      </c>
      <c r="AD1694">
        <v>14.9</v>
      </c>
      <c r="AE1694">
        <v>7.7</v>
      </c>
      <c r="AF1694">
        <v>66.465999999999994</v>
      </c>
      <c r="AG1694">
        <v>48.898000000000003</v>
      </c>
      <c r="AH1694">
        <v>33.265999999999998</v>
      </c>
      <c r="AI1694">
        <v>80.338999999999999</v>
      </c>
      <c r="AJ1694">
        <v>63.639000000000003</v>
      </c>
      <c r="AK1694">
        <v>78.881</v>
      </c>
      <c r="AL1694">
        <v>6.6790000000000003</v>
      </c>
      <c r="AM1694">
        <v>33.265999999999998</v>
      </c>
      <c r="AN1694">
        <v>48.898000000000003</v>
      </c>
      <c r="AO1694">
        <v>66.465999999999994</v>
      </c>
      <c r="AP1694">
        <v>-6.6790000000000003</v>
      </c>
      <c r="AQ1694">
        <v>36.360999999999997</v>
      </c>
      <c r="AR1694">
        <v>19.661000000000001</v>
      </c>
      <c r="AS1694">
        <v>21.119</v>
      </c>
    </row>
    <row r="1695" spans="1:45" x14ac:dyDescent="0.25">
      <c r="A1695">
        <v>57</v>
      </c>
      <c r="B1695">
        <v>-5</v>
      </c>
      <c r="C1695">
        <v>0</v>
      </c>
      <c r="D1695">
        <v>2024</v>
      </c>
      <c r="E1695">
        <v>8</v>
      </c>
      <c r="F1695" t="str">
        <f>IFERROR(VLOOKUP(G1695, Map!$A$1:$B$33, 2, FALSE),"WAS")</f>
        <v>TB</v>
      </c>
      <c r="G1695" t="s">
        <v>141</v>
      </c>
      <c r="H1695" t="str">
        <f>IFERROR(VLOOKUP(I1695, Map!$A$1:$B$33, 2, FALSE),"WAS")</f>
        <v>ATL</v>
      </c>
      <c r="I1695" t="s">
        <v>167</v>
      </c>
      <c r="J1695" t="s">
        <v>186</v>
      </c>
      <c r="K1695" t="s">
        <v>188</v>
      </c>
      <c r="L1695">
        <v>0</v>
      </c>
      <c r="M1695">
        <v>0</v>
      </c>
      <c r="N1695">
        <v>54</v>
      </c>
      <c r="O1695">
        <v>3</v>
      </c>
      <c r="P1695">
        <v>0.5</v>
      </c>
      <c r="Q1695">
        <v>47.5</v>
      </c>
      <c r="R1695">
        <v>22.6</v>
      </c>
      <c r="S1695">
        <v>27.6</v>
      </c>
      <c r="T1695">
        <v>18.100000000000001</v>
      </c>
      <c r="U1695">
        <v>23.4</v>
      </c>
      <c r="V1695">
        <v>0</v>
      </c>
      <c r="W1695">
        <v>0</v>
      </c>
      <c r="X1695">
        <v>0</v>
      </c>
      <c r="Y1695">
        <v>0</v>
      </c>
      <c r="Z1695">
        <v>12.4</v>
      </c>
      <c r="AA1695">
        <v>23.8</v>
      </c>
      <c r="AB1695">
        <v>61</v>
      </c>
      <c r="AC1695">
        <v>69</v>
      </c>
      <c r="AD1695">
        <v>17.399999999999999</v>
      </c>
      <c r="AE1695">
        <v>9.1999999999999993</v>
      </c>
      <c r="AF1695">
        <v>57.564</v>
      </c>
      <c r="AG1695">
        <v>58.341000000000001</v>
      </c>
      <c r="AH1695">
        <v>42.097999999999999</v>
      </c>
      <c r="AI1695">
        <v>16.484999999999999</v>
      </c>
      <c r="AJ1695">
        <v>57.942999999999998</v>
      </c>
      <c r="AK1695">
        <v>32.851999999999997</v>
      </c>
      <c r="AL1695">
        <v>2.7679999999999998</v>
      </c>
      <c r="AM1695">
        <v>42.097999999999999</v>
      </c>
      <c r="AN1695">
        <v>58.341000000000001</v>
      </c>
      <c r="AO1695">
        <v>57.564</v>
      </c>
      <c r="AP1695">
        <v>-2.7679999999999998</v>
      </c>
      <c r="AQ1695">
        <v>42.057000000000002</v>
      </c>
      <c r="AR1695">
        <v>83.515000000000001</v>
      </c>
      <c r="AS1695">
        <v>67.147999999999996</v>
      </c>
    </row>
    <row r="1696" spans="1:45" x14ac:dyDescent="0.25">
      <c r="A1696">
        <v>50</v>
      </c>
      <c r="B1696">
        <v>10</v>
      </c>
      <c r="C1696">
        <v>1</v>
      </c>
      <c r="D1696">
        <v>2024</v>
      </c>
      <c r="E1696">
        <v>8</v>
      </c>
      <c r="F1696" t="str">
        <f>IFERROR(VLOOKUP(G1696, Map!$A$1:$B$33, 2, FALSE),"WAS")</f>
        <v>LA</v>
      </c>
      <c r="G1696" t="s">
        <v>155</v>
      </c>
      <c r="H1696" t="str">
        <f>IFERROR(VLOOKUP(I1696, Map!$A$1:$B$33, 2, FALSE),"WAS")</f>
        <v>MIN</v>
      </c>
      <c r="I1696" t="s">
        <v>153</v>
      </c>
      <c r="J1696" t="s">
        <v>178</v>
      </c>
      <c r="K1696" t="s">
        <v>214</v>
      </c>
      <c r="L1696">
        <v>1</v>
      </c>
      <c r="M1696">
        <v>0</v>
      </c>
      <c r="N1696">
        <v>50.5</v>
      </c>
      <c r="O1696">
        <v>-2</v>
      </c>
      <c r="P1696">
        <v>2.5</v>
      </c>
      <c r="Q1696">
        <v>46.5</v>
      </c>
      <c r="R1696">
        <v>17</v>
      </c>
      <c r="S1696">
        <v>25.2</v>
      </c>
      <c r="T1696">
        <v>11.2</v>
      </c>
      <c r="U1696">
        <v>16.8</v>
      </c>
      <c r="V1696">
        <v>0</v>
      </c>
      <c r="W1696">
        <v>0</v>
      </c>
      <c r="X1696">
        <v>0</v>
      </c>
      <c r="Y1696">
        <v>0</v>
      </c>
      <c r="Z1696">
        <v>18.7</v>
      </c>
      <c r="AA1696">
        <v>33.1</v>
      </c>
      <c r="AB1696">
        <v>218</v>
      </c>
      <c r="AC1696">
        <v>77</v>
      </c>
      <c r="AD1696">
        <v>14.5</v>
      </c>
      <c r="AE1696">
        <v>6.7</v>
      </c>
      <c r="AF1696">
        <v>45.948999999999998</v>
      </c>
      <c r="AG1696">
        <v>55.968000000000004</v>
      </c>
      <c r="AH1696">
        <v>53.682000000000002</v>
      </c>
      <c r="AI1696">
        <v>35.064</v>
      </c>
      <c r="AJ1696">
        <v>79.775000000000006</v>
      </c>
      <c r="AK1696">
        <v>69.325999999999993</v>
      </c>
      <c r="AL1696">
        <v>-1.8280000000000001</v>
      </c>
      <c r="AM1696">
        <v>53.682000000000002</v>
      </c>
      <c r="AN1696">
        <v>55.968000000000004</v>
      </c>
      <c r="AO1696">
        <v>45.948999999999998</v>
      </c>
      <c r="AP1696">
        <v>1.8280000000000001</v>
      </c>
      <c r="AQ1696">
        <v>20.225000000000001</v>
      </c>
      <c r="AR1696">
        <v>64.936000000000007</v>
      </c>
      <c r="AS1696">
        <v>30.673999999999999</v>
      </c>
    </row>
    <row r="1697" spans="1:45" x14ac:dyDescent="0.25">
      <c r="A1697">
        <v>57</v>
      </c>
      <c r="B1697">
        <v>-3</v>
      </c>
      <c r="C1697">
        <v>0</v>
      </c>
      <c r="D1697">
        <v>2024</v>
      </c>
      <c r="E1697">
        <v>8</v>
      </c>
      <c r="F1697" t="str">
        <f>IFERROR(VLOOKUP(G1697, Map!$A$1:$B$33, 2, FALSE),"WAS")</f>
        <v>JAX</v>
      </c>
      <c r="G1697" t="s">
        <v>139</v>
      </c>
      <c r="H1697" t="str">
        <f>IFERROR(VLOOKUP(I1697, Map!$A$1:$B$33, 2, FALSE),"WAS")</f>
        <v>GB</v>
      </c>
      <c r="I1697" t="s">
        <v>154</v>
      </c>
      <c r="J1697" t="s">
        <v>220</v>
      </c>
      <c r="K1697" t="s">
        <v>200</v>
      </c>
      <c r="L1697">
        <v>0</v>
      </c>
      <c r="M1697">
        <v>0</v>
      </c>
      <c r="N1697">
        <v>50</v>
      </c>
      <c r="O1697">
        <v>5</v>
      </c>
      <c r="P1697">
        <v>3.5</v>
      </c>
      <c r="Q1697">
        <v>49.5</v>
      </c>
      <c r="R1697">
        <v>22</v>
      </c>
      <c r="S1697">
        <v>28</v>
      </c>
      <c r="T1697">
        <v>16.8</v>
      </c>
      <c r="U1697">
        <v>24.1</v>
      </c>
      <c r="V1697">
        <v>0.1</v>
      </c>
      <c r="W1697">
        <v>0</v>
      </c>
      <c r="X1697">
        <v>1</v>
      </c>
      <c r="Y1697">
        <v>0.1</v>
      </c>
      <c r="Z1697">
        <v>11.4</v>
      </c>
      <c r="AA1697">
        <v>18.7</v>
      </c>
      <c r="AB1697">
        <v>193</v>
      </c>
      <c r="AC1697">
        <v>80</v>
      </c>
      <c r="AD1697">
        <v>13.2</v>
      </c>
      <c r="AE1697">
        <v>6.4</v>
      </c>
      <c r="AF1697">
        <v>33.466000000000001</v>
      </c>
      <c r="AG1697">
        <v>58.829000000000001</v>
      </c>
      <c r="AH1697">
        <v>66.266000000000005</v>
      </c>
      <c r="AI1697">
        <v>38.715000000000003</v>
      </c>
      <c r="AJ1697">
        <v>51.615000000000002</v>
      </c>
      <c r="AK1697">
        <v>39.912999999999997</v>
      </c>
      <c r="AL1697">
        <v>-6.1079999999999997</v>
      </c>
      <c r="AM1697">
        <v>66.266000000000005</v>
      </c>
      <c r="AN1697">
        <v>58.829000000000001</v>
      </c>
      <c r="AO1697">
        <v>33.466000000000001</v>
      </c>
      <c r="AP1697">
        <v>6.1079999999999997</v>
      </c>
      <c r="AQ1697">
        <v>48.384999999999998</v>
      </c>
      <c r="AR1697">
        <v>61.284999999999997</v>
      </c>
      <c r="AS1697">
        <v>60.087000000000003</v>
      </c>
    </row>
    <row r="1698" spans="1:45" x14ac:dyDescent="0.25">
      <c r="A1698">
        <v>43</v>
      </c>
      <c r="B1698">
        <v>3</v>
      </c>
      <c r="C1698">
        <v>1</v>
      </c>
      <c r="D1698">
        <v>2024</v>
      </c>
      <c r="E1698">
        <v>8</v>
      </c>
      <c r="F1698" t="str">
        <f>IFERROR(VLOOKUP(G1698, Map!$A$1:$B$33, 2, FALSE),"WAS")</f>
        <v>HOU</v>
      </c>
      <c r="G1698" t="s">
        <v>137</v>
      </c>
      <c r="H1698" t="str">
        <f>IFERROR(VLOOKUP(I1698, Map!$A$1:$B$33, 2, FALSE),"WAS")</f>
        <v>IND</v>
      </c>
      <c r="I1698" t="s">
        <v>138</v>
      </c>
      <c r="J1698" t="s">
        <v>209</v>
      </c>
      <c r="K1698" t="s">
        <v>177</v>
      </c>
      <c r="L1698">
        <v>1</v>
      </c>
      <c r="M1698">
        <v>0</v>
      </c>
      <c r="N1698">
        <v>47.5</v>
      </c>
      <c r="O1698">
        <v>-5.5</v>
      </c>
      <c r="P1698">
        <v>-4.5</v>
      </c>
      <c r="Q1698">
        <v>45.5</v>
      </c>
      <c r="R1698">
        <v>23.9</v>
      </c>
      <c r="S1698">
        <v>29.8</v>
      </c>
      <c r="T1698">
        <v>18.2</v>
      </c>
      <c r="U1698">
        <v>26.2</v>
      </c>
      <c r="V1698">
        <v>0</v>
      </c>
      <c r="W1698">
        <v>0</v>
      </c>
      <c r="X1698">
        <v>0</v>
      </c>
      <c r="Y1698">
        <v>0</v>
      </c>
      <c r="Z1698">
        <v>15.9</v>
      </c>
      <c r="AA1698">
        <v>27.7</v>
      </c>
      <c r="AB1698">
        <v>147</v>
      </c>
      <c r="AC1698">
        <v>78</v>
      </c>
      <c r="AD1698">
        <v>15.8</v>
      </c>
      <c r="AE1698">
        <v>8</v>
      </c>
      <c r="AF1698">
        <v>60.107999999999997</v>
      </c>
      <c r="AG1698">
        <v>52.429000000000002</v>
      </c>
      <c r="AH1698">
        <v>39.573999999999998</v>
      </c>
      <c r="AI1698">
        <v>69.078999999999994</v>
      </c>
      <c r="AJ1698">
        <v>54.167999999999999</v>
      </c>
      <c r="AK1698">
        <v>61.582999999999998</v>
      </c>
      <c r="AL1698">
        <v>4.0830000000000002</v>
      </c>
      <c r="AM1698">
        <v>39.573999999999998</v>
      </c>
      <c r="AN1698">
        <v>52.429000000000002</v>
      </c>
      <c r="AO1698">
        <v>60.107999999999997</v>
      </c>
      <c r="AP1698">
        <v>-4.0830000000000002</v>
      </c>
      <c r="AQ1698">
        <v>45.832000000000001</v>
      </c>
      <c r="AR1698">
        <v>30.920999999999999</v>
      </c>
      <c r="AS1698">
        <v>38.417000000000002</v>
      </c>
    </row>
    <row r="1699" spans="1:45" x14ac:dyDescent="0.25">
      <c r="A1699">
        <v>33</v>
      </c>
      <c r="B1699">
        <v>3</v>
      </c>
      <c r="C1699">
        <v>1</v>
      </c>
      <c r="D1699">
        <v>2024</v>
      </c>
      <c r="E1699">
        <v>8</v>
      </c>
      <c r="F1699" t="str">
        <f>IFERROR(VLOOKUP(G1699, Map!$A$1:$B$33, 2, FALSE),"WAS")</f>
        <v>WAS</v>
      </c>
      <c r="G1699" t="s">
        <v>148</v>
      </c>
      <c r="H1699" t="str">
        <f>IFERROR(VLOOKUP(I1699, Map!$A$1:$B$33, 2, FALSE),"WAS")</f>
        <v>CHI</v>
      </c>
      <c r="I1699" t="s">
        <v>163</v>
      </c>
      <c r="J1699" t="s">
        <v>205</v>
      </c>
      <c r="K1699" t="s">
        <v>216</v>
      </c>
      <c r="L1699">
        <v>1</v>
      </c>
      <c r="M1699">
        <v>0</v>
      </c>
      <c r="N1699">
        <v>34</v>
      </c>
      <c r="O1699">
        <v>-3.5</v>
      </c>
      <c r="P1699">
        <v>-1.5</v>
      </c>
      <c r="Q1699">
        <v>21.5</v>
      </c>
      <c r="R1699">
        <v>10.5</v>
      </c>
      <c r="S1699">
        <v>13.9</v>
      </c>
      <c r="T1699">
        <v>6.3</v>
      </c>
      <c r="U1699">
        <v>7.4</v>
      </c>
      <c r="V1699">
        <v>0</v>
      </c>
      <c r="W1699">
        <v>0</v>
      </c>
      <c r="X1699">
        <v>0</v>
      </c>
      <c r="Y1699">
        <v>0</v>
      </c>
      <c r="Z1699">
        <v>14.5</v>
      </c>
      <c r="AA1699">
        <v>26.6</v>
      </c>
      <c r="AB1699">
        <v>355</v>
      </c>
      <c r="AC1699">
        <v>51</v>
      </c>
      <c r="AD1699">
        <v>16.5</v>
      </c>
      <c r="AE1699">
        <v>7.6</v>
      </c>
      <c r="AF1699">
        <v>50.000999999999998</v>
      </c>
      <c r="AG1699">
        <v>63.606999999999999</v>
      </c>
      <c r="AH1699">
        <v>49.600999999999999</v>
      </c>
      <c r="AI1699">
        <v>71.356999999999999</v>
      </c>
      <c r="AJ1699">
        <v>48.173999999999999</v>
      </c>
      <c r="AK1699">
        <v>52.985999999999997</v>
      </c>
      <c r="AL1699">
        <v>0.29699999999999999</v>
      </c>
      <c r="AM1699">
        <v>49.600999999999999</v>
      </c>
      <c r="AN1699">
        <v>63.606999999999999</v>
      </c>
      <c r="AO1699">
        <v>50.000999999999998</v>
      </c>
      <c r="AP1699">
        <v>-0.29699999999999999</v>
      </c>
      <c r="AQ1699">
        <v>51.826000000000001</v>
      </c>
      <c r="AR1699">
        <v>28.643000000000001</v>
      </c>
      <c r="AS1699">
        <v>47.014000000000003</v>
      </c>
    </row>
    <row r="1700" spans="1:45" x14ac:dyDescent="0.25">
      <c r="A1700">
        <v>41</v>
      </c>
      <c r="B1700">
        <v>-21</v>
      </c>
      <c r="C1700">
        <v>0</v>
      </c>
      <c r="D1700">
        <v>2024</v>
      </c>
      <c r="E1700">
        <v>8</v>
      </c>
      <c r="F1700" t="str">
        <f>IFERROR(VLOOKUP(G1700, Map!$A$1:$B$33, 2, FALSE),"WAS")</f>
        <v>SEA</v>
      </c>
      <c r="G1700" t="s">
        <v>144</v>
      </c>
      <c r="H1700" t="str">
        <f>IFERROR(VLOOKUP(I1700, Map!$A$1:$B$33, 2, FALSE),"WAS")</f>
        <v>BUF</v>
      </c>
      <c r="I1700" t="s">
        <v>165</v>
      </c>
      <c r="J1700" t="s">
        <v>182</v>
      </c>
      <c r="K1700" t="s">
        <v>180</v>
      </c>
      <c r="L1700">
        <v>0</v>
      </c>
      <c r="M1700">
        <v>0</v>
      </c>
      <c r="N1700">
        <v>44</v>
      </c>
      <c r="O1700">
        <v>11</v>
      </c>
      <c r="P1700">
        <v>3.5</v>
      </c>
      <c r="Q1700">
        <v>42.5</v>
      </c>
      <c r="R1700">
        <v>12.3</v>
      </c>
      <c r="S1700">
        <v>14.2</v>
      </c>
      <c r="T1700">
        <v>10.6</v>
      </c>
      <c r="U1700">
        <v>9.5</v>
      </c>
      <c r="V1700">
        <v>26.1</v>
      </c>
      <c r="W1700">
        <v>0</v>
      </c>
      <c r="X1700">
        <v>20</v>
      </c>
      <c r="Y1700">
        <v>26.1</v>
      </c>
      <c r="Z1700">
        <v>32</v>
      </c>
      <c r="AA1700">
        <v>53.3</v>
      </c>
      <c r="AB1700">
        <v>192</v>
      </c>
      <c r="AC1700">
        <v>89</v>
      </c>
      <c r="AD1700">
        <v>36.1</v>
      </c>
      <c r="AE1700">
        <v>19.899999999999999</v>
      </c>
      <c r="AF1700">
        <v>36.786000000000001</v>
      </c>
      <c r="AG1700">
        <v>68.012</v>
      </c>
      <c r="AH1700">
        <v>62.918999999999997</v>
      </c>
      <c r="AI1700">
        <v>25.533000000000001</v>
      </c>
      <c r="AJ1700">
        <v>6.4059999999999997</v>
      </c>
      <c r="AK1700">
        <v>8.9600000000000009</v>
      </c>
      <c r="AL1700">
        <v>-5.0220000000000002</v>
      </c>
      <c r="AM1700">
        <v>62.918999999999997</v>
      </c>
      <c r="AN1700">
        <v>68.012</v>
      </c>
      <c r="AO1700">
        <v>36.786000000000001</v>
      </c>
      <c r="AP1700">
        <v>5.0220000000000002</v>
      </c>
      <c r="AQ1700">
        <v>93.593999999999994</v>
      </c>
      <c r="AR1700">
        <v>74.466999999999999</v>
      </c>
      <c r="AS1700">
        <v>91.04</v>
      </c>
    </row>
    <row r="1701" spans="1:45" x14ac:dyDescent="0.25">
      <c r="A1701">
        <v>47</v>
      </c>
      <c r="B1701">
        <v>3</v>
      </c>
      <c r="C1701">
        <v>1</v>
      </c>
      <c r="D1701">
        <v>2024</v>
      </c>
      <c r="E1701">
        <v>8</v>
      </c>
      <c r="F1701" t="str">
        <f>IFERROR(VLOOKUP(G1701, Map!$A$1:$B$33, 2, FALSE),"WAS")</f>
        <v>NE</v>
      </c>
      <c r="G1701" t="s">
        <v>151</v>
      </c>
      <c r="H1701" t="str">
        <f>IFERROR(VLOOKUP(I1701, Map!$A$1:$B$33, 2, FALSE),"WAS")</f>
        <v>NYJ</v>
      </c>
      <c r="I1701" t="s">
        <v>166</v>
      </c>
      <c r="J1701" t="s">
        <v>187</v>
      </c>
      <c r="K1701" t="s">
        <v>172</v>
      </c>
      <c r="L1701">
        <v>1</v>
      </c>
      <c r="M1701">
        <v>0</v>
      </c>
      <c r="N1701">
        <v>40.5</v>
      </c>
      <c r="O1701">
        <v>5</v>
      </c>
      <c r="P1701">
        <v>2.5</v>
      </c>
      <c r="Q1701">
        <v>39.5</v>
      </c>
      <c r="R1701">
        <v>7.4</v>
      </c>
      <c r="S1701">
        <v>11.4</v>
      </c>
      <c r="T1701">
        <v>3.4</v>
      </c>
      <c r="U1701">
        <v>3.1</v>
      </c>
      <c r="V1701">
        <v>0</v>
      </c>
      <c r="W1701">
        <v>0</v>
      </c>
      <c r="X1701">
        <v>0</v>
      </c>
      <c r="Y1701">
        <v>0</v>
      </c>
      <c r="Z1701">
        <v>15.6</v>
      </c>
      <c r="AA1701">
        <v>37.1</v>
      </c>
      <c r="AB1701">
        <v>288</v>
      </c>
      <c r="AC1701">
        <v>48</v>
      </c>
      <c r="AD1701">
        <v>25.9</v>
      </c>
      <c r="AE1701">
        <v>11.7</v>
      </c>
      <c r="AF1701">
        <v>28.684999999999999</v>
      </c>
      <c r="AG1701">
        <v>32.000999999999998</v>
      </c>
      <c r="AH1701">
        <v>71.084999999999994</v>
      </c>
      <c r="AI1701">
        <v>27.753</v>
      </c>
      <c r="AJ1701">
        <v>62.048000000000002</v>
      </c>
      <c r="AK1701">
        <v>55.597000000000001</v>
      </c>
      <c r="AL1701">
        <v>-8.3379999999999992</v>
      </c>
      <c r="AM1701">
        <v>71.084999999999994</v>
      </c>
      <c r="AN1701">
        <v>32.000999999999998</v>
      </c>
      <c r="AO1701">
        <v>28.684999999999999</v>
      </c>
      <c r="AP1701">
        <v>8.3379999999999992</v>
      </c>
      <c r="AQ1701">
        <v>37.951999999999998</v>
      </c>
      <c r="AR1701">
        <v>72.247</v>
      </c>
      <c r="AS1701">
        <v>44.402999999999999</v>
      </c>
    </row>
    <row r="1702" spans="1:45" x14ac:dyDescent="0.25">
      <c r="A1702">
        <v>42</v>
      </c>
      <c r="B1702">
        <v>14</v>
      </c>
      <c r="C1702">
        <v>1</v>
      </c>
      <c r="D1702">
        <v>2024</v>
      </c>
      <c r="E1702">
        <v>8</v>
      </c>
      <c r="F1702" t="str">
        <f>IFERROR(VLOOKUP(G1702, Map!$A$1:$B$33, 2, FALSE),"WAS")</f>
        <v>DEN</v>
      </c>
      <c r="G1702" t="s">
        <v>159</v>
      </c>
      <c r="H1702" t="str">
        <f>IFERROR(VLOOKUP(I1702, Map!$A$1:$B$33, 2, FALSE),"WAS")</f>
        <v>CAR</v>
      </c>
      <c r="I1702" t="s">
        <v>142</v>
      </c>
      <c r="J1702" t="s">
        <v>183</v>
      </c>
      <c r="K1702" t="s">
        <v>185</v>
      </c>
      <c r="L1702">
        <v>1</v>
      </c>
      <c r="M1702">
        <v>0</v>
      </c>
      <c r="N1702">
        <v>39</v>
      </c>
      <c r="O1702">
        <v>-19.5</v>
      </c>
      <c r="P1702">
        <v>-12.5</v>
      </c>
      <c r="Q1702">
        <v>37.5</v>
      </c>
      <c r="R1702">
        <v>11.8</v>
      </c>
      <c r="S1702">
        <v>25.5</v>
      </c>
      <c r="T1702">
        <v>1.8</v>
      </c>
      <c r="U1702">
        <v>7.8</v>
      </c>
      <c r="V1702">
        <v>0</v>
      </c>
      <c r="W1702">
        <v>0</v>
      </c>
      <c r="X1702">
        <v>0</v>
      </c>
      <c r="Y1702">
        <v>0</v>
      </c>
      <c r="Z1702">
        <v>12.2</v>
      </c>
      <c r="AA1702">
        <v>23</v>
      </c>
      <c r="AB1702">
        <v>234</v>
      </c>
      <c r="AC1702">
        <v>33</v>
      </c>
      <c r="AD1702">
        <v>13.1</v>
      </c>
      <c r="AE1702">
        <v>7.6</v>
      </c>
      <c r="AF1702">
        <v>75.435000000000002</v>
      </c>
      <c r="AG1702">
        <v>16.334</v>
      </c>
      <c r="AH1702">
        <v>24.369</v>
      </c>
      <c r="AI1702">
        <v>88.432000000000002</v>
      </c>
      <c r="AJ1702">
        <v>77.980999999999995</v>
      </c>
      <c r="AK1702">
        <v>90.311000000000007</v>
      </c>
      <c r="AL1702">
        <v>10.103</v>
      </c>
      <c r="AM1702">
        <v>24.369</v>
      </c>
      <c r="AN1702">
        <v>16.334</v>
      </c>
      <c r="AO1702">
        <v>75.435000000000002</v>
      </c>
      <c r="AP1702">
        <v>-10.103</v>
      </c>
      <c r="AQ1702">
        <v>22.018999999999998</v>
      </c>
      <c r="AR1702">
        <v>11.568</v>
      </c>
      <c r="AS1702">
        <v>9.6890000000000001</v>
      </c>
    </row>
    <row r="1703" spans="1:45" x14ac:dyDescent="0.25">
      <c r="A1703">
        <v>54</v>
      </c>
      <c r="B1703">
        <v>-20</v>
      </c>
      <c r="C1703">
        <v>0</v>
      </c>
      <c r="D1703">
        <v>2024</v>
      </c>
      <c r="E1703">
        <v>8</v>
      </c>
      <c r="F1703" t="str">
        <f>IFERROR(VLOOKUP(G1703, Map!$A$1:$B$33, 2, FALSE),"WAS")</f>
        <v>CIN</v>
      </c>
      <c r="G1703" t="s">
        <v>161</v>
      </c>
      <c r="H1703" t="str">
        <f>IFERROR(VLOOKUP(I1703, Map!$A$1:$B$33, 2, FALSE),"WAS")</f>
        <v>PHI</v>
      </c>
      <c r="I1703" t="s">
        <v>147</v>
      </c>
      <c r="J1703" t="s">
        <v>176</v>
      </c>
      <c r="K1703" t="s">
        <v>206</v>
      </c>
      <c r="L1703">
        <v>0</v>
      </c>
      <c r="M1703">
        <v>0</v>
      </c>
      <c r="N1703">
        <v>51</v>
      </c>
      <c r="O1703">
        <v>7.5</v>
      </c>
      <c r="P1703">
        <v>-2.5</v>
      </c>
      <c r="Q1703">
        <v>47.5</v>
      </c>
      <c r="R1703">
        <v>10</v>
      </c>
      <c r="S1703">
        <v>15.6</v>
      </c>
      <c r="T1703">
        <v>5.6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12.1</v>
      </c>
      <c r="AA1703">
        <v>21.6</v>
      </c>
      <c r="AB1703">
        <v>59</v>
      </c>
      <c r="AC1703">
        <v>53</v>
      </c>
      <c r="AD1703">
        <v>16</v>
      </c>
      <c r="AE1703">
        <v>7.4</v>
      </c>
      <c r="AF1703">
        <v>45.484000000000002</v>
      </c>
      <c r="AG1703">
        <v>63.936999999999998</v>
      </c>
      <c r="AH1703">
        <v>54.151000000000003</v>
      </c>
      <c r="AI1703">
        <v>9.8659999999999997</v>
      </c>
      <c r="AJ1703">
        <v>57.71</v>
      </c>
      <c r="AK1703">
        <v>18.62</v>
      </c>
      <c r="AL1703">
        <v>-1.776</v>
      </c>
      <c r="AM1703">
        <v>54.151000000000003</v>
      </c>
      <c r="AN1703">
        <v>63.936999999999998</v>
      </c>
      <c r="AO1703">
        <v>45.484000000000002</v>
      </c>
      <c r="AP1703">
        <v>1.776</v>
      </c>
      <c r="AQ1703">
        <v>42.29</v>
      </c>
      <c r="AR1703">
        <v>90.134</v>
      </c>
      <c r="AS1703">
        <v>81.38</v>
      </c>
    </row>
    <row r="1704" spans="1:45" x14ac:dyDescent="0.25">
      <c r="A1704">
        <v>44</v>
      </c>
      <c r="B1704">
        <v>8</v>
      </c>
      <c r="C1704">
        <v>1</v>
      </c>
      <c r="D1704">
        <v>2024</v>
      </c>
      <c r="E1704">
        <v>8</v>
      </c>
      <c r="F1704" t="str">
        <f>IFERROR(VLOOKUP(G1704, Map!$A$1:$B$33, 2, FALSE),"WAS")</f>
        <v>PIT</v>
      </c>
      <c r="G1704" t="s">
        <v>145</v>
      </c>
      <c r="H1704" t="str">
        <f>IFERROR(VLOOKUP(I1704, Map!$A$1:$B$33, 2, FALSE),"WAS")</f>
        <v>NYG</v>
      </c>
      <c r="I1704" t="s">
        <v>149</v>
      </c>
      <c r="J1704" t="s">
        <v>170</v>
      </c>
      <c r="K1704" t="s">
        <v>219</v>
      </c>
      <c r="L1704">
        <v>1</v>
      </c>
      <c r="M1704">
        <v>0</v>
      </c>
      <c r="N1704">
        <v>43.5</v>
      </c>
      <c r="O1704">
        <v>-7</v>
      </c>
      <c r="P1704">
        <v>-6.5</v>
      </c>
      <c r="Q1704">
        <v>37.5</v>
      </c>
      <c r="R1704">
        <v>14.2</v>
      </c>
      <c r="S1704">
        <v>23.6</v>
      </c>
      <c r="T1704">
        <v>8.6</v>
      </c>
      <c r="U1704">
        <v>12.4</v>
      </c>
      <c r="V1704">
        <v>1.1000000000000001</v>
      </c>
      <c r="W1704">
        <v>0</v>
      </c>
      <c r="X1704">
        <v>2</v>
      </c>
      <c r="Y1704">
        <v>1.1000000000000001</v>
      </c>
      <c r="Z1704">
        <v>17.3</v>
      </c>
      <c r="AA1704">
        <v>36.4</v>
      </c>
      <c r="AB1704">
        <v>174</v>
      </c>
      <c r="AC1704">
        <v>73</v>
      </c>
      <c r="AD1704">
        <v>22.9</v>
      </c>
      <c r="AE1704">
        <v>11.6</v>
      </c>
      <c r="AF1704">
        <v>68.340999999999994</v>
      </c>
      <c r="AG1704">
        <v>40.945</v>
      </c>
      <c r="AH1704">
        <v>31.407</v>
      </c>
      <c r="AI1704">
        <v>74.882999999999996</v>
      </c>
      <c r="AJ1704">
        <v>56.404000000000003</v>
      </c>
      <c r="AK1704">
        <v>77.028999999999996</v>
      </c>
      <c r="AL1704">
        <v>7.6310000000000002</v>
      </c>
      <c r="AM1704">
        <v>31.407</v>
      </c>
      <c r="AN1704">
        <v>40.945</v>
      </c>
      <c r="AO1704">
        <v>68.340999999999994</v>
      </c>
      <c r="AP1704">
        <v>-7.6310000000000002</v>
      </c>
      <c r="AQ1704">
        <v>43.595999999999997</v>
      </c>
      <c r="AR1704">
        <v>25.117000000000001</v>
      </c>
      <c r="AS1704">
        <v>22.971</v>
      </c>
    </row>
    <row r="1705" spans="1:45" x14ac:dyDescent="0.25">
      <c r="A1705">
        <v>47</v>
      </c>
      <c r="B1705">
        <v>-7</v>
      </c>
      <c r="C1705">
        <v>0</v>
      </c>
      <c r="D1705">
        <v>2024</v>
      </c>
      <c r="E1705">
        <v>8</v>
      </c>
      <c r="F1705" t="str">
        <f>IFERROR(VLOOKUP(G1705, Map!$A$1:$B$33, 2, FALSE),"WAS")</f>
        <v>LV</v>
      </c>
      <c r="G1705" t="s">
        <v>157</v>
      </c>
      <c r="H1705" t="str">
        <f>IFERROR(VLOOKUP(I1705, Map!$A$1:$B$33, 2, FALSE),"WAS")</f>
        <v>KC</v>
      </c>
      <c r="I1705" t="s">
        <v>158</v>
      </c>
      <c r="J1705" t="s">
        <v>179</v>
      </c>
      <c r="K1705" t="s">
        <v>202</v>
      </c>
      <c r="L1705">
        <v>0</v>
      </c>
      <c r="M1705">
        <v>0</v>
      </c>
      <c r="N1705">
        <v>43</v>
      </c>
      <c r="O1705">
        <v>9.5</v>
      </c>
      <c r="P1705">
        <v>8.5</v>
      </c>
      <c r="Q1705">
        <v>42.5</v>
      </c>
      <c r="R1705">
        <v>22.9</v>
      </c>
      <c r="S1705">
        <v>28.3</v>
      </c>
      <c r="T1705">
        <v>16.3</v>
      </c>
      <c r="U1705">
        <v>19.899999999999999</v>
      </c>
      <c r="V1705">
        <v>0</v>
      </c>
      <c r="W1705">
        <v>0</v>
      </c>
      <c r="X1705">
        <v>0</v>
      </c>
      <c r="Y1705">
        <v>0</v>
      </c>
      <c r="Z1705">
        <v>11.7</v>
      </c>
      <c r="AA1705">
        <v>19.8</v>
      </c>
      <c r="AB1705">
        <v>317</v>
      </c>
      <c r="AC1705">
        <v>19</v>
      </c>
      <c r="AD1705">
        <v>8.4</v>
      </c>
      <c r="AE1705">
        <v>4.2</v>
      </c>
      <c r="AF1705">
        <v>25.297999999999998</v>
      </c>
      <c r="AG1705">
        <v>54.99</v>
      </c>
      <c r="AH1705">
        <v>74.498000000000005</v>
      </c>
      <c r="AI1705">
        <v>36.655000000000001</v>
      </c>
      <c r="AJ1705">
        <v>17.986999999999998</v>
      </c>
      <c r="AK1705">
        <v>28.654</v>
      </c>
      <c r="AL1705">
        <v>-9.7970000000000006</v>
      </c>
      <c r="AM1705">
        <v>74.498000000000005</v>
      </c>
      <c r="AN1705">
        <v>54.99</v>
      </c>
      <c r="AO1705">
        <v>25.297999999999998</v>
      </c>
      <c r="AP1705">
        <v>9.7970000000000006</v>
      </c>
      <c r="AQ1705">
        <v>82.013000000000005</v>
      </c>
      <c r="AR1705">
        <v>63.344999999999999</v>
      </c>
      <c r="AS1705">
        <v>71.346000000000004</v>
      </c>
    </row>
    <row r="1706" spans="1:45" x14ac:dyDescent="0.25">
      <c r="A1706">
        <v>53</v>
      </c>
      <c r="B1706">
        <v>5</v>
      </c>
      <c r="C1706">
        <v>1</v>
      </c>
      <c r="D1706">
        <v>2024</v>
      </c>
      <c r="E1706">
        <v>8</v>
      </c>
      <c r="F1706" t="str">
        <f>IFERROR(VLOOKUP(G1706, Map!$A$1:$B$33, 2, FALSE),"WAS")</f>
        <v>CLE</v>
      </c>
      <c r="G1706" t="s">
        <v>162</v>
      </c>
      <c r="H1706" t="str">
        <f>IFERROR(VLOOKUP(I1706, Map!$A$1:$B$33, 2, FALSE),"WAS")</f>
        <v>BAL</v>
      </c>
      <c r="I1706" t="s">
        <v>146</v>
      </c>
      <c r="J1706" t="s">
        <v>171</v>
      </c>
      <c r="K1706" t="s">
        <v>181</v>
      </c>
      <c r="L1706">
        <v>1</v>
      </c>
      <c r="M1706">
        <v>0</v>
      </c>
      <c r="N1706">
        <v>45.5</v>
      </c>
      <c r="O1706">
        <v>2</v>
      </c>
      <c r="P1706">
        <v>-3.5</v>
      </c>
      <c r="Q1706">
        <v>44.5</v>
      </c>
      <c r="R1706">
        <v>9.4</v>
      </c>
      <c r="S1706">
        <v>12.5</v>
      </c>
      <c r="T1706">
        <v>5.5</v>
      </c>
      <c r="U1706">
        <v>6.3</v>
      </c>
      <c r="V1706">
        <v>0</v>
      </c>
      <c r="W1706">
        <v>0</v>
      </c>
      <c r="X1706">
        <v>0</v>
      </c>
      <c r="Y1706">
        <v>0</v>
      </c>
      <c r="Z1706">
        <v>15.5</v>
      </c>
      <c r="AA1706">
        <v>23.4</v>
      </c>
      <c r="AB1706">
        <v>141</v>
      </c>
      <c r="AC1706">
        <v>65</v>
      </c>
      <c r="AD1706">
        <v>17.3</v>
      </c>
      <c r="AE1706">
        <v>10.4</v>
      </c>
      <c r="AF1706">
        <v>34.661000000000001</v>
      </c>
      <c r="AG1706">
        <v>56.771999999999998</v>
      </c>
      <c r="AH1706">
        <v>65.061000000000007</v>
      </c>
      <c r="AI1706">
        <v>32.430999999999997</v>
      </c>
      <c r="AJ1706">
        <v>68.430000000000007</v>
      </c>
      <c r="AK1706">
        <v>59.058999999999997</v>
      </c>
      <c r="AL1706">
        <v>-5.8250000000000002</v>
      </c>
      <c r="AM1706">
        <v>65.061000000000007</v>
      </c>
      <c r="AN1706">
        <v>56.771999999999998</v>
      </c>
      <c r="AO1706">
        <v>34.661000000000001</v>
      </c>
      <c r="AP1706">
        <v>5.8250000000000002</v>
      </c>
      <c r="AQ1706">
        <v>31.57</v>
      </c>
      <c r="AR1706">
        <v>67.569000000000003</v>
      </c>
      <c r="AS1706">
        <v>40.941000000000003</v>
      </c>
    </row>
    <row r="1707" spans="1:45" x14ac:dyDescent="0.25">
      <c r="A1707">
        <v>54</v>
      </c>
      <c r="B1707">
        <v>6</v>
      </c>
      <c r="C1707">
        <v>1</v>
      </c>
      <c r="D1707">
        <v>2024</v>
      </c>
      <c r="E1707">
        <v>8</v>
      </c>
      <c r="F1707" t="str">
        <f>IFERROR(VLOOKUP(G1707, Map!$A$1:$B$33, 2, FALSE),"WAS")</f>
        <v>SF</v>
      </c>
      <c r="G1707" t="s">
        <v>143</v>
      </c>
      <c r="H1707" t="str">
        <f>IFERROR(VLOOKUP(I1707, Map!$A$1:$B$33, 2, FALSE),"WAS")</f>
        <v>DAL</v>
      </c>
      <c r="I1707" t="s">
        <v>150</v>
      </c>
      <c r="J1707" t="s">
        <v>197</v>
      </c>
      <c r="K1707" t="s">
        <v>184</v>
      </c>
      <c r="L1707">
        <v>1</v>
      </c>
      <c r="M1707">
        <v>0</v>
      </c>
      <c r="N1707">
        <v>32.6666666666667</v>
      </c>
      <c r="O1707">
        <v>-7</v>
      </c>
      <c r="P1707">
        <v>-5.5</v>
      </c>
      <c r="Q1707">
        <v>47.5</v>
      </c>
      <c r="R1707">
        <v>15.6</v>
      </c>
      <c r="S1707">
        <v>20.7</v>
      </c>
      <c r="T1707">
        <v>10.6</v>
      </c>
      <c r="U1707">
        <v>14.8</v>
      </c>
      <c r="V1707">
        <v>0.6</v>
      </c>
      <c r="W1707">
        <v>0</v>
      </c>
      <c r="X1707">
        <v>4</v>
      </c>
      <c r="Y1707">
        <v>0.6</v>
      </c>
      <c r="Z1707">
        <v>22.7</v>
      </c>
      <c r="AA1707">
        <v>37.799999999999997</v>
      </c>
      <c r="AB1707">
        <v>324</v>
      </c>
      <c r="AC1707">
        <v>79</v>
      </c>
      <c r="AD1707">
        <v>17.399999999999999</v>
      </c>
      <c r="AE1707">
        <v>9.1999999999999993</v>
      </c>
      <c r="AF1707">
        <v>67.27</v>
      </c>
      <c r="AG1707">
        <v>63.268999999999998</v>
      </c>
      <c r="AH1707">
        <v>32.47</v>
      </c>
      <c r="AI1707">
        <v>68.95</v>
      </c>
      <c r="AJ1707">
        <v>63.064</v>
      </c>
      <c r="AK1707">
        <v>75.111999999999995</v>
      </c>
      <c r="AL1707">
        <v>6.7009999999999996</v>
      </c>
      <c r="AM1707">
        <v>32.47</v>
      </c>
      <c r="AN1707">
        <v>63.268999999999998</v>
      </c>
      <c r="AO1707">
        <v>67.27</v>
      </c>
      <c r="AP1707">
        <v>-6.7009999999999996</v>
      </c>
      <c r="AQ1707">
        <v>36.936</v>
      </c>
      <c r="AR1707">
        <v>31.05</v>
      </c>
      <c r="AS1707">
        <v>24.888000000000002</v>
      </c>
    </row>
    <row r="1708" spans="1:45" x14ac:dyDescent="0.25">
      <c r="A1708">
        <v>66</v>
      </c>
      <c r="B1708">
        <v>38</v>
      </c>
      <c r="C1708">
        <v>1</v>
      </c>
      <c r="D1708">
        <v>2024</v>
      </c>
      <c r="E1708">
        <v>8</v>
      </c>
      <c r="F1708" t="str">
        <f>IFERROR(VLOOKUP(G1708, Map!$A$1:$B$33, 2, FALSE),"WAS")</f>
        <v>DET</v>
      </c>
      <c r="G1708" t="s">
        <v>164</v>
      </c>
      <c r="H1708" t="str">
        <f>IFERROR(VLOOKUP(I1708, Map!$A$1:$B$33, 2, FALSE),"WAS")</f>
        <v>TEN</v>
      </c>
      <c r="I1708" t="s">
        <v>140</v>
      </c>
      <c r="J1708" t="s">
        <v>173</v>
      </c>
      <c r="K1708" t="s">
        <v>174</v>
      </c>
      <c r="L1708">
        <v>1</v>
      </c>
      <c r="M1708">
        <v>0</v>
      </c>
      <c r="N1708">
        <v>56.5</v>
      </c>
      <c r="O1708">
        <v>-26.5</v>
      </c>
      <c r="P1708">
        <v>-12.5</v>
      </c>
      <c r="Q1708">
        <v>46.5</v>
      </c>
      <c r="R1708">
        <v>6.4</v>
      </c>
      <c r="S1708">
        <v>13.5</v>
      </c>
      <c r="T1708">
        <v>0.6</v>
      </c>
      <c r="U1708">
        <v>3.4</v>
      </c>
      <c r="V1708">
        <v>0</v>
      </c>
      <c r="W1708">
        <v>0</v>
      </c>
      <c r="X1708">
        <v>0</v>
      </c>
      <c r="Y1708">
        <v>0</v>
      </c>
      <c r="Z1708">
        <v>10.9</v>
      </c>
      <c r="AA1708">
        <v>23.4</v>
      </c>
      <c r="AB1708">
        <v>268</v>
      </c>
      <c r="AC1708">
        <v>70</v>
      </c>
      <c r="AD1708">
        <v>12.9</v>
      </c>
      <c r="AE1708">
        <v>6.2</v>
      </c>
      <c r="AF1708">
        <v>73.628</v>
      </c>
      <c r="AG1708">
        <v>58.417999999999999</v>
      </c>
      <c r="AH1708">
        <v>26.161999999999999</v>
      </c>
      <c r="AI1708">
        <v>82.552999999999997</v>
      </c>
      <c r="AJ1708">
        <v>93.802999999999997</v>
      </c>
      <c r="AK1708">
        <v>98.344999999999999</v>
      </c>
      <c r="AL1708">
        <v>9.3260000000000005</v>
      </c>
      <c r="AM1708">
        <v>26.161999999999999</v>
      </c>
      <c r="AN1708">
        <v>58.417999999999999</v>
      </c>
      <c r="AO1708">
        <v>73.628</v>
      </c>
      <c r="AP1708">
        <v>-9.3260000000000005</v>
      </c>
      <c r="AQ1708">
        <v>6.1970000000000001</v>
      </c>
      <c r="AR1708">
        <v>17.446999999999999</v>
      </c>
      <c r="AS1708">
        <v>1.655</v>
      </c>
    </row>
    <row r="1709" spans="1:45" x14ac:dyDescent="0.25">
      <c r="A1709">
        <v>37</v>
      </c>
      <c r="B1709">
        <v>3</v>
      </c>
      <c r="C1709">
        <v>1</v>
      </c>
      <c r="D1709">
        <v>2024</v>
      </c>
      <c r="E1709">
        <v>9</v>
      </c>
      <c r="F1709" t="str">
        <f>IFERROR(VLOOKUP(G1709, Map!$A$1:$B$33, 2, FALSE),"WAS")</f>
        <v>TEN</v>
      </c>
      <c r="G1709" t="s">
        <v>140</v>
      </c>
      <c r="H1709" t="str">
        <f>IFERROR(VLOOKUP(I1709, Map!$A$1:$B$33, 2, FALSE),"WAS")</f>
        <v>NE</v>
      </c>
      <c r="I1709" t="s">
        <v>151</v>
      </c>
      <c r="J1709" t="s">
        <v>174</v>
      </c>
      <c r="K1709" t="s">
        <v>187</v>
      </c>
      <c r="L1709">
        <v>1</v>
      </c>
      <c r="M1709">
        <v>0</v>
      </c>
      <c r="N1709">
        <v>33</v>
      </c>
      <c r="O1709">
        <v>-6.5</v>
      </c>
      <c r="P1709">
        <v>-3.5</v>
      </c>
      <c r="Q1709">
        <v>27.5</v>
      </c>
      <c r="R1709">
        <v>17.5</v>
      </c>
      <c r="S1709">
        <v>26.1</v>
      </c>
      <c r="T1709">
        <v>11.8</v>
      </c>
      <c r="U1709">
        <v>16.5</v>
      </c>
      <c r="V1709">
        <v>0</v>
      </c>
      <c r="W1709">
        <v>0</v>
      </c>
      <c r="X1709">
        <v>0</v>
      </c>
      <c r="Y1709">
        <v>0</v>
      </c>
      <c r="Z1709">
        <v>23.3</v>
      </c>
      <c r="AA1709">
        <v>45</v>
      </c>
      <c r="AB1709">
        <v>134</v>
      </c>
      <c r="AC1709">
        <v>69</v>
      </c>
      <c r="AD1709">
        <v>20.8</v>
      </c>
      <c r="AE1709">
        <v>11.7</v>
      </c>
      <c r="AF1709">
        <v>64.391000000000005</v>
      </c>
      <c r="AG1709">
        <v>12.967000000000001</v>
      </c>
      <c r="AH1709">
        <v>35.325000000000003</v>
      </c>
      <c r="AI1709">
        <v>70.728999999999999</v>
      </c>
      <c r="AJ1709">
        <v>53.139000000000003</v>
      </c>
      <c r="AK1709">
        <v>58.545999999999999</v>
      </c>
      <c r="AL1709">
        <v>5.7089999999999996</v>
      </c>
      <c r="AM1709">
        <v>35.325000000000003</v>
      </c>
      <c r="AN1709">
        <v>12.967000000000001</v>
      </c>
      <c r="AO1709">
        <v>64.391000000000005</v>
      </c>
      <c r="AP1709">
        <v>-5.7089999999999996</v>
      </c>
      <c r="AQ1709">
        <v>46.860999999999997</v>
      </c>
      <c r="AR1709">
        <v>29.271000000000001</v>
      </c>
      <c r="AS1709">
        <v>41.454000000000001</v>
      </c>
    </row>
    <row r="1710" spans="1:45" x14ac:dyDescent="0.25">
      <c r="A1710">
        <v>46</v>
      </c>
      <c r="B1710">
        <v>-6</v>
      </c>
      <c r="C1710">
        <v>0</v>
      </c>
      <c r="D1710">
        <v>2024</v>
      </c>
      <c r="E1710">
        <v>9</v>
      </c>
      <c r="F1710" t="str">
        <f>IFERROR(VLOOKUP(G1710, Map!$A$1:$B$33, 2, FALSE),"WAS")</f>
        <v>SEA</v>
      </c>
      <c r="G1710" t="s">
        <v>144</v>
      </c>
      <c r="H1710" t="str">
        <f>IFERROR(VLOOKUP(I1710, Map!$A$1:$B$33, 2, FALSE),"WAS")</f>
        <v>LA</v>
      </c>
      <c r="I1710" t="s">
        <v>155</v>
      </c>
      <c r="J1710" t="s">
        <v>182</v>
      </c>
      <c r="K1710" t="s">
        <v>178</v>
      </c>
      <c r="L1710">
        <v>0</v>
      </c>
      <c r="M1710">
        <v>0</v>
      </c>
      <c r="N1710">
        <v>41</v>
      </c>
      <c r="O1710">
        <v>3.25</v>
      </c>
      <c r="P1710">
        <v>2</v>
      </c>
      <c r="Q1710">
        <v>33.5</v>
      </c>
      <c r="R1710">
        <v>9.1</v>
      </c>
      <c r="S1710">
        <v>11.1</v>
      </c>
      <c r="T1710">
        <v>7.7</v>
      </c>
      <c r="U1710">
        <v>7.2</v>
      </c>
      <c r="V1710">
        <v>0.8</v>
      </c>
      <c r="W1710">
        <v>0</v>
      </c>
      <c r="X1710">
        <v>5</v>
      </c>
      <c r="Y1710">
        <v>0.8</v>
      </c>
      <c r="Z1710">
        <v>21.7</v>
      </c>
      <c r="AA1710">
        <v>34.9</v>
      </c>
      <c r="AB1710">
        <v>182</v>
      </c>
      <c r="AC1710">
        <v>87</v>
      </c>
      <c r="AD1710">
        <v>16.2</v>
      </c>
      <c r="AE1710">
        <v>7.9</v>
      </c>
      <c r="AF1710">
        <v>49.003</v>
      </c>
      <c r="AG1710">
        <v>48.448999999999998</v>
      </c>
      <c r="AH1710">
        <v>50.603000000000002</v>
      </c>
      <c r="AI1710">
        <v>49.014000000000003</v>
      </c>
      <c r="AJ1710">
        <v>21.611000000000001</v>
      </c>
      <c r="AK1710">
        <v>38.725999999999999</v>
      </c>
      <c r="AL1710">
        <v>-0.14299999999999999</v>
      </c>
      <c r="AM1710">
        <v>50.603000000000002</v>
      </c>
      <c r="AN1710">
        <v>48.448999999999998</v>
      </c>
      <c r="AO1710">
        <v>49.003</v>
      </c>
      <c r="AP1710">
        <v>0.14299999999999999</v>
      </c>
      <c r="AQ1710">
        <v>78.388999999999996</v>
      </c>
      <c r="AR1710">
        <v>50.985999999999997</v>
      </c>
      <c r="AS1710">
        <v>61.274000000000001</v>
      </c>
    </row>
    <row r="1711" spans="1:45" x14ac:dyDescent="0.25">
      <c r="A1711">
        <v>65</v>
      </c>
      <c r="B1711">
        <v>17</v>
      </c>
      <c r="C1711">
        <v>1</v>
      </c>
      <c r="D1711">
        <v>2024</v>
      </c>
      <c r="E1711">
        <v>9</v>
      </c>
      <c r="F1711" t="str">
        <f>IFERROR(VLOOKUP(G1711, Map!$A$1:$B$33, 2, FALSE),"WAS")</f>
        <v>CIN</v>
      </c>
      <c r="G1711" t="s">
        <v>161</v>
      </c>
      <c r="H1711" t="str">
        <f>IFERROR(VLOOKUP(I1711, Map!$A$1:$B$33, 2, FALSE),"WAS")</f>
        <v>LV</v>
      </c>
      <c r="I1711" t="s">
        <v>157</v>
      </c>
      <c r="J1711" t="s">
        <v>176</v>
      </c>
      <c r="K1711" t="s">
        <v>179</v>
      </c>
      <c r="L1711">
        <v>1</v>
      </c>
      <c r="M1711">
        <v>0</v>
      </c>
      <c r="N1711">
        <v>50.5</v>
      </c>
      <c r="O1711">
        <v>-19</v>
      </c>
      <c r="P1711">
        <v>-7.5</v>
      </c>
      <c r="Q1711">
        <v>44.5</v>
      </c>
      <c r="R1711">
        <v>12.1</v>
      </c>
      <c r="S1711">
        <v>21.5</v>
      </c>
      <c r="T1711">
        <v>6.8</v>
      </c>
      <c r="U1711">
        <v>9.5</v>
      </c>
      <c r="V1711">
        <v>0</v>
      </c>
      <c r="W1711">
        <v>0</v>
      </c>
      <c r="X1711">
        <v>0</v>
      </c>
      <c r="Y1711">
        <v>0</v>
      </c>
      <c r="Z1711">
        <v>12.7</v>
      </c>
      <c r="AA1711">
        <v>27</v>
      </c>
      <c r="AB1711">
        <v>104</v>
      </c>
      <c r="AC1711">
        <v>66</v>
      </c>
      <c r="AD1711">
        <v>21.2</v>
      </c>
      <c r="AE1711">
        <v>10.6</v>
      </c>
      <c r="AF1711">
        <v>63.99</v>
      </c>
      <c r="AG1711">
        <v>36.137</v>
      </c>
      <c r="AH1711">
        <v>35.722999999999999</v>
      </c>
      <c r="AI1711">
        <v>74.191999999999993</v>
      </c>
      <c r="AJ1711">
        <v>89.242999999999995</v>
      </c>
      <c r="AK1711">
        <v>89.128</v>
      </c>
      <c r="AL1711">
        <v>5.5119999999999996</v>
      </c>
      <c r="AM1711">
        <v>35.722999999999999</v>
      </c>
      <c r="AN1711">
        <v>36.137</v>
      </c>
      <c r="AO1711">
        <v>63.99</v>
      </c>
      <c r="AP1711">
        <v>-5.5119999999999996</v>
      </c>
      <c r="AQ1711">
        <v>10.757</v>
      </c>
      <c r="AR1711">
        <v>25.808</v>
      </c>
      <c r="AS1711">
        <v>10.872</v>
      </c>
    </row>
    <row r="1712" spans="1:45" x14ac:dyDescent="0.25">
      <c r="A1712">
        <v>38</v>
      </c>
      <c r="B1712">
        <v>20</v>
      </c>
      <c r="C1712">
        <v>1</v>
      </c>
      <c r="D1712">
        <v>2024</v>
      </c>
      <c r="E1712">
        <v>9</v>
      </c>
      <c r="F1712" t="str">
        <f>IFERROR(VLOOKUP(G1712, Map!$A$1:$B$33, 2, FALSE),"WAS")</f>
        <v>ARI</v>
      </c>
      <c r="G1712" t="s">
        <v>156</v>
      </c>
      <c r="H1712" t="str">
        <f>IFERROR(VLOOKUP(I1712, Map!$A$1:$B$33, 2, FALSE),"WAS")</f>
        <v>CHI</v>
      </c>
      <c r="I1712" t="s">
        <v>163</v>
      </c>
      <c r="J1712" t="s">
        <v>190</v>
      </c>
      <c r="K1712" t="s">
        <v>216</v>
      </c>
      <c r="L1712">
        <v>1</v>
      </c>
      <c r="M1712">
        <v>0</v>
      </c>
      <c r="N1712">
        <v>42</v>
      </c>
      <c r="O1712">
        <v>-12.5</v>
      </c>
      <c r="P1712">
        <v>-1.5</v>
      </c>
      <c r="Q1712">
        <v>39.5</v>
      </c>
      <c r="R1712">
        <v>15.9</v>
      </c>
      <c r="S1712">
        <v>24.5</v>
      </c>
      <c r="T1712">
        <v>10.3</v>
      </c>
      <c r="U1712">
        <v>13.6</v>
      </c>
      <c r="V1712">
        <v>0.9</v>
      </c>
      <c r="W1712">
        <v>0</v>
      </c>
      <c r="X1712">
        <v>4</v>
      </c>
      <c r="Y1712">
        <v>0.9</v>
      </c>
      <c r="Z1712">
        <v>24.5</v>
      </c>
      <c r="AA1712">
        <v>45.4</v>
      </c>
      <c r="AB1712">
        <v>328</v>
      </c>
      <c r="AC1712">
        <v>62</v>
      </c>
      <c r="AD1712">
        <v>24.5</v>
      </c>
      <c r="AE1712">
        <v>11.2</v>
      </c>
      <c r="AF1712">
        <v>49.533999999999999</v>
      </c>
      <c r="AG1712">
        <v>54.387</v>
      </c>
      <c r="AH1712">
        <v>50.067999999999998</v>
      </c>
      <c r="AI1712">
        <v>83.054000000000002</v>
      </c>
      <c r="AJ1712">
        <v>67.497</v>
      </c>
      <c r="AK1712">
        <v>87.620999999999995</v>
      </c>
      <c r="AL1712">
        <v>-1.4E-2</v>
      </c>
      <c r="AM1712">
        <v>50.067999999999998</v>
      </c>
      <c r="AN1712">
        <v>54.387</v>
      </c>
      <c r="AO1712">
        <v>49.533999999999999</v>
      </c>
      <c r="AP1712">
        <v>1.4E-2</v>
      </c>
      <c r="AQ1712">
        <v>32.503</v>
      </c>
      <c r="AR1712">
        <v>16.946000000000002</v>
      </c>
      <c r="AS1712">
        <v>12.379</v>
      </c>
    </row>
    <row r="1713" spans="1:45" x14ac:dyDescent="0.25">
      <c r="A1713">
        <v>57</v>
      </c>
      <c r="B1713">
        <v>3</v>
      </c>
      <c r="C1713">
        <v>1</v>
      </c>
      <c r="D1713">
        <v>2024</v>
      </c>
      <c r="E1713">
        <v>9</v>
      </c>
      <c r="F1713" t="str">
        <f>IFERROR(VLOOKUP(G1713, Map!$A$1:$B$33, 2, FALSE),"WAS")</f>
        <v>BUF</v>
      </c>
      <c r="G1713" t="s">
        <v>165</v>
      </c>
      <c r="H1713" t="str">
        <f>IFERROR(VLOOKUP(I1713, Map!$A$1:$B$33, 2, FALSE),"WAS")</f>
        <v>MIA</v>
      </c>
      <c r="I1713" t="s">
        <v>152</v>
      </c>
      <c r="J1713" t="s">
        <v>180</v>
      </c>
      <c r="K1713" t="s">
        <v>175</v>
      </c>
      <c r="L1713">
        <v>1</v>
      </c>
      <c r="M1713">
        <v>0</v>
      </c>
      <c r="N1713">
        <v>51</v>
      </c>
      <c r="O1713">
        <v>-7.5</v>
      </c>
      <c r="P1713">
        <v>-6.5</v>
      </c>
      <c r="Q1713">
        <v>49.5</v>
      </c>
      <c r="R1713">
        <v>14.6</v>
      </c>
      <c r="S1713">
        <v>19.2</v>
      </c>
      <c r="T1713">
        <v>9.9</v>
      </c>
      <c r="U1713">
        <v>12.6</v>
      </c>
      <c r="V1713">
        <v>0</v>
      </c>
      <c r="W1713">
        <v>0</v>
      </c>
      <c r="X1713">
        <v>0</v>
      </c>
      <c r="Y1713">
        <v>0</v>
      </c>
      <c r="Z1713">
        <v>12.5</v>
      </c>
      <c r="AA1713">
        <v>27.7</v>
      </c>
      <c r="AB1713">
        <v>61</v>
      </c>
      <c r="AC1713">
        <v>66</v>
      </c>
      <c r="AD1713">
        <v>20.5</v>
      </c>
      <c r="AE1713">
        <v>10.5</v>
      </c>
      <c r="AF1713">
        <v>73.361000000000004</v>
      </c>
      <c r="AG1713">
        <v>64.471999999999994</v>
      </c>
      <c r="AH1713">
        <v>26.427</v>
      </c>
      <c r="AI1713">
        <v>14.1</v>
      </c>
      <c r="AJ1713">
        <v>76.873999999999995</v>
      </c>
      <c r="AK1713">
        <v>57.017000000000003</v>
      </c>
      <c r="AL1713">
        <v>9.202</v>
      </c>
      <c r="AM1713">
        <v>26.427</v>
      </c>
      <c r="AN1713">
        <v>64.471999999999994</v>
      </c>
      <c r="AO1713">
        <v>73.361000000000004</v>
      </c>
      <c r="AP1713">
        <v>-9.202</v>
      </c>
      <c r="AQ1713">
        <v>23.126000000000001</v>
      </c>
      <c r="AR1713">
        <v>85.9</v>
      </c>
      <c r="AS1713">
        <v>42.982999999999997</v>
      </c>
    </row>
    <row r="1714" spans="1:45" x14ac:dyDescent="0.25">
      <c r="A1714">
        <v>38</v>
      </c>
      <c r="B1714">
        <v>-10</v>
      </c>
      <c r="C1714">
        <v>0</v>
      </c>
      <c r="D1714">
        <v>2024</v>
      </c>
      <c r="E1714">
        <v>9</v>
      </c>
      <c r="F1714" t="str">
        <f>IFERROR(VLOOKUP(G1714, Map!$A$1:$B$33, 2, FALSE),"WAS")</f>
        <v>GB</v>
      </c>
      <c r="G1714" t="s">
        <v>154</v>
      </c>
      <c r="H1714" t="str">
        <f>IFERROR(VLOOKUP(I1714, Map!$A$1:$B$33, 2, FALSE),"WAS")</f>
        <v>DET</v>
      </c>
      <c r="I1714" t="s">
        <v>164</v>
      </c>
      <c r="J1714" t="s">
        <v>200</v>
      </c>
      <c r="K1714" t="s">
        <v>173</v>
      </c>
      <c r="L1714">
        <v>0</v>
      </c>
      <c r="M1714">
        <v>0</v>
      </c>
      <c r="N1714">
        <v>42.5</v>
      </c>
      <c r="O1714">
        <v>8.5</v>
      </c>
      <c r="P1714">
        <v>2.5</v>
      </c>
      <c r="Q1714">
        <v>36.5</v>
      </c>
      <c r="R1714">
        <v>8.6</v>
      </c>
      <c r="S1714">
        <v>10.6</v>
      </c>
      <c r="T1714">
        <v>6.5</v>
      </c>
      <c r="U1714">
        <v>5.7</v>
      </c>
      <c r="V1714">
        <v>9.6</v>
      </c>
      <c r="W1714">
        <v>0</v>
      </c>
      <c r="X1714">
        <v>12</v>
      </c>
      <c r="Y1714">
        <v>9.6</v>
      </c>
      <c r="Z1714">
        <v>23.9</v>
      </c>
      <c r="AA1714">
        <v>44.6</v>
      </c>
      <c r="AB1714">
        <v>135</v>
      </c>
      <c r="AC1714">
        <v>85</v>
      </c>
      <c r="AD1714">
        <v>24.7</v>
      </c>
      <c r="AE1714">
        <v>13.4</v>
      </c>
      <c r="AF1714">
        <v>45.152000000000001</v>
      </c>
      <c r="AG1714">
        <v>86.850999999999999</v>
      </c>
      <c r="AH1714">
        <v>54.484999999999999</v>
      </c>
      <c r="AI1714">
        <v>31.614000000000001</v>
      </c>
      <c r="AJ1714">
        <v>23.055</v>
      </c>
      <c r="AK1714">
        <v>10.641999999999999</v>
      </c>
      <c r="AL1714">
        <v>-1.9159999999999999</v>
      </c>
      <c r="AM1714">
        <v>54.484999999999999</v>
      </c>
      <c r="AN1714">
        <v>86.850999999999999</v>
      </c>
      <c r="AO1714">
        <v>45.152000000000001</v>
      </c>
      <c r="AP1714">
        <v>1.9159999999999999</v>
      </c>
      <c r="AQ1714">
        <v>76.944999999999993</v>
      </c>
      <c r="AR1714">
        <v>68.385999999999996</v>
      </c>
      <c r="AS1714">
        <v>89.358000000000004</v>
      </c>
    </row>
    <row r="1715" spans="1:45" x14ac:dyDescent="0.25">
      <c r="A1715">
        <v>48</v>
      </c>
      <c r="B1715">
        <v>6</v>
      </c>
      <c r="C1715">
        <v>1</v>
      </c>
      <c r="D1715">
        <v>2024</v>
      </c>
      <c r="E1715">
        <v>9</v>
      </c>
      <c r="F1715" t="str">
        <f>IFERROR(VLOOKUP(G1715, Map!$A$1:$B$33, 2, FALSE),"WAS")</f>
        <v>ATL</v>
      </c>
      <c r="G1715" t="s">
        <v>167</v>
      </c>
      <c r="H1715" t="str">
        <f>IFERROR(VLOOKUP(I1715, Map!$A$1:$B$33, 2, FALSE),"WAS")</f>
        <v>DAL</v>
      </c>
      <c r="I1715" t="s">
        <v>150</v>
      </c>
      <c r="J1715" t="s">
        <v>188</v>
      </c>
      <c r="K1715" t="s">
        <v>184</v>
      </c>
      <c r="L1715">
        <v>1</v>
      </c>
      <c r="M1715">
        <v>0</v>
      </c>
      <c r="N1715">
        <v>46.5</v>
      </c>
      <c r="O1715">
        <v>-10</v>
      </c>
      <c r="P1715">
        <v>-3.5</v>
      </c>
      <c r="Q1715">
        <v>41.5</v>
      </c>
      <c r="R1715">
        <v>17.899999999999999</v>
      </c>
      <c r="S1715">
        <v>20.9</v>
      </c>
      <c r="T1715">
        <v>15.8</v>
      </c>
      <c r="U1715">
        <v>17.3</v>
      </c>
      <c r="V1715">
        <v>0</v>
      </c>
      <c r="W1715">
        <v>0</v>
      </c>
      <c r="X1715">
        <v>0</v>
      </c>
      <c r="Y1715">
        <v>0</v>
      </c>
      <c r="Z1715">
        <v>22.9</v>
      </c>
      <c r="AA1715">
        <v>41.4</v>
      </c>
      <c r="AB1715">
        <v>87</v>
      </c>
      <c r="AC1715">
        <v>83</v>
      </c>
      <c r="AD1715">
        <v>26.4</v>
      </c>
      <c r="AE1715">
        <v>15.2</v>
      </c>
      <c r="AF1715">
        <v>56.426000000000002</v>
      </c>
      <c r="AG1715">
        <v>50.639000000000003</v>
      </c>
      <c r="AH1715">
        <v>43.225999999999999</v>
      </c>
      <c r="AI1715">
        <v>68.075999999999993</v>
      </c>
      <c r="AJ1715">
        <v>72.715999999999994</v>
      </c>
      <c r="AK1715">
        <v>77.093999999999994</v>
      </c>
      <c r="AL1715">
        <v>2.669</v>
      </c>
      <c r="AM1715">
        <v>43.225999999999999</v>
      </c>
      <c r="AN1715">
        <v>50.639000000000003</v>
      </c>
      <c r="AO1715">
        <v>56.426000000000002</v>
      </c>
      <c r="AP1715">
        <v>-2.669</v>
      </c>
      <c r="AQ1715">
        <v>27.283999999999999</v>
      </c>
      <c r="AR1715">
        <v>31.923999999999999</v>
      </c>
      <c r="AS1715">
        <v>22.905999999999999</v>
      </c>
    </row>
    <row r="1716" spans="1:45" x14ac:dyDescent="0.25">
      <c r="A1716">
        <v>45</v>
      </c>
      <c r="B1716">
        <v>1</v>
      </c>
      <c r="C1716">
        <v>1</v>
      </c>
      <c r="D1716">
        <v>2024</v>
      </c>
      <c r="E1716">
        <v>9</v>
      </c>
      <c r="F1716" t="str">
        <f>IFERROR(VLOOKUP(G1716, Map!$A$1:$B$33, 2, FALSE),"WAS")</f>
        <v>CAR</v>
      </c>
      <c r="G1716" t="s">
        <v>142</v>
      </c>
      <c r="H1716" t="str">
        <f>IFERROR(VLOOKUP(I1716, Map!$A$1:$B$33, 2, FALSE),"WAS")</f>
        <v>NO</v>
      </c>
      <c r="I1716" t="s">
        <v>168</v>
      </c>
      <c r="J1716" t="s">
        <v>185</v>
      </c>
      <c r="K1716" t="s">
        <v>192</v>
      </c>
      <c r="L1716">
        <v>1</v>
      </c>
      <c r="M1716">
        <v>0</v>
      </c>
      <c r="N1716">
        <v>42</v>
      </c>
      <c r="O1716">
        <v>4.5</v>
      </c>
      <c r="P1716">
        <v>1.5</v>
      </c>
      <c r="Q1716">
        <v>40.5</v>
      </c>
      <c r="R1716">
        <v>14.6</v>
      </c>
      <c r="S1716">
        <v>19.2</v>
      </c>
      <c r="T1716">
        <v>9.8000000000000007</v>
      </c>
      <c r="U1716">
        <v>12.5</v>
      </c>
      <c r="V1716">
        <v>0</v>
      </c>
      <c r="W1716">
        <v>0</v>
      </c>
      <c r="X1716">
        <v>0</v>
      </c>
      <c r="Y1716">
        <v>0</v>
      </c>
      <c r="Z1716">
        <v>12.6</v>
      </c>
      <c r="AA1716">
        <v>28.1</v>
      </c>
      <c r="AB1716">
        <v>61</v>
      </c>
      <c r="AC1716">
        <v>66</v>
      </c>
      <c r="AD1716">
        <v>20.3</v>
      </c>
      <c r="AE1716">
        <v>10.5</v>
      </c>
      <c r="AF1716">
        <v>24.834</v>
      </c>
      <c r="AG1716">
        <v>23.928999999999998</v>
      </c>
      <c r="AH1716">
        <v>74.966999999999999</v>
      </c>
      <c r="AI1716">
        <v>50.781999999999996</v>
      </c>
      <c r="AJ1716">
        <v>53.625999999999998</v>
      </c>
      <c r="AK1716">
        <v>51.595999999999997</v>
      </c>
      <c r="AL1716">
        <v>-10.406000000000001</v>
      </c>
      <c r="AM1716">
        <v>74.966999999999999</v>
      </c>
      <c r="AN1716">
        <v>23.928999999999998</v>
      </c>
      <c r="AO1716">
        <v>24.834</v>
      </c>
      <c r="AP1716">
        <v>10.406000000000001</v>
      </c>
      <c r="AQ1716">
        <v>46.374000000000002</v>
      </c>
      <c r="AR1716">
        <v>49.218000000000004</v>
      </c>
      <c r="AS1716">
        <v>48.404000000000003</v>
      </c>
    </row>
    <row r="1717" spans="1:45" x14ac:dyDescent="0.25">
      <c r="A1717">
        <v>34</v>
      </c>
      <c r="B1717">
        <v>8</v>
      </c>
      <c r="C1717">
        <v>1</v>
      </c>
      <c r="D1717">
        <v>2024</v>
      </c>
      <c r="E1717">
        <v>9</v>
      </c>
      <c r="F1717" t="str">
        <f>IFERROR(VLOOKUP(G1717, Map!$A$1:$B$33, 2, FALSE),"WAS")</f>
        <v>MIN</v>
      </c>
      <c r="G1717" t="s">
        <v>153</v>
      </c>
      <c r="H1717" t="str">
        <f>IFERROR(VLOOKUP(I1717, Map!$A$1:$B$33, 2, FALSE),"WAS")</f>
        <v>IND</v>
      </c>
      <c r="I1717" t="s">
        <v>138</v>
      </c>
      <c r="J1717" t="s">
        <v>214</v>
      </c>
      <c r="K1717" t="s">
        <v>177</v>
      </c>
      <c r="L1717">
        <v>1</v>
      </c>
      <c r="M1717">
        <v>0</v>
      </c>
      <c r="N1717">
        <v>37.5</v>
      </c>
      <c r="O1717">
        <v>-5</v>
      </c>
      <c r="P1717">
        <v>-4.5</v>
      </c>
      <c r="Q1717">
        <v>28.5</v>
      </c>
      <c r="R1717">
        <v>11.8</v>
      </c>
      <c r="S1717">
        <v>15.1</v>
      </c>
      <c r="T1717">
        <v>8.1999999999999993</v>
      </c>
      <c r="U1717">
        <v>10.4</v>
      </c>
      <c r="V1717">
        <v>8.4</v>
      </c>
      <c r="W1717">
        <v>0</v>
      </c>
      <c r="X1717">
        <v>7</v>
      </c>
      <c r="Y1717">
        <v>8.4</v>
      </c>
      <c r="Z1717">
        <v>13.3</v>
      </c>
      <c r="AA1717">
        <v>28.1</v>
      </c>
      <c r="AB1717">
        <v>174</v>
      </c>
      <c r="AC1717">
        <v>93</v>
      </c>
      <c r="AD1717">
        <v>21.5</v>
      </c>
      <c r="AE1717">
        <v>10.5</v>
      </c>
      <c r="AF1717">
        <v>53.414000000000001</v>
      </c>
      <c r="AG1717">
        <v>52.670999999999999</v>
      </c>
      <c r="AH1717">
        <v>46.213999999999999</v>
      </c>
      <c r="AI1717">
        <v>92.724000000000004</v>
      </c>
      <c r="AJ1717">
        <v>42.808999999999997</v>
      </c>
      <c r="AK1717">
        <v>68.247</v>
      </c>
      <c r="AL1717">
        <v>1.43</v>
      </c>
      <c r="AM1717">
        <v>46.213999999999999</v>
      </c>
      <c r="AN1717">
        <v>52.670999999999999</v>
      </c>
      <c r="AO1717">
        <v>53.414000000000001</v>
      </c>
      <c r="AP1717">
        <v>-1.43</v>
      </c>
      <c r="AQ1717">
        <v>57.191000000000003</v>
      </c>
      <c r="AR1717">
        <v>7.2759999999999998</v>
      </c>
      <c r="AS1717">
        <v>31.753</v>
      </c>
    </row>
    <row r="1718" spans="1:45" x14ac:dyDescent="0.25">
      <c r="A1718">
        <v>54</v>
      </c>
      <c r="B1718">
        <v>6</v>
      </c>
      <c r="C1718">
        <v>1</v>
      </c>
      <c r="D1718">
        <v>2024</v>
      </c>
      <c r="E1718">
        <v>9</v>
      </c>
      <c r="F1718" t="str">
        <f>IFERROR(VLOOKUP(G1718, Map!$A$1:$B$33, 2, FALSE),"WAS")</f>
        <v>KC</v>
      </c>
      <c r="G1718" t="s">
        <v>158</v>
      </c>
      <c r="H1718" t="str">
        <f>IFERROR(VLOOKUP(I1718, Map!$A$1:$B$33, 2, FALSE),"WAS")</f>
        <v>TB</v>
      </c>
      <c r="I1718" t="s">
        <v>141</v>
      </c>
      <c r="J1718" t="s">
        <v>202</v>
      </c>
      <c r="K1718" t="s">
        <v>186</v>
      </c>
      <c r="L1718">
        <v>1</v>
      </c>
      <c r="M1718">
        <v>0</v>
      </c>
      <c r="N1718">
        <v>44</v>
      </c>
      <c r="O1718">
        <v>-9.5</v>
      </c>
      <c r="P1718">
        <v>-8.5</v>
      </c>
      <c r="Q1718">
        <v>42.5</v>
      </c>
      <c r="R1718">
        <v>15.9</v>
      </c>
      <c r="S1718">
        <v>17.600000000000001</v>
      </c>
      <c r="T1718">
        <v>13.6</v>
      </c>
      <c r="U1718">
        <v>15.2</v>
      </c>
      <c r="V1718">
        <v>4.9000000000000004</v>
      </c>
      <c r="W1718">
        <v>0</v>
      </c>
      <c r="X1718">
        <v>9</v>
      </c>
      <c r="Y1718">
        <v>4.9000000000000004</v>
      </c>
      <c r="Z1718">
        <v>21.9</v>
      </c>
      <c r="AA1718">
        <v>43.2</v>
      </c>
      <c r="AB1718">
        <v>250</v>
      </c>
      <c r="AC1718">
        <v>86</v>
      </c>
      <c r="AD1718">
        <v>26.5</v>
      </c>
      <c r="AE1718">
        <v>12.6</v>
      </c>
      <c r="AF1718">
        <v>65.194999999999993</v>
      </c>
      <c r="AG1718">
        <v>75.971000000000004</v>
      </c>
      <c r="AH1718">
        <v>34.527999999999999</v>
      </c>
      <c r="AI1718">
        <v>27.952999999999999</v>
      </c>
      <c r="AJ1718">
        <v>75.174000000000007</v>
      </c>
      <c r="AK1718">
        <v>62.512999999999998</v>
      </c>
      <c r="AL1718">
        <v>5.6660000000000004</v>
      </c>
      <c r="AM1718">
        <v>34.527999999999999</v>
      </c>
      <c r="AN1718">
        <v>75.971000000000004</v>
      </c>
      <c r="AO1718">
        <v>65.194999999999993</v>
      </c>
      <c r="AP1718">
        <v>-5.6660000000000004</v>
      </c>
      <c r="AQ1718">
        <v>24.826000000000001</v>
      </c>
      <c r="AR1718">
        <v>72.046999999999997</v>
      </c>
      <c r="AS1718">
        <v>37.487000000000002</v>
      </c>
    </row>
    <row r="1719" spans="1:45" x14ac:dyDescent="0.25">
      <c r="A1719">
        <v>37</v>
      </c>
      <c r="B1719">
        <v>-17</v>
      </c>
      <c r="C1719">
        <v>0</v>
      </c>
      <c r="D1719">
        <v>2024</v>
      </c>
      <c r="E1719">
        <v>9</v>
      </c>
      <c r="F1719" t="str">
        <f>IFERROR(VLOOKUP(G1719, Map!$A$1:$B$33, 2, FALSE),"WAS")</f>
        <v>CLE</v>
      </c>
      <c r="G1719" t="s">
        <v>162</v>
      </c>
      <c r="H1719" t="str">
        <f>IFERROR(VLOOKUP(I1719, Map!$A$1:$B$33, 2, FALSE),"WAS")</f>
        <v>LAC</v>
      </c>
      <c r="I1719" t="s">
        <v>160</v>
      </c>
      <c r="J1719" t="s">
        <v>171</v>
      </c>
      <c r="K1719" t="s">
        <v>210</v>
      </c>
      <c r="L1719">
        <v>0</v>
      </c>
      <c r="M1719">
        <v>0</v>
      </c>
      <c r="N1719">
        <v>36.5</v>
      </c>
      <c r="O1719">
        <v>12.5</v>
      </c>
      <c r="P1719">
        <v>1.5</v>
      </c>
      <c r="Q1719">
        <v>31.5</v>
      </c>
      <c r="R1719">
        <v>10</v>
      </c>
      <c r="S1719">
        <v>16.399999999999999</v>
      </c>
      <c r="T1719">
        <v>6</v>
      </c>
      <c r="U1719">
        <v>6.5</v>
      </c>
      <c r="V1719">
        <v>0</v>
      </c>
      <c r="W1719">
        <v>0</v>
      </c>
      <c r="X1719">
        <v>0</v>
      </c>
      <c r="Y1719">
        <v>0</v>
      </c>
      <c r="Z1719">
        <v>19.2</v>
      </c>
      <c r="AA1719">
        <v>25.9</v>
      </c>
      <c r="AB1719">
        <v>119</v>
      </c>
      <c r="AC1719">
        <v>69</v>
      </c>
      <c r="AD1719">
        <v>22.6</v>
      </c>
      <c r="AE1719">
        <v>15.1</v>
      </c>
      <c r="AF1719">
        <v>53.347000000000001</v>
      </c>
      <c r="AG1719">
        <v>40.250999999999998</v>
      </c>
      <c r="AH1719">
        <v>46.280999999999999</v>
      </c>
      <c r="AI1719">
        <v>35.656999999999996</v>
      </c>
      <c r="AJ1719">
        <v>4.9909999999999997</v>
      </c>
      <c r="AK1719">
        <v>8.6809999999999992</v>
      </c>
      <c r="AL1719">
        <v>1.323</v>
      </c>
      <c r="AM1719">
        <v>46.280999999999999</v>
      </c>
      <c r="AN1719">
        <v>40.250999999999998</v>
      </c>
      <c r="AO1719">
        <v>53.347000000000001</v>
      </c>
      <c r="AP1719">
        <v>-1.323</v>
      </c>
      <c r="AQ1719">
        <v>95.009</v>
      </c>
      <c r="AR1719">
        <v>64.343000000000004</v>
      </c>
      <c r="AS1719">
        <v>91.319000000000003</v>
      </c>
    </row>
    <row r="1720" spans="1:45" x14ac:dyDescent="0.25">
      <c r="A1720">
        <v>51</v>
      </c>
      <c r="B1720">
        <v>5</v>
      </c>
      <c r="C1720">
        <v>1</v>
      </c>
      <c r="D1720">
        <v>2024</v>
      </c>
      <c r="E1720">
        <v>9</v>
      </c>
      <c r="F1720" t="str">
        <f>IFERROR(VLOOKUP(G1720, Map!$A$1:$B$33, 2, FALSE),"WAS")</f>
        <v>PHI</v>
      </c>
      <c r="G1720" t="s">
        <v>147</v>
      </c>
      <c r="H1720" t="str">
        <f>IFERROR(VLOOKUP(I1720, Map!$A$1:$B$33, 2, FALSE),"WAS")</f>
        <v>JAX</v>
      </c>
      <c r="I1720" t="s">
        <v>139</v>
      </c>
      <c r="J1720" t="s">
        <v>206</v>
      </c>
      <c r="K1720" t="s">
        <v>220</v>
      </c>
      <c r="L1720">
        <v>1</v>
      </c>
      <c r="M1720">
        <v>0</v>
      </c>
      <c r="N1720">
        <v>48.5</v>
      </c>
      <c r="O1720">
        <v>-9.5</v>
      </c>
      <c r="P1720">
        <v>-7.5</v>
      </c>
      <c r="Q1720">
        <v>46.5</v>
      </c>
      <c r="R1720">
        <v>9.1</v>
      </c>
      <c r="S1720">
        <v>13.8</v>
      </c>
      <c r="T1720">
        <v>4.4000000000000004</v>
      </c>
      <c r="U1720">
        <v>5.4</v>
      </c>
      <c r="V1720">
        <v>0</v>
      </c>
      <c r="W1720">
        <v>0</v>
      </c>
      <c r="X1720">
        <v>0</v>
      </c>
      <c r="Y1720">
        <v>0</v>
      </c>
      <c r="Z1720">
        <v>14.7</v>
      </c>
      <c r="AA1720">
        <v>25.6</v>
      </c>
      <c r="AB1720">
        <v>21</v>
      </c>
      <c r="AC1720">
        <v>49</v>
      </c>
      <c r="AD1720">
        <v>19.8</v>
      </c>
      <c r="AE1720">
        <v>9.6</v>
      </c>
      <c r="AF1720">
        <v>68.274000000000001</v>
      </c>
      <c r="AG1720">
        <v>60.582000000000001</v>
      </c>
      <c r="AH1720">
        <v>31.474</v>
      </c>
      <c r="AI1720">
        <v>89.272000000000006</v>
      </c>
      <c r="AJ1720">
        <v>44.548999999999999</v>
      </c>
      <c r="AK1720">
        <v>77.710999999999999</v>
      </c>
      <c r="AL1720">
        <v>7.2220000000000004</v>
      </c>
      <c r="AM1720">
        <v>31.474</v>
      </c>
      <c r="AN1720">
        <v>60.582000000000001</v>
      </c>
      <c r="AO1720">
        <v>68.274000000000001</v>
      </c>
      <c r="AP1720">
        <v>-7.2220000000000004</v>
      </c>
      <c r="AQ1720">
        <v>55.451000000000001</v>
      </c>
      <c r="AR1720">
        <v>10.728</v>
      </c>
      <c r="AS1720">
        <v>22.289000000000001</v>
      </c>
    </row>
    <row r="1721" spans="1:45" x14ac:dyDescent="0.25">
      <c r="A1721">
        <v>34</v>
      </c>
      <c r="B1721">
        <v>8</v>
      </c>
      <c r="C1721">
        <v>1</v>
      </c>
      <c r="D1721">
        <v>2024</v>
      </c>
      <c r="E1721">
        <v>9</v>
      </c>
      <c r="F1721" t="str">
        <f>IFERROR(VLOOKUP(G1721, Map!$A$1:$B$33, 2, FALSE),"WAS")</f>
        <v>NYJ</v>
      </c>
      <c r="G1721" t="s">
        <v>166</v>
      </c>
      <c r="H1721" t="str">
        <f>IFERROR(VLOOKUP(I1721, Map!$A$1:$B$33, 2, FALSE),"WAS")</f>
        <v>HOU</v>
      </c>
      <c r="I1721" t="s">
        <v>137</v>
      </c>
      <c r="J1721" t="s">
        <v>172</v>
      </c>
      <c r="K1721" t="s">
        <v>209</v>
      </c>
      <c r="L1721">
        <v>1</v>
      </c>
      <c r="M1721">
        <v>0</v>
      </c>
      <c r="N1721">
        <v>34</v>
      </c>
      <c r="O1721">
        <v>-3.5</v>
      </c>
      <c r="P1721">
        <v>-2.5</v>
      </c>
      <c r="Q1721">
        <v>24.5</v>
      </c>
      <c r="R1721">
        <v>21.7</v>
      </c>
      <c r="S1721">
        <v>25.5</v>
      </c>
      <c r="T1721">
        <v>19.2</v>
      </c>
      <c r="U1721">
        <v>19.2</v>
      </c>
      <c r="V1721">
        <v>0.4</v>
      </c>
      <c r="W1721">
        <v>0</v>
      </c>
      <c r="X1721">
        <v>2</v>
      </c>
      <c r="Y1721">
        <v>0.4</v>
      </c>
      <c r="Z1721">
        <v>26</v>
      </c>
      <c r="AA1721">
        <v>51.1</v>
      </c>
      <c r="AB1721">
        <v>245</v>
      </c>
      <c r="AC1721">
        <v>54</v>
      </c>
      <c r="AD1721">
        <v>40.1</v>
      </c>
      <c r="AE1721">
        <v>20.5</v>
      </c>
      <c r="AF1721">
        <v>49.866999999999997</v>
      </c>
      <c r="AG1721">
        <v>60.197000000000003</v>
      </c>
      <c r="AH1721">
        <v>49.734000000000002</v>
      </c>
      <c r="AI1721">
        <v>70.251000000000005</v>
      </c>
      <c r="AJ1721">
        <v>62.933</v>
      </c>
      <c r="AK1721">
        <v>68.793000000000006</v>
      </c>
      <c r="AL1721">
        <v>-7.9000000000000001E-2</v>
      </c>
      <c r="AM1721">
        <v>49.734000000000002</v>
      </c>
      <c r="AN1721">
        <v>60.197000000000003</v>
      </c>
      <c r="AO1721">
        <v>49.866999999999997</v>
      </c>
      <c r="AP1721">
        <v>7.9000000000000001E-2</v>
      </c>
      <c r="AQ1721">
        <v>37.067</v>
      </c>
      <c r="AR1721">
        <v>29.748999999999999</v>
      </c>
      <c r="AS1721">
        <v>31.207000000000001</v>
      </c>
    </row>
    <row r="1722" spans="1:45" x14ac:dyDescent="0.25">
      <c r="A1722">
        <v>51</v>
      </c>
      <c r="B1722">
        <v>31</v>
      </c>
      <c r="C1722">
        <v>1</v>
      </c>
      <c r="D1722">
        <v>2024</v>
      </c>
      <c r="E1722">
        <v>9</v>
      </c>
      <c r="F1722" t="str">
        <f>IFERROR(VLOOKUP(G1722, Map!$A$1:$B$33, 2, FALSE),"WAS")</f>
        <v>BAL</v>
      </c>
      <c r="G1722" t="s">
        <v>146</v>
      </c>
      <c r="H1722" t="str">
        <f>IFERROR(VLOOKUP(I1722, Map!$A$1:$B$33, 2, FALSE),"WAS")</f>
        <v>DEN</v>
      </c>
      <c r="I1722" t="s">
        <v>159</v>
      </c>
      <c r="J1722" t="s">
        <v>181</v>
      </c>
      <c r="K1722" t="s">
        <v>183</v>
      </c>
      <c r="L1722">
        <v>1</v>
      </c>
      <c r="M1722">
        <v>0</v>
      </c>
      <c r="N1722">
        <v>49.5</v>
      </c>
      <c r="O1722">
        <v>-18</v>
      </c>
      <c r="P1722">
        <v>-8.5</v>
      </c>
      <c r="Q1722">
        <v>46.5</v>
      </c>
      <c r="R1722">
        <v>9.4</v>
      </c>
      <c r="S1722">
        <v>14.2</v>
      </c>
      <c r="T1722">
        <v>5.3</v>
      </c>
      <c r="U1722">
        <v>6.1</v>
      </c>
      <c r="V1722">
        <v>0</v>
      </c>
      <c r="W1722">
        <v>0</v>
      </c>
      <c r="X1722">
        <v>0</v>
      </c>
      <c r="Y1722">
        <v>0</v>
      </c>
      <c r="Z1722">
        <v>10.9</v>
      </c>
      <c r="AA1722">
        <v>22.3</v>
      </c>
      <c r="AB1722">
        <v>32</v>
      </c>
      <c r="AC1722">
        <v>55</v>
      </c>
      <c r="AD1722">
        <v>17.399999999999999</v>
      </c>
      <c r="AE1722">
        <v>8.4</v>
      </c>
      <c r="AF1722">
        <v>75.034000000000006</v>
      </c>
      <c r="AG1722">
        <v>61.222999999999999</v>
      </c>
      <c r="AH1722">
        <v>24.766999999999999</v>
      </c>
      <c r="AI1722">
        <v>76.393000000000001</v>
      </c>
      <c r="AJ1722">
        <v>99.165999999999997</v>
      </c>
      <c r="AK1722">
        <v>95.992000000000004</v>
      </c>
      <c r="AL1722">
        <v>10.305</v>
      </c>
      <c r="AM1722">
        <v>24.766999999999999</v>
      </c>
      <c r="AN1722">
        <v>61.222999999999999</v>
      </c>
      <c r="AO1722">
        <v>75.034000000000006</v>
      </c>
      <c r="AP1722">
        <v>-10.305</v>
      </c>
      <c r="AQ1722">
        <v>0.83399999999999996</v>
      </c>
      <c r="AR1722">
        <v>23.606999999999999</v>
      </c>
      <c r="AS1722">
        <v>4.008</v>
      </c>
    </row>
    <row r="1723" spans="1:45" x14ac:dyDescent="0.25">
      <c r="A1723">
        <v>49</v>
      </c>
      <c r="B1723">
        <v>-5</v>
      </c>
      <c r="C1723">
        <v>0</v>
      </c>
      <c r="D1723">
        <v>2024</v>
      </c>
      <c r="E1723">
        <v>9</v>
      </c>
      <c r="F1723" t="str">
        <f>IFERROR(VLOOKUP(G1723, Map!$A$1:$B$33, 2, FALSE),"WAS")</f>
        <v>NYG</v>
      </c>
      <c r="G1723" t="s">
        <v>149</v>
      </c>
      <c r="H1723" t="str">
        <f>IFERROR(VLOOKUP(I1723, Map!$A$1:$B$33, 2, FALSE),"WAS")</f>
        <v>WAS</v>
      </c>
      <c r="I1723" t="s">
        <v>148</v>
      </c>
      <c r="J1723" t="s">
        <v>219</v>
      </c>
      <c r="K1723" t="s">
        <v>205</v>
      </c>
      <c r="L1723">
        <v>0</v>
      </c>
      <c r="M1723">
        <v>0</v>
      </c>
      <c r="N1723">
        <v>44.5</v>
      </c>
      <c r="O1723">
        <v>5.5</v>
      </c>
      <c r="P1723">
        <v>3.5</v>
      </c>
      <c r="Q1723">
        <v>42.5</v>
      </c>
      <c r="R1723">
        <v>8</v>
      </c>
      <c r="S1723">
        <v>13.1</v>
      </c>
      <c r="T1723">
        <v>3.7</v>
      </c>
      <c r="U1723">
        <v>4.0999999999999996</v>
      </c>
      <c r="V1723">
        <v>0</v>
      </c>
      <c r="W1723">
        <v>0</v>
      </c>
      <c r="X1723">
        <v>0</v>
      </c>
      <c r="Y1723">
        <v>0</v>
      </c>
      <c r="Z1723">
        <v>13</v>
      </c>
      <c r="AA1723">
        <v>26.3</v>
      </c>
      <c r="AB1723">
        <v>6</v>
      </c>
      <c r="AC1723">
        <v>50</v>
      </c>
      <c r="AD1723">
        <v>21.1</v>
      </c>
      <c r="AE1723">
        <v>9.9</v>
      </c>
      <c r="AF1723">
        <v>35.722999999999999</v>
      </c>
      <c r="AG1723">
        <v>45.43</v>
      </c>
      <c r="AH1723">
        <v>63.99</v>
      </c>
      <c r="AI1723">
        <v>7.8879999999999999</v>
      </c>
      <c r="AJ1723">
        <v>52.222000000000001</v>
      </c>
      <c r="AK1723">
        <v>17.108000000000001</v>
      </c>
      <c r="AL1723">
        <v>-5.7060000000000004</v>
      </c>
      <c r="AM1723">
        <v>63.99</v>
      </c>
      <c r="AN1723">
        <v>45.43</v>
      </c>
      <c r="AO1723">
        <v>35.722999999999999</v>
      </c>
      <c r="AP1723">
        <v>5.7060000000000004</v>
      </c>
      <c r="AQ1723">
        <v>47.777999999999999</v>
      </c>
      <c r="AR1723">
        <v>92.111999999999995</v>
      </c>
      <c r="AS1723">
        <v>82.891999999999996</v>
      </c>
    </row>
    <row r="1724" spans="1:45" x14ac:dyDescent="0.25">
      <c r="A1724">
        <v>40</v>
      </c>
      <c r="B1724">
        <v>-28</v>
      </c>
      <c r="C1724">
        <v>0</v>
      </c>
      <c r="D1724">
        <v>2024</v>
      </c>
      <c r="E1724">
        <v>10</v>
      </c>
      <c r="F1724" t="str">
        <f>IFERROR(VLOOKUP(G1724, Map!$A$1:$B$33, 2, FALSE),"WAS")</f>
        <v>DAL</v>
      </c>
      <c r="G1724" t="s">
        <v>150</v>
      </c>
      <c r="H1724" t="str">
        <f>IFERROR(VLOOKUP(I1724, Map!$A$1:$B$33, 2, FALSE),"WAS")</f>
        <v>PHI</v>
      </c>
      <c r="I1724" t="s">
        <v>147</v>
      </c>
      <c r="J1724" t="s">
        <v>184</v>
      </c>
      <c r="K1724" t="s">
        <v>206</v>
      </c>
      <c r="L1724">
        <v>0</v>
      </c>
      <c r="M1724">
        <v>0</v>
      </c>
      <c r="N1724">
        <v>42.5</v>
      </c>
      <c r="O1724">
        <v>17</v>
      </c>
      <c r="P1724">
        <v>7.5</v>
      </c>
      <c r="Q1724">
        <v>40.5</v>
      </c>
      <c r="R1724">
        <v>16.5</v>
      </c>
      <c r="S1724">
        <v>23.5</v>
      </c>
      <c r="T1724">
        <v>10.7</v>
      </c>
      <c r="U1724">
        <v>15.7</v>
      </c>
      <c r="V1724">
        <v>0</v>
      </c>
      <c r="W1724">
        <v>0</v>
      </c>
      <c r="X1724">
        <v>0</v>
      </c>
      <c r="Y1724">
        <v>0</v>
      </c>
      <c r="Z1724">
        <v>9</v>
      </c>
      <c r="AA1724">
        <v>17.3</v>
      </c>
      <c r="AB1724">
        <v>236</v>
      </c>
      <c r="AC1724">
        <v>68</v>
      </c>
      <c r="AD1724">
        <v>11.7</v>
      </c>
      <c r="AE1724">
        <v>6.3</v>
      </c>
      <c r="AF1724">
        <v>30.677</v>
      </c>
      <c r="AG1724">
        <v>59.948</v>
      </c>
      <c r="AH1724">
        <v>69.076999999999998</v>
      </c>
      <c r="AI1724">
        <v>46.868000000000002</v>
      </c>
      <c r="AJ1724">
        <v>1.2390000000000001</v>
      </c>
      <c r="AK1724">
        <v>8.3849999999999998</v>
      </c>
      <c r="AL1724">
        <v>-7.7779999999999996</v>
      </c>
      <c r="AM1724">
        <v>69.076999999999998</v>
      </c>
      <c r="AN1724">
        <v>59.948</v>
      </c>
      <c r="AO1724">
        <v>30.677</v>
      </c>
      <c r="AP1724">
        <v>7.7779999999999996</v>
      </c>
      <c r="AQ1724">
        <v>98.760999999999996</v>
      </c>
      <c r="AR1724">
        <v>53.131999999999998</v>
      </c>
      <c r="AS1724">
        <v>91.614999999999995</v>
      </c>
    </row>
    <row r="1725" spans="1:45" x14ac:dyDescent="0.25">
      <c r="A1725">
        <v>49</v>
      </c>
      <c r="B1725">
        <v>-3</v>
      </c>
      <c r="C1725">
        <v>0</v>
      </c>
      <c r="D1725">
        <v>2024</v>
      </c>
      <c r="E1725">
        <v>10</v>
      </c>
      <c r="F1725" t="str">
        <f>IFERROR(VLOOKUP(G1725, Map!$A$1:$B$33, 2, FALSE),"WAS")</f>
        <v>HOU</v>
      </c>
      <c r="G1725" t="s">
        <v>137</v>
      </c>
      <c r="H1725" t="str">
        <f>IFERROR(VLOOKUP(I1725, Map!$A$1:$B$33, 2, FALSE),"WAS")</f>
        <v>DET</v>
      </c>
      <c r="I1725" t="s">
        <v>164</v>
      </c>
      <c r="J1725" t="s">
        <v>209</v>
      </c>
      <c r="K1725" t="s">
        <v>173</v>
      </c>
      <c r="L1725">
        <v>0</v>
      </c>
      <c r="M1725">
        <v>0</v>
      </c>
      <c r="N1725">
        <v>51</v>
      </c>
      <c r="O1725">
        <v>1</v>
      </c>
      <c r="P1725">
        <v>-2.5</v>
      </c>
      <c r="Q1725">
        <v>49.5</v>
      </c>
      <c r="R1725">
        <v>22</v>
      </c>
      <c r="S1725">
        <v>27.2</v>
      </c>
      <c r="T1725">
        <v>17.5</v>
      </c>
      <c r="U1725">
        <v>24.1</v>
      </c>
      <c r="V1725">
        <v>0</v>
      </c>
      <c r="W1725">
        <v>0</v>
      </c>
      <c r="X1725">
        <v>0</v>
      </c>
      <c r="Y1725">
        <v>0</v>
      </c>
      <c r="Z1725">
        <v>13</v>
      </c>
      <c r="AA1725">
        <v>24.8</v>
      </c>
      <c r="AB1725">
        <v>358</v>
      </c>
      <c r="AC1725">
        <v>83</v>
      </c>
      <c r="AD1725">
        <v>15.4</v>
      </c>
      <c r="AE1725">
        <v>8.9</v>
      </c>
      <c r="AF1725">
        <v>38.046999999999997</v>
      </c>
      <c r="AG1725">
        <v>77.721999999999994</v>
      </c>
      <c r="AH1725">
        <v>61.646999999999998</v>
      </c>
      <c r="AI1725">
        <v>75.81</v>
      </c>
      <c r="AJ1725">
        <v>26.523</v>
      </c>
      <c r="AK1725">
        <v>48.58</v>
      </c>
      <c r="AL1725">
        <v>-4.72</v>
      </c>
      <c r="AM1725">
        <v>61.646999999999998</v>
      </c>
      <c r="AN1725">
        <v>77.721999999999994</v>
      </c>
      <c r="AO1725">
        <v>38.046999999999997</v>
      </c>
      <c r="AP1725">
        <v>4.72</v>
      </c>
      <c r="AQ1725">
        <v>73.477000000000004</v>
      </c>
      <c r="AR1725">
        <v>24.19</v>
      </c>
      <c r="AS1725">
        <v>51.42</v>
      </c>
    </row>
    <row r="1726" spans="1:45" x14ac:dyDescent="0.25">
      <c r="A1726">
        <v>22</v>
      </c>
      <c r="B1726">
        <v>-16</v>
      </c>
      <c r="C1726">
        <v>0</v>
      </c>
      <c r="D1726">
        <v>2024</v>
      </c>
      <c r="E1726">
        <v>10</v>
      </c>
      <c r="F1726" t="str">
        <f>IFERROR(VLOOKUP(G1726, Map!$A$1:$B$33, 2, FALSE),"WAS")</f>
        <v>CHI</v>
      </c>
      <c r="G1726" t="s">
        <v>163</v>
      </c>
      <c r="H1726" t="str">
        <f>IFERROR(VLOOKUP(I1726, Map!$A$1:$B$33, 2, FALSE),"WAS")</f>
        <v>NE</v>
      </c>
      <c r="I1726" t="s">
        <v>151</v>
      </c>
      <c r="J1726" t="s">
        <v>216</v>
      </c>
      <c r="K1726" t="s">
        <v>187</v>
      </c>
      <c r="L1726">
        <v>0</v>
      </c>
      <c r="M1726">
        <v>0</v>
      </c>
      <c r="N1726">
        <v>29.5</v>
      </c>
      <c r="O1726">
        <v>3.5</v>
      </c>
      <c r="P1726">
        <v>-6.5</v>
      </c>
      <c r="Q1726">
        <v>21.5</v>
      </c>
      <c r="R1726">
        <v>12.1</v>
      </c>
      <c r="S1726">
        <v>16.2</v>
      </c>
      <c r="T1726">
        <v>9.9</v>
      </c>
      <c r="U1726">
        <v>8.5</v>
      </c>
      <c r="V1726">
        <v>4.0999999999999996</v>
      </c>
      <c r="W1726">
        <v>0</v>
      </c>
      <c r="X1726">
        <v>8</v>
      </c>
      <c r="Y1726">
        <v>4.0999999999999996</v>
      </c>
      <c r="Z1726">
        <v>38.9</v>
      </c>
      <c r="AA1726">
        <v>58</v>
      </c>
      <c r="AB1726">
        <v>200</v>
      </c>
      <c r="AC1726">
        <v>79</v>
      </c>
      <c r="AD1726">
        <v>33.6</v>
      </c>
      <c r="AE1726">
        <v>22</v>
      </c>
      <c r="AF1726">
        <v>72.691000000000003</v>
      </c>
      <c r="AG1726">
        <v>29.884</v>
      </c>
      <c r="AH1726">
        <v>27.091000000000001</v>
      </c>
      <c r="AI1726">
        <v>56.156999999999996</v>
      </c>
      <c r="AJ1726">
        <v>6.8440000000000003</v>
      </c>
      <c r="AK1726">
        <v>18.417999999999999</v>
      </c>
      <c r="AL1726">
        <v>9.4510000000000005</v>
      </c>
      <c r="AM1726">
        <v>27.091000000000001</v>
      </c>
      <c r="AN1726">
        <v>29.884</v>
      </c>
      <c r="AO1726">
        <v>72.691000000000003</v>
      </c>
      <c r="AP1726">
        <v>-9.4510000000000005</v>
      </c>
      <c r="AQ1726">
        <v>93.156000000000006</v>
      </c>
      <c r="AR1726">
        <v>43.843000000000004</v>
      </c>
      <c r="AS1726">
        <v>81.581999999999994</v>
      </c>
    </row>
    <row r="1727" spans="1:45" x14ac:dyDescent="0.25">
      <c r="A1727">
        <v>44</v>
      </c>
      <c r="B1727">
        <v>10</v>
      </c>
      <c r="C1727">
        <v>1</v>
      </c>
      <c r="D1727">
        <v>2024</v>
      </c>
      <c r="E1727">
        <v>10</v>
      </c>
      <c r="F1727" t="str">
        <f>IFERROR(VLOOKUP(G1727, Map!$A$1:$B$33, 2, FALSE),"WAS")</f>
        <v>LAC</v>
      </c>
      <c r="G1727" t="s">
        <v>160</v>
      </c>
      <c r="H1727" t="str">
        <f>IFERROR(VLOOKUP(I1727, Map!$A$1:$B$33, 2, FALSE),"WAS")</f>
        <v>TEN</v>
      </c>
      <c r="I1727" t="s">
        <v>140</v>
      </c>
      <c r="J1727" t="s">
        <v>210</v>
      </c>
      <c r="K1727" t="s">
        <v>174</v>
      </c>
      <c r="L1727">
        <v>1</v>
      </c>
      <c r="M1727">
        <v>0</v>
      </c>
      <c r="N1727">
        <v>39</v>
      </c>
      <c r="O1727">
        <v>-13</v>
      </c>
      <c r="P1727">
        <v>-8.5</v>
      </c>
      <c r="Q1727">
        <v>37.5</v>
      </c>
      <c r="R1727">
        <v>16.3</v>
      </c>
      <c r="S1727">
        <v>24.6</v>
      </c>
      <c r="T1727">
        <v>8.8000000000000007</v>
      </c>
      <c r="U1727">
        <v>13.4</v>
      </c>
      <c r="V1727">
        <v>0</v>
      </c>
      <c r="W1727">
        <v>0</v>
      </c>
      <c r="X1727">
        <v>0</v>
      </c>
      <c r="Y1727">
        <v>0</v>
      </c>
      <c r="Z1727">
        <v>17.8</v>
      </c>
      <c r="AA1727">
        <v>31.7</v>
      </c>
      <c r="AB1727">
        <v>252</v>
      </c>
      <c r="AC1727">
        <v>37</v>
      </c>
      <c r="AD1727">
        <v>13.4</v>
      </c>
      <c r="AE1727">
        <v>7.5</v>
      </c>
      <c r="AF1727">
        <v>66.533000000000001</v>
      </c>
      <c r="AG1727">
        <v>37.308999999999997</v>
      </c>
      <c r="AH1727">
        <v>33.200000000000003</v>
      </c>
      <c r="AI1727">
        <v>43.45</v>
      </c>
      <c r="AJ1727">
        <v>86.88</v>
      </c>
      <c r="AK1727">
        <v>80.400999999999996</v>
      </c>
      <c r="AL1727">
        <v>6.4829999999999997</v>
      </c>
      <c r="AM1727">
        <v>33.200000000000003</v>
      </c>
      <c r="AN1727">
        <v>37.308999999999997</v>
      </c>
      <c r="AO1727">
        <v>66.533000000000001</v>
      </c>
      <c r="AP1727">
        <v>-6.4829999999999997</v>
      </c>
      <c r="AQ1727">
        <v>13.12</v>
      </c>
      <c r="AR1727">
        <v>56.55</v>
      </c>
      <c r="AS1727">
        <v>19.599</v>
      </c>
    </row>
    <row r="1728" spans="1:45" x14ac:dyDescent="0.25">
      <c r="A1728">
        <v>55</v>
      </c>
      <c r="B1728">
        <v>-1</v>
      </c>
      <c r="C1728">
        <v>0</v>
      </c>
      <c r="D1728">
        <v>2024</v>
      </c>
      <c r="E1728">
        <v>10</v>
      </c>
      <c r="F1728" t="str">
        <f>IFERROR(VLOOKUP(G1728, Map!$A$1:$B$33, 2, FALSE),"WAS")</f>
        <v>WAS</v>
      </c>
      <c r="G1728" t="s">
        <v>148</v>
      </c>
      <c r="H1728" t="str">
        <f>IFERROR(VLOOKUP(I1728, Map!$A$1:$B$33, 2, FALSE),"WAS")</f>
        <v>PIT</v>
      </c>
      <c r="I1728" t="s">
        <v>145</v>
      </c>
      <c r="J1728" t="s">
        <v>205</v>
      </c>
      <c r="K1728" t="s">
        <v>170</v>
      </c>
      <c r="L1728">
        <v>0</v>
      </c>
      <c r="M1728">
        <v>0</v>
      </c>
      <c r="N1728">
        <v>49.5</v>
      </c>
      <c r="O1728">
        <v>-5.5</v>
      </c>
      <c r="P1728">
        <v>-1.5</v>
      </c>
      <c r="Q1728">
        <v>45.5</v>
      </c>
      <c r="R1728">
        <v>8.6999999999999993</v>
      </c>
      <c r="S1728">
        <v>14.3</v>
      </c>
      <c r="T1728">
        <v>4.8</v>
      </c>
      <c r="U1728">
        <v>5.7</v>
      </c>
      <c r="V1728">
        <v>0.1</v>
      </c>
      <c r="W1728">
        <v>0</v>
      </c>
      <c r="X1728">
        <v>1</v>
      </c>
      <c r="Y1728">
        <v>0.1</v>
      </c>
      <c r="Z1728">
        <v>15.7</v>
      </c>
      <c r="AA1728">
        <v>31</v>
      </c>
      <c r="AB1728">
        <v>181</v>
      </c>
      <c r="AC1728">
        <v>64</v>
      </c>
      <c r="AD1728">
        <v>16.899999999999999</v>
      </c>
      <c r="AE1728">
        <v>9.1</v>
      </c>
      <c r="AF1728">
        <v>53.012999999999998</v>
      </c>
      <c r="AG1728">
        <v>67.128</v>
      </c>
      <c r="AH1728">
        <v>46.613</v>
      </c>
      <c r="AI1728">
        <v>45.834000000000003</v>
      </c>
      <c r="AJ1728">
        <v>46.345999999999997</v>
      </c>
      <c r="AK1728">
        <v>45.773000000000003</v>
      </c>
      <c r="AL1728">
        <v>1.5109999999999999</v>
      </c>
      <c r="AM1728">
        <v>46.613</v>
      </c>
      <c r="AN1728">
        <v>67.128</v>
      </c>
      <c r="AO1728">
        <v>53.012999999999998</v>
      </c>
      <c r="AP1728">
        <v>-1.5109999999999999</v>
      </c>
      <c r="AQ1728">
        <v>53.654000000000003</v>
      </c>
      <c r="AR1728">
        <v>54.165999999999997</v>
      </c>
      <c r="AS1728">
        <v>54.226999999999997</v>
      </c>
    </row>
    <row r="1729" spans="1:45" x14ac:dyDescent="0.25">
      <c r="A1729">
        <v>37</v>
      </c>
      <c r="B1729">
        <v>25</v>
      </c>
      <c r="C1729">
        <v>1</v>
      </c>
      <c r="D1729">
        <v>2024</v>
      </c>
      <c r="E1729">
        <v>10</v>
      </c>
      <c r="F1729" t="str">
        <f>IFERROR(VLOOKUP(G1729, Map!$A$1:$B$33, 2, FALSE),"WAS")</f>
        <v>ARI</v>
      </c>
      <c r="G1729" t="s">
        <v>156</v>
      </c>
      <c r="H1729" t="str">
        <f>IFERROR(VLOOKUP(I1729, Map!$A$1:$B$33, 2, FALSE),"WAS")</f>
        <v>NYJ</v>
      </c>
      <c r="I1729" t="s">
        <v>166</v>
      </c>
      <c r="J1729" t="s">
        <v>190</v>
      </c>
      <c r="K1729" t="s">
        <v>172</v>
      </c>
      <c r="L1729">
        <v>1</v>
      </c>
      <c r="M1729">
        <v>0</v>
      </c>
      <c r="N1729">
        <v>45.5</v>
      </c>
      <c r="O1729">
        <v>-12</v>
      </c>
      <c r="P1729">
        <v>1.5</v>
      </c>
      <c r="Q1729">
        <v>44.5</v>
      </c>
      <c r="R1729">
        <v>18.899999999999999</v>
      </c>
      <c r="S1729">
        <v>25.5</v>
      </c>
      <c r="T1729">
        <v>13.9</v>
      </c>
      <c r="U1729">
        <v>15.8</v>
      </c>
      <c r="V1729">
        <v>0</v>
      </c>
      <c r="W1729">
        <v>0</v>
      </c>
      <c r="X1729">
        <v>0</v>
      </c>
      <c r="Y1729">
        <v>0</v>
      </c>
      <c r="Z1729">
        <v>8.4</v>
      </c>
      <c r="AA1729">
        <v>20.9</v>
      </c>
      <c r="AB1729">
        <v>142</v>
      </c>
      <c r="AC1729">
        <v>23</v>
      </c>
      <c r="AD1729">
        <v>9.6</v>
      </c>
      <c r="AE1729">
        <v>4</v>
      </c>
      <c r="AF1729">
        <v>50.871000000000002</v>
      </c>
      <c r="AG1729">
        <v>56.308999999999997</v>
      </c>
      <c r="AH1729">
        <v>48.738</v>
      </c>
      <c r="AI1729">
        <v>69.947000000000003</v>
      </c>
      <c r="AJ1729">
        <v>97.662000000000006</v>
      </c>
      <c r="AK1729">
        <v>96.451999999999998</v>
      </c>
      <c r="AL1729">
        <v>0.29899999999999999</v>
      </c>
      <c r="AM1729">
        <v>48.738</v>
      </c>
      <c r="AN1729">
        <v>56.308999999999997</v>
      </c>
      <c r="AO1729">
        <v>50.871000000000002</v>
      </c>
      <c r="AP1729">
        <v>-0.29899999999999999</v>
      </c>
      <c r="AQ1729">
        <v>2.3380000000000001</v>
      </c>
      <c r="AR1729">
        <v>30.053000000000001</v>
      </c>
      <c r="AS1729">
        <v>3.548</v>
      </c>
    </row>
    <row r="1730" spans="1:45" x14ac:dyDescent="0.25">
      <c r="A1730">
        <v>69</v>
      </c>
      <c r="B1730">
        <v>1</v>
      </c>
      <c r="C1730">
        <v>1</v>
      </c>
      <c r="D1730">
        <v>2024</v>
      </c>
      <c r="E1730">
        <v>10</v>
      </c>
      <c r="F1730" t="str">
        <f>IFERROR(VLOOKUP(G1730, Map!$A$1:$B$33, 2, FALSE),"WAS")</f>
        <v>BAL</v>
      </c>
      <c r="G1730" t="s">
        <v>146</v>
      </c>
      <c r="H1730" t="str">
        <f>IFERROR(VLOOKUP(I1730, Map!$A$1:$B$33, 2, FALSE),"WAS")</f>
        <v>CIN</v>
      </c>
      <c r="I1730" t="s">
        <v>161</v>
      </c>
      <c r="J1730" t="s">
        <v>181</v>
      </c>
      <c r="K1730" t="s">
        <v>176</v>
      </c>
      <c r="L1730">
        <v>1</v>
      </c>
      <c r="M1730">
        <v>0</v>
      </c>
      <c r="N1730">
        <v>57.5</v>
      </c>
      <c r="O1730">
        <v>-6</v>
      </c>
      <c r="P1730">
        <v>-5.5</v>
      </c>
      <c r="Q1730">
        <v>52.5</v>
      </c>
      <c r="R1730">
        <v>15.9</v>
      </c>
      <c r="S1730">
        <v>21.2</v>
      </c>
      <c r="T1730">
        <v>10.5</v>
      </c>
      <c r="U1730">
        <v>13.2</v>
      </c>
      <c r="V1730">
        <v>0</v>
      </c>
      <c r="W1730">
        <v>0</v>
      </c>
      <c r="X1730">
        <v>0</v>
      </c>
      <c r="Y1730">
        <v>0</v>
      </c>
      <c r="Z1730">
        <v>19.7</v>
      </c>
      <c r="AA1730">
        <v>38.200000000000003</v>
      </c>
      <c r="AB1730">
        <v>303</v>
      </c>
      <c r="AC1730">
        <v>55</v>
      </c>
      <c r="AD1730">
        <v>24.2</v>
      </c>
      <c r="AE1730">
        <v>12.5</v>
      </c>
      <c r="AF1730">
        <v>71.018000000000001</v>
      </c>
      <c r="AG1730">
        <v>73.733999999999995</v>
      </c>
      <c r="AH1730">
        <v>28.751000000000001</v>
      </c>
      <c r="AI1730">
        <v>20.218</v>
      </c>
      <c r="AJ1730">
        <v>86.221999999999994</v>
      </c>
      <c r="AK1730">
        <v>50.036000000000001</v>
      </c>
      <c r="AL1730">
        <v>8.1379999999999999</v>
      </c>
      <c r="AM1730">
        <v>28.751000000000001</v>
      </c>
      <c r="AN1730">
        <v>73.733999999999995</v>
      </c>
      <c r="AO1730">
        <v>71.018000000000001</v>
      </c>
      <c r="AP1730">
        <v>-8.1379999999999999</v>
      </c>
      <c r="AQ1730">
        <v>13.778</v>
      </c>
      <c r="AR1730">
        <v>79.781999999999996</v>
      </c>
      <c r="AS1730">
        <v>49.963999999999999</v>
      </c>
    </row>
    <row r="1731" spans="1:45" x14ac:dyDescent="0.25">
      <c r="A1731">
        <v>38</v>
      </c>
      <c r="B1731">
        <v>-8</v>
      </c>
      <c r="C1731">
        <v>0</v>
      </c>
      <c r="D1731">
        <v>2024</v>
      </c>
      <c r="E1731">
        <v>10</v>
      </c>
      <c r="F1731" t="str">
        <f>IFERROR(VLOOKUP(G1731, Map!$A$1:$B$33, 2, FALSE),"WAS")</f>
        <v>LA</v>
      </c>
      <c r="G1731" t="s">
        <v>155</v>
      </c>
      <c r="H1731" t="str">
        <f>IFERROR(VLOOKUP(I1731, Map!$A$1:$B$33, 2, FALSE),"WAS")</f>
        <v>MIA</v>
      </c>
      <c r="I1731" t="s">
        <v>152</v>
      </c>
      <c r="J1731" t="s">
        <v>178</v>
      </c>
      <c r="K1731" t="s">
        <v>175</v>
      </c>
      <c r="L1731">
        <v>0</v>
      </c>
      <c r="M1731">
        <v>0</v>
      </c>
      <c r="N1731">
        <v>44</v>
      </c>
      <c r="O1731">
        <v>3</v>
      </c>
      <c r="P1731">
        <v>-2.5</v>
      </c>
      <c r="Q1731">
        <v>37.5</v>
      </c>
      <c r="R1731">
        <v>15.4</v>
      </c>
      <c r="S1731">
        <v>22.2</v>
      </c>
      <c r="T1731">
        <v>12</v>
      </c>
      <c r="U1731">
        <v>12.7</v>
      </c>
      <c r="V1731">
        <v>0</v>
      </c>
      <c r="W1731">
        <v>0</v>
      </c>
      <c r="X1731">
        <v>0</v>
      </c>
      <c r="Y1731">
        <v>0</v>
      </c>
      <c r="Z1731">
        <v>33.200000000000003</v>
      </c>
      <c r="AA1731">
        <v>51.5</v>
      </c>
      <c r="AB1731">
        <v>327</v>
      </c>
      <c r="AC1731">
        <v>56</v>
      </c>
      <c r="AD1731">
        <v>27.1</v>
      </c>
      <c r="AE1731">
        <v>12.4</v>
      </c>
      <c r="AF1731">
        <v>55.021000000000001</v>
      </c>
      <c r="AG1731">
        <v>50</v>
      </c>
      <c r="AH1731">
        <v>44.621000000000002</v>
      </c>
      <c r="AI1731">
        <v>65.537000000000006</v>
      </c>
      <c r="AJ1731">
        <v>11.558</v>
      </c>
      <c r="AK1731">
        <v>21.748999999999999</v>
      </c>
      <c r="AL1731">
        <v>1.8959999999999999</v>
      </c>
      <c r="AM1731">
        <v>44.621000000000002</v>
      </c>
      <c r="AN1731">
        <v>50</v>
      </c>
      <c r="AO1731">
        <v>55.021000000000001</v>
      </c>
      <c r="AP1731">
        <v>-1.8959999999999999</v>
      </c>
      <c r="AQ1731">
        <v>88.441999999999993</v>
      </c>
      <c r="AR1731">
        <v>34.463000000000001</v>
      </c>
      <c r="AS1731">
        <v>78.251000000000005</v>
      </c>
    </row>
    <row r="1732" spans="1:45" x14ac:dyDescent="0.25">
      <c r="A1732">
        <v>43</v>
      </c>
      <c r="B1732">
        <v>-3</v>
      </c>
      <c r="C1732">
        <v>0</v>
      </c>
      <c r="D1732">
        <v>2024</v>
      </c>
      <c r="E1732">
        <v>10</v>
      </c>
      <c r="F1732" t="str">
        <f>IFERROR(VLOOKUP(G1732, Map!$A$1:$B$33, 2, FALSE),"WAS")</f>
        <v>TB</v>
      </c>
      <c r="G1732" t="s">
        <v>141</v>
      </c>
      <c r="H1732" t="str">
        <f>IFERROR(VLOOKUP(I1732, Map!$A$1:$B$33, 2, FALSE),"WAS")</f>
        <v>SF</v>
      </c>
      <c r="I1732" t="s">
        <v>143</v>
      </c>
      <c r="J1732" t="s">
        <v>186</v>
      </c>
      <c r="K1732" t="s">
        <v>197</v>
      </c>
      <c r="L1732">
        <v>0</v>
      </c>
      <c r="M1732">
        <v>0</v>
      </c>
      <c r="N1732">
        <v>47</v>
      </c>
      <c r="O1732">
        <v>3</v>
      </c>
      <c r="P1732">
        <v>-0.5</v>
      </c>
      <c r="Q1732">
        <v>43.5</v>
      </c>
      <c r="R1732">
        <v>24.9</v>
      </c>
      <c r="S1732">
        <v>29.4</v>
      </c>
      <c r="T1732">
        <v>21.6</v>
      </c>
      <c r="U1732">
        <v>26.4</v>
      </c>
      <c r="V1732">
        <v>0.2</v>
      </c>
      <c r="W1732">
        <v>0</v>
      </c>
      <c r="X1732">
        <v>2</v>
      </c>
      <c r="Y1732">
        <v>0.2</v>
      </c>
      <c r="Z1732">
        <v>20.9</v>
      </c>
      <c r="AA1732">
        <v>38.5</v>
      </c>
      <c r="AB1732">
        <v>102</v>
      </c>
      <c r="AC1732">
        <v>75</v>
      </c>
      <c r="AD1732">
        <v>28.2</v>
      </c>
      <c r="AE1732">
        <v>15.6</v>
      </c>
      <c r="AF1732">
        <v>46.347000000000001</v>
      </c>
      <c r="AG1732">
        <v>74.185000000000002</v>
      </c>
      <c r="AH1732">
        <v>53.280999999999999</v>
      </c>
      <c r="AI1732">
        <v>15.657999999999999</v>
      </c>
      <c r="AJ1732">
        <v>47.152000000000001</v>
      </c>
      <c r="AK1732">
        <v>42.866</v>
      </c>
      <c r="AL1732">
        <v>-1.2889999999999999</v>
      </c>
      <c r="AM1732">
        <v>53.280999999999999</v>
      </c>
      <c r="AN1732">
        <v>74.185000000000002</v>
      </c>
      <c r="AO1732">
        <v>46.347000000000001</v>
      </c>
      <c r="AP1732">
        <v>1.2889999999999999</v>
      </c>
      <c r="AQ1732">
        <v>52.847999999999999</v>
      </c>
      <c r="AR1732">
        <v>84.341999999999999</v>
      </c>
      <c r="AS1732">
        <v>57.134</v>
      </c>
    </row>
    <row r="1733" spans="1:45" x14ac:dyDescent="0.25">
      <c r="A1733">
        <v>50</v>
      </c>
      <c r="B1733">
        <v>-10</v>
      </c>
      <c r="C1733">
        <v>0</v>
      </c>
      <c r="D1733">
        <v>2024</v>
      </c>
      <c r="E1733">
        <v>10</v>
      </c>
      <c r="F1733" t="str">
        <f>IFERROR(VLOOKUP(G1733, Map!$A$1:$B$33, 2, FALSE),"WAS")</f>
        <v>IND</v>
      </c>
      <c r="G1733" t="s">
        <v>138</v>
      </c>
      <c r="H1733" t="str">
        <f>IFERROR(VLOOKUP(I1733, Map!$A$1:$B$33, 2, FALSE),"WAS")</f>
        <v>BUF</v>
      </c>
      <c r="I1733" t="s">
        <v>165</v>
      </c>
      <c r="J1733" t="s">
        <v>177</v>
      </c>
      <c r="K1733" t="s">
        <v>180</v>
      </c>
      <c r="L1733">
        <v>0</v>
      </c>
      <c r="M1733">
        <v>0</v>
      </c>
      <c r="N1733">
        <v>45</v>
      </c>
      <c r="O1733">
        <v>10.5</v>
      </c>
      <c r="P1733">
        <v>4.5</v>
      </c>
      <c r="Q1733">
        <v>43.5</v>
      </c>
      <c r="R1733">
        <v>14.9</v>
      </c>
      <c r="S1733">
        <v>20</v>
      </c>
      <c r="T1733">
        <v>11.9</v>
      </c>
      <c r="U1733">
        <v>13</v>
      </c>
      <c r="V1733">
        <v>8.5</v>
      </c>
      <c r="W1733">
        <v>0</v>
      </c>
      <c r="X1733">
        <v>11</v>
      </c>
      <c r="Y1733">
        <v>8.5</v>
      </c>
      <c r="Z1733">
        <v>21.2</v>
      </c>
      <c r="AA1733">
        <v>46.8</v>
      </c>
      <c r="AB1733">
        <v>190</v>
      </c>
      <c r="AC1733">
        <v>75</v>
      </c>
      <c r="AD1733">
        <v>27.8</v>
      </c>
      <c r="AE1733">
        <v>14.4</v>
      </c>
      <c r="AF1733">
        <v>34.993000000000002</v>
      </c>
      <c r="AG1733">
        <v>60.366999999999997</v>
      </c>
      <c r="AH1733">
        <v>64.725999999999999</v>
      </c>
      <c r="AI1733">
        <v>62.899000000000001</v>
      </c>
      <c r="AJ1733">
        <v>7.7240000000000002</v>
      </c>
      <c r="AK1733">
        <v>21.356999999999999</v>
      </c>
      <c r="AL1733">
        <v>-5.7270000000000003</v>
      </c>
      <c r="AM1733">
        <v>64.725999999999999</v>
      </c>
      <c r="AN1733">
        <v>60.366999999999997</v>
      </c>
      <c r="AO1733">
        <v>34.993000000000002</v>
      </c>
      <c r="AP1733">
        <v>5.7270000000000003</v>
      </c>
      <c r="AQ1733">
        <v>92.275999999999996</v>
      </c>
      <c r="AR1733">
        <v>37.100999999999999</v>
      </c>
      <c r="AS1733">
        <v>78.643000000000001</v>
      </c>
    </row>
    <row r="1734" spans="1:45" x14ac:dyDescent="0.25">
      <c r="A1734">
        <v>19</v>
      </c>
      <c r="B1734">
        <v>-5</v>
      </c>
      <c r="C1734">
        <v>0</v>
      </c>
      <c r="D1734">
        <v>2024</v>
      </c>
      <c r="E1734">
        <v>10</v>
      </c>
      <c r="F1734" t="str">
        <f>IFERROR(VLOOKUP(G1734, Map!$A$1:$B$33, 2, FALSE),"WAS")</f>
        <v>JAX</v>
      </c>
      <c r="G1734" t="s">
        <v>139</v>
      </c>
      <c r="H1734" t="str">
        <f>IFERROR(VLOOKUP(I1734, Map!$A$1:$B$33, 2, FALSE),"WAS")</f>
        <v>MIN</v>
      </c>
      <c r="I1734" t="s">
        <v>153</v>
      </c>
      <c r="J1734" t="s">
        <v>220</v>
      </c>
      <c r="K1734" t="s">
        <v>214</v>
      </c>
      <c r="L1734">
        <v>0</v>
      </c>
      <c r="M1734">
        <v>0</v>
      </c>
      <c r="N1734">
        <v>31</v>
      </c>
      <c r="O1734">
        <v>6.5</v>
      </c>
      <c r="P1734">
        <v>5.5</v>
      </c>
      <c r="Q1734">
        <v>19.5</v>
      </c>
      <c r="R1734">
        <v>23.4</v>
      </c>
      <c r="S1734">
        <v>25.5</v>
      </c>
      <c r="T1734">
        <v>22.2</v>
      </c>
      <c r="U1734">
        <v>25.3</v>
      </c>
      <c r="V1734">
        <v>2.8</v>
      </c>
      <c r="W1734">
        <v>0</v>
      </c>
      <c r="X1734">
        <v>11</v>
      </c>
      <c r="Y1734">
        <v>2.8</v>
      </c>
      <c r="Z1734">
        <v>21.9</v>
      </c>
      <c r="AA1734">
        <v>40.299999999999997</v>
      </c>
      <c r="AB1734">
        <v>104</v>
      </c>
      <c r="AC1734">
        <v>84</v>
      </c>
      <c r="AD1734">
        <v>28.5</v>
      </c>
      <c r="AE1734">
        <v>15.5</v>
      </c>
      <c r="AF1734">
        <v>40.106000000000002</v>
      </c>
      <c r="AG1734">
        <v>51.834000000000003</v>
      </c>
      <c r="AH1734">
        <v>59.572000000000003</v>
      </c>
      <c r="AI1734">
        <v>67.353999999999999</v>
      </c>
      <c r="AJ1734">
        <v>5.8319999999999999</v>
      </c>
      <c r="AK1734">
        <v>38.396000000000001</v>
      </c>
      <c r="AL1734">
        <v>-3.2090000000000001</v>
      </c>
      <c r="AM1734">
        <v>59.572000000000003</v>
      </c>
      <c r="AN1734">
        <v>51.834000000000003</v>
      </c>
      <c r="AO1734">
        <v>40.106000000000002</v>
      </c>
      <c r="AP1734">
        <v>3.2090000000000001</v>
      </c>
      <c r="AQ1734">
        <v>94.168000000000006</v>
      </c>
      <c r="AR1734">
        <v>32.646000000000001</v>
      </c>
      <c r="AS1734">
        <v>61.603999999999999</v>
      </c>
    </row>
    <row r="1735" spans="1:45" x14ac:dyDescent="0.25">
      <c r="A1735">
        <v>37</v>
      </c>
      <c r="B1735">
        <v>3</v>
      </c>
      <c r="C1735">
        <v>1</v>
      </c>
      <c r="D1735">
        <v>2024</v>
      </c>
      <c r="E1735">
        <v>10</v>
      </c>
      <c r="F1735" t="str">
        <f>IFERROR(VLOOKUP(G1735, Map!$A$1:$B$33, 2, FALSE),"WAS")</f>
        <v>CAR</v>
      </c>
      <c r="G1735" t="s">
        <v>142</v>
      </c>
      <c r="H1735" t="str">
        <f>IFERROR(VLOOKUP(I1735, Map!$A$1:$B$33, 2, FALSE),"WAS")</f>
        <v>NYG</v>
      </c>
      <c r="I1735" t="s">
        <v>149</v>
      </c>
      <c r="J1735" t="s">
        <v>185</v>
      </c>
      <c r="K1735" t="s">
        <v>219</v>
      </c>
      <c r="L1735">
        <v>1</v>
      </c>
      <c r="M1735">
        <v>0</v>
      </c>
      <c r="N1735">
        <v>25</v>
      </c>
      <c r="O1735">
        <v>0.33333333333333298</v>
      </c>
      <c r="P1735">
        <v>-5.5</v>
      </c>
      <c r="Q1735">
        <v>34.5</v>
      </c>
      <c r="R1735">
        <v>3.2</v>
      </c>
      <c r="S1735">
        <v>6.5</v>
      </c>
      <c r="T1735">
        <v>0.9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5.8</v>
      </c>
      <c r="AA1735">
        <v>14</v>
      </c>
      <c r="AB1735">
        <v>96</v>
      </c>
      <c r="AC1735">
        <v>97</v>
      </c>
      <c r="AD1735">
        <v>9.6</v>
      </c>
      <c r="AE1735">
        <v>3.6</v>
      </c>
      <c r="AF1735">
        <v>33.332999999999998</v>
      </c>
      <c r="AG1735">
        <v>12.38</v>
      </c>
      <c r="AH1735">
        <v>66.399000000000001</v>
      </c>
      <c r="AI1735">
        <v>73.028000000000006</v>
      </c>
      <c r="AJ1735">
        <v>29.010999999999999</v>
      </c>
      <c r="AK1735">
        <v>59.154000000000003</v>
      </c>
      <c r="AL1735">
        <v>-6.1180000000000003</v>
      </c>
      <c r="AM1735">
        <v>66.399000000000001</v>
      </c>
      <c r="AN1735">
        <v>12.38</v>
      </c>
      <c r="AO1735">
        <v>33.332999999999998</v>
      </c>
      <c r="AP1735">
        <v>6.1180000000000003</v>
      </c>
      <c r="AQ1735">
        <v>70.989000000000004</v>
      </c>
      <c r="AR1735">
        <v>26.972000000000001</v>
      </c>
      <c r="AS1735">
        <v>40.845999999999997</v>
      </c>
    </row>
    <row r="1736" spans="1:45" x14ac:dyDescent="0.25">
      <c r="A1736">
        <v>37</v>
      </c>
      <c r="B1736">
        <v>3</v>
      </c>
      <c r="C1736">
        <v>1</v>
      </c>
      <c r="D1736">
        <v>2024</v>
      </c>
      <c r="E1736">
        <v>10</v>
      </c>
      <c r="F1736" t="str">
        <f>IFERROR(VLOOKUP(G1736, Map!$A$1:$B$33, 2, FALSE),"WAS")</f>
        <v>NO</v>
      </c>
      <c r="G1736" t="s">
        <v>168</v>
      </c>
      <c r="H1736" t="str">
        <f>IFERROR(VLOOKUP(I1736, Map!$A$1:$B$33, 2, FALSE),"WAS")</f>
        <v>ATL</v>
      </c>
      <c r="I1736" t="s">
        <v>167</v>
      </c>
      <c r="J1736" t="s">
        <v>192</v>
      </c>
      <c r="K1736" t="s">
        <v>188</v>
      </c>
      <c r="L1736">
        <v>1</v>
      </c>
      <c r="M1736">
        <v>0</v>
      </c>
      <c r="N1736">
        <v>45.5</v>
      </c>
      <c r="O1736">
        <v>-0.5</v>
      </c>
      <c r="P1736">
        <v>4.5</v>
      </c>
      <c r="Q1736">
        <v>43.5</v>
      </c>
      <c r="R1736">
        <v>24.6</v>
      </c>
      <c r="S1736">
        <v>26.2</v>
      </c>
      <c r="T1736">
        <v>23.1</v>
      </c>
      <c r="U1736">
        <v>26.9</v>
      </c>
      <c r="V1736">
        <v>12.7</v>
      </c>
      <c r="W1736">
        <v>0</v>
      </c>
      <c r="X1736">
        <v>14</v>
      </c>
      <c r="Y1736">
        <v>12.7</v>
      </c>
      <c r="Z1736">
        <v>21.6</v>
      </c>
      <c r="AA1736">
        <v>35.299999999999997</v>
      </c>
      <c r="AB1736">
        <v>110</v>
      </c>
      <c r="AC1736">
        <v>85</v>
      </c>
      <c r="AD1736">
        <v>30.7</v>
      </c>
      <c r="AE1736">
        <v>17.600000000000001</v>
      </c>
      <c r="AF1736">
        <v>47.808</v>
      </c>
      <c r="AG1736">
        <v>48.814</v>
      </c>
      <c r="AH1736">
        <v>51.808</v>
      </c>
      <c r="AI1736">
        <v>41.591999999999999</v>
      </c>
      <c r="AJ1736">
        <v>55.7</v>
      </c>
      <c r="AK1736">
        <v>58.898000000000003</v>
      </c>
      <c r="AL1736">
        <v>-0.60499999999999998</v>
      </c>
      <c r="AM1736">
        <v>51.808</v>
      </c>
      <c r="AN1736">
        <v>48.814</v>
      </c>
      <c r="AO1736">
        <v>47.808</v>
      </c>
      <c r="AP1736">
        <v>0.60499999999999998</v>
      </c>
      <c r="AQ1736">
        <v>44.3</v>
      </c>
      <c r="AR1736">
        <v>58.408000000000001</v>
      </c>
      <c r="AS1736">
        <v>41.101999999999997</v>
      </c>
    </row>
    <row r="1737" spans="1:45" x14ac:dyDescent="0.25">
      <c r="A1737">
        <v>30</v>
      </c>
      <c r="B1737">
        <v>2</v>
      </c>
      <c r="C1737">
        <v>1</v>
      </c>
      <c r="D1737">
        <v>2024</v>
      </c>
      <c r="E1737">
        <v>10</v>
      </c>
      <c r="F1737" t="str">
        <f>IFERROR(VLOOKUP(G1737, Map!$A$1:$B$33, 2, FALSE),"WAS")</f>
        <v>KC</v>
      </c>
      <c r="G1737" t="s">
        <v>158</v>
      </c>
      <c r="H1737" t="str">
        <f>IFERROR(VLOOKUP(I1737, Map!$A$1:$B$33, 2, FALSE),"WAS")</f>
        <v>DEN</v>
      </c>
      <c r="I1737" t="s">
        <v>159</v>
      </c>
      <c r="J1737" t="s">
        <v>202</v>
      </c>
      <c r="K1737" t="s">
        <v>183</v>
      </c>
      <c r="L1737">
        <v>1</v>
      </c>
      <c r="M1737">
        <v>0</v>
      </c>
      <c r="N1737">
        <v>37.5</v>
      </c>
      <c r="O1737">
        <v>-6</v>
      </c>
      <c r="P1737">
        <v>-4.5</v>
      </c>
      <c r="Q1737">
        <v>33.5</v>
      </c>
      <c r="R1737">
        <v>11.7</v>
      </c>
      <c r="S1737">
        <v>14.8</v>
      </c>
      <c r="T1737">
        <v>8.1</v>
      </c>
      <c r="U1737">
        <v>8.4</v>
      </c>
      <c r="V1737">
        <v>0</v>
      </c>
      <c r="W1737">
        <v>0</v>
      </c>
      <c r="X1737">
        <v>0</v>
      </c>
      <c r="Y1737">
        <v>0</v>
      </c>
      <c r="Z1737">
        <v>20.6</v>
      </c>
      <c r="AA1737">
        <v>36</v>
      </c>
      <c r="AB1737">
        <v>234</v>
      </c>
      <c r="AC1737">
        <v>67</v>
      </c>
      <c r="AD1737">
        <v>29</v>
      </c>
      <c r="AE1737">
        <v>15.3</v>
      </c>
      <c r="AF1737">
        <v>76.506</v>
      </c>
      <c r="AG1737">
        <v>58.692</v>
      </c>
      <c r="AH1737">
        <v>23.306000000000001</v>
      </c>
      <c r="AI1737">
        <v>48.109000000000002</v>
      </c>
      <c r="AJ1737">
        <v>52.539000000000001</v>
      </c>
      <c r="AK1737">
        <v>52.673000000000002</v>
      </c>
      <c r="AL1737">
        <v>10.867000000000001</v>
      </c>
      <c r="AM1737">
        <v>23.306000000000001</v>
      </c>
      <c r="AN1737">
        <v>58.692</v>
      </c>
      <c r="AO1737">
        <v>76.506</v>
      </c>
      <c r="AP1737">
        <v>-10.867000000000001</v>
      </c>
      <c r="AQ1737">
        <v>47.460999999999999</v>
      </c>
      <c r="AR1737">
        <v>51.890999999999998</v>
      </c>
      <c r="AS1737">
        <v>47.326999999999998</v>
      </c>
    </row>
    <row r="1738" spans="1:45" x14ac:dyDescent="0.25">
      <c r="A1738">
        <v>49</v>
      </c>
      <c r="B1738">
        <v>21</v>
      </c>
      <c r="C1738">
        <v>1</v>
      </c>
      <c r="D1738">
        <v>2024</v>
      </c>
      <c r="E1738">
        <v>11</v>
      </c>
      <c r="F1738" t="str">
        <f>IFERROR(VLOOKUP(G1738, Map!$A$1:$B$33, 2, FALSE),"WAS")</f>
        <v>NO</v>
      </c>
      <c r="G1738" t="s">
        <v>168</v>
      </c>
      <c r="H1738" t="str">
        <f>IFERROR(VLOOKUP(I1738, Map!$A$1:$B$33, 2, FALSE),"WAS")</f>
        <v>CLE</v>
      </c>
      <c r="I1738" t="s">
        <v>162</v>
      </c>
      <c r="J1738" t="s">
        <v>192</v>
      </c>
      <c r="K1738" t="s">
        <v>171</v>
      </c>
      <c r="L1738">
        <v>1</v>
      </c>
      <c r="M1738">
        <v>0</v>
      </c>
      <c r="N1738">
        <v>46</v>
      </c>
      <c r="O1738">
        <v>-3.5</v>
      </c>
      <c r="P1738">
        <v>1.5</v>
      </c>
      <c r="Q1738">
        <v>43.5</v>
      </c>
      <c r="R1738">
        <v>21.6</v>
      </c>
      <c r="S1738">
        <v>25.2</v>
      </c>
      <c r="T1738">
        <v>19.5</v>
      </c>
      <c r="U1738">
        <v>22.7</v>
      </c>
      <c r="V1738">
        <v>0</v>
      </c>
      <c r="W1738">
        <v>0</v>
      </c>
      <c r="X1738">
        <v>0</v>
      </c>
      <c r="Y1738">
        <v>0</v>
      </c>
      <c r="Z1738">
        <v>15.8</v>
      </c>
      <c r="AA1738">
        <v>39.200000000000003</v>
      </c>
      <c r="AB1738">
        <v>121</v>
      </c>
      <c r="AC1738">
        <v>78</v>
      </c>
      <c r="AD1738">
        <v>23.8</v>
      </c>
      <c r="AE1738">
        <v>10.6</v>
      </c>
      <c r="AF1738">
        <v>49.268999999999998</v>
      </c>
      <c r="AG1738">
        <v>32.622999999999998</v>
      </c>
      <c r="AH1738">
        <v>50.335000000000001</v>
      </c>
      <c r="AI1738">
        <v>42.185000000000002</v>
      </c>
      <c r="AJ1738">
        <v>83.495000000000005</v>
      </c>
      <c r="AK1738">
        <v>83.03</v>
      </c>
      <c r="AL1738">
        <v>-2.9000000000000001E-2</v>
      </c>
      <c r="AM1738">
        <v>50.335000000000001</v>
      </c>
      <c r="AN1738">
        <v>32.622999999999998</v>
      </c>
      <c r="AO1738">
        <v>49.268999999999998</v>
      </c>
      <c r="AP1738">
        <v>2.9000000000000001E-2</v>
      </c>
      <c r="AQ1738">
        <v>16.504999999999999</v>
      </c>
      <c r="AR1738">
        <v>57.814999999999998</v>
      </c>
      <c r="AS1738">
        <v>16.97</v>
      </c>
    </row>
    <row r="1739" spans="1:45" x14ac:dyDescent="0.25">
      <c r="A1739">
        <v>51</v>
      </c>
      <c r="B1739">
        <v>9</v>
      </c>
      <c r="C1739">
        <v>1</v>
      </c>
      <c r="D1739">
        <v>2024</v>
      </c>
      <c r="E1739">
        <v>11</v>
      </c>
      <c r="F1739" t="str">
        <f>IFERROR(VLOOKUP(G1739, Map!$A$1:$B$33, 2, FALSE),"WAS")</f>
        <v>BUF</v>
      </c>
      <c r="G1739" t="s">
        <v>165</v>
      </c>
      <c r="H1739" t="str">
        <f>IFERROR(VLOOKUP(I1739, Map!$A$1:$B$33, 2, FALSE),"WAS")</f>
        <v>KC</v>
      </c>
      <c r="I1739" t="s">
        <v>158</v>
      </c>
      <c r="J1739" t="s">
        <v>180</v>
      </c>
      <c r="K1739" t="s">
        <v>202</v>
      </c>
      <c r="L1739">
        <v>1</v>
      </c>
      <c r="M1739">
        <v>0</v>
      </c>
      <c r="N1739">
        <v>32.6666666666667</v>
      </c>
      <c r="O1739">
        <v>-2.3333333333333299</v>
      </c>
      <c r="P1739">
        <v>-2.5</v>
      </c>
      <c r="Q1739">
        <v>47.5</v>
      </c>
      <c r="R1739">
        <v>10.3</v>
      </c>
      <c r="S1739">
        <v>18</v>
      </c>
      <c r="T1739">
        <v>3.7</v>
      </c>
      <c r="U1739">
        <v>8.9</v>
      </c>
      <c r="V1739">
        <v>0</v>
      </c>
      <c r="W1739">
        <v>0</v>
      </c>
      <c r="X1739">
        <v>0</v>
      </c>
      <c r="Y1739">
        <v>0</v>
      </c>
      <c r="Z1739">
        <v>7.8</v>
      </c>
      <c r="AA1739">
        <v>18.399999999999999</v>
      </c>
      <c r="AB1739">
        <v>284</v>
      </c>
      <c r="AC1739">
        <v>78</v>
      </c>
      <c r="AD1739">
        <v>9</v>
      </c>
      <c r="AE1739">
        <v>3.9</v>
      </c>
      <c r="AF1739">
        <v>53.012999999999998</v>
      </c>
      <c r="AG1739">
        <v>87.968000000000004</v>
      </c>
      <c r="AH1739">
        <v>46.613</v>
      </c>
      <c r="AI1739">
        <v>36.600999999999999</v>
      </c>
      <c r="AJ1739">
        <v>75.578999999999994</v>
      </c>
      <c r="AK1739">
        <v>67.653000000000006</v>
      </c>
      <c r="AL1739">
        <v>1.6040000000000001</v>
      </c>
      <c r="AM1739">
        <v>46.613</v>
      </c>
      <c r="AN1739">
        <v>87.968000000000004</v>
      </c>
      <c r="AO1739">
        <v>53.012999999999998</v>
      </c>
      <c r="AP1739">
        <v>-1.6040000000000001</v>
      </c>
      <c r="AQ1739">
        <v>24.420999999999999</v>
      </c>
      <c r="AR1739">
        <v>63.399000000000001</v>
      </c>
      <c r="AS1739">
        <v>32.347000000000001</v>
      </c>
    </row>
    <row r="1740" spans="1:45" x14ac:dyDescent="0.25">
      <c r="A1740">
        <v>44</v>
      </c>
      <c r="B1740">
        <v>32</v>
      </c>
      <c r="C1740">
        <v>1</v>
      </c>
      <c r="D1740">
        <v>2024</v>
      </c>
      <c r="E1740">
        <v>11</v>
      </c>
      <c r="F1740" t="str">
        <f>IFERROR(VLOOKUP(G1740, Map!$A$1:$B$33, 2, FALSE),"WAS")</f>
        <v>DEN</v>
      </c>
      <c r="G1740" t="s">
        <v>159</v>
      </c>
      <c r="H1740" t="str">
        <f>IFERROR(VLOOKUP(I1740, Map!$A$1:$B$33, 2, FALSE),"WAS")</f>
        <v>ATL</v>
      </c>
      <c r="I1740" t="s">
        <v>167</v>
      </c>
      <c r="J1740" t="s">
        <v>183</v>
      </c>
      <c r="K1740" t="s">
        <v>188</v>
      </c>
      <c r="L1740">
        <v>1</v>
      </c>
      <c r="M1740">
        <v>0</v>
      </c>
      <c r="N1740">
        <v>44.5</v>
      </c>
      <c r="O1740">
        <v>-16.5</v>
      </c>
      <c r="P1740">
        <v>-1.5</v>
      </c>
      <c r="Q1740">
        <v>44.5</v>
      </c>
      <c r="R1740">
        <v>2.2000000000000002</v>
      </c>
      <c r="S1740">
        <v>9.4</v>
      </c>
      <c r="T1740">
        <v>-3.7</v>
      </c>
      <c r="U1740">
        <v>-1.1000000000000001</v>
      </c>
      <c r="V1740">
        <v>0.1</v>
      </c>
      <c r="W1740">
        <v>7.0000000000000007E-2</v>
      </c>
      <c r="X1740">
        <v>1</v>
      </c>
      <c r="Y1740">
        <v>0</v>
      </c>
      <c r="Z1740">
        <v>8.9</v>
      </c>
      <c r="AA1740">
        <v>21.6</v>
      </c>
      <c r="AB1740">
        <v>170</v>
      </c>
      <c r="AC1740">
        <v>71</v>
      </c>
      <c r="AD1740">
        <v>13.3</v>
      </c>
      <c r="AE1740">
        <v>5.2</v>
      </c>
      <c r="AF1740">
        <v>41.832000000000001</v>
      </c>
      <c r="AG1740">
        <v>42.521000000000001</v>
      </c>
      <c r="AH1740">
        <v>57.832000000000001</v>
      </c>
      <c r="AI1740">
        <v>81.736999999999995</v>
      </c>
      <c r="AJ1740">
        <v>95.195999999999998</v>
      </c>
      <c r="AK1740">
        <v>96.153000000000006</v>
      </c>
      <c r="AL1740">
        <v>-2.754</v>
      </c>
      <c r="AM1740">
        <v>57.832000000000001</v>
      </c>
      <c r="AN1740">
        <v>42.521000000000001</v>
      </c>
      <c r="AO1740">
        <v>41.832000000000001</v>
      </c>
      <c r="AP1740">
        <v>2.754</v>
      </c>
      <c r="AQ1740">
        <v>4.8040000000000003</v>
      </c>
      <c r="AR1740">
        <v>18.263000000000002</v>
      </c>
      <c r="AS1740">
        <v>3.847</v>
      </c>
    </row>
    <row r="1741" spans="1:45" x14ac:dyDescent="0.25">
      <c r="A1741">
        <v>61</v>
      </c>
      <c r="B1741">
        <v>7</v>
      </c>
      <c r="C1741">
        <v>1</v>
      </c>
      <c r="D1741">
        <v>2024</v>
      </c>
      <c r="E1741">
        <v>11</v>
      </c>
      <c r="F1741" t="str">
        <f>IFERROR(VLOOKUP(G1741, Map!$A$1:$B$33, 2, FALSE),"WAS")</f>
        <v>LAC</v>
      </c>
      <c r="G1741" t="s">
        <v>160</v>
      </c>
      <c r="H1741" t="str">
        <f>IFERROR(VLOOKUP(I1741, Map!$A$1:$B$33, 2, FALSE),"WAS")</f>
        <v>CIN</v>
      </c>
      <c r="I1741" t="s">
        <v>161</v>
      </c>
      <c r="J1741" t="s">
        <v>210</v>
      </c>
      <c r="K1741" t="s">
        <v>176</v>
      </c>
      <c r="L1741">
        <v>1</v>
      </c>
      <c r="M1741">
        <v>0</v>
      </c>
      <c r="N1741">
        <v>55</v>
      </c>
      <c r="O1741">
        <v>1.5</v>
      </c>
      <c r="P1741">
        <v>-0.5</v>
      </c>
      <c r="Q1741">
        <v>48.5</v>
      </c>
      <c r="R1741">
        <v>13.3</v>
      </c>
      <c r="S1741">
        <v>19.100000000000001</v>
      </c>
      <c r="T1741">
        <v>8</v>
      </c>
      <c r="U1741">
        <v>11.3</v>
      </c>
      <c r="V1741">
        <v>0</v>
      </c>
      <c r="W1741">
        <v>0</v>
      </c>
      <c r="X1741">
        <v>0</v>
      </c>
      <c r="Y1741">
        <v>0</v>
      </c>
      <c r="Z1741">
        <v>10.4</v>
      </c>
      <c r="AA1741">
        <v>28.4</v>
      </c>
      <c r="AB1741">
        <v>106</v>
      </c>
      <c r="AC1741">
        <v>57</v>
      </c>
      <c r="AD1741">
        <v>13.4</v>
      </c>
      <c r="AE1741">
        <v>4.5</v>
      </c>
      <c r="AF1741">
        <v>52.009</v>
      </c>
      <c r="AG1741">
        <v>56.963000000000001</v>
      </c>
      <c r="AH1741">
        <v>47.609000000000002</v>
      </c>
      <c r="AI1741">
        <v>37.801000000000002</v>
      </c>
      <c r="AJ1741">
        <v>82.369</v>
      </c>
      <c r="AK1741">
        <v>71.879000000000005</v>
      </c>
      <c r="AL1741">
        <v>0.95899999999999996</v>
      </c>
      <c r="AM1741">
        <v>47.609000000000002</v>
      </c>
      <c r="AN1741">
        <v>56.963000000000001</v>
      </c>
      <c r="AO1741">
        <v>52.009</v>
      </c>
      <c r="AP1741">
        <v>-0.95899999999999996</v>
      </c>
      <c r="AQ1741">
        <v>17.631</v>
      </c>
      <c r="AR1741">
        <v>62.198999999999998</v>
      </c>
      <c r="AS1741">
        <v>28.120999999999999</v>
      </c>
    </row>
    <row r="1742" spans="1:45" x14ac:dyDescent="0.25">
      <c r="A1742">
        <v>34</v>
      </c>
      <c r="B1742">
        <v>2</v>
      </c>
      <c r="C1742">
        <v>1</v>
      </c>
      <c r="D1742">
        <v>2024</v>
      </c>
      <c r="E1742">
        <v>11</v>
      </c>
      <c r="F1742" t="str">
        <f>IFERROR(VLOOKUP(G1742, Map!$A$1:$B$33, 2, FALSE),"WAS")</f>
        <v>PIT</v>
      </c>
      <c r="G1742" t="s">
        <v>145</v>
      </c>
      <c r="H1742" t="str">
        <f>IFERROR(VLOOKUP(I1742, Map!$A$1:$B$33, 2, FALSE),"WAS")</f>
        <v>BAL</v>
      </c>
      <c r="I1742" t="s">
        <v>146</v>
      </c>
      <c r="J1742" t="s">
        <v>170</v>
      </c>
      <c r="K1742" t="s">
        <v>181</v>
      </c>
      <c r="L1742">
        <v>1</v>
      </c>
      <c r="M1742">
        <v>0</v>
      </c>
      <c r="N1742">
        <v>40.5</v>
      </c>
      <c r="O1742">
        <v>-1</v>
      </c>
      <c r="P1742">
        <v>3.5</v>
      </c>
      <c r="Q1742">
        <v>31.5</v>
      </c>
      <c r="R1742">
        <v>7.1</v>
      </c>
      <c r="S1742">
        <v>12.2</v>
      </c>
      <c r="T1742">
        <v>3</v>
      </c>
      <c r="U1742">
        <v>5.0999999999999996</v>
      </c>
      <c r="V1742">
        <v>0</v>
      </c>
      <c r="W1742">
        <v>0</v>
      </c>
      <c r="X1742">
        <v>0</v>
      </c>
      <c r="Y1742">
        <v>0</v>
      </c>
      <c r="Z1742">
        <v>9.1999999999999993</v>
      </c>
      <c r="AA1742">
        <v>22</v>
      </c>
      <c r="AB1742">
        <v>168</v>
      </c>
      <c r="AC1742">
        <v>81</v>
      </c>
      <c r="AD1742">
        <v>10.6</v>
      </c>
      <c r="AE1742">
        <v>4</v>
      </c>
      <c r="AF1742">
        <v>37.847999999999999</v>
      </c>
      <c r="AG1742">
        <v>79.709000000000003</v>
      </c>
      <c r="AH1742">
        <v>61.847999999999999</v>
      </c>
      <c r="AI1742">
        <v>76.888999999999996</v>
      </c>
      <c r="AJ1742">
        <v>19.016999999999999</v>
      </c>
      <c r="AK1742">
        <v>57.600999999999999</v>
      </c>
      <c r="AL1742">
        <v>-4.4240000000000004</v>
      </c>
      <c r="AM1742">
        <v>61.847999999999999</v>
      </c>
      <c r="AN1742">
        <v>79.709000000000003</v>
      </c>
      <c r="AO1742">
        <v>37.847999999999999</v>
      </c>
      <c r="AP1742">
        <v>4.4240000000000004</v>
      </c>
      <c r="AQ1742">
        <v>80.983000000000004</v>
      </c>
      <c r="AR1742">
        <v>23.111000000000001</v>
      </c>
      <c r="AS1742">
        <v>42.399000000000001</v>
      </c>
    </row>
    <row r="1743" spans="1:45" x14ac:dyDescent="0.25">
      <c r="A1743">
        <v>50</v>
      </c>
      <c r="B1743">
        <v>-6</v>
      </c>
      <c r="C1743">
        <v>0</v>
      </c>
      <c r="D1743">
        <v>2024</v>
      </c>
      <c r="E1743">
        <v>11</v>
      </c>
      <c r="F1743" t="str">
        <f>IFERROR(VLOOKUP(G1743, Map!$A$1:$B$33, 2, FALSE),"WAS")</f>
        <v>NE</v>
      </c>
      <c r="G1743" t="s">
        <v>151</v>
      </c>
      <c r="H1743" t="str">
        <f>IFERROR(VLOOKUP(I1743, Map!$A$1:$B$33, 2, FALSE),"WAS")</f>
        <v>LA</v>
      </c>
      <c r="I1743" t="s">
        <v>155</v>
      </c>
      <c r="J1743" t="s">
        <v>187</v>
      </c>
      <c r="K1743" t="s">
        <v>178</v>
      </c>
      <c r="L1743">
        <v>0</v>
      </c>
      <c r="M1743">
        <v>0</v>
      </c>
      <c r="N1743">
        <v>48.5</v>
      </c>
      <c r="O1743">
        <v>5</v>
      </c>
      <c r="P1743">
        <v>4.5</v>
      </c>
      <c r="Q1743">
        <v>42.5</v>
      </c>
      <c r="R1743">
        <v>9.3000000000000007</v>
      </c>
      <c r="S1743">
        <v>15.4</v>
      </c>
      <c r="T1743">
        <v>5</v>
      </c>
      <c r="U1743">
        <v>4.5</v>
      </c>
      <c r="V1743">
        <v>0</v>
      </c>
      <c r="W1743">
        <v>0</v>
      </c>
      <c r="X1743">
        <v>0</v>
      </c>
      <c r="Y1743">
        <v>0</v>
      </c>
      <c r="Z1743">
        <v>18.399999999999999</v>
      </c>
      <c r="AA1743">
        <v>36.4</v>
      </c>
      <c r="AB1743">
        <v>328</v>
      </c>
      <c r="AC1743">
        <v>37</v>
      </c>
      <c r="AD1743">
        <v>29.3</v>
      </c>
      <c r="AE1743">
        <v>14.1</v>
      </c>
      <c r="AF1743">
        <v>35.590000000000003</v>
      </c>
      <c r="AG1743">
        <v>30.456</v>
      </c>
      <c r="AH1743">
        <v>64.123999999999995</v>
      </c>
      <c r="AI1743">
        <v>7.1970000000000001</v>
      </c>
      <c r="AJ1743">
        <v>55.6</v>
      </c>
      <c r="AK1743">
        <v>30.538</v>
      </c>
      <c r="AL1743">
        <v>-5.4</v>
      </c>
      <c r="AM1743">
        <v>64.123999999999995</v>
      </c>
      <c r="AN1743">
        <v>30.456</v>
      </c>
      <c r="AO1743">
        <v>35.590000000000003</v>
      </c>
      <c r="AP1743">
        <v>5.4</v>
      </c>
      <c r="AQ1743">
        <v>44.4</v>
      </c>
      <c r="AR1743">
        <v>92.802999999999997</v>
      </c>
      <c r="AS1743">
        <v>69.462000000000003</v>
      </c>
    </row>
    <row r="1744" spans="1:45" x14ac:dyDescent="0.25">
      <c r="A1744">
        <v>36</v>
      </c>
      <c r="B1744">
        <v>-10</v>
      </c>
      <c r="C1744">
        <v>0</v>
      </c>
      <c r="D1744">
        <v>2024</v>
      </c>
      <c r="E1744">
        <v>11</v>
      </c>
      <c r="F1744" t="str">
        <f>IFERROR(VLOOKUP(G1744, Map!$A$1:$B$33, 2, FALSE),"WAS")</f>
        <v>TEN</v>
      </c>
      <c r="G1744" t="s">
        <v>140</v>
      </c>
      <c r="H1744" t="str">
        <f>IFERROR(VLOOKUP(I1744, Map!$A$1:$B$33, 2, FALSE),"WAS")</f>
        <v>MIN</v>
      </c>
      <c r="I1744" t="s">
        <v>153</v>
      </c>
      <c r="J1744" t="s">
        <v>174</v>
      </c>
      <c r="K1744" t="s">
        <v>214</v>
      </c>
      <c r="L1744">
        <v>0</v>
      </c>
      <c r="M1744">
        <v>0</v>
      </c>
      <c r="N1744">
        <v>40</v>
      </c>
      <c r="O1744">
        <v>7.5</v>
      </c>
      <c r="P1744">
        <v>5.5</v>
      </c>
      <c r="Q1744">
        <v>39.5</v>
      </c>
      <c r="R1744">
        <v>12.5</v>
      </c>
      <c r="S1744">
        <v>20.2</v>
      </c>
      <c r="T1744">
        <v>7.5</v>
      </c>
      <c r="U1744">
        <v>11.3</v>
      </c>
      <c r="V1744">
        <v>0</v>
      </c>
      <c r="W1744">
        <v>0</v>
      </c>
      <c r="X1744">
        <v>0</v>
      </c>
      <c r="Y1744">
        <v>0</v>
      </c>
      <c r="Z1744">
        <v>11.8</v>
      </c>
      <c r="AA1744">
        <v>26.3</v>
      </c>
      <c r="AB1744">
        <v>185</v>
      </c>
      <c r="AC1744">
        <v>80</v>
      </c>
      <c r="AD1744">
        <v>14</v>
      </c>
      <c r="AE1744">
        <v>6.9</v>
      </c>
      <c r="AF1744">
        <v>34.329000000000001</v>
      </c>
      <c r="AG1744">
        <v>44.576999999999998</v>
      </c>
      <c r="AH1744">
        <v>65.394999999999996</v>
      </c>
      <c r="AI1744">
        <v>27.181999999999999</v>
      </c>
      <c r="AJ1744">
        <v>19.452999999999999</v>
      </c>
      <c r="AK1744">
        <v>16.234000000000002</v>
      </c>
      <c r="AL1744">
        <v>-6.2469999999999999</v>
      </c>
      <c r="AM1744">
        <v>65.394999999999996</v>
      </c>
      <c r="AN1744">
        <v>44.576999999999998</v>
      </c>
      <c r="AO1744">
        <v>34.329000000000001</v>
      </c>
      <c r="AP1744">
        <v>6.2469999999999999</v>
      </c>
      <c r="AQ1744">
        <v>80.546999999999997</v>
      </c>
      <c r="AR1744">
        <v>72.817999999999998</v>
      </c>
      <c r="AS1744">
        <v>83.766000000000005</v>
      </c>
    </row>
    <row r="1745" spans="1:45" x14ac:dyDescent="0.25">
      <c r="A1745">
        <v>55</v>
      </c>
      <c r="B1745">
        <v>-1</v>
      </c>
      <c r="C1745">
        <v>0</v>
      </c>
      <c r="D1745">
        <v>2024</v>
      </c>
      <c r="E1745">
        <v>11</v>
      </c>
      <c r="F1745" t="str">
        <f>IFERROR(VLOOKUP(G1745, Map!$A$1:$B$33, 2, FALSE),"WAS")</f>
        <v>NYJ</v>
      </c>
      <c r="G1745" t="s">
        <v>166</v>
      </c>
      <c r="H1745" t="str">
        <f>IFERROR(VLOOKUP(I1745, Map!$A$1:$B$33, 2, FALSE),"WAS")</f>
        <v>IND</v>
      </c>
      <c r="I1745" t="s">
        <v>138</v>
      </c>
      <c r="J1745" t="s">
        <v>172</v>
      </c>
      <c r="K1745" t="s">
        <v>177</v>
      </c>
      <c r="L1745">
        <v>0</v>
      </c>
      <c r="M1745">
        <v>0</v>
      </c>
      <c r="N1745">
        <v>47.5</v>
      </c>
      <c r="O1745">
        <v>-4.5</v>
      </c>
      <c r="P1745">
        <v>-4.5</v>
      </c>
      <c r="Q1745">
        <v>43.5</v>
      </c>
      <c r="R1745">
        <v>11.4</v>
      </c>
      <c r="S1745">
        <v>18.3</v>
      </c>
      <c r="T1745">
        <v>6.1</v>
      </c>
      <c r="U1745">
        <v>7.4</v>
      </c>
      <c r="V1745">
        <v>0</v>
      </c>
      <c r="W1745">
        <v>0</v>
      </c>
      <c r="X1745">
        <v>0</v>
      </c>
      <c r="Y1745">
        <v>0</v>
      </c>
      <c r="Z1745">
        <v>16.3</v>
      </c>
      <c r="AA1745">
        <v>36.4</v>
      </c>
      <c r="AB1745">
        <v>319</v>
      </c>
      <c r="AC1745">
        <v>36</v>
      </c>
      <c r="AD1745">
        <v>22.3</v>
      </c>
      <c r="AE1745">
        <v>8.9</v>
      </c>
      <c r="AF1745">
        <v>59.438000000000002</v>
      </c>
      <c r="AG1745">
        <v>41.771999999999998</v>
      </c>
      <c r="AH1745">
        <v>40.238</v>
      </c>
      <c r="AI1745">
        <v>51.796999999999997</v>
      </c>
      <c r="AJ1745">
        <v>41.676000000000002</v>
      </c>
      <c r="AK1745">
        <v>47.74</v>
      </c>
      <c r="AL1745">
        <v>3.65</v>
      </c>
      <c r="AM1745">
        <v>40.238</v>
      </c>
      <c r="AN1745">
        <v>41.771999999999998</v>
      </c>
      <c r="AO1745">
        <v>59.438000000000002</v>
      </c>
      <c r="AP1745">
        <v>-3.65</v>
      </c>
      <c r="AQ1745">
        <v>58.323999999999998</v>
      </c>
      <c r="AR1745">
        <v>48.203000000000003</v>
      </c>
      <c r="AS1745">
        <v>52.26</v>
      </c>
    </row>
    <row r="1746" spans="1:45" x14ac:dyDescent="0.25">
      <c r="A1746">
        <v>58</v>
      </c>
      <c r="B1746">
        <v>46</v>
      </c>
      <c r="C1746">
        <v>1</v>
      </c>
      <c r="D1746">
        <v>2024</v>
      </c>
      <c r="E1746">
        <v>11</v>
      </c>
      <c r="F1746" t="str">
        <f>IFERROR(VLOOKUP(G1746, Map!$A$1:$B$33, 2, FALSE),"WAS")</f>
        <v>DET</v>
      </c>
      <c r="G1746" t="s">
        <v>164</v>
      </c>
      <c r="H1746" t="str">
        <f>IFERROR(VLOOKUP(I1746, Map!$A$1:$B$33, 2, FALSE),"WAS")</f>
        <v>JAX</v>
      </c>
      <c r="I1746" t="s">
        <v>139</v>
      </c>
      <c r="J1746" t="s">
        <v>173</v>
      </c>
      <c r="K1746" t="s">
        <v>220</v>
      </c>
      <c r="L1746">
        <v>1</v>
      </c>
      <c r="M1746">
        <v>0</v>
      </c>
      <c r="N1746">
        <v>53</v>
      </c>
      <c r="O1746">
        <v>-30.5</v>
      </c>
      <c r="P1746">
        <v>-14.5</v>
      </c>
      <c r="Q1746">
        <v>47.5</v>
      </c>
      <c r="R1746">
        <v>8.5</v>
      </c>
      <c r="S1746">
        <v>11.2</v>
      </c>
      <c r="T1746">
        <v>7</v>
      </c>
      <c r="U1746">
        <v>5.8</v>
      </c>
      <c r="V1746">
        <v>0.6</v>
      </c>
      <c r="W1746">
        <v>0</v>
      </c>
      <c r="X1746">
        <v>2</v>
      </c>
      <c r="Y1746">
        <v>0.6</v>
      </c>
      <c r="Z1746">
        <v>15.7</v>
      </c>
      <c r="AA1746">
        <v>36.700000000000003</v>
      </c>
      <c r="AB1746">
        <v>181</v>
      </c>
      <c r="AC1746">
        <v>82</v>
      </c>
      <c r="AD1746">
        <v>23</v>
      </c>
      <c r="AE1746">
        <v>10.9</v>
      </c>
      <c r="AF1746">
        <v>85.207999999999998</v>
      </c>
      <c r="AG1746">
        <v>65.408000000000001</v>
      </c>
      <c r="AH1746">
        <v>14.673999999999999</v>
      </c>
      <c r="AI1746">
        <v>92.238</v>
      </c>
      <c r="AJ1746">
        <v>99.117000000000004</v>
      </c>
      <c r="AK1746">
        <v>99.421999999999997</v>
      </c>
      <c r="AL1746">
        <v>16.030999999999999</v>
      </c>
      <c r="AM1746">
        <v>14.673999999999999</v>
      </c>
      <c r="AN1746">
        <v>65.408000000000001</v>
      </c>
      <c r="AO1746">
        <v>85.207999999999998</v>
      </c>
      <c r="AP1746">
        <v>-16.030999999999999</v>
      </c>
      <c r="AQ1746">
        <v>0.88300000000000001</v>
      </c>
      <c r="AR1746">
        <v>7.7619999999999996</v>
      </c>
      <c r="AS1746">
        <v>0.57799999999999996</v>
      </c>
    </row>
    <row r="1747" spans="1:45" x14ac:dyDescent="0.25">
      <c r="A1747">
        <v>44</v>
      </c>
      <c r="B1747">
        <v>-24</v>
      </c>
      <c r="C1747">
        <v>0</v>
      </c>
      <c r="D1747">
        <v>2024</v>
      </c>
      <c r="E1747">
        <v>11</v>
      </c>
      <c r="F1747" t="str">
        <f>IFERROR(VLOOKUP(G1747, Map!$A$1:$B$33, 2, FALSE),"WAS")</f>
        <v>DAL</v>
      </c>
      <c r="G1747" t="s">
        <v>150</v>
      </c>
      <c r="H1747" t="str">
        <f>IFERROR(VLOOKUP(I1747, Map!$A$1:$B$33, 2, FALSE),"WAS")</f>
        <v>HOU</v>
      </c>
      <c r="I1747" t="s">
        <v>137</v>
      </c>
      <c r="J1747" t="s">
        <v>184</v>
      </c>
      <c r="K1747" t="s">
        <v>209</v>
      </c>
      <c r="L1747">
        <v>0</v>
      </c>
      <c r="M1747">
        <v>0</v>
      </c>
      <c r="N1747">
        <v>41</v>
      </c>
      <c r="O1747">
        <v>14</v>
      </c>
      <c r="P1747">
        <v>7.5</v>
      </c>
      <c r="Q1747">
        <v>40.5</v>
      </c>
      <c r="R1747">
        <v>15.7</v>
      </c>
      <c r="S1747">
        <v>20.8</v>
      </c>
      <c r="T1747">
        <v>10.7</v>
      </c>
      <c r="U1747">
        <v>14.2</v>
      </c>
      <c r="V1747">
        <v>0</v>
      </c>
      <c r="W1747">
        <v>0</v>
      </c>
      <c r="X1747">
        <v>0</v>
      </c>
      <c r="Y1747">
        <v>0</v>
      </c>
      <c r="Z1747">
        <v>11.1</v>
      </c>
      <c r="AA1747">
        <v>30.2</v>
      </c>
      <c r="AB1747">
        <v>240</v>
      </c>
      <c r="AC1747">
        <v>63</v>
      </c>
      <c r="AD1747">
        <v>18.399999999999999</v>
      </c>
      <c r="AE1747">
        <v>8</v>
      </c>
      <c r="AF1747">
        <v>29.747</v>
      </c>
      <c r="AG1747">
        <v>50.447000000000003</v>
      </c>
      <c r="AH1747">
        <v>70.013999999999996</v>
      </c>
      <c r="AI1747">
        <v>25.219000000000001</v>
      </c>
      <c r="AJ1747">
        <v>10.308</v>
      </c>
      <c r="AK1747">
        <v>12.683</v>
      </c>
      <c r="AL1747">
        <v>-8.1519999999999992</v>
      </c>
      <c r="AM1747">
        <v>70.013999999999996</v>
      </c>
      <c r="AN1747">
        <v>50.447000000000003</v>
      </c>
      <c r="AO1747">
        <v>29.747</v>
      </c>
      <c r="AP1747">
        <v>8.1519999999999992</v>
      </c>
      <c r="AQ1747">
        <v>89.691999999999993</v>
      </c>
      <c r="AR1747">
        <v>74.781000000000006</v>
      </c>
      <c r="AS1747">
        <v>87.316999999999993</v>
      </c>
    </row>
    <row r="1748" spans="1:45" x14ac:dyDescent="0.25">
      <c r="A1748">
        <v>39</v>
      </c>
      <c r="B1748">
        <v>-1</v>
      </c>
      <c r="C1748">
        <v>0</v>
      </c>
      <c r="D1748">
        <v>2024</v>
      </c>
      <c r="E1748">
        <v>11</v>
      </c>
      <c r="F1748" t="str">
        <f>IFERROR(VLOOKUP(G1748, Map!$A$1:$B$33, 2, FALSE),"WAS")</f>
        <v>CHI</v>
      </c>
      <c r="G1748" t="s">
        <v>163</v>
      </c>
      <c r="H1748" t="str">
        <f>IFERROR(VLOOKUP(I1748, Map!$A$1:$B$33, 2, FALSE),"WAS")</f>
        <v>GB</v>
      </c>
      <c r="I1748" t="s">
        <v>154</v>
      </c>
      <c r="J1748" t="s">
        <v>216</v>
      </c>
      <c r="K1748" t="s">
        <v>200</v>
      </c>
      <c r="L1748">
        <v>0</v>
      </c>
      <c r="M1748">
        <v>0</v>
      </c>
      <c r="N1748">
        <v>39</v>
      </c>
      <c r="O1748">
        <v>1</v>
      </c>
      <c r="P1748">
        <v>-4.5</v>
      </c>
      <c r="Q1748">
        <v>36.5</v>
      </c>
      <c r="R1748">
        <v>10</v>
      </c>
      <c r="S1748">
        <v>14.7</v>
      </c>
      <c r="T1748">
        <v>7.7</v>
      </c>
      <c r="U1748">
        <v>7.3</v>
      </c>
      <c r="V1748">
        <v>1.2</v>
      </c>
      <c r="W1748">
        <v>0</v>
      </c>
      <c r="X1748">
        <v>3</v>
      </c>
      <c r="Y1748">
        <v>1.2</v>
      </c>
      <c r="Z1748">
        <v>16.5</v>
      </c>
      <c r="AA1748">
        <v>35.6</v>
      </c>
      <c r="AB1748">
        <v>189</v>
      </c>
      <c r="AC1748">
        <v>82</v>
      </c>
      <c r="AD1748">
        <v>29.1</v>
      </c>
      <c r="AE1748">
        <v>12.9</v>
      </c>
      <c r="AF1748">
        <v>37.118000000000002</v>
      </c>
      <c r="AG1748">
        <v>60.744</v>
      </c>
      <c r="AH1748">
        <v>62.584000000000003</v>
      </c>
      <c r="AI1748">
        <v>18.172999999999998</v>
      </c>
      <c r="AJ1748">
        <v>76.254000000000005</v>
      </c>
      <c r="AK1748">
        <v>47.722999999999999</v>
      </c>
      <c r="AL1748">
        <v>-4.9880000000000004</v>
      </c>
      <c r="AM1748">
        <v>62.584000000000003</v>
      </c>
      <c r="AN1748">
        <v>60.744</v>
      </c>
      <c r="AO1748">
        <v>37.118000000000002</v>
      </c>
      <c r="AP1748">
        <v>4.9880000000000004</v>
      </c>
      <c r="AQ1748">
        <v>23.745999999999999</v>
      </c>
      <c r="AR1748">
        <v>81.826999999999998</v>
      </c>
      <c r="AS1748">
        <v>52.277000000000001</v>
      </c>
    </row>
    <row r="1749" spans="1:45" x14ac:dyDescent="0.25">
      <c r="A1749">
        <v>44</v>
      </c>
      <c r="B1749">
        <v>8</v>
      </c>
      <c r="C1749">
        <v>1</v>
      </c>
      <c r="D1749">
        <v>2024</v>
      </c>
      <c r="E1749">
        <v>11</v>
      </c>
      <c r="F1749" t="str">
        <f>IFERROR(VLOOKUP(G1749, Map!$A$1:$B$33, 2, FALSE),"WAS")</f>
        <v>PHI</v>
      </c>
      <c r="G1749" t="s">
        <v>147</v>
      </c>
      <c r="H1749" t="str">
        <f>IFERROR(VLOOKUP(I1749, Map!$A$1:$B$33, 2, FALSE),"WAS")</f>
        <v>WAS</v>
      </c>
      <c r="I1749" t="s">
        <v>148</v>
      </c>
      <c r="J1749" t="s">
        <v>206</v>
      </c>
      <c r="K1749" t="s">
        <v>205</v>
      </c>
      <c r="L1749">
        <v>1</v>
      </c>
      <c r="M1749">
        <v>0</v>
      </c>
      <c r="N1749">
        <v>39</v>
      </c>
      <c r="O1749">
        <v>-3</v>
      </c>
      <c r="P1749">
        <v>-1.5</v>
      </c>
      <c r="Q1749">
        <v>28.5</v>
      </c>
      <c r="R1749">
        <v>8.1999999999999993</v>
      </c>
      <c r="S1749">
        <v>13.7</v>
      </c>
      <c r="T1749">
        <v>4.9000000000000004</v>
      </c>
      <c r="U1749">
        <v>4.9000000000000004</v>
      </c>
      <c r="V1749">
        <v>0</v>
      </c>
      <c r="W1749">
        <v>0</v>
      </c>
      <c r="X1749">
        <v>0</v>
      </c>
      <c r="Y1749">
        <v>0</v>
      </c>
      <c r="Z1749">
        <v>14.5</v>
      </c>
      <c r="AA1749">
        <v>31.3</v>
      </c>
      <c r="AB1749">
        <v>351</v>
      </c>
      <c r="AC1749">
        <v>60</v>
      </c>
      <c r="AD1749">
        <v>22.1</v>
      </c>
      <c r="AE1749">
        <v>9</v>
      </c>
      <c r="AF1749">
        <v>58.433999999999997</v>
      </c>
      <c r="AG1749">
        <v>73.963999999999999</v>
      </c>
      <c r="AH1749">
        <v>41.234000000000002</v>
      </c>
      <c r="AI1749">
        <v>77.070999999999998</v>
      </c>
      <c r="AJ1749">
        <v>71.578999999999994</v>
      </c>
      <c r="AK1749">
        <v>70.466999999999999</v>
      </c>
      <c r="AL1749">
        <v>3.4260000000000002</v>
      </c>
      <c r="AM1749">
        <v>41.234000000000002</v>
      </c>
      <c r="AN1749">
        <v>73.963999999999999</v>
      </c>
      <c r="AO1749">
        <v>58.433999999999997</v>
      </c>
      <c r="AP1749">
        <v>-3.4260000000000002</v>
      </c>
      <c r="AQ1749">
        <v>28.420999999999999</v>
      </c>
      <c r="AR1749">
        <v>22.928999999999998</v>
      </c>
      <c r="AS1749">
        <v>29.533000000000001</v>
      </c>
    </row>
    <row r="1750" spans="1:45" x14ac:dyDescent="0.25">
      <c r="A1750">
        <v>37</v>
      </c>
      <c r="B1750">
        <v>-3</v>
      </c>
      <c r="C1750">
        <v>0</v>
      </c>
      <c r="D1750">
        <v>2024</v>
      </c>
      <c r="E1750">
        <v>11</v>
      </c>
      <c r="F1750" t="str">
        <f>IFERROR(VLOOKUP(G1750, Map!$A$1:$B$33, 2, FALSE),"WAS")</f>
        <v>SF</v>
      </c>
      <c r="G1750" t="s">
        <v>143</v>
      </c>
      <c r="H1750" t="str">
        <f>IFERROR(VLOOKUP(I1750, Map!$A$1:$B$33, 2, FALSE),"WAS")</f>
        <v>SEA</v>
      </c>
      <c r="I1750" t="s">
        <v>144</v>
      </c>
      <c r="J1750" t="s">
        <v>197</v>
      </c>
      <c r="K1750" t="s">
        <v>182</v>
      </c>
      <c r="L1750">
        <v>0</v>
      </c>
      <c r="M1750">
        <v>0</v>
      </c>
      <c r="N1750">
        <v>39.5</v>
      </c>
      <c r="O1750">
        <v>-5.5</v>
      </c>
      <c r="P1750">
        <v>-4.5</v>
      </c>
      <c r="Q1750">
        <v>30.5</v>
      </c>
      <c r="R1750">
        <v>8.9</v>
      </c>
      <c r="S1750">
        <v>14</v>
      </c>
      <c r="T1750">
        <v>4</v>
      </c>
      <c r="U1750">
        <v>6.4</v>
      </c>
      <c r="V1750">
        <v>0</v>
      </c>
      <c r="W1750">
        <v>0</v>
      </c>
      <c r="X1750">
        <v>0</v>
      </c>
      <c r="Y1750">
        <v>0</v>
      </c>
      <c r="Z1750">
        <v>7</v>
      </c>
      <c r="AA1750">
        <v>23.4</v>
      </c>
      <c r="AB1750">
        <v>106</v>
      </c>
      <c r="AC1750">
        <v>57</v>
      </c>
      <c r="AD1750">
        <v>9.1</v>
      </c>
      <c r="AE1750">
        <v>2.8</v>
      </c>
      <c r="AF1750">
        <v>67.203000000000003</v>
      </c>
      <c r="AG1750">
        <v>65.23</v>
      </c>
      <c r="AH1750">
        <v>32.536000000000001</v>
      </c>
      <c r="AI1750">
        <v>57.02</v>
      </c>
      <c r="AJ1750">
        <v>43.851999999999997</v>
      </c>
      <c r="AK1750">
        <v>44.896999999999998</v>
      </c>
      <c r="AL1750">
        <v>6.843</v>
      </c>
      <c r="AM1750">
        <v>32.536000000000001</v>
      </c>
      <c r="AN1750">
        <v>65.23</v>
      </c>
      <c r="AO1750">
        <v>67.203000000000003</v>
      </c>
      <c r="AP1750">
        <v>-6.843</v>
      </c>
      <c r="AQ1750">
        <v>56.148000000000003</v>
      </c>
      <c r="AR1750">
        <v>42.98</v>
      </c>
      <c r="AS1750">
        <v>55.103000000000002</v>
      </c>
    </row>
    <row r="1751" spans="1:45" x14ac:dyDescent="0.25">
      <c r="A1751">
        <v>53</v>
      </c>
      <c r="B1751">
        <v>15</v>
      </c>
      <c r="C1751">
        <v>1</v>
      </c>
      <c r="D1751">
        <v>2024</v>
      </c>
      <c r="E1751">
        <v>11</v>
      </c>
      <c r="F1751" t="str">
        <f>IFERROR(VLOOKUP(G1751, Map!$A$1:$B$33, 2, FALSE),"WAS")</f>
        <v>MIA</v>
      </c>
      <c r="G1751" t="s">
        <v>152</v>
      </c>
      <c r="H1751" t="str">
        <f>IFERROR(VLOOKUP(I1751, Map!$A$1:$B$33, 2, FALSE),"WAS")</f>
        <v>LV</v>
      </c>
      <c r="I1751" t="s">
        <v>157</v>
      </c>
      <c r="J1751" t="s">
        <v>175</v>
      </c>
      <c r="K1751" t="s">
        <v>179</v>
      </c>
      <c r="L1751">
        <v>1</v>
      </c>
      <c r="M1751">
        <v>0</v>
      </c>
      <c r="N1751">
        <v>45</v>
      </c>
      <c r="O1751">
        <v>-8</v>
      </c>
      <c r="P1751">
        <v>-7.5</v>
      </c>
      <c r="Q1751">
        <v>43.5</v>
      </c>
      <c r="R1751">
        <v>23.5</v>
      </c>
      <c r="S1751">
        <v>27.8</v>
      </c>
      <c r="T1751">
        <v>19.899999999999999</v>
      </c>
      <c r="U1751">
        <v>24</v>
      </c>
      <c r="V1751">
        <v>0</v>
      </c>
      <c r="W1751">
        <v>0</v>
      </c>
      <c r="X1751">
        <v>0</v>
      </c>
      <c r="Y1751">
        <v>0</v>
      </c>
      <c r="Z1751">
        <v>16.100000000000001</v>
      </c>
      <c r="AA1751">
        <v>38.200000000000003</v>
      </c>
      <c r="AB1751">
        <v>64</v>
      </c>
      <c r="AC1751">
        <v>60</v>
      </c>
      <c r="AD1751">
        <v>19.2</v>
      </c>
      <c r="AE1751">
        <v>8.1999999999999993</v>
      </c>
      <c r="AF1751">
        <v>62.183</v>
      </c>
      <c r="AG1751">
        <v>32.191000000000003</v>
      </c>
      <c r="AH1751">
        <v>37.515999999999998</v>
      </c>
      <c r="AI1751">
        <v>47.003</v>
      </c>
      <c r="AJ1751">
        <v>91.811000000000007</v>
      </c>
      <c r="AK1751">
        <v>82.302999999999997</v>
      </c>
      <c r="AL1751">
        <v>5.1070000000000002</v>
      </c>
      <c r="AM1751">
        <v>37.515999999999998</v>
      </c>
      <c r="AN1751">
        <v>32.191000000000003</v>
      </c>
      <c r="AO1751">
        <v>62.183</v>
      </c>
      <c r="AP1751">
        <v>-5.1070000000000002</v>
      </c>
      <c r="AQ1751">
        <v>8.1890000000000001</v>
      </c>
      <c r="AR1751">
        <v>52.997</v>
      </c>
      <c r="AS1751">
        <v>17.696999999999999</v>
      </c>
    </row>
    <row r="1752" spans="1:45" x14ac:dyDescent="0.25">
      <c r="A1752">
        <v>37</v>
      </c>
      <c r="B1752">
        <v>-23</v>
      </c>
      <c r="C1752">
        <v>0</v>
      </c>
      <c r="D1752">
        <v>2024</v>
      </c>
      <c r="E1752">
        <v>12</v>
      </c>
      <c r="F1752" t="str">
        <f>IFERROR(VLOOKUP(G1752, Map!$A$1:$B$33, 2, FALSE),"WAS")</f>
        <v>NYG</v>
      </c>
      <c r="G1752" t="s">
        <v>149</v>
      </c>
      <c r="H1752" t="str">
        <f>IFERROR(VLOOKUP(I1752, Map!$A$1:$B$33, 2, FALSE),"WAS")</f>
        <v>TB</v>
      </c>
      <c r="I1752" t="s">
        <v>141</v>
      </c>
      <c r="J1752" t="s">
        <v>219</v>
      </c>
      <c r="K1752" t="s">
        <v>186</v>
      </c>
      <c r="L1752">
        <v>0</v>
      </c>
      <c r="M1752">
        <v>0</v>
      </c>
      <c r="N1752">
        <v>39</v>
      </c>
      <c r="O1752">
        <v>15</v>
      </c>
      <c r="P1752">
        <v>6.5</v>
      </c>
      <c r="Q1752">
        <v>37.5</v>
      </c>
      <c r="R1752">
        <v>7.9</v>
      </c>
      <c r="S1752">
        <v>10.6</v>
      </c>
      <c r="T1752">
        <v>5.4</v>
      </c>
      <c r="U1752">
        <v>3.6</v>
      </c>
      <c r="V1752">
        <v>0</v>
      </c>
      <c r="W1752">
        <v>0</v>
      </c>
      <c r="X1752">
        <v>0</v>
      </c>
      <c r="Y1752">
        <v>0</v>
      </c>
      <c r="Z1752">
        <v>24.2</v>
      </c>
      <c r="AA1752">
        <v>57.2</v>
      </c>
      <c r="AB1752">
        <v>284</v>
      </c>
      <c r="AC1752">
        <v>63</v>
      </c>
      <c r="AD1752">
        <v>39.5</v>
      </c>
      <c r="AE1752">
        <v>16.399999999999999</v>
      </c>
      <c r="AF1752">
        <v>29.814</v>
      </c>
      <c r="AG1752">
        <v>43.444000000000003</v>
      </c>
      <c r="AH1752">
        <v>69.947000000000003</v>
      </c>
      <c r="AI1752">
        <v>9.7040000000000006</v>
      </c>
      <c r="AJ1752">
        <v>2.5960000000000001</v>
      </c>
      <c r="AK1752">
        <v>2.2829999999999999</v>
      </c>
      <c r="AL1752">
        <v>-7.6449999999999996</v>
      </c>
      <c r="AM1752">
        <v>69.947000000000003</v>
      </c>
      <c r="AN1752">
        <v>43.444000000000003</v>
      </c>
      <c r="AO1752">
        <v>29.814</v>
      </c>
      <c r="AP1752">
        <v>7.6449999999999996</v>
      </c>
      <c r="AQ1752">
        <v>97.403999999999996</v>
      </c>
      <c r="AR1752">
        <v>90.296000000000006</v>
      </c>
      <c r="AS1752">
        <v>97.716999999999999</v>
      </c>
    </row>
    <row r="1753" spans="1:45" x14ac:dyDescent="0.25">
      <c r="A1753">
        <v>48</v>
      </c>
      <c r="B1753">
        <v>-10</v>
      </c>
      <c r="C1753">
        <v>0</v>
      </c>
      <c r="D1753">
        <v>2024</v>
      </c>
      <c r="E1753">
        <v>12</v>
      </c>
      <c r="F1753" t="str">
        <f>IFERROR(VLOOKUP(G1753, Map!$A$1:$B$33, 2, FALSE),"WAS")</f>
        <v>LV</v>
      </c>
      <c r="G1753" t="s">
        <v>157</v>
      </c>
      <c r="H1753" t="str">
        <f>IFERROR(VLOOKUP(I1753, Map!$A$1:$B$33, 2, FALSE),"WAS")</f>
        <v>DEN</v>
      </c>
      <c r="I1753" t="s">
        <v>159</v>
      </c>
      <c r="J1753" t="s">
        <v>179</v>
      </c>
      <c r="K1753" t="s">
        <v>183</v>
      </c>
      <c r="L1753">
        <v>0</v>
      </c>
      <c r="M1753">
        <v>0</v>
      </c>
      <c r="N1753">
        <v>43.5</v>
      </c>
      <c r="O1753">
        <v>4.5</v>
      </c>
      <c r="P1753">
        <v>3.5</v>
      </c>
      <c r="Q1753">
        <v>41.5</v>
      </c>
      <c r="R1753">
        <v>15.7</v>
      </c>
      <c r="S1753">
        <v>21</v>
      </c>
      <c r="T1753">
        <v>9.8000000000000007</v>
      </c>
      <c r="U1753">
        <v>12.7</v>
      </c>
      <c r="V1753">
        <v>0</v>
      </c>
      <c r="W1753">
        <v>0</v>
      </c>
      <c r="X1753">
        <v>0</v>
      </c>
      <c r="Y1753">
        <v>0</v>
      </c>
      <c r="Z1753">
        <v>19.100000000000001</v>
      </c>
      <c r="AA1753">
        <v>41.8</v>
      </c>
      <c r="AB1753">
        <v>195</v>
      </c>
      <c r="AC1753">
        <v>44</v>
      </c>
      <c r="AD1753">
        <v>24.1</v>
      </c>
      <c r="AE1753">
        <v>9.3000000000000007</v>
      </c>
      <c r="AF1753">
        <v>43.823999999999998</v>
      </c>
      <c r="AG1753">
        <v>29.960999999999999</v>
      </c>
      <c r="AH1753">
        <v>55.823999999999998</v>
      </c>
      <c r="AI1753">
        <v>50.027000000000001</v>
      </c>
      <c r="AJ1753">
        <v>14.753</v>
      </c>
      <c r="AK1753">
        <v>30.452000000000002</v>
      </c>
      <c r="AL1753">
        <v>-2.0880000000000001</v>
      </c>
      <c r="AM1753">
        <v>55.823999999999998</v>
      </c>
      <c r="AN1753">
        <v>29.960999999999999</v>
      </c>
      <c r="AO1753">
        <v>43.823999999999998</v>
      </c>
      <c r="AP1753">
        <v>2.0880000000000001</v>
      </c>
      <c r="AQ1753">
        <v>85.247</v>
      </c>
      <c r="AR1753">
        <v>49.972999999999999</v>
      </c>
      <c r="AS1753">
        <v>69.548000000000002</v>
      </c>
    </row>
    <row r="1754" spans="1:45" x14ac:dyDescent="0.25">
      <c r="A1754">
        <v>57</v>
      </c>
      <c r="B1754">
        <v>-17</v>
      </c>
      <c r="C1754">
        <v>0</v>
      </c>
      <c r="D1754">
        <v>2024</v>
      </c>
      <c r="E1754">
        <v>12</v>
      </c>
      <c r="F1754" t="str">
        <f>IFERROR(VLOOKUP(G1754, Map!$A$1:$B$33, 2, FALSE),"WAS")</f>
        <v>LA</v>
      </c>
      <c r="G1754" t="s">
        <v>155</v>
      </c>
      <c r="H1754" t="str">
        <f>IFERROR(VLOOKUP(I1754, Map!$A$1:$B$33, 2, FALSE),"WAS")</f>
        <v>PHI</v>
      </c>
      <c r="I1754" t="s">
        <v>147</v>
      </c>
      <c r="J1754" t="s">
        <v>178</v>
      </c>
      <c r="K1754" t="s">
        <v>206</v>
      </c>
      <c r="L1754">
        <v>0</v>
      </c>
      <c r="M1754">
        <v>0</v>
      </c>
      <c r="N1754">
        <v>46</v>
      </c>
      <c r="O1754">
        <v>8</v>
      </c>
      <c r="P1754">
        <v>2.5</v>
      </c>
      <c r="Q1754">
        <v>44.5</v>
      </c>
      <c r="R1754">
        <v>13.5</v>
      </c>
      <c r="S1754">
        <v>20.6</v>
      </c>
      <c r="T1754">
        <v>9.5</v>
      </c>
      <c r="U1754">
        <v>12.8</v>
      </c>
      <c r="V1754">
        <v>0</v>
      </c>
      <c r="W1754">
        <v>0</v>
      </c>
      <c r="X1754">
        <v>0</v>
      </c>
      <c r="Y1754">
        <v>0</v>
      </c>
      <c r="Z1754">
        <v>9.6999999999999993</v>
      </c>
      <c r="AA1754">
        <v>26.6</v>
      </c>
      <c r="AB1754">
        <v>281</v>
      </c>
      <c r="AC1754">
        <v>79</v>
      </c>
      <c r="AD1754">
        <v>10</v>
      </c>
      <c r="AE1754">
        <v>2.9</v>
      </c>
      <c r="AF1754">
        <v>40.57</v>
      </c>
      <c r="AG1754">
        <v>68.168999999999997</v>
      </c>
      <c r="AH1754">
        <v>59.103999999999999</v>
      </c>
      <c r="AI1754">
        <v>8.9870000000000001</v>
      </c>
      <c r="AJ1754">
        <v>55.622</v>
      </c>
      <c r="AK1754">
        <v>15.458</v>
      </c>
      <c r="AL1754">
        <v>-3.4590000000000001</v>
      </c>
      <c r="AM1754">
        <v>59.103999999999999</v>
      </c>
      <c r="AN1754">
        <v>68.168999999999997</v>
      </c>
      <c r="AO1754">
        <v>40.57</v>
      </c>
      <c r="AP1754">
        <v>3.4590000000000001</v>
      </c>
      <c r="AQ1754">
        <v>44.378</v>
      </c>
      <c r="AR1754">
        <v>91.013000000000005</v>
      </c>
      <c r="AS1754">
        <v>84.542000000000002</v>
      </c>
    </row>
    <row r="1755" spans="1:45" x14ac:dyDescent="0.25">
      <c r="A1755">
        <v>57</v>
      </c>
      <c r="B1755">
        <v>-3</v>
      </c>
      <c r="C1755">
        <v>0</v>
      </c>
      <c r="D1755">
        <v>2024</v>
      </c>
      <c r="E1755">
        <v>12</v>
      </c>
      <c r="F1755" t="str">
        <f>IFERROR(VLOOKUP(G1755, Map!$A$1:$B$33, 2, FALSE),"WAS")</f>
        <v>CAR</v>
      </c>
      <c r="G1755" t="s">
        <v>142</v>
      </c>
      <c r="H1755" t="str">
        <f>IFERROR(VLOOKUP(I1755, Map!$A$1:$B$33, 2, FALSE),"WAS")</f>
        <v>KC</v>
      </c>
      <c r="I1755" t="s">
        <v>158</v>
      </c>
      <c r="J1755" t="s">
        <v>185</v>
      </c>
      <c r="K1755" t="s">
        <v>202</v>
      </c>
      <c r="L1755">
        <v>0</v>
      </c>
      <c r="M1755">
        <v>0</v>
      </c>
      <c r="N1755">
        <v>46</v>
      </c>
      <c r="O1755">
        <v>10.5</v>
      </c>
      <c r="P1755">
        <v>9.5</v>
      </c>
      <c r="Q1755">
        <v>42.5</v>
      </c>
      <c r="R1755">
        <v>7.8</v>
      </c>
      <c r="S1755">
        <v>15.8</v>
      </c>
      <c r="T1755">
        <v>0.9</v>
      </c>
      <c r="U1755">
        <v>5.7</v>
      </c>
      <c r="V1755">
        <v>0</v>
      </c>
      <c r="W1755">
        <v>0</v>
      </c>
      <c r="X1755">
        <v>0</v>
      </c>
      <c r="Y1755">
        <v>0</v>
      </c>
      <c r="Z1755">
        <v>7.3</v>
      </c>
      <c r="AA1755">
        <v>17.600000000000001</v>
      </c>
      <c r="AB1755">
        <v>220</v>
      </c>
      <c r="AC1755">
        <v>74</v>
      </c>
      <c r="AD1755">
        <v>10.7</v>
      </c>
      <c r="AE1755">
        <v>3.8</v>
      </c>
      <c r="AF1755">
        <v>23.373000000000001</v>
      </c>
      <c r="AG1755">
        <v>43.134999999999998</v>
      </c>
      <c r="AH1755">
        <v>76.438999999999993</v>
      </c>
      <c r="AI1755">
        <v>16.402000000000001</v>
      </c>
      <c r="AJ1755">
        <v>71.186999999999998</v>
      </c>
      <c r="AK1755">
        <v>34.249000000000002</v>
      </c>
      <c r="AL1755">
        <v>-11.048</v>
      </c>
      <c r="AM1755">
        <v>76.438999999999993</v>
      </c>
      <c r="AN1755">
        <v>43.134999999999998</v>
      </c>
      <c r="AO1755">
        <v>23.373000000000001</v>
      </c>
      <c r="AP1755">
        <v>11.048</v>
      </c>
      <c r="AQ1755">
        <v>28.812999999999999</v>
      </c>
      <c r="AR1755">
        <v>83.597999999999999</v>
      </c>
      <c r="AS1755">
        <v>65.751000000000005</v>
      </c>
    </row>
    <row r="1756" spans="1:45" x14ac:dyDescent="0.25">
      <c r="A1756">
        <v>57</v>
      </c>
      <c r="B1756">
        <v>-3</v>
      </c>
      <c r="C1756">
        <v>0</v>
      </c>
      <c r="D1756">
        <v>2024</v>
      </c>
      <c r="E1756">
        <v>12</v>
      </c>
      <c r="F1756" t="str">
        <f>IFERROR(VLOOKUP(G1756, Map!$A$1:$B$33, 2, FALSE),"WAS")</f>
        <v>CHI</v>
      </c>
      <c r="G1756" t="s">
        <v>163</v>
      </c>
      <c r="H1756" t="str">
        <f>IFERROR(VLOOKUP(I1756, Map!$A$1:$B$33, 2, FALSE),"WAS")</f>
        <v>MIN</v>
      </c>
      <c r="I1756" t="s">
        <v>153</v>
      </c>
      <c r="J1756" t="s">
        <v>216</v>
      </c>
      <c r="K1756" t="s">
        <v>214</v>
      </c>
      <c r="L1756">
        <v>0</v>
      </c>
      <c r="M1756">
        <v>0</v>
      </c>
      <c r="N1756">
        <v>41.5</v>
      </c>
      <c r="O1756">
        <v>5.5</v>
      </c>
      <c r="P1756">
        <v>2.5</v>
      </c>
      <c r="Q1756">
        <v>39.5</v>
      </c>
      <c r="R1756">
        <v>4.5</v>
      </c>
      <c r="S1756">
        <v>9</v>
      </c>
      <c r="T1756">
        <v>2.1</v>
      </c>
      <c r="U1756">
        <v>1.6</v>
      </c>
      <c r="V1756">
        <v>0</v>
      </c>
      <c r="W1756">
        <v>0</v>
      </c>
      <c r="X1756">
        <v>0</v>
      </c>
      <c r="Y1756">
        <v>0</v>
      </c>
      <c r="Z1756">
        <v>12.6</v>
      </c>
      <c r="AA1756">
        <v>25.6</v>
      </c>
      <c r="AB1756">
        <v>171</v>
      </c>
      <c r="AC1756">
        <v>88</v>
      </c>
      <c r="AD1756">
        <v>19.600000000000001</v>
      </c>
      <c r="AE1756">
        <v>8.6</v>
      </c>
      <c r="AF1756">
        <v>42.030999999999999</v>
      </c>
      <c r="AG1756">
        <v>58.631999999999998</v>
      </c>
      <c r="AH1756">
        <v>57.631</v>
      </c>
      <c r="AI1756">
        <v>27.128</v>
      </c>
      <c r="AJ1756">
        <v>45.259</v>
      </c>
      <c r="AK1756">
        <v>25.821000000000002</v>
      </c>
      <c r="AL1756">
        <v>-3.0590000000000002</v>
      </c>
      <c r="AM1756">
        <v>57.631</v>
      </c>
      <c r="AN1756">
        <v>58.631999999999998</v>
      </c>
      <c r="AO1756">
        <v>42.030999999999999</v>
      </c>
      <c r="AP1756">
        <v>3.0590000000000002</v>
      </c>
      <c r="AQ1756">
        <v>54.741</v>
      </c>
      <c r="AR1756">
        <v>72.872</v>
      </c>
      <c r="AS1756">
        <v>74.179000000000002</v>
      </c>
    </row>
    <row r="1757" spans="1:45" x14ac:dyDescent="0.25">
      <c r="A1757">
        <v>59</v>
      </c>
      <c r="B1757">
        <v>-5</v>
      </c>
      <c r="C1757">
        <v>0</v>
      </c>
      <c r="D1757">
        <v>2024</v>
      </c>
      <c r="E1757">
        <v>12</v>
      </c>
      <c r="F1757" t="str">
        <f>IFERROR(VLOOKUP(G1757, Map!$A$1:$B$33, 2, FALSE),"WAS")</f>
        <v>HOU</v>
      </c>
      <c r="G1757" t="s">
        <v>137</v>
      </c>
      <c r="H1757" t="str">
        <f>IFERROR(VLOOKUP(I1757, Map!$A$1:$B$33, 2, FALSE),"WAS")</f>
        <v>TEN</v>
      </c>
      <c r="I1757" t="s">
        <v>140</v>
      </c>
      <c r="J1757" t="s">
        <v>209</v>
      </c>
      <c r="K1757" t="s">
        <v>174</v>
      </c>
      <c r="L1757">
        <v>0</v>
      </c>
      <c r="M1757">
        <v>0</v>
      </c>
      <c r="N1757">
        <v>52.5</v>
      </c>
      <c r="O1757">
        <v>-5</v>
      </c>
      <c r="P1757">
        <v>-2.5</v>
      </c>
      <c r="Q1757">
        <v>40.5</v>
      </c>
      <c r="R1757">
        <v>19.3</v>
      </c>
      <c r="S1757">
        <v>26.2</v>
      </c>
      <c r="T1757">
        <v>15.4</v>
      </c>
      <c r="U1757">
        <v>19</v>
      </c>
      <c r="V1757">
        <v>0</v>
      </c>
      <c r="W1757">
        <v>0</v>
      </c>
      <c r="X1757">
        <v>0</v>
      </c>
      <c r="Y1757">
        <v>0</v>
      </c>
      <c r="Z1757">
        <v>20.2</v>
      </c>
      <c r="AA1757">
        <v>46.8</v>
      </c>
      <c r="AB1757">
        <v>168</v>
      </c>
      <c r="AC1757">
        <v>72</v>
      </c>
      <c r="AD1757">
        <v>24.2</v>
      </c>
      <c r="AE1757">
        <v>10.8</v>
      </c>
      <c r="AF1757">
        <v>71.084999999999994</v>
      </c>
      <c r="AG1757">
        <v>42.444000000000003</v>
      </c>
      <c r="AH1757">
        <v>28.684999999999999</v>
      </c>
      <c r="AI1757">
        <v>71.831999999999994</v>
      </c>
      <c r="AJ1757">
        <v>15.426</v>
      </c>
      <c r="AK1757">
        <v>41.110999999999997</v>
      </c>
      <c r="AL1757">
        <v>8.2590000000000003</v>
      </c>
      <c r="AM1757">
        <v>28.684999999999999</v>
      </c>
      <c r="AN1757">
        <v>42.444000000000003</v>
      </c>
      <c r="AO1757">
        <v>71.084999999999994</v>
      </c>
      <c r="AP1757">
        <v>-8.2590000000000003</v>
      </c>
      <c r="AQ1757">
        <v>84.573999999999998</v>
      </c>
      <c r="AR1757">
        <v>28.167999999999999</v>
      </c>
      <c r="AS1757">
        <v>58.889000000000003</v>
      </c>
    </row>
    <row r="1758" spans="1:45" x14ac:dyDescent="0.25">
      <c r="A1758">
        <v>48</v>
      </c>
      <c r="B1758">
        <v>28</v>
      </c>
      <c r="C1758">
        <v>1</v>
      </c>
      <c r="D1758">
        <v>2024</v>
      </c>
      <c r="E1758">
        <v>12</v>
      </c>
      <c r="F1758" t="str">
        <f>IFERROR(VLOOKUP(G1758, Map!$A$1:$B$33, 2, FALSE),"WAS")</f>
        <v>GB</v>
      </c>
      <c r="G1758" t="s">
        <v>154</v>
      </c>
      <c r="H1758" t="str">
        <f>IFERROR(VLOOKUP(I1758, Map!$A$1:$B$33, 2, FALSE),"WAS")</f>
        <v>SF</v>
      </c>
      <c r="I1758" t="s">
        <v>143</v>
      </c>
      <c r="J1758" t="s">
        <v>200</v>
      </c>
      <c r="K1758" t="s">
        <v>197</v>
      </c>
      <c r="L1758">
        <v>1</v>
      </c>
      <c r="M1758">
        <v>0</v>
      </c>
      <c r="N1758">
        <v>46.5</v>
      </c>
      <c r="O1758">
        <v>-17.5</v>
      </c>
      <c r="P1758">
        <v>-6.5</v>
      </c>
      <c r="Q1758">
        <v>44.5</v>
      </c>
      <c r="R1758">
        <v>3.4</v>
      </c>
      <c r="S1758">
        <v>6.1</v>
      </c>
      <c r="T1758">
        <v>0.7</v>
      </c>
      <c r="U1758">
        <v>-0.2</v>
      </c>
      <c r="V1758">
        <v>0</v>
      </c>
      <c r="W1758">
        <v>0</v>
      </c>
      <c r="X1758">
        <v>0</v>
      </c>
      <c r="Y1758">
        <v>0</v>
      </c>
      <c r="Z1758">
        <v>15.9</v>
      </c>
      <c r="AA1758">
        <v>37.799999999999997</v>
      </c>
      <c r="AB1758">
        <v>54</v>
      </c>
      <c r="AC1758">
        <v>78</v>
      </c>
      <c r="AD1758">
        <v>21.2</v>
      </c>
      <c r="AE1758">
        <v>9.8000000000000007</v>
      </c>
      <c r="AF1758">
        <v>69.278000000000006</v>
      </c>
      <c r="AG1758">
        <v>82.796999999999997</v>
      </c>
      <c r="AH1758">
        <v>30.478000000000002</v>
      </c>
      <c r="AI1758">
        <v>95.016000000000005</v>
      </c>
      <c r="AJ1758">
        <v>70.686000000000007</v>
      </c>
      <c r="AK1758">
        <v>93.691999999999993</v>
      </c>
      <c r="AL1758">
        <v>7.5</v>
      </c>
      <c r="AM1758">
        <v>30.478000000000002</v>
      </c>
      <c r="AN1758">
        <v>82.796999999999997</v>
      </c>
      <c r="AO1758">
        <v>69.278000000000006</v>
      </c>
      <c r="AP1758">
        <v>-7.5</v>
      </c>
      <c r="AQ1758">
        <v>29.314</v>
      </c>
      <c r="AR1758">
        <v>4.984</v>
      </c>
      <c r="AS1758">
        <v>6.3079999999999998</v>
      </c>
    </row>
    <row r="1759" spans="1:45" x14ac:dyDescent="0.25">
      <c r="A1759">
        <v>53</v>
      </c>
      <c r="B1759">
        <v>-7</v>
      </c>
      <c r="C1759">
        <v>0</v>
      </c>
      <c r="D1759">
        <v>2024</v>
      </c>
      <c r="E1759">
        <v>12</v>
      </c>
      <c r="F1759" t="str">
        <f>IFERROR(VLOOKUP(G1759, Map!$A$1:$B$33, 2, FALSE),"WAS")</f>
        <v>LAC</v>
      </c>
      <c r="G1759" t="s">
        <v>160</v>
      </c>
      <c r="H1759" t="str">
        <f>IFERROR(VLOOKUP(I1759, Map!$A$1:$B$33, 2, FALSE),"WAS")</f>
        <v>BAL</v>
      </c>
      <c r="I1759" t="s">
        <v>146</v>
      </c>
      <c r="J1759" t="s">
        <v>210</v>
      </c>
      <c r="K1759" t="s">
        <v>181</v>
      </c>
      <c r="L1759">
        <v>0</v>
      </c>
      <c r="M1759">
        <v>0</v>
      </c>
      <c r="N1759">
        <v>52</v>
      </c>
      <c r="O1759">
        <v>8</v>
      </c>
      <c r="P1759">
        <v>2.5</v>
      </c>
      <c r="Q1759">
        <v>50.5</v>
      </c>
      <c r="R1759">
        <v>15.4</v>
      </c>
      <c r="S1759">
        <v>19.7</v>
      </c>
      <c r="T1759">
        <v>12.5</v>
      </c>
      <c r="U1759">
        <v>14.8</v>
      </c>
      <c r="V1759">
        <v>0</v>
      </c>
      <c r="W1759">
        <v>0</v>
      </c>
      <c r="X1759">
        <v>0</v>
      </c>
      <c r="Y1759">
        <v>0</v>
      </c>
      <c r="Z1759">
        <v>5.2</v>
      </c>
      <c r="AA1759">
        <v>15.5</v>
      </c>
      <c r="AB1759">
        <v>244</v>
      </c>
      <c r="AC1759">
        <v>69</v>
      </c>
      <c r="AD1759">
        <v>9.9</v>
      </c>
      <c r="AE1759">
        <v>3.4</v>
      </c>
      <c r="AF1759">
        <v>39.176000000000002</v>
      </c>
      <c r="AG1759">
        <v>77.8</v>
      </c>
      <c r="AH1759">
        <v>60.509</v>
      </c>
      <c r="AI1759">
        <v>10.401</v>
      </c>
      <c r="AJ1759">
        <v>55.146000000000001</v>
      </c>
      <c r="AK1759">
        <v>24.5</v>
      </c>
      <c r="AL1759">
        <v>-4.2069999999999999</v>
      </c>
      <c r="AM1759">
        <v>60.509</v>
      </c>
      <c r="AN1759">
        <v>77.8</v>
      </c>
      <c r="AO1759">
        <v>39.176000000000002</v>
      </c>
      <c r="AP1759">
        <v>4.2069999999999999</v>
      </c>
      <c r="AQ1759">
        <v>44.853999999999999</v>
      </c>
      <c r="AR1759">
        <v>89.599000000000004</v>
      </c>
      <c r="AS1759">
        <v>75.5</v>
      </c>
    </row>
    <row r="1760" spans="1:45" x14ac:dyDescent="0.25">
      <c r="A1760">
        <v>43</v>
      </c>
      <c r="B1760">
        <v>5</v>
      </c>
      <c r="C1760">
        <v>1</v>
      </c>
      <c r="D1760">
        <v>2024</v>
      </c>
      <c r="E1760">
        <v>12</v>
      </c>
      <c r="F1760" t="str">
        <f>IFERROR(VLOOKUP(G1760, Map!$A$1:$B$33, 2, FALSE),"WAS")</f>
        <v>CLE</v>
      </c>
      <c r="G1760" t="s">
        <v>162</v>
      </c>
      <c r="H1760" t="str">
        <f>IFERROR(VLOOKUP(I1760, Map!$A$1:$B$33, 2, FALSE),"WAS")</f>
        <v>PIT</v>
      </c>
      <c r="I1760" t="s">
        <v>145</v>
      </c>
      <c r="J1760" t="s">
        <v>171</v>
      </c>
      <c r="K1760" t="s">
        <v>170</v>
      </c>
      <c r="L1760">
        <v>1</v>
      </c>
      <c r="M1760">
        <v>0</v>
      </c>
      <c r="N1760">
        <v>38</v>
      </c>
      <c r="O1760">
        <v>0.5</v>
      </c>
      <c r="P1760">
        <v>-2.5</v>
      </c>
      <c r="Q1760">
        <v>36.5</v>
      </c>
      <c r="R1760">
        <v>5.6</v>
      </c>
      <c r="S1760">
        <v>8.1999999999999993</v>
      </c>
      <c r="T1760">
        <v>1.9</v>
      </c>
      <c r="U1760">
        <v>-0.4</v>
      </c>
      <c r="V1760">
        <v>15.8</v>
      </c>
      <c r="W1760">
        <v>3.22</v>
      </c>
      <c r="X1760">
        <v>22</v>
      </c>
      <c r="Y1760">
        <v>11.2</v>
      </c>
      <c r="Z1760">
        <v>44.6</v>
      </c>
      <c r="AA1760">
        <v>66.2</v>
      </c>
      <c r="AB1760">
        <v>308</v>
      </c>
      <c r="AC1760">
        <v>83</v>
      </c>
      <c r="AD1760">
        <v>44.9</v>
      </c>
      <c r="AE1760">
        <v>30.6</v>
      </c>
      <c r="AF1760">
        <v>44.155999999999999</v>
      </c>
      <c r="AG1760">
        <v>42.06</v>
      </c>
      <c r="AH1760">
        <v>55.488999999999997</v>
      </c>
      <c r="AI1760">
        <v>70.105000000000004</v>
      </c>
      <c r="AJ1760">
        <v>42.93</v>
      </c>
      <c r="AK1760">
        <v>63.05</v>
      </c>
      <c r="AL1760">
        <v>-1.841</v>
      </c>
      <c r="AM1760">
        <v>55.488999999999997</v>
      </c>
      <c r="AN1760">
        <v>42.06</v>
      </c>
      <c r="AO1760">
        <v>44.155999999999999</v>
      </c>
      <c r="AP1760">
        <v>1.841</v>
      </c>
      <c r="AQ1760">
        <v>57.07</v>
      </c>
      <c r="AR1760">
        <v>29.895</v>
      </c>
      <c r="AS1760">
        <v>36.950000000000003</v>
      </c>
    </row>
    <row r="1761" spans="1:45" x14ac:dyDescent="0.25">
      <c r="A1761">
        <v>22</v>
      </c>
      <c r="B1761">
        <v>10</v>
      </c>
      <c r="C1761">
        <v>1</v>
      </c>
      <c r="D1761">
        <v>2024</v>
      </c>
      <c r="E1761">
        <v>12</v>
      </c>
      <c r="F1761" t="str">
        <f>IFERROR(VLOOKUP(G1761, Map!$A$1:$B$33, 2, FALSE),"WAS")</f>
        <v>SEA</v>
      </c>
      <c r="G1761" t="s">
        <v>144</v>
      </c>
      <c r="H1761" t="str">
        <f>IFERROR(VLOOKUP(I1761, Map!$A$1:$B$33, 2, FALSE),"WAS")</f>
        <v>ARI</v>
      </c>
      <c r="I1761" t="s">
        <v>156</v>
      </c>
      <c r="J1761" t="s">
        <v>182</v>
      </c>
      <c r="K1761" t="s">
        <v>190</v>
      </c>
      <c r="L1761">
        <v>1</v>
      </c>
      <c r="M1761">
        <v>0</v>
      </c>
      <c r="N1761">
        <v>34.5</v>
      </c>
      <c r="O1761">
        <v>-3</v>
      </c>
      <c r="P1761">
        <v>1.5</v>
      </c>
      <c r="Q1761">
        <v>22.5</v>
      </c>
      <c r="R1761">
        <v>6.4</v>
      </c>
      <c r="S1761">
        <v>9</v>
      </c>
      <c r="T1761">
        <v>4.9000000000000004</v>
      </c>
      <c r="U1761">
        <v>3.7</v>
      </c>
      <c r="V1761">
        <v>5.8</v>
      </c>
      <c r="W1761">
        <v>0</v>
      </c>
      <c r="X1761">
        <v>14</v>
      </c>
      <c r="Y1761">
        <v>5.8</v>
      </c>
      <c r="Z1761">
        <v>14.4</v>
      </c>
      <c r="AA1761">
        <v>26.3</v>
      </c>
      <c r="AB1761">
        <v>137</v>
      </c>
      <c r="AC1761">
        <v>85</v>
      </c>
      <c r="AD1761">
        <v>17.100000000000001</v>
      </c>
      <c r="AE1761">
        <v>8.5</v>
      </c>
      <c r="AF1761">
        <v>44.886000000000003</v>
      </c>
      <c r="AG1761">
        <v>54.219000000000001</v>
      </c>
      <c r="AH1761">
        <v>54.753</v>
      </c>
      <c r="AI1761">
        <v>91.043000000000006</v>
      </c>
      <c r="AJ1761">
        <v>45.786999999999999</v>
      </c>
      <c r="AK1761">
        <v>74.614000000000004</v>
      </c>
      <c r="AL1761">
        <v>-1.6919999999999999</v>
      </c>
      <c r="AM1761">
        <v>54.753</v>
      </c>
      <c r="AN1761">
        <v>54.219000000000001</v>
      </c>
      <c r="AO1761">
        <v>44.886000000000003</v>
      </c>
      <c r="AP1761">
        <v>1.6919999999999999</v>
      </c>
      <c r="AQ1761">
        <v>54.213000000000001</v>
      </c>
      <c r="AR1761">
        <v>8.9570000000000007</v>
      </c>
      <c r="AS1761">
        <v>25.385999999999999</v>
      </c>
    </row>
    <row r="1762" spans="1:45" x14ac:dyDescent="0.25">
      <c r="A1762">
        <v>30</v>
      </c>
      <c r="B1762">
        <v>-18</v>
      </c>
      <c r="C1762">
        <v>0</v>
      </c>
      <c r="D1762">
        <v>2024</v>
      </c>
      <c r="E1762">
        <v>12</v>
      </c>
      <c r="F1762" t="str">
        <f>IFERROR(VLOOKUP(G1762, Map!$A$1:$B$33, 2, FALSE),"WAS")</f>
        <v>IND</v>
      </c>
      <c r="G1762" t="s">
        <v>138</v>
      </c>
      <c r="H1762" t="str">
        <f>IFERROR(VLOOKUP(I1762, Map!$A$1:$B$33, 2, FALSE),"WAS")</f>
        <v>DET</v>
      </c>
      <c r="I1762" t="s">
        <v>164</v>
      </c>
      <c r="J1762" t="s">
        <v>177</v>
      </c>
      <c r="K1762" t="s">
        <v>173</v>
      </c>
      <c r="L1762">
        <v>0</v>
      </c>
      <c r="M1762">
        <v>0</v>
      </c>
      <c r="N1762">
        <v>43</v>
      </c>
      <c r="O1762">
        <v>12</v>
      </c>
      <c r="P1762">
        <v>6.5</v>
      </c>
      <c r="Q1762">
        <v>36.5</v>
      </c>
      <c r="R1762">
        <v>5.8</v>
      </c>
      <c r="S1762">
        <v>12.9</v>
      </c>
      <c r="T1762">
        <v>1.9</v>
      </c>
      <c r="U1762">
        <v>2.9</v>
      </c>
      <c r="V1762">
        <v>0</v>
      </c>
      <c r="W1762">
        <v>0</v>
      </c>
      <c r="X1762">
        <v>0</v>
      </c>
      <c r="Y1762">
        <v>0</v>
      </c>
      <c r="Z1762">
        <v>12.2</v>
      </c>
      <c r="AA1762">
        <v>28.8</v>
      </c>
      <c r="AB1762">
        <v>183</v>
      </c>
      <c r="AC1762">
        <v>83</v>
      </c>
      <c r="AD1762">
        <v>20.6</v>
      </c>
      <c r="AE1762">
        <v>8.8000000000000007</v>
      </c>
      <c r="AF1762">
        <v>26.161999999999999</v>
      </c>
      <c r="AG1762">
        <v>66.394999999999996</v>
      </c>
      <c r="AH1762">
        <v>73.628</v>
      </c>
      <c r="AI1762">
        <v>25.821999999999999</v>
      </c>
      <c r="AJ1762">
        <v>23.446999999999999</v>
      </c>
      <c r="AK1762">
        <v>14.499000000000001</v>
      </c>
      <c r="AL1762">
        <v>-9.3960000000000008</v>
      </c>
      <c r="AM1762">
        <v>73.628</v>
      </c>
      <c r="AN1762">
        <v>66.394999999999996</v>
      </c>
      <c r="AO1762">
        <v>26.161999999999999</v>
      </c>
      <c r="AP1762">
        <v>9.3960000000000008</v>
      </c>
      <c r="AQ1762">
        <v>76.552999999999997</v>
      </c>
      <c r="AR1762">
        <v>74.177999999999997</v>
      </c>
      <c r="AS1762">
        <v>85.501000000000005</v>
      </c>
    </row>
    <row r="1763" spans="1:45" x14ac:dyDescent="0.25">
      <c r="A1763">
        <v>49</v>
      </c>
      <c r="B1763">
        <v>19</v>
      </c>
      <c r="C1763">
        <v>1</v>
      </c>
      <c r="D1763">
        <v>2024</v>
      </c>
      <c r="E1763">
        <v>12</v>
      </c>
      <c r="F1763" t="str">
        <f>IFERROR(VLOOKUP(G1763, Map!$A$1:$B$33, 2, FALSE),"WAS")</f>
        <v>MIA</v>
      </c>
      <c r="G1763" t="s">
        <v>152</v>
      </c>
      <c r="H1763" t="str">
        <f>IFERROR(VLOOKUP(I1763, Map!$A$1:$B$33, 2, FALSE),"WAS")</f>
        <v>NE</v>
      </c>
      <c r="I1763" t="s">
        <v>151</v>
      </c>
      <c r="J1763" t="s">
        <v>175</v>
      </c>
      <c r="K1763" t="s">
        <v>187</v>
      </c>
      <c r="L1763">
        <v>1</v>
      </c>
      <c r="M1763">
        <v>0</v>
      </c>
      <c r="N1763">
        <v>47.5</v>
      </c>
      <c r="O1763">
        <v>-13</v>
      </c>
      <c r="P1763">
        <v>-7.5</v>
      </c>
      <c r="Q1763">
        <v>45.5</v>
      </c>
      <c r="R1763">
        <v>16.7</v>
      </c>
      <c r="S1763">
        <v>24.8</v>
      </c>
      <c r="T1763">
        <v>11.5</v>
      </c>
      <c r="U1763">
        <v>15.9</v>
      </c>
      <c r="V1763">
        <v>0</v>
      </c>
      <c r="W1763">
        <v>0</v>
      </c>
      <c r="X1763">
        <v>0</v>
      </c>
      <c r="Y1763">
        <v>0</v>
      </c>
      <c r="Z1763">
        <v>9.1999999999999993</v>
      </c>
      <c r="AA1763">
        <v>23.4</v>
      </c>
      <c r="AB1763">
        <v>5</v>
      </c>
      <c r="AC1763">
        <v>65</v>
      </c>
      <c r="AD1763">
        <v>16.2</v>
      </c>
      <c r="AE1763">
        <v>6.7</v>
      </c>
      <c r="AF1763">
        <v>67.738</v>
      </c>
      <c r="AG1763">
        <v>31.289000000000001</v>
      </c>
      <c r="AH1763">
        <v>32.005000000000003</v>
      </c>
      <c r="AI1763">
        <v>85.647000000000006</v>
      </c>
      <c r="AJ1763">
        <v>81.623000000000005</v>
      </c>
      <c r="AK1763">
        <v>94.484999999999999</v>
      </c>
      <c r="AL1763">
        <v>7.0979999999999999</v>
      </c>
      <c r="AM1763">
        <v>32.005000000000003</v>
      </c>
      <c r="AN1763">
        <v>31.289000000000001</v>
      </c>
      <c r="AO1763">
        <v>67.738</v>
      </c>
      <c r="AP1763">
        <v>-7.0979999999999999</v>
      </c>
      <c r="AQ1763">
        <v>18.376999999999999</v>
      </c>
      <c r="AR1763">
        <v>14.353</v>
      </c>
      <c r="AS1763">
        <v>5.5149999999999997</v>
      </c>
    </row>
    <row r="1764" spans="1:45" x14ac:dyDescent="0.25">
      <c r="A1764">
        <v>60</v>
      </c>
      <c r="B1764">
        <v>-8</v>
      </c>
      <c r="C1764">
        <v>0</v>
      </c>
      <c r="D1764">
        <v>2024</v>
      </c>
      <c r="E1764">
        <v>12</v>
      </c>
      <c r="F1764" t="str">
        <f>IFERROR(VLOOKUP(G1764, Map!$A$1:$B$33, 2, FALSE),"WAS")</f>
        <v>WAS</v>
      </c>
      <c r="G1764" t="s">
        <v>148</v>
      </c>
      <c r="H1764" t="str">
        <f>IFERROR(VLOOKUP(I1764, Map!$A$1:$B$33, 2, FALSE),"WAS")</f>
        <v>DAL</v>
      </c>
      <c r="I1764" t="s">
        <v>150</v>
      </c>
      <c r="J1764" t="s">
        <v>205</v>
      </c>
      <c r="K1764" t="s">
        <v>184</v>
      </c>
      <c r="L1764">
        <v>0</v>
      </c>
      <c r="M1764">
        <v>0</v>
      </c>
      <c r="N1764">
        <v>38.5</v>
      </c>
      <c r="O1764">
        <v>-1.5</v>
      </c>
      <c r="P1764">
        <v>7.5</v>
      </c>
      <c r="Q1764">
        <v>32.5</v>
      </c>
      <c r="R1764">
        <v>9.6</v>
      </c>
      <c r="S1764">
        <v>12.6</v>
      </c>
      <c r="T1764">
        <v>7.2</v>
      </c>
      <c r="U1764">
        <v>6.4</v>
      </c>
      <c r="V1764">
        <v>0.2</v>
      </c>
      <c r="W1764">
        <v>0</v>
      </c>
      <c r="X1764">
        <v>1</v>
      </c>
      <c r="Y1764">
        <v>0.2</v>
      </c>
      <c r="Z1764">
        <v>17.7</v>
      </c>
      <c r="AA1764">
        <v>38.9</v>
      </c>
      <c r="AB1764">
        <v>278</v>
      </c>
      <c r="AC1764">
        <v>68</v>
      </c>
      <c r="AD1764">
        <v>28</v>
      </c>
      <c r="AE1764">
        <v>12</v>
      </c>
      <c r="AF1764">
        <v>77.176000000000002</v>
      </c>
      <c r="AG1764">
        <v>47.188000000000002</v>
      </c>
      <c r="AH1764">
        <v>22.641999999999999</v>
      </c>
      <c r="AI1764">
        <v>56.56</v>
      </c>
      <c r="AJ1764">
        <v>19.125</v>
      </c>
      <c r="AK1764">
        <v>27.678000000000001</v>
      </c>
      <c r="AL1764">
        <v>11.388999999999999</v>
      </c>
      <c r="AM1764">
        <v>22.641999999999999</v>
      </c>
      <c r="AN1764">
        <v>47.188000000000002</v>
      </c>
      <c r="AO1764">
        <v>77.176000000000002</v>
      </c>
      <c r="AP1764">
        <v>-11.388999999999999</v>
      </c>
      <c r="AQ1764">
        <v>80.875</v>
      </c>
      <c r="AR1764">
        <v>43.44</v>
      </c>
      <c r="AS1764">
        <v>72.322000000000003</v>
      </c>
    </row>
    <row r="1765" spans="1:45" x14ac:dyDescent="0.25">
      <c r="A1765">
        <v>61</v>
      </c>
      <c r="B1765">
        <v>23</v>
      </c>
      <c r="C1765">
        <v>1</v>
      </c>
      <c r="D1765">
        <v>2024</v>
      </c>
      <c r="E1765">
        <v>13</v>
      </c>
      <c r="F1765" t="str">
        <f>IFERROR(VLOOKUP(G1765, Map!$A$1:$B$33, 2, FALSE),"WAS")</f>
        <v>WAS</v>
      </c>
      <c r="G1765" t="s">
        <v>148</v>
      </c>
      <c r="H1765" t="str">
        <f>IFERROR(VLOOKUP(I1765, Map!$A$1:$B$33, 2, FALSE),"WAS")</f>
        <v>TEN</v>
      </c>
      <c r="I1765" t="s">
        <v>140</v>
      </c>
      <c r="J1765" t="s">
        <v>205</v>
      </c>
      <c r="K1765" t="s">
        <v>174</v>
      </c>
      <c r="L1765">
        <v>1</v>
      </c>
      <c r="M1765">
        <v>0</v>
      </c>
      <c r="N1765">
        <v>53.5</v>
      </c>
      <c r="O1765">
        <v>-14</v>
      </c>
      <c r="P1765">
        <v>-5.5</v>
      </c>
      <c r="Q1765">
        <v>45.5</v>
      </c>
      <c r="R1765">
        <v>0.2</v>
      </c>
      <c r="S1765">
        <v>5.6</v>
      </c>
      <c r="T1765">
        <v>-2.4</v>
      </c>
      <c r="U1765">
        <v>-3.6</v>
      </c>
      <c r="V1765">
        <v>0</v>
      </c>
      <c r="W1765">
        <v>0</v>
      </c>
      <c r="X1765">
        <v>0</v>
      </c>
      <c r="Y1765">
        <v>0</v>
      </c>
      <c r="Z1765">
        <v>15</v>
      </c>
      <c r="AA1765">
        <v>36</v>
      </c>
      <c r="AB1765">
        <v>263</v>
      </c>
      <c r="AC1765">
        <v>62</v>
      </c>
      <c r="AD1765">
        <v>15.2</v>
      </c>
      <c r="AE1765">
        <v>6</v>
      </c>
      <c r="AF1765">
        <v>66.399000000000001</v>
      </c>
      <c r="AG1765">
        <v>36.338999999999999</v>
      </c>
      <c r="AH1765">
        <v>33.332999999999998</v>
      </c>
      <c r="AI1765">
        <v>87.501000000000005</v>
      </c>
      <c r="AJ1765">
        <v>92.025000000000006</v>
      </c>
      <c r="AK1765">
        <v>96.65</v>
      </c>
      <c r="AL1765">
        <v>6.3410000000000002</v>
      </c>
      <c r="AM1765">
        <v>33.332999999999998</v>
      </c>
      <c r="AN1765">
        <v>36.338999999999999</v>
      </c>
      <c r="AO1765">
        <v>66.399000000000001</v>
      </c>
      <c r="AP1765">
        <v>-6.3410000000000002</v>
      </c>
      <c r="AQ1765">
        <v>7.9749999999999996</v>
      </c>
      <c r="AR1765">
        <v>12.499000000000001</v>
      </c>
      <c r="AS1765">
        <v>3.35</v>
      </c>
    </row>
    <row r="1766" spans="1:45" x14ac:dyDescent="0.25">
      <c r="A1766">
        <v>47</v>
      </c>
      <c r="B1766">
        <v>13</v>
      </c>
      <c r="C1766">
        <v>1</v>
      </c>
      <c r="D1766">
        <v>2024</v>
      </c>
      <c r="E1766">
        <v>13</v>
      </c>
      <c r="F1766" t="str">
        <f>IFERROR(VLOOKUP(G1766, Map!$A$1:$B$33, 2, FALSE),"WAS")</f>
        <v>GB</v>
      </c>
      <c r="G1766" t="s">
        <v>154</v>
      </c>
      <c r="H1766" t="str">
        <f>IFERROR(VLOOKUP(I1766, Map!$A$1:$B$33, 2, FALSE),"WAS")</f>
        <v>MIA</v>
      </c>
      <c r="I1766" t="s">
        <v>152</v>
      </c>
      <c r="J1766" t="s">
        <v>200</v>
      </c>
      <c r="K1766" t="s">
        <v>175</v>
      </c>
      <c r="L1766">
        <v>1</v>
      </c>
      <c r="M1766">
        <v>0</v>
      </c>
      <c r="N1766">
        <v>47.5</v>
      </c>
      <c r="O1766">
        <v>-10.5</v>
      </c>
      <c r="P1766">
        <v>-3.5</v>
      </c>
      <c r="Q1766">
        <v>47.5</v>
      </c>
      <c r="R1766">
        <v>-4.4000000000000004</v>
      </c>
      <c r="S1766">
        <v>-2.5</v>
      </c>
      <c r="T1766">
        <v>-7</v>
      </c>
      <c r="U1766">
        <v>-10.7</v>
      </c>
      <c r="V1766">
        <v>0.2</v>
      </c>
      <c r="W1766">
        <v>0.14000000000000001</v>
      </c>
      <c r="X1766">
        <v>2</v>
      </c>
      <c r="Y1766">
        <v>0</v>
      </c>
      <c r="Z1766">
        <v>25.4</v>
      </c>
      <c r="AA1766">
        <v>54.4</v>
      </c>
      <c r="AB1766">
        <v>280</v>
      </c>
      <c r="AC1766">
        <v>56</v>
      </c>
      <c r="AD1766">
        <v>42.1</v>
      </c>
      <c r="AE1766">
        <v>19.8</v>
      </c>
      <c r="AF1766">
        <v>66.332999999999998</v>
      </c>
      <c r="AG1766">
        <v>69.634</v>
      </c>
      <c r="AH1766">
        <v>33.399000000000001</v>
      </c>
      <c r="AI1766">
        <v>65.459999999999994</v>
      </c>
      <c r="AJ1766">
        <v>83.091999999999999</v>
      </c>
      <c r="AK1766">
        <v>90.174999999999997</v>
      </c>
      <c r="AL1766">
        <v>6.4820000000000002</v>
      </c>
      <c r="AM1766">
        <v>33.399000000000001</v>
      </c>
      <c r="AN1766">
        <v>69.634</v>
      </c>
      <c r="AO1766">
        <v>66.332999999999998</v>
      </c>
      <c r="AP1766">
        <v>-6.4820000000000002</v>
      </c>
      <c r="AQ1766">
        <v>16.908000000000001</v>
      </c>
      <c r="AR1766">
        <v>34.54</v>
      </c>
      <c r="AS1766">
        <v>9.8249999999999993</v>
      </c>
    </row>
    <row r="1767" spans="1:45" x14ac:dyDescent="0.25">
      <c r="A1767">
        <v>49</v>
      </c>
      <c r="B1767">
        <v>-1</v>
      </c>
      <c r="C1767">
        <v>0</v>
      </c>
      <c r="D1767">
        <v>2024</v>
      </c>
      <c r="E1767">
        <v>13</v>
      </c>
      <c r="F1767" t="str">
        <f>IFERROR(VLOOKUP(G1767, Map!$A$1:$B$33, 2, FALSE),"WAS")</f>
        <v>NE</v>
      </c>
      <c r="G1767" t="s">
        <v>151</v>
      </c>
      <c r="H1767" t="str">
        <f>IFERROR(VLOOKUP(I1767, Map!$A$1:$B$33, 2, FALSE),"WAS")</f>
        <v>IND</v>
      </c>
      <c r="I1767" t="s">
        <v>138</v>
      </c>
      <c r="J1767" t="s">
        <v>187</v>
      </c>
      <c r="K1767" t="s">
        <v>177</v>
      </c>
      <c r="L1767">
        <v>0</v>
      </c>
      <c r="M1767">
        <v>0</v>
      </c>
      <c r="N1767">
        <v>42.5</v>
      </c>
      <c r="O1767">
        <v>-2</v>
      </c>
      <c r="P1767">
        <v>2.5</v>
      </c>
      <c r="Q1767">
        <v>41.5</v>
      </c>
      <c r="R1767">
        <v>-1.1000000000000001</v>
      </c>
      <c r="S1767">
        <v>1.9</v>
      </c>
      <c r="T1767">
        <v>-3.7</v>
      </c>
      <c r="U1767">
        <v>-6</v>
      </c>
      <c r="V1767">
        <v>0</v>
      </c>
      <c r="W1767">
        <v>0</v>
      </c>
      <c r="X1767">
        <v>0</v>
      </c>
      <c r="Y1767">
        <v>0</v>
      </c>
      <c r="Z1767">
        <v>16.3</v>
      </c>
      <c r="AA1767">
        <v>36</v>
      </c>
      <c r="AB1767">
        <v>256</v>
      </c>
      <c r="AC1767">
        <v>60</v>
      </c>
      <c r="AD1767">
        <v>26.9</v>
      </c>
      <c r="AE1767">
        <v>12.7</v>
      </c>
      <c r="AF1767">
        <v>38.046999999999997</v>
      </c>
      <c r="AG1767">
        <v>21.495999999999999</v>
      </c>
      <c r="AH1767">
        <v>61.646999999999998</v>
      </c>
      <c r="AI1767">
        <v>36.363</v>
      </c>
      <c r="AJ1767">
        <v>63.006</v>
      </c>
      <c r="AK1767">
        <v>49.634</v>
      </c>
      <c r="AL1767">
        <v>-4.1459999999999999</v>
      </c>
      <c r="AM1767">
        <v>61.646999999999998</v>
      </c>
      <c r="AN1767">
        <v>21.495999999999999</v>
      </c>
      <c r="AO1767">
        <v>38.046999999999997</v>
      </c>
      <c r="AP1767">
        <v>4.1459999999999999</v>
      </c>
      <c r="AQ1767">
        <v>36.994</v>
      </c>
      <c r="AR1767">
        <v>63.637</v>
      </c>
      <c r="AS1767">
        <v>50.366</v>
      </c>
    </row>
    <row r="1768" spans="1:45" x14ac:dyDescent="0.25">
      <c r="A1768">
        <v>73</v>
      </c>
      <c r="B1768">
        <v>9</v>
      </c>
      <c r="C1768">
        <v>1</v>
      </c>
      <c r="D1768">
        <v>2024</v>
      </c>
      <c r="E1768">
        <v>13</v>
      </c>
      <c r="F1768" t="str">
        <f>IFERROR(VLOOKUP(G1768, Map!$A$1:$B$33, 2, FALSE),"WAS")</f>
        <v>DEN</v>
      </c>
      <c r="G1768" t="s">
        <v>159</v>
      </c>
      <c r="H1768" t="str">
        <f>IFERROR(VLOOKUP(I1768, Map!$A$1:$B$33, 2, FALSE),"WAS")</f>
        <v>CLE</v>
      </c>
      <c r="I1768" t="s">
        <v>162</v>
      </c>
      <c r="J1768" t="s">
        <v>183</v>
      </c>
      <c r="K1768" t="s">
        <v>171</v>
      </c>
      <c r="L1768">
        <v>1</v>
      </c>
      <c r="M1768">
        <v>0</v>
      </c>
      <c r="N1768">
        <v>55.5</v>
      </c>
      <c r="O1768">
        <v>-4.5</v>
      </c>
      <c r="P1768">
        <v>-2.5</v>
      </c>
      <c r="Q1768">
        <v>41.5</v>
      </c>
      <c r="R1768">
        <v>1.6</v>
      </c>
      <c r="S1768">
        <v>11.4</v>
      </c>
      <c r="T1768">
        <v>-3.3</v>
      </c>
      <c r="U1768">
        <v>-1.6</v>
      </c>
      <c r="V1768">
        <v>0</v>
      </c>
      <c r="W1768">
        <v>0</v>
      </c>
      <c r="X1768">
        <v>0</v>
      </c>
      <c r="Y1768">
        <v>0</v>
      </c>
      <c r="Z1768">
        <v>5.7</v>
      </c>
      <c r="AA1768">
        <v>15.5</v>
      </c>
      <c r="AB1768">
        <v>154</v>
      </c>
      <c r="AC1768">
        <v>67</v>
      </c>
      <c r="AD1768">
        <v>9.5</v>
      </c>
      <c r="AE1768">
        <v>3.6</v>
      </c>
      <c r="AF1768">
        <v>50.871000000000002</v>
      </c>
      <c r="AG1768">
        <v>31.791</v>
      </c>
      <c r="AH1768">
        <v>48.738</v>
      </c>
      <c r="AI1768">
        <v>61.198</v>
      </c>
      <c r="AJ1768">
        <v>61.88</v>
      </c>
      <c r="AK1768">
        <v>67.808000000000007</v>
      </c>
      <c r="AL1768">
        <v>0.61099999999999999</v>
      </c>
      <c r="AM1768">
        <v>48.738</v>
      </c>
      <c r="AN1768">
        <v>31.791</v>
      </c>
      <c r="AO1768">
        <v>50.871000000000002</v>
      </c>
      <c r="AP1768">
        <v>-0.61099999999999999</v>
      </c>
      <c r="AQ1768">
        <v>38.119999999999997</v>
      </c>
      <c r="AR1768">
        <v>38.802</v>
      </c>
      <c r="AS1768">
        <v>32.192</v>
      </c>
    </row>
    <row r="1769" spans="1:45" x14ac:dyDescent="0.25">
      <c r="A1769">
        <v>43</v>
      </c>
      <c r="B1769">
        <v>3</v>
      </c>
      <c r="C1769">
        <v>1</v>
      </c>
      <c r="D1769">
        <v>2024</v>
      </c>
      <c r="E1769">
        <v>13</v>
      </c>
      <c r="F1769" t="str">
        <f>IFERROR(VLOOKUP(G1769, Map!$A$1:$B$33, 2, FALSE),"WAS")</f>
        <v>DET</v>
      </c>
      <c r="G1769" t="s">
        <v>164</v>
      </c>
      <c r="H1769" t="str">
        <f>IFERROR(VLOOKUP(I1769, Map!$A$1:$B$33, 2, FALSE),"WAS")</f>
        <v>CHI</v>
      </c>
      <c r="I1769" t="s">
        <v>163</v>
      </c>
      <c r="J1769" t="s">
        <v>173</v>
      </c>
      <c r="K1769" t="s">
        <v>216</v>
      </c>
      <c r="L1769">
        <v>1</v>
      </c>
      <c r="M1769">
        <v>0</v>
      </c>
      <c r="N1769">
        <v>47.5</v>
      </c>
      <c r="O1769">
        <v>-7.25</v>
      </c>
      <c r="P1769">
        <v>-4.5</v>
      </c>
      <c r="Q1769">
        <v>46.5</v>
      </c>
      <c r="R1769">
        <v>2.7</v>
      </c>
      <c r="S1769">
        <v>4.2</v>
      </c>
      <c r="T1769">
        <v>1.4</v>
      </c>
      <c r="U1769">
        <v>-1.2</v>
      </c>
      <c r="V1769">
        <v>0.6</v>
      </c>
      <c r="W1769">
        <v>0</v>
      </c>
      <c r="X1769">
        <v>5</v>
      </c>
      <c r="Y1769">
        <v>0.6</v>
      </c>
      <c r="Z1769">
        <v>16.899999999999999</v>
      </c>
      <c r="AA1769">
        <v>43.6</v>
      </c>
      <c r="AB1769">
        <v>312</v>
      </c>
      <c r="AC1769">
        <v>77</v>
      </c>
      <c r="AD1769">
        <v>25.4</v>
      </c>
      <c r="AE1769">
        <v>11.3</v>
      </c>
      <c r="AF1769">
        <v>76.239000000000004</v>
      </c>
      <c r="AG1769">
        <v>70.17</v>
      </c>
      <c r="AH1769">
        <v>23.571999999999999</v>
      </c>
      <c r="AI1769">
        <v>56.305</v>
      </c>
      <c r="AJ1769">
        <v>72.168999999999997</v>
      </c>
      <c r="AK1769">
        <v>66.834999999999994</v>
      </c>
      <c r="AL1769">
        <v>11.037000000000001</v>
      </c>
      <c r="AM1769">
        <v>23.571999999999999</v>
      </c>
      <c r="AN1769">
        <v>70.17</v>
      </c>
      <c r="AO1769">
        <v>76.239000000000004</v>
      </c>
      <c r="AP1769">
        <v>-11.037000000000001</v>
      </c>
      <c r="AQ1769">
        <v>27.831</v>
      </c>
      <c r="AR1769">
        <v>43.695</v>
      </c>
      <c r="AS1769">
        <v>33.164999999999999</v>
      </c>
    </row>
    <row r="1770" spans="1:45" x14ac:dyDescent="0.25">
      <c r="A1770">
        <v>47</v>
      </c>
      <c r="B1770">
        <v>-5</v>
      </c>
      <c r="C1770">
        <v>0</v>
      </c>
      <c r="D1770">
        <v>2024</v>
      </c>
      <c r="E1770">
        <v>13</v>
      </c>
      <c r="F1770" t="str">
        <f>IFERROR(VLOOKUP(G1770, Map!$A$1:$B$33, 2, FALSE),"WAS")</f>
        <v>NYJ</v>
      </c>
      <c r="G1770" t="s">
        <v>166</v>
      </c>
      <c r="H1770" t="str">
        <f>IFERROR(VLOOKUP(I1770, Map!$A$1:$B$33, 2, FALSE),"WAS")</f>
        <v>SEA</v>
      </c>
      <c r="I1770" t="s">
        <v>144</v>
      </c>
      <c r="J1770" t="s">
        <v>172</v>
      </c>
      <c r="K1770" t="s">
        <v>182</v>
      </c>
      <c r="L1770">
        <v>0</v>
      </c>
      <c r="M1770">
        <v>0</v>
      </c>
      <c r="N1770">
        <v>46</v>
      </c>
      <c r="O1770">
        <v>1.5</v>
      </c>
      <c r="P1770">
        <v>-1.5</v>
      </c>
      <c r="Q1770">
        <v>41.5</v>
      </c>
      <c r="R1770">
        <v>-0.9</v>
      </c>
      <c r="S1770">
        <v>2.8</v>
      </c>
      <c r="T1770">
        <v>-3.5</v>
      </c>
      <c r="U1770">
        <v>-5.8</v>
      </c>
      <c r="V1770">
        <v>0</v>
      </c>
      <c r="W1770">
        <v>0</v>
      </c>
      <c r="X1770">
        <v>0</v>
      </c>
      <c r="Y1770">
        <v>0</v>
      </c>
      <c r="Z1770">
        <v>18.8</v>
      </c>
      <c r="AA1770">
        <v>46.4</v>
      </c>
      <c r="AB1770">
        <v>256</v>
      </c>
      <c r="AC1770">
        <v>52</v>
      </c>
      <c r="AD1770">
        <v>29.1</v>
      </c>
      <c r="AE1770">
        <v>11.9</v>
      </c>
      <c r="AF1770">
        <v>55.622999999999998</v>
      </c>
      <c r="AG1770">
        <v>47.527999999999999</v>
      </c>
      <c r="AH1770">
        <v>44.023000000000003</v>
      </c>
      <c r="AI1770">
        <v>46.817999999999998</v>
      </c>
      <c r="AJ1770">
        <v>16.806999999999999</v>
      </c>
      <c r="AK1770">
        <v>44.398000000000003</v>
      </c>
      <c r="AL1770">
        <v>1.9419999999999999</v>
      </c>
      <c r="AM1770">
        <v>44.023000000000003</v>
      </c>
      <c r="AN1770">
        <v>47.527999999999999</v>
      </c>
      <c r="AO1770">
        <v>55.622999999999998</v>
      </c>
      <c r="AP1770">
        <v>-1.9419999999999999</v>
      </c>
      <c r="AQ1770">
        <v>83.192999999999998</v>
      </c>
      <c r="AR1770">
        <v>53.182000000000002</v>
      </c>
      <c r="AS1770">
        <v>55.601999999999997</v>
      </c>
    </row>
    <row r="1771" spans="1:45" x14ac:dyDescent="0.25">
      <c r="A1771">
        <v>82</v>
      </c>
      <c r="B1771">
        <v>-6</v>
      </c>
      <c r="C1771">
        <v>0</v>
      </c>
      <c r="D1771">
        <v>2024</v>
      </c>
      <c r="E1771">
        <v>13</v>
      </c>
      <c r="F1771" t="str">
        <f>IFERROR(VLOOKUP(G1771, Map!$A$1:$B$33, 2, FALSE),"WAS")</f>
        <v>CIN</v>
      </c>
      <c r="G1771" t="s">
        <v>161</v>
      </c>
      <c r="H1771" t="str">
        <f>IFERROR(VLOOKUP(I1771, Map!$A$1:$B$33, 2, FALSE),"WAS")</f>
        <v>PIT</v>
      </c>
      <c r="I1771" t="s">
        <v>145</v>
      </c>
      <c r="J1771" t="s">
        <v>176</v>
      </c>
      <c r="K1771" t="s">
        <v>170</v>
      </c>
      <c r="L1771">
        <v>0</v>
      </c>
      <c r="M1771">
        <v>0</v>
      </c>
      <c r="N1771">
        <v>61</v>
      </c>
      <c r="O1771">
        <v>3.5</v>
      </c>
      <c r="P1771">
        <v>-3.5</v>
      </c>
      <c r="Q1771">
        <v>46.5</v>
      </c>
      <c r="R1771">
        <v>-1.5</v>
      </c>
      <c r="S1771">
        <v>0.1</v>
      </c>
      <c r="T1771">
        <v>-4</v>
      </c>
      <c r="U1771">
        <v>-6.2</v>
      </c>
      <c r="V1771">
        <v>0.4</v>
      </c>
      <c r="W1771">
        <v>0.28000000000000003</v>
      </c>
      <c r="X1771">
        <v>3</v>
      </c>
      <c r="Y1771">
        <v>0</v>
      </c>
      <c r="Z1771">
        <v>15.5</v>
      </c>
      <c r="AA1771">
        <v>34.200000000000003</v>
      </c>
      <c r="AB1771">
        <v>273</v>
      </c>
      <c r="AC1771">
        <v>66</v>
      </c>
      <c r="AD1771">
        <v>28.6</v>
      </c>
      <c r="AE1771">
        <v>11.8</v>
      </c>
      <c r="AF1771">
        <v>50.603000000000002</v>
      </c>
      <c r="AG1771">
        <v>59.296999999999997</v>
      </c>
      <c r="AH1771">
        <v>49.003</v>
      </c>
      <c r="AI1771">
        <v>12.488</v>
      </c>
      <c r="AJ1771">
        <v>43.877000000000002</v>
      </c>
      <c r="AK1771">
        <v>25.626000000000001</v>
      </c>
      <c r="AL1771">
        <v>0.17699999999999999</v>
      </c>
      <c r="AM1771">
        <v>49.003</v>
      </c>
      <c r="AN1771">
        <v>59.296999999999997</v>
      </c>
      <c r="AO1771">
        <v>50.603000000000002</v>
      </c>
      <c r="AP1771">
        <v>-0.17699999999999999</v>
      </c>
      <c r="AQ1771">
        <v>56.122999999999998</v>
      </c>
      <c r="AR1771">
        <v>87.512</v>
      </c>
      <c r="AS1771">
        <v>74.373999999999995</v>
      </c>
    </row>
    <row r="1772" spans="1:45" x14ac:dyDescent="0.25">
      <c r="A1772">
        <v>35</v>
      </c>
      <c r="B1772">
        <v>-7</v>
      </c>
      <c r="C1772">
        <v>0</v>
      </c>
      <c r="D1772">
        <v>2024</v>
      </c>
      <c r="E1772">
        <v>13</v>
      </c>
      <c r="F1772" t="str">
        <f>IFERROR(VLOOKUP(G1772, Map!$A$1:$B$33, 2, FALSE),"WAS")</f>
        <v>NO</v>
      </c>
      <c r="G1772" t="s">
        <v>168</v>
      </c>
      <c r="H1772" t="str">
        <f>IFERROR(VLOOKUP(I1772, Map!$A$1:$B$33, 2, FALSE),"WAS")</f>
        <v>LA</v>
      </c>
      <c r="I1772" t="s">
        <v>155</v>
      </c>
      <c r="J1772" t="s">
        <v>192</v>
      </c>
      <c r="K1772" t="s">
        <v>178</v>
      </c>
      <c r="L1772">
        <v>0</v>
      </c>
      <c r="M1772">
        <v>0</v>
      </c>
      <c r="N1772">
        <v>46.5</v>
      </c>
      <c r="O1772">
        <v>3</v>
      </c>
      <c r="P1772">
        <v>2.5</v>
      </c>
      <c r="Q1772">
        <v>44.5</v>
      </c>
      <c r="R1772">
        <v>11.3</v>
      </c>
      <c r="S1772">
        <v>14.8</v>
      </c>
      <c r="T1772">
        <v>9.1</v>
      </c>
      <c r="U1772">
        <v>9.6</v>
      </c>
      <c r="V1772">
        <v>0</v>
      </c>
      <c r="W1772">
        <v>0</v>
      </c>
      <c r="X1772">
        <v>0</v>
      </c>
      <c r="Y1772">
        <v>0</v>
      </c>
      <c r="Z1772">
        <v>8.6</v>
      </c>
      <c r="AA1772">
        <v>22.7</v>
      </c>
      <c r="AB1772">
        <v>49</v>
      </c>
      <c r="AC1772">
        <v>70</v>
      </c>
      <c r="AD1772">
        <v>12.9</v>
      </c>
      <c r="AE1772">
        <v>5.2</v>
      </c>
      <c r="AF1772">
        <v>53.213999999999999</v>
      </c>
      <c r="AG1772">
        <v>51.47</v>
      </c>
      <c r="AH1772">
        <v>46.414000000000001</v>
      </c>
      <c r="AI1772">
        <v>24.776</v>
      </c>
      <c r="AJ1772">
        <v>40.188000000000002</v>
      </c>
      <c r="AK1772">
        <v>34.356999999999999</v>
      </c>
      <c r="AL1772">
        <v>0.76800000000000002</v>
      </c>
      <c r="AM1772">
        <v>46.414000000000001</v>
      </c>
      <c r="AN1772">
        <v>51.47</v>
      </c>
      <c r="AO1772">
        <v>53.213999999999999</v>
      </c>
      <c r="AP1772">
        <v>-0.76800000000000002</v>
      </c>
      <c r="AQ1772">
        <v>59.811999999999998</v>
      </c>
      <c r="AR1772">
        <v>75.224000000000004</v>
      </c>
      <c r="AS1772">
        <v>65.643000000000001</v>
      </c>
    </row>
    <row r="1773" spans="1:45" x14ac:dyDescent="0.25">
      <c r="A1773">
        <v>36</v>
      </c>
      <c r="B1773">
        <v>2</v>
      </c>
      <c r="C1773">
        <v>1</v>
      </c>
      <c r="D1773">
        <v>2024</v>
      </c>
      <c r="E1773">
        <v>13</v>
      </c>
      <c r="F1773" t="str">
        <f>IFERROR(VLOOKUP(G1773, Map!$A$1:$B$33, 2, FALSE),"WAS")</f>
        <v>KC</v>
      </c>
      <c r="G1773" t="s">
        <v>158</v>
      </c>
      <c r="H1773" t="str">
        <f>IFERROR(VLOOKUP(I1773, Map!$A$1:$B$33, 2, FALSE),"WAS")</f>
        <v>LV</v>
      </c>
      <c r="I1773" t="s">
        <v>157</v>
      </c>
      <c r="J1773" t="s">
        <v>202</v>
      </c>
      <c r="K1773" t="s">
        <v>179</v>
      </c>
      <c r="L1773">
        <v>1</v>
      </c>
      <c r="M1773">
        <v>0</v>
      </c>
      <c r="N1773">
        <v>39</v>
      </c>
      <c r="O1773">
        <v>-7.5</v>
      </c>
      <c r="P1773">
        <v>-1.5</v>
      </c>
      <c r="Q1773">
        <v>36.5</v>
      </c>
      <c r="R1773">
        <v>-1.6</v>
      </c>
      <c r="S1773">
        <v>1.4</v>
      </c>
      <c r="T1773">
        <v>-5.5</v>
      </c>
      <c r="U1773">
        <v>-5.8</v>
      </c>
      <c r="V1773">
        <v>0</v>
      </c>
      <c r="W1773">
        <v>0</v>
      </c>
      <c r="X1773">
        <v>0</v>
      </c>
      <c r="Y1773">
        <v>0</v>
      </c>
      <c r="Z1773">
        <v>11.7</v>
      </c>
      <c r="AA1773">
        <v>25.2</v>
      </c>
      <c r="AB1773">
        <v>307</v>
      </c>
      <c r="AC1773">
        <v>66</v>
      </c>
      <c r="AD1773">
        <v>19.3</v>
      </c>
      <c r="AE1773">
        <v>7.8</v>
      </c>
      <c r="AF1773">
        <v>76.840999999999994</v>
      </c>
      <c r="AG1773">
        <v>50</v>
      </c>
      <c r="AH1773">
        <v>22.974</v>
      </c>
      <c r="AI1773">
        <v>56.491</v>
      </c>
      <c r="AJ1773">
        <v>49.27</v>
      </c>
      <c r="AK1773">
        <v>59.064999999999998</v>
      </c>
      <c r="AL1773">
        <v>11.057</v>
      </c>
      <c r="AM1773">
        <v>22.974</v>
      </c>
      <c r="AN1773">
        <v>50</v>
      </c>
      <c r="AO1773">
        <v>76.840999999999994</v>
      </c>
      <c r="AP1773">
        <v>-11.057</v>
      </c>
      <c r="AQ1773">
        <v>50.73</v>
      </c>
      <c r="AR1773">
        <v>43.509</v>
      </c>
      <c r="AS1773">
        <v>40.935000000000002</v>
      </c>
    </row>
    <row r="1774" spans="1:45" x14ac:dyDescent="0.25">
      <c r="A1774">
        <v>45</v>
      </c>
      <c r="B1774">
        <v>25</v>
      </c>
      <c r="C1774">
        <v>1</v>
      </c>
      <c r="D1774">
        <v>2024</v>
      </c>
      <c r="E1774">
        <v>13</v>
      </c>
      <c r="F1774" t="str">
        <f>IFERROR(VLOOKUP(G1774, Map!$A$1:$B$33, 2, FALSE),"WAS")</f>
        <v>BUF</v>
      </c>
      <c r="G1774" t="s">
        <v>165</v>
      </c>
      <c r="H1774" t="str">
        <f>IFERROR(VLOOKUP(I1774, Map!$A$1:$B$33, 2, FALSE),"WAS")</f>
        <v>SF</v>
      </c>
      <c r="I1774" t="s">
        <v>143</v>
      </c>
      <c r="J1774" t="s">
        <v>180</v>
      </c>
      <c r="K1774" t="s">
        <v>197</v>
      </c>
      <c r="L1774">
        <v>1</v>
      </c>
      <c r="M1774">
        <v>0</v>
      </c>
      <c r="N1774">
        <v>45</v>
      </c>
      <c r="O1774">
        <v>-16</v>
      </c>
      <c r="P1774">
        <v>-6.5</v>
      </c>
      <c r="Q1774">
        <v>44.5</v>
      </c>
      <c r="R1774">
        <v>2.2000000000000002</v>
      </c>
      <c r="S1774">
        <v>6.4</v>
      </c>
      <c r="T1774">
        <v>-2.8</v>
      </c>
      <c r="U1774">
        <v>-1.7</v>
      </c>
      <c r="V1774">
        <v>0</v>
      </c>
      <c r="W1774">
        <v>0</v>
      </c>
      <c r="X1774">
        <v>0</v>
      </c>
      <c r="Y1774">
        <v>0</v>
      </c>
      <c r="Z1774">
        <v>13.7</v>
      </c>
      <c r="AA1774">
        <v>26.6</v>
      </c>
      <c r="AB1774">
        <v>323</v>
      </c>
      <c r="AC1774">
        <v>61</v>
      </c>
      <c r="AD1774">
        <v>16.2</v>
      </c>
      <c r="AE1774">
        <v>7.6</v>
      </c>
      <c r="AF1774">
        <v>60.911000000000001</v>
      </c>
      <c r="AG1774">
        <v>82.688999999999993</v>
      </c>
      <c r="AH1774">
        <v>38.777999999999999</v>
      </c>
      <c r="AI1774">
        <v>81.195999999999998</v>
      </c>
      <c r="AJ1774">
        <v>95.775999999999996</v>
      </c>
      <c r="AK1774">
        <v>97.667000000000002</v>
      </c>
      <c r="AL1774">
        <v>4.0380000000000003</v>
      </c>
      <c r="AM1774">
        <v>38.777999999999999</v>
      </c>
      <c r="AN1774">
        <v>82.688999999999993</v>
      </c>
      <c r="AO1774">
        <v>60.911000000000001</v>
      </c>
      <c r="AP1774">
        <v>-4.0380000000000003</v>
      </c>
      <c r="AQ1774">
        <v>4.2240000000000002</v>
      </c>
      <c r="AR1774">
        <v>18.803999999999998</v>
      </c>
      <c r="AS1774">
        <v>2.3330000000000002</v>
      </c>
    </row>
    <row r="1775" spans="1:45" x14ac:dyDescent="0.25">
      <c r="A1775">
        <v>43</v>
      </c>
      <c r="B1775">
        <v>-3</v>
      </c>
      <c r="C1775">
        <v>0</v>
      </c>
      <c r="D1775">
        <v>2024</v>
      </c>
      <c r="E1775">
        <v>13</v>
      </c>
      <c r="F1775" t="str">
        <f>IFERROR(VLOOKUP(G1775, Map!$A$1:$B$33, 2, FALSE),"WAS")</f>
        <v>JAX</v>
      </c>
      <c r="G1775" t="s">
        <v>139</v>
      </c>
      <c r="H1775" t="str">
        <f>IFERROR(VLOOKUP(I1775, Map!$A$1:$B$33, 2, FALSE),"WAS")</f>
        <v>HOU</v>
      </c>
      <c r="I1775" t="s">
        <v>137</v>
      </c>
      <c r="J1775" t="s">
        <v>220</v>
      </c>
      <c r="K1775" t="s">
        <v>209</v>
      </c>
      <c r="L1775">
        <v>0</v>
      </c>
      <c r="M1775">
        <v>0</v>
      </c>
      <c r="N1775">
        <v>44</v>
      </c>
      <c r="O1775">
        <v>3.5</v>
      </c>
      <c r="P1775">
        <v>3.5</v>
      </c>
      <c r="Q1775">
        <v>43.5</v>
      </c>
      <c r="R1775">
        <v>8.6999999999999993</v>
      </c>
      <c r="S1775">
        <v>14.9</v>
      </c>
      <c r="T1775">
        <v>4.0999999999999996</v>
      </c>
      <c r="U1775">
        <v>5.7</v>
      </c>
      <c r="V1775">
        <v>0</v>
      </c>
      <c r="W1775">
        <v>0</v>
      </c>
      <c r="X1775">
        <v>0</v>
      </c>
      <c r="Y1775">
        <v>0</v>
      </c>
      <c r="Z1775">
        <v>12.1</v>
      </c>
      <c r="AA1775">
        <v>25.9</v>
      </c>
      <c r="AB1775">
        <v>346</v>
      </c>
      <c r="AC1775">
        <v>67</v>
      </c>
      <c r="AD1775">
        <v>20.7</v>
      </c>
      <c r="AE1775">
        <v>9.5</v>
      </c>
      <c r="AF1775">
        <v>43.16</v>
      </c>
      <c r="AG1775">
        <v>45.911000000000001</v>
      </c>
      <c r="AH1775">
        <v>56.493000000000002</v>
      </c>
      <c r="AI1775">
        <v>44.122</v>
      </c>
      <c r="AJ1775">
        <v>39.473999999999997</v>
      </c>
      <c r="AK1775">
        <v>33.070999999999998</v>
      </c>
      <c r="AL1775">
        <v>-2.8130000000000002</v>
      </c>
      <c r="AM1775">
        <v>56.493000000000002</v>
      </c>
      <c r="AN1775">
        <v>45.911000000000001</v>
      </c>
      <c r="AO1775">
        <v>43.16</v>
      </c>
      <c r="AP1775">
        <v>2.8130000000000002</v>
      </c>
      <c r="AQ1775">
        <v>60.526000000000003</v>
      </c>
      <c r="AR1775">
        <v>55.878</v>
      </c>
      <c r="AS1775">
        <v>66.929000000000002</v>
      </c>
    </row>
    <row r="1776" spans="1:45" x14ac:dyDescent="0.25">
      <c r="A1776">
        <v>47</v>
      </c>
      <c r="B1776">
        <v>7</v>
      </c>
      <c r="C1776">
        <v>1</v>
      </c>
      <c r="D1776">
        <v>2024</v>
      </c>
      <c r="E1776">
        <v>13</v>
      </c>
      <c r="F1776" t="str">
        <f>IFERROR(VLOOKUP(G1776, Map!$A$1:$B$33, 2, FALSE),"WAS")</f>
        <v>DAL</v>
      </c>
      <c r="G1776" t="s">
        <v>150</v>
      </c>
      <c r="H1776" t="str">
        <f>IFERROR(VLOOKUP(I1776, Map!$A$1:$B$33, 2, FALSE),"WAS")</f>
        <v>NYG</v>
      </c>
      <c r="I1776" t="s">
        <v>149</v>
      </c>
      <c r="J1776" t="s">
        <v>184</v>
      </c>
      <c r="K1776" t="s">
        <v>219</v>
      </c>
      <c r="L1776">
        <v>1</v>
      </c>
      <c r="M1776">
        <v>0</v>
      </c>
      <c r="N1776">
        <v>40</v>
      </c>
      <c r="O1776">
        <v>-9.5</v>
      </c>
      <c r="P1776">
        <v>-4.5</v>
      </c>
      <c r="Q1776">
        <v>39.5</v>
      </c>
      <c r="R1776">
        <v>10.4</v>
      </c>
      <c r="S1776">
        <v>20.100000000000001</v>
      </c>
      <c r="T1776">
        <v>7</v>
      </c>
      <c r="U1776">
        <v>6</v>
      </c>
      <c r="V1776">
        <v>0</v>
      </c>
      <c r="W1776">
        <v>0</v>
      </c>
      <c r="X1776">
        <v>0</v>
      </c>
      <c r="Y1776">
        <v>0</v>
      </c>
      <c r="Z1776">
        <v>26</v>
      </c>
      <c r="AA1776">
        <v>58.7</v>
      </c>
      <c r="AB1776">
        <v>353</v>
      </c>
      <c r="AC1776">
        <v>54</v>
      </c>
      <c r="AD1776">
        <v>40.299999999999997</v>
      </c>
      <c r="AE1776">
        <v>17.8</v>
      </c>
      <c r="AF1776">
        <v>48.445</v>
      </c>
      <c r="AG1776">
        <v>27.777999999999999</v>
      </c>
      <c r="AH1776">
        <v>51.164999999999999</v>
      </c>
      <c r="AI1776">
        <v>94.712000000000003</v>
      </c>
      <c r="AJ1776">
        <v>46.755000000000003</v>
      </c>
      <c r="AK1776">
        <v>75.569000000000003</v>
      </c>
      <c r="AL1776">
        <v>-0.40699999999999997</v>
      </c>
      <c r="AM1776">
        <v>51.164999999999999</v>
      </c>
      <c r="AN1776">
        <v>27.777999999999999</v>
      </c>
      <c r="AO1776">
        <v>48.445</v>
      </c>
      <c r="AP1776">
        <v>0.40699999999999997</v>
      </c>
      <c r="AQ1776">
        <v>53.244999999999997</v>
      </c>
      <c r="AR1776">
        <v>5.2880000000000003</v>
      </c>
      <c r="AS1776">
        <v>24.431000000000001</v>
      </c>
    </row>
    <row r="1777" spans="1:45" x14ac:dyDescent="0.25">
      <c r="A1777">
        <v>43</v>
      </c>
      <c r="B1777">
        <v>-5</v>
      </c>
      <c r="C1777">
        <v>0</v>
      </c>
      <c r="D1777">
        <v>2024</v>
      </c>
      <c r="E1777">
        <v>13</v>
      </c>
      <c r="F1777" t="str">
        <f>IFERROR(VLOOKUP(G1777, Map!$A$1:$B$33, 2, FALSE),"WAS")</f>
        <v>BAL</v>
      </c>
      <c r="G1777" t="s">
        <v>146</v>
      </c>
      <c r="H1777" t="str">
        <f>IFERROR(VLOOKUP(I1777, Map!$A$1:$B$33, 2, FALSE),"WAS")</f>
        <v>PHI</v>
      </c>
      <c r="I1777" t="s">
        <v>147</v>
      </c>
      <c r="J1777" t="s">
        <v>181</v>
      </c>
      <c r="K1777" t="s">
        <v>206</v>
      </c>
      <c r="L1777">
        <v>0</v>
      </c>
      <c r="M1777">
        <v>0</v>
      </c>
      <c r="N1777">
        <v>45</v>
      </c>
      <c r="O1777">
        <v>3</v>
      </c>
      <c r="P1777">
        <v>-3.5</v>
      </c>
      <c r="Q1777">
        <v>38.5</v>
      </c>
      <c r="R1777">
        <v>-0.2</v>
      </c>
      <c r="S1777">
        <v>4.7</v>
      </c>
      <c r="T1777">
        <v>-3.2</v>
      </c>
      <c r="U1777">
        <v>-4.3</v>
      </c>
      <c r="V1777">
        <v>0</v>
      </c>
      <c r="W1777">
        <v>0</v>
      </c>
      <c r="X1777">
        <v>0</v>
      </c>
      <c r="Y1777">
        <v>0</v>
      </c>
      <c r="Z1777">
        <v>15.5</v>
      </c>
      <c r="AA1777">
        <v>36</v>
      </c>
      <c r="AB1777">
        <v>272</v>
      </c>
      <c r="AC1777">
        <v>61</v>
      </c>
      <c r="AD1777">
        <v>17.899999999999999</v>
      </c>
      <c r="AE1777">
        <v>7.1</v>
      </c>
      <c r="AF1777">
        <v>57.363</v>
      </c>
      <c r="AG1777">
        <v>88.236999999999995</v>
      </c>
      <c r="AH1777">
        <v>42.296999999999997</v>
      </c>
      <c r="AI1777">
        <v>38.664000000000001</v>
      </c>
      <c r="AJ1777">
        <v>46.487000000000002</v>
      </c>
      <c r="AK1777">
        <v>28.303000000000001</v>
      </c>
      <c r="AL1777">
        <v>2.8330000000000002</v>
      </c>
      <c r="AM1777">
        <v>42.296999999999997</v>
      </c>
      <c r="AN1777">
        <v>88.236999999999995</v>
      </c>
      <c r="AO1777">
        <v>57.363</v>
      </c>
      <c r="AP1777">
        <v>-2.8330000000000002</v>
      </c>
      <c r="AQ1777">
        <v>53.512999999999998</v>
      </c>
      <c r="AR1777">
        <v>61.335999999999999</v>
      </c>
      <c r="AS1777">
        <v>71.697000000000003</v>
      </c>
    </row>
    <row r="1778" spans="1:45" x14ac:dyDescent="0.25">
      <c r="A1778">
        <v>30</v>
      </c>
      <c r="B1778">
        <v>-4</v>
      </c>
      <c r="C1778">
        <v>0</v>
      </c>
      <c r="D1778">
        <v>2024</v>
      </c>
      <c r="E1778">
        <v>13</v>
      </c>
      <c r="F1778" t="str">
        <f>IFERROR(VLOOKUP(G1778, Map!$A$1:$B$33, 2, FALSE),"WAS")</f>
        <v>ATL</v>
      </c>
      <c r="G1778" t="s">
        <v>167</v>
      </c>
      <c r="H1778" t="str">
        <f>IFERROR(VLOOKUP(I1778, Map!$A$1:$B$33, 2, FALSE),"WAS")</f>
        <v>LAC</v>
      </c>
      <c r="I1778" t="s">
        <v>160</v>
      </c>
      <c r="J1778" t="s">
        <v>188</v>
      </c>
      <c r="K1778" t="s">
        <v>210</v>
      </c>
      <c r="L1778">
        <v>0</v>
      </c>
      <c r="M1778">
        <v>0</v>
      </c>
      <c r="N1778">
        <v>42</v>
      </c>
      <c r="O1778">
        <v>2</v>
      </c>
      <c r="P1778">
        <v>0.5</v>
      </c>
      <c r="Q1778">
        <v>36.5</v>
      </c>
      <c r="R1778">
        <v>3.2</v>
      </c>
      <c r="S1778">
        <v>9.6999999999999993</v>
      </c>
      <c r="T1778">
        <v>-0.9</v>
      </c>
      <c r="U1778">
        <v>-0.3</v>
      </c>
      <c r="V1778">
        <v>0</v>
      </c>
      <c r="W1778">
        <v>0</v>
      </c>
      <c r="X1778">
        <v>0</v>
      </c>
      <c r="Y1778">
        <v>0</v>
      </c>
      <c r="Z1778">
        <v>12.5</v>
      </c>
      <c r="AA1778">
        <v>28.4</v>
      </c>
      <c r="AB1778">
        <v>277</v>
      </c>
      <c r="AC1778">
        <v>64</v>
      </c>
      <c r="AD1778">
        <v>13.4</v>
      </c>
      <c r="AE1778">
        <v>6.1</v>
      </c>
      <c r="AF1778">
        <v>48.073999999999998</v>
      </c>
      <c r="AG1778">
        <v>55.212000000000003</v>
      </c>
      <c r="AH1778">
        <v>51.54</v>
      </c>
      <c r="AI1778">
        <v>84.802000000000007</v>
      </c>
      <c r="AJ1778">
        <v>20.818000000000001</v>
      </c>
      <c r="AK1778">
        <v>41.695</v>
      </c>
      <c r="AL1778">
        <v>-0.622</v>
      </c>
      <c r="AM1778">
        <v>51.54</v>
      </c>
      <c r="AN1778">
        <v>55.212000000000003</v>
      </c>
      <c r="AO1778">
        <v>48.073999999999998</v>
      </c>
      <c r="AP1778">
        <v>0.622</v>
      </c>
      <c r="AQ1778">
        <v>79.182000000000002</v>
      </c>
      <c r="AR1778">
        <v>15.198</v>
      </c>
      <c r="AS1778">
        <v>58.305</v>
      </c>
    </row>
    <row r="1779" spans="1:45" x14ac:dyDescent="0.25">
      <c r="A1779">
        <v>49</v>
      </c>
      <c r="B1779">
        <v>-3</v>
      </c>
      <c r="C1779">
        <v>0</v>
      </c>
      <c r="D1779">
        <v>2024</v>
      </c>
      <c r="E1779">
        <v>13</v>
      </c>
      <c r="F1779" t="str">
        <f>IFERROR(VLOOKUP(G1779, Map!$A$1:$B$33, 2, FALSE),"WAS")</f>
        <v>CAR</v>
      </c>
      <c r="G1779" t="s">
        <v>142</v>
      </c>
      <c r="H1779" t="str">
        <f>IFERROR(VLOOKUP(I1779, Map!$A$1:$B$33, 2, FALSE),"WAS")</f>
        <v>TB</v>
      </c>
      <c r="I1779" t="s">
        <v>141</v>
      </c>
      <c r="J1779" t="s">
        <v>185</v>
      </c>
      <c r="K1779" t="s">
        <v>186</v>
      </c>
      <c r="L1779">
        <v>0</v>
      </c>
      <c r="M1779">
        <v>0</v>
      </c>
      <c r="N1779">
        <v>41.5</v>
      </c>
      <c r="O1779">
        <v>4</v>
      </c>
      <c r="P1779">
        <v>1.5</v>
      </c>
      <c r="Q1779">
        <v>36.5</v>
      </c>
      <c r="R1779">
        <v>2.8</v>
      </c>
      <c r="S1779">
        <v>9.5</v>
      </c>
      <c r="T1779">
        <v>-1.9</v>
      </c>
      <c r="U1779">
        <v>-0.9</v>
      </c>
      <c r="V1779">
        <v>0</v>
      </c>
      <c r="W1779">
        <v>0</v>
      </c>
      <c r="X1779">
        <v>0</v>
      </c>
      <c r="Y1779">
        <v>0</v>
      </c>
      <c r="Z1779">
        <v>12.2</v>
      </c>
      <c r="AA1779">
        <v>27</v>
      </c>
      <c r="AB1779">
        <v>254</v>
      </c>
      <c r="AC1779">
        <v>56</v>
      </c>
      <c r="AD1779">
        <v>14.3</v>
      </c>
      <c r="AE1779">
        <v>6.2</v>
      </c>
      <c r="AF1779">
        <v>22.51</v>
      </c>
      <c r="AG1779">
        <v>36.103000000000002</v>
      </c>
      <c r="AH1779">
        <v>77.31</v>
      </c>
      <c r="AI1779">
        <v>58.155000000000001</v>
      </c>
      <c r="AJ1779">
        <v>48.253</v>
      </c>
      <c r="AK1779">
        <v>46.107999999999997</v>
      </c>
      <c r="AL1779">
        <v>-11.518000000000001</v>
      </c>
      <c r="AM1779">
        <v>77.31</v>
      </c>
      <c r="AN1779">
        <v>36.103000000000002</v>
      </c>
      <c r="AO1779">
        <v>22.51</v>
      </c>
      <c r="AP1779">
        <v>11.518000000000001</v>
      </c>
      <c r="AQ1779">
        <v>51.747</v>
      </c>
      <c r="AR1779">
        <v>41.844999999999999</v>
      </c>
      <c r="AS1779">
        <v>53.892000000000003</v>
      </c>
    </row>
    <row r="1780" spans="1:45" x14ac:dyDescent="0.25">
      <c r="A1780">
        <v>45</v>
      </c>
      <c r="B1780">
        <v>1</v>
      </c>
      <c r="C1780">
        <v>1</v>
      </c>
      <c r="D1780">
        <v>2024</v>
      </c>
      <c r="E1780">
        <v>13</v>
      </c>
      <c r="F1780" t="str">
        <f>IFERROR(VLOOKUP(G1780, Map!$A$1:$B$33, 2, FALSE),"WAS")</f>
        <v>MIN</v>
      </c>
      <c r="G1780" t="s">
        <v>153</v>
      </c>
      <c r="H1780" t="str">
        <f>IFERROR(VLOOKUP(I1780, Map!$A$1:$B$33, 2, FALSE),"WAS")</f>
        <v>ARI</v>
      </c>
      <c r="I1780" t="s">
        <v>156</v>
      </c>
      <c r="J1780" t="s">
        <v>214</v>
      </c>
      <c r="K1780" t="s">
        <v>190</v>
      </c>
      <c r="L1780">
        <v>1</v>
      </c>
      <c r="M1780">
        <v>0</v>
      </c>
      <c r="N1780">
        <v>43.5</v>
      </c>
      <c r="O1780">
        <v>1</v>
      </c>
      <c r="P1780">
        <v>-3.5</v>
      </c>
      <c r="Q1780">
        <v>41.5</v>
      </c>
      <c r="R1780">
        <v>-11.8</v>
      </c>
      <c r="S1780">
        <v>-6.4</v>
      </c>
      <c r="T1780">
        <v>-15</v>
      </c>
      <c r="U1780">
        <v>-17.2</v>
      </c>
      <c r="V1780">
        <v>0</v>
      </c>
      <c r="W1780">
        <v>0</v>
      </c>
      <c r="X1780">
        <v>0</v>
      </c>
      <c r="Y1780">
        <v>0</v>
      </c>
      <c r="Z1780">
        <v>13.3</v>
      </c>
      <c r="AA1780">
        <v>27.7</v>
      </c>
      <c r="AB1780">
        <v>304</v>
      </c>
      <c r="AC1780">
        <v>60</v>
      </c>
      <c r="AD1780">
        <v>25.8</v>
      </c>
      <c r="AE1780">
        <v>11.2</v>
      </c>
      <c r="AF1780">
        <v>58.567999999999998</v>
      </c>
      <c r="AG1780">
        <v>67.501999999999995</v>
      </c>
      <c r="AH1780">
        <v>41.101999999999997</v>
      </c>
      <c r="AI1780">
        <v>44.914000000000001</v>
      </c>
      <c r="AJ1780">
        <v>51.911999999999999</v>
      </c>
      <c r="AK1780">
        <v>50.511000000000003</v>
      </c>
      <c r="AL1780">
        <v>3.2149999999999999</v>
      </c>
      <c r="AM1780">
        <v>41.101999999999997</v>
      </c>
      <c r="AN1780">
        <v>67.501999999999995</v>
      </c>
      <c r="AO1780">
        <v>58.567999999999998</v>
      </c>
      <c r="AP1780">
        <v>-3.2149999999999999</v>
      </c>
      <c r="AQ1780">
        <v>48.088000000000001</v>
      </c>
      <c r="AR1780">
        <v>55.085999999999999</v>
      </c>
      <c r="AS1780">
        <v>49.488999999999997</v>
      </c>
    </row>
    <row r="1781" spans="1:45" x14ac:dyDescent="0.25">
      <c r="A1781">
        <v>63</v>
      </c>
      <c r="B1781">
        <v>21</v>
      </c>
      <c r="C1781">
        <v>1</v>
      </c>
      <c r="D1781">
        <v>2024</v>
      </c>
      <c r="E1781">
        <v>14</v>
      </c>
      <c r="F1781" t="str">
        <f>IFERROR(VLOOKUP(G1781, Map!$A$1:$B$33, 2, FALSE),"WAS")</f>
        <v>MIN</v>
      </c>
      <c r="G1781" t="s">
        <v>153</v>
      </c>
      <c r="H1781" t="str">
        <f>IFERROR(VLOOKUP(I1781, Map!$A$1:$B$33, 2, FALSE),"WAS")</f>
        <v>ATL</v>
      </c>
      <c r="I1781" t="s">
        <v>167</v>
      </c>
      <c r="J1781" t="s">
        <v>214</v>
      </c>
      <c r="K1781" t="s">
        <v>188</v>
      </c>
      <c r="L1781">
        <v>1</v>
      </c>
      <c r="M1781">
        <v>0</v>
      </c>
      <c r="N1781">
        <v>52.5</v>
      </c>
      <c r="O1781">
        <v>-10.5</v>
      </c>
      <c r="P1781">
        <v>-5.5</v>
      </c>
      <c r="Q1781">
        <v>46.5</v>
      </c>
      <c r="R1781">
        <v>2</v>
      </c>
      <c r="S1781">
        <v>5.4</v>
      </c>
      <c r="T1781">
        <v>-1.6</v>
      </c>
      <c r="U1781">
        <v>-1.5</v>
      </c>
      <c r="V1781">
        <v>0</v>
      </c>
      <c r="W1781">
        <v>0</v>
      </c>
      <c r="X1781">
        <v>0</v>
      </c>
      <c r="Y1781">
        <v>0</v>
      </c>
      <c r="Z1781">
        <v>15.8</v>
      </c>
      <c r="AA1781">
        <v>31.7</v>
      </c>
      <c r="AB1781">
        <v>143</v>
      </c>
      <c r="AC1781">
        <v>84</v>
      </c>
      <c r="AD1781">
        <v>18.5</v>
      </c>
      <c r="AE1781">
        <v>8.6</v>
      </c>
      <c r="AF1781">
        <v>61.246000000000002</v>
      </c>
      <c r="AG1781">
        <v>62.68</v>
      </c>
      <c r="AH1781">
        <v>38.445999999999998</v>
      </c>
      <c r="AI1781">
        <v>37.945999999999998</v>
      </c>
      <c r="AJ1781">
        <v>95.373000000000005</v>
      </c>
      <c r="AK1781">
        <v>80.287000000000006</v>
      </c>
      <c r="AL1781">
        <v>4.649</v>
      </c>
      <c r="AM1781">
        <v>38.445999999999998</v>
      </c>
      <c r="AN1781">
        <v>62.68</v>
      </c>
      <c r="AO1781">
        <v>61.246000000000002</v>
      </c>
      <c r="AP1781">
        <v>-4.649</v>
      </c>
      <c r="AQ1781">
        <v>4.6269999999999998</v>
      </c>
      <c r="AR1781">
        <v>62.054000000000002</v>
      </c>
      <c r="AS1781">
        <v>19.713000000000001</v>
      </c>
    </row>
    <row r="1782" spans="1:45" x14ac:dyDescent="0.25">
      <c r="A1782">
        <v>36</v>
      </c>
      <c r="B1782">
        <v>2</v>
      </c>
      <c r="C1782">
        <v>1</v>
      </c>
      <c r="D1782">
        <v>2024</v>
      </c>
      <c r="E1782">
        <v>14</v>
      </c>
      <c r="F1782" t="str">
        <f>IFERROR(VLOOKUP(G1782, Map!$A$1:$B$33, 2, FALSE),"WAS")</f>
        <v>KC</v>
      </c>
      <c r="G1782" t="s">
        <v>158</v>
      </c>
      <c r="H1782" t="str">
        <f>IFERROR(VLOOKUP(I1782, Map!$A$1:$B$33, 2, FALSE),"WAS")</f>
        <v>LAC</v>
      </c>
      <c r="I1782" t="s">
        <v>160</v>
      </c>
      <c r="J1782" t="s">
        <v>202</v>
      </c>
      <c r="K1782" t="s">
        <v>210</v>
      </c>
      <c r="L1782">
        <v>1</v>
      </c>
      <c r="M1782">
        <v>0</v>
      </c>
      <c r="N1782">
        <v>41</v>
      </c>
      <c r="O1782">
        <v>-4</v>
      </c>
      <c r="P1782">
        <v>-2.5</v>
      </c>
      <c r="Q1782">
        <v>38.5</v>
      </c>
      <c r="R1782">
        <v>6.6</v>
      </c>
      <c r="S1782">
        <v>10.1</v>
      </c>
      <c r="T1782">
        <v>2.5</v>
      </c>
      <c r="U1782">
        <v>4.0999999999999996</v>
      </c>
      <c r="V1782">
        <v>0.1</v>
      </c>
      <c r="W1782">
        <v>0</v>
      </c>
      <c r="X1782">
        <v>1</v>
      </c>
      <c r="Y1782">
        <v>0.1</v>
      </c>
      <c r="Z1782">
        <v>15.3</v>
      </c>
      <c r="AA1782">
        <v>33.5</v>
      </c>
      <c r="AB1782">
        <v>257</v>
      </c>
      <c r="AC1782">
        <v>88</v>
      </c>
      <c r="AD1782">
        <v>20.100000000000001</v>
      </c>
      <c r="AE1782">
        <v>8.6999999999999993</v>
      </c>
      <c r="AF1782">
        <v>60.911000000000001</v>
      </c>
      <c r="AG1782">
        <v>70.805999999999997</v>
      </c>
      <c r="AH1782">
        <v>38.777999999999999</v>
      </c>
      <c r="AI1782">
        <v>43.658000000000001</v>
      </c>
      <c r="AJ1782">
        <v>51.46</v>
      </c>
      <c r="AK1782">
        <v>56.317</v>
      </c>
      <c r="AL1782">
        <v>4.2990000000000004</v>
      </c>
      <c r="AM1782">
        <v>38.777999999999999</v>
      </c>
      <c r="AN1782">
        <v>70.805999999999997</v>
      </c>
      <c r="AO1782">
        <v>60.911000000000001</v>
      </c>
      <c r="AP1782">
        <v>-4.2990000000000004</v>
      </c>
      <c r="AQ1782">
        <v>48.54</v>
      </c>
      <c r="AR1782">
        <v>56.341999999999999</v>
      </c>
      <c r="AS1782">
        <v>43.683</v>
      </c>
    </row>
    <row r="1783" spans="1:45" x14ac:dyDescent="0.25">
      <c r="A1783">
        <v>86</v>
      </c>
      <c r="B1783">
        <v>2</v>
      </c>
      <c r="C1783">
        <v>1</v>
      </c>
      <c r="D1783">
        <v>2024</v>
      </c>
      <c r="E1783">
        <v>14</v>
      </c>
      <c r="F1783" t="str">
        <f>IFERROR(VLOOKUP(G1783, Map!$A$1:$B$33, 2, FALSE),"WAS")</f>
        <v>LA</v>
      </c>
      <c r="G1783" t="s">
        <v>155</v>
      </c>
      <c r="H1783" t="str">
        <f>IFERROR(VLOOKUP(I1783, Map!$A$1:$B$33, 2, FALSE),"WAS")</f>
        <v>BUF</v>
      </c>
      <c r="I1783" t="s">
        <v>165</v>
      </c>
      <c r="J1783" t="s">
        <v>178</v>
      </c>
      <c r="K1783" t="s">
        <v>180</v>
      </c>
      <c r="L1783">
        <v>1</v>
      </c>
      <c r="M1783">
        <v>0</v>
      </c>
      <c r="N1783">
        <v>65</v>
      </c>
      <c r="O1783">
        <v>1</v>
      </c>
      <c r="P1783">
        <v>-1.5</v>
      </c>
      <c r="Q1783">
        <v>50.5</v>
      </c>
      <c r="R1783">
        <v>15</v>
      </c>
      <c r="S1783">
        <v>23.1</v>
      </c>
      <c r="T1783">
        <v>8.1</v>
      </c>
      <c r="U1783">
        <v>12.7</v>
      </c>
      <c r="V1783">
        <v>0</v>
      </c>
      <c r="W1783">
        <v>0</v>
      </c>
      <c r="X1783">
        <v>0</v>
      </c>
      <c r="Y1783">
        <v>0</v>
      </c>
      <c r="Z1783">
        <v>8.1</v>
      </c>
      <c r="AA1783">
        <v>22</v>
      </c>
      <c r="AB1783">
        <v>128</v>
      </c>
      <c r="AC1783">
        <v>43</v>
      </c>
      <c r="AD1783">
        <v>11.2</v>
      </c>
      <c r="AE1783">
        <v>4.2</v>
      </c>
      <c r="AF1783">
        <v>36.652999999999999</v>
      </c>
      <c r="AG1783">
        <v>75.427999999999997</v>
      </c>
      <c r="AH1783">
        <v>63.052999999999997</v>
      </c>
      <c r="AI1783">
        <v>3.202</v>
      </c>
      <c r="AJ1783">
        <v>92.756</v>
      </c>
      <c r="AK1783">
        <v>70.341999999999999</v>
      </c>
      <c r="AL1783">
        <v>-5.0019999999999998</v>
      </c>
      <c r="AM1783">
        <v>63.052999999999997</v>
      </c>
      <c r="AN1783">
        <v>75.427999999999997</v>
      </c>
      <c r="AO1783">
        <v>36.652999999999999</v>
      </c>
      <c r="AP1783">
        <v>5.0019999999999998</v>
      </c>
      <c r="AQ1783">
        <v>7.2439999999999998</v>
      </c>
      <c r="AR1783">
        <v>96.798000000000002</v>
      </c>
      <c r="AS1783">
        <v>29.658000000000001</v>
      </c>
    </row>
    <row r="1784" spans="1:45" x14ac:dyDescent="0.25">
      <c r="A1784">
        <v>41</v>
      </c>
      <c r="B1784">
        <v>15</v>
      </c>
      <c r="C1784">
        <v>1</v>
      </c>
      <c r="D1784">
        <v>2024</v>
      </c>
      <c r="E1784">
        <v>14</v>
      </c>
      <c r="F1784" t="str">
        <f>IFERROR(VLOOKUP(G1784, Map!$A$1:$B$33, 2, FALSE),"WAS")</f>
        <v>TB</v>
      </c>
      <c r="G1784" t="s">
        <v>141</v>
      </c>
      <c r="H1784" t="str">
        <f>IFERROR(VLOOKUP(I1784, Map!$A$1:$B$33, 2, FALSE),"WAS")</f>
        <v>LV</v>
      </c>
      <c r="I1784" t="s">
        <v>157</v>
      </c>
      <c r="J1784" t="s">
        <v>186</v>
      </c>
      <c r="K1784" t="s">
        <v>179</v>
      </c>
      <c r="L1784">
        <v>1</v>
      </c>
      <c r="M1784">
        <v>0</v>
      </c>
      <c r="N1784">
        <v>41</v>
      </c>
      <c r="O1784">
        <v>-8</v>
      </c>
      <c r="P1784">
        <v>-6.5</v>
      </c>
      <c r="Q1784">
        <v>34.5</v>
      </c>
      <c r="R1784">
        <v>14.5</v>
      </c>
      <c r="S1784">
        <v>21.9</v>
      </c>
      <c r="T1784">
        <v>9.6</v>
      </c>
      <c r="U1784">
        <v>13.5</v>
      </c>
      <c r="V1784">
        <v>0</v>
      </c>
      <c r="W1784">
        <v>0</v>
      </c>
      <c r="X1784">
        <v>0</v>
      </c>
      <c r="Y1784">
        <v>0</v>
      </c>
      <c r="Z1784">
        <v>10.1</v>
      </c>
      <c r="AA1784">
        <v>20.9</v>
      </c>
      <c r="AB1784">
        <v>54</v>
      </c>
      <c r="AC1784">
        <v>75</v>
      </c>
      <c r="AD1784">
        <v>17</v>
      </c>
      <c r="AE1784">
        <v>7.5</v>
      </c>
      <c r="AF1784">
        <v>69.144000000000005</v>
      </c>
      <c r="AG1784">
        <v>43.039000000000001</v>
      </c>
      <c r="AH1784">
        <v>30.61</v>
      </c>
      <c r="AI1784">
        <v>81.742999999999995</v>
      </c>
      <c r="AJ1784">
        <v>62.502000000000002</v>
      </c>
      <c r="AK1784">
        <v>79.302000000000007</v>
      </c>
      <c r="AL1784">
        <v>7.5540000000000003</v>
      </c>
      <c r="AM1784">
        <v>30.61</v>
      </c>
      <c r="AN1784">
        <v>43.039000000000001</v>
      </c>
      <c r="AO1784">
        <v>69.144000000000005</v>
      </c>
      <c r="AP1784">
        <v>-7.5540000000000003</v>
      </c>
      <c r="AQ1784">
        <v>37.497999999999998</v>
      </c>
      <c r="AR1784">
        <v>18.257000000000001</v>
      </c>
      <c r="AS1784">
        <v>20.698</v>
      </c>
    </row>
    <row r="1785" spans="1:45" x14ac:dyDescent="0.25">
      <c r="A1785">
        <v>41</v>
      </c>
      <c r="B1785">
        <v>13</v>
      </c>
      <c r="C1785">
        <v>1</v>
      </c>
      <c r="D1785">
        <v>2024</v>
      </c>
      <c r="E1785">
        <v>14</v>
      </c>
      <c r="F1785" t="str">
        <f>IFERROR(VLOOKUP(G1785, Map!$A$1:$B$33, 2, FALSE),"WAS")</f>
        <v>PIT</v>
      </c>
      <c r="G1785" t="s">
        <v>145</v>
      </c>
      <c r="H1785" t="str">
        <f>IFERROR(VLOOKUP(I1785, Map!$A$1:$B$33, 2, FALSE),"WAS")</f>
        <v>CLE</v>
      </c>
      <c r="I1785" t="s">
        <v>162</v>
      </c>
      <c r="J1785" t="s">
        <v>170</v>
      </c>
      <c r="K1785" t="s">
        <v>171</v>
      </c>
      <c r="L1785">
        <v>1</v>
      </c>
      <c r="M1785">
        <v>0</v>
      </c>
      <c r="N1785">
        <v>43.5</v>
      </c>
      <c r="O1785">
        <v>-11</v>
      </c>
      <c r="P1785">
        <v>-6.5</v>
      </c>
      <c r="Q1785">
        <v>42.5</v>
      </c>
      <c r="R1785">
        <v>5.3</v>
      </c>
      <c r="S1785">
        <v>10.199999999999999</v>
      </c>
      <c r="T1785">
        <v>0.8</v>
      </c>
      <c r="U1785">
        <v>0.2</v>
      </c>
      <c r="V1785">
        <v>0</v>
      </c>
      <c r="W1785">
        <v>0</v>
      </c>
      <c r="X1785">
        <v>0</v>
      </c>
      <c r="Y1785">
        <v>0</v>
      </c>
      <c r="Z1785">
        <v>23.2</v>
      </c>
      <c r="AA1785">
        <v>51.5</v>
      </c>
      <c r="AB1785">
        <v>235</v>
      </c>
      <c r="AC1785">
        <v>54</v>
      </c>
      <c r="AD1785">
        <v>40.9</v>
      </c>
      <c r="AE1785">
        <v>17.7</v>
      </c>
      <c r="AF1785">
        <v>58.701999999999998</v>
      </c>
      <c r="AG1785">
        <v>43.970999999999997</v>
      </c>
      <c r="AH1785">
        <v>40.969000000000001</v>
      </c>
      <c r="AI1785">
        <v>88.272999999999996</v>
      </c>
      <c r="AJ1785">
        <v>41.991999999999997</v>
      </c>
      <c r="AK1785">
        <v>83.659000000000006</v>
      </c>
      <c r="AL1785">
        <v>3.661</v>
      </c>
      <c r="AM1785">
        <v>40.969000000000001</v>
      </c>
      <c r="AN1785">
        <v>43.970999999999997</v>
      </c>
      <c r="AO1785">
        <v>58.701999999999998</v>
      </c>
      <c r="AP1785">
        <v>-3.661</v>
      </c>
      <c r="AQ1785">
        <v>58.008000000000003</v>
      </c>
      <c r="AR1785">
        <v>11.727</v>
      </c>
      <c r="AS1785">
        <v>16.341000000000001</v>
      </c>
    </row>
    <row r="1786" spans="1:45" x14ac:dyDescent="0.25">
      <c r="A1786">
        <v>38</v>
      </c>
      <c r="B1786">
        <v>6</v>
      </c>
      <c r="C1786">
        <v>1</v>
      </c>
      <c r="D1786">
        <v>2024</v>
      </c>
      <c r="E1786">
        <v>14</v>
      </c>
      <c r="F1786" t="str">
        <f>IFERROR(VLOOKUP(G1786, Map!$A$1:$B$33, 2, FALSE),"WAS")</f>
        <v>PHI</v>
      </c>
      <c r="G1786" t="s">
        <v>147</v>
      </c>
      <c r="H1786" t="str">
        <f>IFERROR(VLOOKUP(I1786, Map!$A$1:$B$33, 2, FALSE),"WAS")</f>
        <v>CAR</v>
      </c>
      <c r="I1786" t="s">
        <v>142</v>
      </c>
      <c r="J1786" t="s">
        <v>206</v>
      </c>
      <c r="K1786" t="s">
        <v>185</v>
      </c>
      <c r="L1786">
        <v>1</v>
      </c>
      <c r="M1786">
        <v>0</v>
      </c>
      <c r="N1786">
        <v>43</v>
      </c>
      <c r="O1786">
        <v>-10</v>
      </c>
      <c r="P1786">
        <v>-6.5</v>
      </c>
      <c r="Q1786">
        <v>41.5</v>
      </c>
      <c r="R1786">
        <v>5.6</v>
      </c>
      <c r="S1786">
        <v>13</v>
      </c>
      <c r="T1786">
        <v>1.4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22.7</v>
      </c>
      <c r="AA1786">
        <v>54.4</v>
      </c>
      <c r="AB1786">
        <v>237</v>
      </c>
      <c r="AC1786">
        <v>52</v>
      </c>
      <c r="AD1786">
        <v>31.6</v>
      </c>
      <c r="AE1786">
        <v>14</v>
      </c>
      <c r="AF1786">
        <v>85.141000000000005</v>
      </c>
      <c r="AG1786">
        <v>43.408999999999999</v>
      </c>
      <c r="AH1786">
        <v>14.741</v>
      </c>
      <c r="AI1786">
        <v>57.651000000000003</v>
      </c>
      <c r="AJ1786">
        <v>77.671000000000006</v>
      </c>
      <c r="AK1786">
        <v>62.712000000000003</v>
      </c>
      <c r="AL1786">
        <v>16.128</v>
      </c>
      <c r="AM1786">
        <v>14.741</v>
      </c>
      <c r="AN1786">
        <v>43.408999999999999</v>
      </c>
      <c r="AO1786">
        <v>85.141000000000005</v>
      </c>
      <c r="AP1786">
        <v>-16.128</v>
      </c>
      <c r="AQ1786">
        <v>22.329000000000001</v>
      </c>
      <c r="AR1786">
        <v>42.348999999999997</v>
      </c>
      <c r="AS1786">
        <v>37.287999999999997</v>
      </c>
    </row>
    <row r="1787" spans="1:45" x14ac:dyDescent="0.25">
      <c r="A1787">
        <v>47</v>
      </c>
      <c r="B1787">
        <v>-7</v>
      </c>
      <c r="C1787">
        <v>0</v>
      </c>
      <c r="D1787">
        <v>2024</v>
      </c>
      <c r="E1787">
        <v>14</v>
      </c>
      <c r="F1787" t="str">
        <f>IFERROR(VLOOKUP(G1787, Map!$A$1:$B$33, 2, FALSE),"WAS")</f>
        <v>DAL</v>
      </c>
      <c r="G1787" t="s">
        <v>150</v>
      </c>
      <c r="H1787" t="str">
        <f>IFERROR(VLOOKUP(I1787, Map!$A$1:$B$33, 2, FALSE),"WAS")</f>
        <v>CIN</v>
      </c>
      <c r="I1787" t="s">
        <v>161</v>
      </c>
      <c r="J1787" t="s">
        <v>184</v>
      </c>
      <c r="K1787" t="s">
        <v>176</v>
      </c>
      <c r="L1787">
        <v>0</v>
      </c>
      <c r="M1787">
        <v>0</v>
      </c>
      <c r="N1787">
        <v>48.5</v>
      </c>
      <c r="O1787">
        <v>3.5</v>
      </c>
      <c r="P1787">
        <v>2.5</v>
      </c>
      <c r="Q1787">
        <v>46.5</v>
      </c>
      <c r="R1787">
        <v>9.3000000000000007</v>
      </c>
      <c r="S1787">
        <v>14.9</v>
      </c>
      <c r="T1787">
        <v>6.3</v>
      </c>
      <c r="U1787">
        <v>5.6</v>
      </c>
      <c r="V1787">
        <v>0</v>
      </c>
      <c r="W1787">
        <v>0</v>
      </c>
      <c r="X1787">
        <v>0</v>
      </c>
      <c r="Y1787">
        <v>0</v>
      </c>
      <c r="Z1787">
        <v>21.7</v>
      </c>
      <c r="AA1787">
        <v>49</v>
      </c>
      <c r="AB1787">
        <v>337</v>
      </c>
      <c r="AC1787">
        <v>71</v>
      </c>
      <c r="AD1787">
        <v>34.9</v>
      </c>
      <c r="AE1787">
        <v>16</v>
      </c>
      <c r="AF1787">
        <v>33.997</v>
      </c>
      <c r="AG1787">
        <v>46.817999999999998</v>
      </c>
      <c r="AH1787">
        <v>65.73</v>
      </c>
      <c r="AI1787">
        <v>30.744</v>
      </c>
      <c r="AJ1787">
        <v>53.868000000000002</v>
      </c>
      <c r="AK1787">
        <v>34.700000000000003</v>
      </c>
      <c r="AL1787">
        <v>-6.4169999999999998</v>
      </c>
      <c r="AM1787">
        <v>65.73</v>
      </c>
      <c r="AN1787">
        <v>46.817999999999998</v>
      </c>
      <c r="AO1787">
        <v>33.997</v>
      </c>
      <c r="AP1787">
        <v>6.4169999999999998</v>
      </c>
      <c r="AQ1787">
        <v>46.131999999999998</v>
      </c>
      <c r="AR1787">
        <v>69.256</v>
      </c>
      <c r="AS1787">
        <v>65.3</v>
      </c>
    </row>
    <row r="1788" spans="1:45" x14ac:dyDescent="0.25">
      <c r="A1788">
        <v>58</v>
      </c>
      <c r="B1788">
        <v>6</v>
      </c>
      <c r="C1788">
        <v>1</v>
      </c>
      <c r="D1788">
        <v>2024</v>
      </c>
      <c r="E1788">
        <v>14</v>
      </c>
      <c r="F1788" t="str">
        <f>IFERROR(VLOOKUP(G1788, Map!$A$1:$B$33, 2, FALSE),"WAS")</f>
        <v>MIA</v>
      </c>
      <c r="G1788" t="s">
        <v>152</v>
      </c>
      <c r="H1788" t="str">
        <f>IFERROR(VLOOKUP(I1788, Map!$A$1:$B$33, 2, FALSE),"WAS")</f>
        <v>NYJ</v>
      </c>
      <c r="I1788" t="s">
        <v>166</v>
      </c>
      <c r="J1788" t="s">
        <v>175</v>
      </c>
      <c r="K1788" t="s">
        <v>172</v>
      </c>
      <c r="L1788">
        <v>1</v>
      </c>
      <c r="M1788">
        <v>0</v>
      </c>
      <c r="N1788">
        <v>47.5</v>
      </c>
      <c r="O1788">
        <v>-4.5</v>
      </c>
      <c r="P1788">
        <v>-2.5</v>
      </c>
      <c r="Q1788">
        <v>45.5</v>
      </c>
      <c r="R1788">
        <v>20</v>
      </c>
      <c r="S1788">
        <v>24.8</v>
      </c>
      <c r="T1788">
        <v>15.6</v>
      </c>
      <c r="U1788">
        <v>20</v>
      </c>
      <c r="V1788">
        <v>0</v>
      </c>
      <c r="W1788">
        <v>0</v>
      </c>
      <c r="X1788">
        <v>0</v>
      </c>
      <c r="Y1788">
        <v>0</v>
      </c>
      <c r="Z1788">
        <v>12.5</v>
      </c>
      <c r="AA1788">
        <v>32</v>
      </c>
      <c r="AB1788">
        <v>51</v>
      </c>
      <c r="AC1788">
        <v>66</v>
      </c>
      <c r="AD1788">
        <v>18</v>
      </c>
      <c r="AE1788">
        <v>7.5</v>
      </c>
      <c r="AF1788">
        <v>56.024999999999999</v>
      </c>
      <c r="AG1788">
        <v>52.655999999999999</v>
      </c>
      <c r="AH1788">
        <v>43.625</v>
      </c>
      <c r="AI1788">
        <v>27.448</v>
      </c>
      <c r="AJ1788">
        <v>82.129000000000005</v>
      </c>
      <c r="AK1788">
        <v>61.347999999999999</v>
      </c>
      <c r="AL1788">
        <v>2.4489999999999998</v>
      </c>
      <c r="AM1788">
        <v>43.625</v>
      </c>
      <c r="AN1788">
        <v>52.655999999999999</v>
      </c>
      <c r="AO1788">
        <v>56.024999999999999</v>
      </c>
      <c r="AP1788">
        <v>-2.4489999999999998</v>
      </c>
      <c r="AQ1788">
        <v>17.870999999999999</v>
      </c>
      <c r="AR1788">
        <v>72.552000000000007</v>
      </c>
      <c r="AS1788">
        <v>38.652000000000001</v>
      </c>
    </row>
    <row r="1789" spans="1:45" x14ac:dyDescent="0.25">
      <c r="A1789">
        <v>25</v>
      </c>
      <c r="B1789">
        <v>-3</v>
      </c>
      <c r="C1789">
        <v>0</v>
      </c>
      <c r="D1789">
        <v>2024</v>
      </c>
      <c r="E1789">
        <v>14</v>
      </c>
      <c r="F1789" t="str">
        <f>IFERROR(VLOOKUP(G1789, Map!$A$1:$B$33, 2, FALSE),"WAS")</f>
        <v>NYG</v>
      </c>
      <c r="G1789" t="s">
        <v>149</v>
      </c>
      <c r="H1789" t="str">
        <f>IFERROR(VLOOKUP(I1789, Map!$A$1:$B$33, 2, FALSE),"WAS")</f>
        <v>NO</v>
      </c>
      <c r="I1789" t="s">
        <v>168</v>
      </c>
      <c r="J1789" t="s">
        <v>219</v>
      </c>
      <c r="K1789" t="s">
        <v>192</v>
      </c>
      <c r="L1789">
        <v>0</v>
      </c>
      <c r="M1789">
        <v>0</v>
      </c>
      <c r="N1789">
        <v>33</v>
      </c>
      <c r="O1789">
        <v>6.5</v>
      </c>
      <c r="P1789">
        <v>5.5</v>
      </c>
      <c r="Q1789">
        <v>24.5</v>
      </c>
      <c r="R1789">
        <v>4.9000000000000004</v>
      </c>
      <c r="S1789">
        <v>11.1</v>
      </c>
      <c r="T1789">
        <v>1.5</v>
      </c>
      <c r="U1789">
        <v>0.2</v>
      </c>
      <c r="V1789">
        <v>0.1</v>
      </c>
      <c r="W1789">
        <v>7.0000000000000007E-2</v>
      </c>
      <c r="X1789">
        <v>1</v>
      </c>
      <c r="Y1789">
        <v>0</v>
      </c>
      <c r="Z1789">
        <v>21.9</v>
      </c>
      <c r="AA1789">
        <v>50.8</v>
      </c>
      <c r="AB1789">
        <v>234</v>
      </c>
      <c r="AC1789">
        <v>52</v>
      </c>
      <c r="AD1789">
        <v>33.5</v>
      </c>
      <c r="AE1789">
        <v>14.3</v>
      </c>
      <c r="AF1789">
        <v>35.79</v>
      </c>
      <c r="AG1789">
        <v>31.044</v>
      </c>
      <c r="AH1789">
        <v>63.923000000000002</v>
      </c>
      <c r="AI1789">
        <v>60.23</v>
      </c>
      <c r="AJ1789">
        <v>18.457000000000001</v>
      </c>
      <c r="AK1789">
        <v>37.354999999999997</v>
      </c>
      <c r="AL1789">
        <v>-5.4969999999999999</v>
      </c>
      <c r="AM1789">
        <v>63.923000000000002</v>
      </c>
      <c r="AN1789">
        <v>31.044</v>
      </c>
      <c r="AO1789">
        <v>35.79</v>
      </c>
      <c r="AP1789">
        <v>5.4969999999999999</v>
      </c>
      <c r="AQ1789">
        <v>81.543000000000006</v>
      </c>
      <c r="AR1789">
        <v>39.770000000000003</v>
      </c>
      <c r="AS1789">
        <v>62.645000000000003</v>
      </c>
    </row>
    <row r="1790" spans="1:45" x14ac:dyDescent="0.25">
      <c r="A1790">
        <v>65</v>
      </c>
      <c r="B1790">
        <v>3</v>
      </c>
      <c r="C1790">
        <v>1</v>
      </c>
      <c r="D1790">
        <v>2024</v>
      </c>
      <c r="E1790">
        <v>14</v>
      </c>
      <c r="F1790" t="str">
        <f>IFERROR(VLOOKUP(G1790, Map!$A$1:$B$33, 2, FALSE),"WAS")</f>
        <v>DET</v>
      </c>
      <c r="G1790" t="s">
        <v>164</v>
      </c>
      <c r="H1790" t="str">
        <f>IFERROR(VLOOKUP(I1790, Map!$A$1:$B$33, 2, FALSE),"WAS")</f>
        <v>GB</v>
      </c>
      <c r="I1790" t="s">
        <v>154</v>
      </c>
      <c r="J1790" t="s">
        <v>173</v>
      </c>
      <c r="K1790" t="s">
        <v>200</v>
      </c>
      <c r="L1790">
        <v>1</v>
      </c>
      <c r="M1790">
        <v>0</v>
      </c>
      <c r="N1790">
        <v>61</v>
      </c>
      <c r="O1790">
        <v>-3.5</v>
      </c>
      <c r="P1790">
        <v>-3.5</v>
      </c>
      <c r="Q1790">
        <v>53.5</v>
      </c>
      <c r="R1790">
        <v>-3.7</v>
      </c>
      <c r="S1790">
        <v>-0.3</v>
      </c>
      <c r="T1790">
        <v>-7</v>
      </c>
      <c r="U1790">
        <v>-9.5</v>
      </c>
      <c r="V1790">
        <v>0</v>
      </c>
      <c r="W1790">
        <v>0</v>
      </c>
      <c r="X1790">
        <v>0</v>
      </c>
      <c r="Y1790">
        <v>0</v>
      </c>
      <c r="Z1790">
        <v>21.4</v>
      </c>
      <c r="AA1790">
        <v>47.5</v>
      </c>
      <c r="AB1790">
        <v>272</v>
      </c>
      <c r="AC1790">
        <v>59</v>
      </c>
      <c r="AD1790">
        <v>35.6</v>
      </c>
      <c r="AE1790">
        <v>16.399999999999999</v>
      </c>
      <c r="AF1790">
        <v>60.375</v>
      </c>
      <c r="AG1790">
        <v>93.212000000000003</v>
      </c>
      <c r="AH1790">
        <v>39.308999999999997</v>
      </c>
      <c r="AI1790">
        <v>29.85</v>
      </c>
      <c r="AJ1790">
        <v>65.608999999999995</v>
      </c>
      <c r="AK1790">
        <v>57.12</v>
      </c>
      <c r="AL1790">
        <v>3.8490000000000002</v>
      </c>
      <c r="AM1790">
        <v>39.308999999999997</v>
      </c>
      <c r="AN1790">
        <v>93.212000000000003</v>
      </c>
      <c r="AO1790">
        <v>60.375</v>
      </c>
      <c r="AP1790">
        <v>-3.8490000000000002</v>
      </c>
      <c r="AQ1790">
        <v>34.390999999999998</v>
      </c>
      <c r="AR1790">
        <v>70.150000000000006</v>
      </c>
      <c r="AS1790">
        <v>42.88</v>
      </c>
    </row>
    <row r="1791" spans="1:45" x14ac:dyDescent="0.25">
      <c r="A1791">
        <v>48</v>
      </c>
      <c r="B1791">
        <v>-12</v>
      </c>
      <c r="C1791">
        <v>0</v>
      </c>
      <c r="D1791">
        <v>2024</v>
      </c>
      <c r="E1791">
        <v>14</v>
      </c>
      <c r="F1791" t="str">
        <f>IFERROR(VLOOKUP(G1791, Map!$A$1:$B$33, 2, FALSE),"WAS")</f>
        <v>ARI</v>
      </c>
      <c r="G1791" t="s">
        <v>156</v>
      </c>
      <c r="H1791" t="str">
        <f>IFERROR(VLOOKUP(I1791, Map!$A$1:$B$33, 2, FALSE),"WAS")</f>
        <v>SEA</v>
      </c>
      <c r="I1791" t="s">
        <v>144</v>
      </c>
      <c r="J1791" t="s">
        <v>190</v>
      </c>
      <c r="K1791" t="s">
        <v>182</v>
      </c>
      <c r="L1791">
        <v>0</v>
      </c>
      <c r="M1791">
        <v>0</v>
      </c>
      <c r="N1791">
        <v>45.5</v>
      </c>
      <c r="O1791">
        <v>4</v>
      </c>
      <c r="P1791">
        <v>-3.5</v>
      </c>
      <c r="Q1791">
        <v>45.5</v>
      </c>
      <c r="R1791">
        <v>15.9</v>
      </c>
      <c r="S1791">
        <v>23.1</v>
      </c>
      <c r="T1791">
        <v>10.3</v>
      </c>
      <c r="U1791">
        <v>12.7</v>
      </c>
      <c r="V1791">
        <v>0</v>
      </c>
      <c r="W1791">
        <v>0</v>
      </c>
      <c r="X1791">
        <v>0</v>
      </c>
      <c r="Y1791">
        <v>0</v>
      </c>
      <c r="Z1791">
        <v>6.9</v>
      </c>
      <c r="AA1791">
        <v>21.6</v>
      </c>
      <c r="AB1791">
        <v>115</v>
      </c>
      <c r="AC1791">
        <v>25</v>
      </c>
      <c r="AD1791">
        <v>10.7</v>
      </c>
      <c r="AE1791">
        <v>3.7</v>
      </c>
      <c r="AF1791">
        <v>56.962000000000003</v>
      </c>
      <c r="AG1791">
        <v>55.554000000000002</v>
      </c>
      <c r="AH1791">
        <v>42.695</v>
      </c>
      <c r="AI1791">
        <v>29.26</v>
      </c>
      <c r="AJ1791">
        <v>29.995000000000001</v>
      </c>
      <c r="AK1791">
        <v>19.047000000000001</v>
      </c>
      <c r="AL1791">
        <v>2.641</v>
      </c>
      <c r="AM1791">
        <v>42.695</v>
      </c>
      <c r="AN1791">
        <v>55.554000000000002</v>
      </c>
      <c r="AO1791">
        <v>56.962000000000003</v>
      </c>
      <c r="AP1791">
        <v>-2.641</v>
      </c>
      <c r="AQ1791">
        <v>70.004999999999995</v>
      </c>
      <c r="AR1791">
        <v>70.739999999999995</v>
      </c>
      <c r="AS1791">
        <v>80.953000000000003</v>
      </c>
    </row>
    <row r="1792" spans="1:45" x14ac:dyDescent="0.25">
      <c r="A1792">
        <v>16</v>
      </c>
      <c r="B1792">
        <v>-4</v>
      </c>
      <c r="C1792">
        <v>0</v>
      </c>
      <c r="D1792">
        <v>2024</v>
      </c>
      <c r="E1792">
        <v>14</v>
      </c>
      <c r="F1792" t="str">
        <f>IFERROR(VLOOKUP(G1792, Map!$A$1:$B$33, 2, FALSE),"WAS")</f>
        <v>TEN</v>
      </c>
      <c r="G1792" t="s">
        <v>140</v>
      </c>
      <c r="H1792" t="str">
        <f>IFERROR(VLOOKUP(I1792, Map!$A$1:$B$33, 2, FALSE),"WAS")</f>
        <v>JAX</v>
      </c>
      <c r="I1792" t="s">
        <v>139</v>
      </c>
      <c r="J1792" t="s">
        <v>174</v>
      </c>
      <c r="K1792" t="s">
        <v>220</v>
      </c>
      <c r="L1792">
        <v>0</v>
      </c>
      <c r="M1792">
        <v>0</v>
      </c>
      <c r="N1792">
        <v>31.5</v>
      </c>
      <c r="O1792">
        <v>-1</v>
      </c>
      <c r="P1792">
        <v>1.5</v>
      </c>
      <c r="Q1792">
        <v>22.5</v>
      </c>
      <c r="R1792">
        <v>6.9</v>
      </c>
      <c r="S1792">
        <v>11.6</v>
      </c>
      <c r="T1792">
        <v>4</v>
      </c>
      <c r="U1792">
        <v>3.1</v>
      </c>
      <c r="V1792">
        <v>0.3</v>
      </c>
      <c r="W1792">
        <v>0</v>
      </c>
      <c r="X1792">
        <v>2</v>
      </c>
      <c r="Y1792">
        <v>0.3</v>
      </c>
      <c r="Z1792">
        <v>17.3</v>
      </c>
      <c r="AA1792">
        <v>32.799999999999997</v>
      </c>
      <c r="AB1792">
        <v>207</v>
      </c>
      <c r="AC1792">
        <v>59</v>
      </c>
      <c r="AD1792">
        <v>23.2</v>
      </c>
      <c r="AE1792">
        <v>11.6</v>
      </c>
      <c r="AF1792">
        <v>58.902999999999999</v>
      </c>
      <c r="AG1792">
        <v>23.347999999999999</v>
      </c>
      <c r="AH1792">
        <v>40.770000000000003</v>
      </c>
      <c r="AI1792">
        <v>57.718000000000004</v>
      </c>
      <c r="AJ1792">
        <v>26.401</v>
      </c>
      <c r="AK1792">
        <v>40.610999999999997</v>
      </c>
      <c r="AL1792">
        <v>3.4209999999999998</v>
      </c>
      <c r="AM1792">
        <v>40.770000000000003</v>
      </c>
      <c r="AN1792">
        <v>23.347999999999999</v>
      </c>
      <c r="AO1792">
        <v>58.902999999999999</v>
      </c>
      <c r="AP1792">
        <v>-3.4209999999999998</v>
      </c>
      <c r="AQ1792">
        <v>73.599000000000004</v>
      </c>
      <c r="AR1792">
        <v>42.281999999999996</v>
      </c>
      <c r="AS1792">
        <v>59.389000000000003</v>
      </c>
    </row>
    <row r="1793" spans="1:45" x14ac:dyDescent="0.25">
      <c r="A1793">
        <v>51</v>
      </c>
      <c r="B1793">
        <v>25</v>
      </c>
      <c r="C1793">
        <v>1</v>
      </c>
      <c r="D1793">
        <v>2024</v>
      </c>
      <c r="E1793">
        <v>14</v>
      </c>
      <c r="F1793" t="str">
        <f>IFERROR(VLOOKUP(G1793, Map!$A$1:$B$33, 2, FALSE),"WAS")</f>
        <v>SF</v>
      </c>
      <c r="G1793" t="s">
        <v>143</v>
      </c>
      <c r="H1793" t="str">
        <f>IFERROR(VLOOKUP(I1793, Map!$A$1:$B$33, 2, FALSE),"WAS")</f>
        <v>CHI</v>
      </c>
      <c r="I1793" t="s">
        <v>163</v>
      </c>
      <c r="J1793" t="s">
        <v>197</v>
      </c>
      <c r="K1793" t="s">
        <v>216</v>
      </c>
      <c r="L1793">
        <v>1</v>
      </c>
      <c r="M1793">
        <v>0</v>
      </c>
      <c r="N1793">
        <v>47.5</v>
      </c>
      <c r="O1793">
        <v>-15.5</v>
      </c>
      <c r="P1793">
        <v>-3.5</v>
      </c>
      <c r="Q1793">
        <v>43.5</v>
      </c>
      <c r="R1793">
        <v>11.6</v>
      </c>
      <c r="S1793">
        <v>19.399999999999999</v>
      </c>
      <c r="T1793">
        <v>7.1</v>
      </c>
      <c r="U1793">
        <v>10.4</v>
      </c>
      <c r="V1793">
        <v>0</v>
      </c>
      <c r="W1793">
        <v>0</v>
      </c>
      <c r="X1793">
        <v>0</v>
      </c>
      <c r="Y1793">
        <v>0</v>
      </c>
      <c r="Z1793">
        <v>7.8</v>
      </c>
      <c r="AA1793">
        <v>22</v>
      </c>
      <c r="AB1793">
        <v>229</v>
      </c>
      <c r="AC1793">
        <v>77</v>
      </c>
      <c r="AD1793">
        <v>9</v>
      </c>
      <c r="AE1793">
        <v>3.9</v>
      </c>
      <c r="AF1793">
        <v>60.308999999999997</v>
      </c>
      <c r="AG1793">
        <v>59.23</v>
      </c>
      <c r="AH1793">
        <v>39.375</v>
      </c>
      <c r="AI1793">
        <v>89.363</v>
      </c>
      <c r="AJ1793">
        <v>96.483999999999995</v>
      </c>
      <c r="AK1793">
        <v>97.855000000000004</v>
      </c>
      <c r="AL1793">
        <v>4.423</v>
      </c>
      <c r="AM1793">
        <v>39.375</v>
      </c>
      <c r="AN1793">
        <v>59.23</v>
      </c>
      <c r="AO1793">
        <v>60.308999999999997</v>
      </c>
      <c r="AP1793">
        <v>-4.423</v>
      </c>
      <c r="AQ1793">
        <v>3.516</v>
      </c>
      <c r="AR1793">
        <v>10.637</v>
      </c>
      <c r="AS1793">
        <v>2.145</v>
      </c>
    </row>
    <row r="1794" spans="1:45" x14ac:dyDescent="0.25">
      <c r="A1794">
        <v>47</v>
      </c>
      <c r="B1794">
        <v>13</v>
      </c>
      <c r="C1794">
        <v>1</v>
      </c>
      <c r="D1794">
        <v>2024</v>
      </c>
      <c r="E1794">
        <v>15</v>
      </c>
      <c r="F1794" t="str">
        <f>IFERROR(VLOOKUP(G1794, Map!$A$1:$B$33, 2, FALSE),"WAS")</f>
        <v>ARI</v>
      </c>
      <c r="G1794" t="s">
        <v>156</v>
      </c>
      <c r="H1794" t="str">
        <f>IFERROR(VLOOKUP(I1794, Map!$A$1:$B$33, 2, FALSE),"WAS")</f>
        <v>NE</v>
      </c>
      <c r="I1794" t="s">
        <v>151</v>
      </c>
      <c r="J1794" t="s">
        <v>190</v>
      </c>
      <c r="K1794" t="s">
        <v>187</v>
      </c>
      <c r="L1794">
        <v>1</v>
      </c>
      <c r="M1794">
        <v>0</v>
      </c>
      <c r="N1794">
        <v>43.5</v>
      </c>
      <c r="O1794">
        <v>-12.5</v>
      </c>
      <c r="P1794">
        <v>-5.5</v>
      </c>
      <c r="Q1794">
        <v>40.5</v>
      </c>
      <c r="R1794">
        <v>10.9</v>
      </c>
      <c r="S1794">
        <v>17.5</v>
      </c>
      <c r="T1794">
        <v>5.5</v>
      </c>
      <c r="U1794">
        <v>9</v>
      </c>
      <c r="V1794">
        <v>0</v>
      </c>
      <c r="W1794">
        <v>0</v>
      </c>
      <c r="X1794">
        <v>0</v>
      </c>
      <c r="Y1794">
        <v>0</v>
      </c>
      <c r="Z1794">
        <v>8.6</v>
      </c>
      <c r="AA1794">
        <v>21.6</v>
      </c>
      <c r="AB1794">
        <v>153</v>
      </c>
      <c r="AC1794">
        <v>63</v>
      </c>
      <c r="AD1794">
        <v>12.3</v>
      </c>
      <c r="AE1794">
        <v>3.6</v>
      </c>
      <c r="AF1794">
        <v>70.683000000000007</v>
      </c>
      <c r="AG1794">
        <v>33.905000000000001</v>
      </c>
      <c r="AH1794">
        <v>29.082999999999998</v>
      </c>
      <c r="AI1794">
        <v>76.355000000000004</v>
      </c>
      <c r="AJ1794">
        <v>78.799000000000007</v>
      </c>
      <c r="AK1794">
        <v>87.194000000000003</v>
      </c>
      <c r="AL1794">
        <v>8.2189999999999994</v>
      </c>
      <c r="AM1794">
        <v>29.082999999999998</v>
      </c>
      <c r="AN1794">
        <v>33.905000000000001</v>
      </c>
      <c r="AO1794">
        <v>70.683000000000007</v>
      </c>
      <c r="AP1794">
        <v>-8.2189999999999994</v>
      </c>
      <c r="AQ1794">
        <v>21.201000000000001</v>
      </c>
      <c r="AR1794">
        <v>23.645</v>
      </c>
      <c r="AS1794">
        <v>12.805999999999999</v>
      </c>
    </row>
    <row r="1795" spans="1:45" x14ac:dyDescent="0.25">
      <c r="A1795">
        <v>32</v>
      </c>
      <c r="B1795">
        <v>8</v>
      </c>
      <c r="C1795">
        <v>1</v>
      </c>
      <c r="D1795">
        <v>2024</v>
      </c>
      <c r="E1795">
        <v>15</v>
      </c>
      <c r="F1795" t="str">
        <f>IFERROR(VLOOKUP(G1795, Map!$A$1:$B$33, 2, FALSE),"WAS")</f>
        <v>HOU</v>
      </c>
      <c r="G1795" t="s">
        <v>137</v>
      </c>
      <c r="H1795" t="str">
        <f>IFERROR(VLOOKUP(I1795, Map!$A$1:$B$33, 2, FALSE),"WAS")</f>
        <v>MIA</v>
      </c>
      <c r="I1795" t="s">
        <v>152</v>
      </c>
      <c r="J1795" t="s">
        <v>209</v>
      </c>
      <c r="K1795" t="s">
        <v>175</v>
      </c>
      <c r="L1795">
        <v>1</v>
      </c>
      <c r="M1795">
        <v>0</v>
      </c>
      <c r="N1795">
        <v>41</v>
      </c>
      <c r="O1795">
        <v>-5.5</v>
      </c>
      <c r="P1795">
        <v>-2.5</v>
      </c>
      <c r="Q1795">
        <v>35.5</v>
      </c>
      <c r="R1795">
        <v>21.6</v>
      </c>
      <c r="S1795">
        <v>26.3</v>
      </c>
      <c r="T1795">
        <v>18.600000000000001</v>
      </c>
      <c r="U1795">
        <v>23.5</v>
      </c>
      <c r="V1795">
        <v>0.6</v>
      </c>
      <c r="W1795">
        <v>0</v>
      </c>
      <c r="X1795">
        <v>5</v>
      </c>
      <c r="Y1795">
        <v>0.6</v>
      </c>
      <c r="Z1795">
        <v>17.3</v>
      </c>
      <c r="AA1795">
        <v>41.8</v>
      </c>
      <c r="AB1795">
        <v>159</v>
      </c>
      <c r="AC1795">
        <v>86</v>
      </c>
      <c r="AD1795">
        <v>22.9</v>
      </c>
      <c r="AE1795">
        <v>10.199999999999999</v>
      </c>
      <c r="AF1795">
        <v>54.084000000000003</v>
      </c>
      <c r="AG1795">
        <v>58.959000000000003</v>
      </c>
      <c r="AH1795">
        <v>45.55</v>
      </c>
      <c r="AI1795">
        <v>86.463999999999999</v>
      </c>
      <c r="AJ1795">
        <v>19.925999999999998</v>
      </c>
      <c r="AK1795">
        <v>73.988</v>
      </c>
      <c r="AL1795">
        <v>1.825</v>
      </c>
      <c r="AM1795">
        <v>45.55</v>
      </c>
      <c r="AN1795">
        <v>58.959000000000003</v>
      </c>
      <c r="AO1795">
        <v>54.084000000000003</v>
      </c>
      <c r="AP1795">
        <v>-1.825</v>
      </c>
      <c r="AQ1795">
        <v>80.073999999999998</v>
      </c>
      <c r="AR1795">
        <v>13.536</v>
      </c>
      <c r="AS1795">
        <v>26.012</v>
      </c>
    </row>
    <row r="1796" spans="1:45" x14ac:dyDescent="0.25">
      <c r="A1796">
        <v>44</v>
      </c>
      <c r="B1796">
        <v>-16</v>
      </c>
      <c r="C1796">
        <v>0</v>
      </c>
      <c r="D1796">
        <v>2024</v>
      </c>
      <c r="E1796">
        <v>15</v>
      </c>
      <c r="F1796" t="str">
        <f>IFERROR(VLOOKUP(G1796, Map!$A$1:$B$33, 2, FALSE),"WAS")</f>
        <v>CAR</v>
      </c>
      <c r="G1796" t="s">
        <v>142</v>
      </c>
      <c r="H1796" t="str">
        <f>IFERROR(VLOOKUP(I1796, Map!$A$1:$B$33, 2, FALSE),"WAS")</f>
        <v>DAL</v>
      </c>
      <c r="I1796" t="s">
        <v>150</v>
      </c>
      <c r="J1796" t="s">
        <v>185</v>
      </c>
      <c r="K1796" t="s">
        <v>184</v>
      </c>
      <c r="L1796">
        <v>0</v>
      </c>
      <c r="M1796">
        <v>0</v>
      </c>
      <c r="N1796">
        <v>43</v>
      </c>
      <c r="O1796">
        <v>7</v>
      </c>
      <c r="P1796">
        <v>-2.5</v>
      </c>
      <c r="Q1796">
        <v>41.5</v>
      </c>
      <c r="R1796">
        <v>4.5</v>
      </c>
      <c r="S1796">
        <v>6.8</v>
      </c>
      <c r="T1796">
        <v>2.7</v>
      </c>
      <c r="U1796">
        <v>0.8</v>
      </c>
      <c r="V1796">
        <v>0.8</v>
      </c>
      <c r="W1796">
        <v>0</v>
      </c>
      <c r="X1796">
        <v>3</v>
      </c>
      <c r="Y1796">
        <v>0.8</v>
      </c>
      <c r="Z1796">
        <v>16.3</v>
      </c>
      <c r="AA1796">
        <v>32.799999999999997</v>
      </c>
      <c r="AB1796">
        <v>37</v>
      </c>
      <c r="AC1796">
        <v>81</v>
      </c>
      <c r="AD1796">
        <v>27.8</v>
      </c>
      <c r="AE1796">
        <v>12.5</v>
      </c>
      <c r="AF1796">
        <v>47.674999999999997</v>
      </c>
      <c r="AG1796">
        <v>21.257999999999999</v>
      </c>
      <c r="AH1796">
        <v>51.942</v>
      </c>
      <c r="AI1796">
        <v>32.527000000000001</v>
      </c>
      <c r="AJ1796">
        <v>11.085000000000001</v>
      </c>
      <c r="AK1796">
        <v>11.404</v>
      </c>
      <c r="AL1796">
        <v>-1.1259999999999999</v>
      </c>
      <c r="AM1796">
        <v>51.942</v>
      </c>
      <c r="AN1796">
        <v>21.257999999999999</v>
      </c>
      <c r="AO1796">
        <v>47.674999999999997</v>
      </c>
      <c r="AP1796">
        <v>1.1259999999999999</v>
      </c>
      <c r="AQ1796">
        <v>88.915000000000006</v>
      </c>
      <c r="AR1796">
        <v>67.472999999999999</v>
      </c>
      <c r="AS1796">
        <v>88.596000000000004</v>
      </c>
    </row>
    <row r="1797" spans="1:45" x14ac:dyDescent="0.25">
      <c r="A1797">
        <v>43</v>
      </c>
      <c r="B1797">
        <v>-17</v>
      </c>
      <c r="C1797">
        <v>0</v>
      </c>
      <c r="D1797">
        <v>2024</v>
      </c>
      <c r="E1797">
        <v>15</v>
      </c>
      <c r="F1797" t="str">
        <f>IFERROR(VLOOKUP(G1797, Map!$A$1:$B$33, 2, FALSE),"WAS")</f>
        <v>SEA</v>
      </c>
      <c r="G1797" t="s">
        <v>144</v>
      </c>
      <c r="H1797" t="str">
        <f>IFERROR(VLOOKUP(I1797, Map!$A$1:$B$33, 2, FALSE),"WAS")</f>
        <v>GB</v>
      </c>
      <c r="I1797" t="s">
        <v>154</v>
      </c>
      <c r="J1797" t="s">
        <v>182</v>
      </c>
      <c r="K1797" t="s">
        <v>200</v>
      </c>
      <c r="L1797">
        <v>0</v>
      </c>
      <c r="M1797">
        <v>0</v>
      </c>
      <c r="N1797">
        <v>46</v>
      </c>
      <c r="O1797">
        <v>10</v>
      </c>
      <c r="P1797">
        <v>2.5</v>
      </c>
      <c r="Q1797">
        <v>43.5</v>
      </c>
      <c r="R1797">
        <v>6</v>
      </c>
      <c r="S1797">
        <v>10.1</v>
      </c>
      <c r="T1797">
        <v>3.7</v>
      </c>
      <c r="U1797">
        <v>3.4</v>
      </c>
      <c r="V1797">
        <v>5.8</v>
      </c>
      <c r="W1797">
        <v>0</v>
      </c>
      <c r="X1797">
        <v>9</v>
      </c>
      <c r="Y1797">
        <v>5.8</v>
      </c>
      <c r="Z1797">
        <v>13.7</v>
      </c>
      <c r="AA1797">
        <v>25.2</v>
      </c>
      <c r="AB1797">
        <v>120</v>
      </c>
      <c r="AC1797">
        <v>83</v>
      </c>
      <c r="AD1797">
        <v>15.6</v>
      </c>
      <c r="AE1797">
        <v>7.3</v>
      </c>
      <c r="AF1797">
        <v>36.917999999999999</v>
      </c>
      <c r="AG1797">
        <v>70.992999999999995</v>
      </c>
      <c r="AH1797">
        <v>62.784999999999997</v>
      </c>
      <c r="AI1797">
        <v>23.803999999999998</v>
      </c>
      <c r="AJ1797">
        <v>7.4119999999999999</v>
      </c>
      <c r="AK1797">
        <v>9.5009999999999994</v>
      </c>
      <c r="AL1797">
        <v>-4.9320000000000004</v>
      </c>
      <c r="AM1797">
        <v>62.784999999999997</v>
      </c>
      <c r="AN1797">
        <v>70.992999999999995</v>
      </c>
      <c r="AO1797">
        <v>36.917999999999999</v>
      </c>
      <c r="AP1797">
        <v>4.9320000000000004</v>
      </c>
      <c r="AQ1797">
        <v>92.587999999999994</v>
      </c>
      <c r="AR1797">
        <v>76.195999999999998</v>
      </c>
      <c r="AS1797">
        <v>90.498999999999995</v>
      </c>
    </row>
    <row r="1798" spans="1:45" x14ac:dyDescent="0.25">
      <c r="A1798">
        <v>39</v>
      </c>
      <c r="B1798">
        <v>-1</v>
      </c>
      <c r="C1798">
        <v>0</v>
      </c>
      <c r="D1798">
        <v>2024</v>
      </c>
      <c r="E1798">
        <v>15</v>
      </c>
      <c r="F1798" t="str">
        <f>IFERROR(VLOOKUP(G1798, Map!$A$1:$B$33, 2, FALSE),"WAS")</f>
        <v>NO</v>
      </c>
      <c r="G1798" t="s">
        <v>168</v>
      </c>
      <c r="H1798" t="str">
        <f>IFERROR(VLOOKUP(I1798, Map!$A$1:$B$33, 2, FALSE),"WAS")</f>
        <v>WAS</v>
      </c>
      <c r="I1798" t="s">
        <v>148</v>
      </c>
      <c r="J1798" t="s">
        <v>192</v>
      </c>
      <c r="K1798" t="s">
        <v>205</v>
      </c>
      <c r="L1798">
        <v>0</v>
      </c>
      <c r="M1798">
        <v>0</v>
      </c>
      <c r="N1798">
        <v>39</v>
      </c>
      <c r="O1798">
        <v>7.5</v>
      </c>
      <c r="P1798">
        <v>7.5</v>
      </c>
      <c r="Q1798">
        <v>33.5</v>
      </c>
      <c r="R1798">
        <v>18.7</v>
      </c>
      <c r="S1798">
        <v>23.4</v>
      </c>
      <c r="T1798">
        <v>16.3</v>
      </c>
      <c r="U1798">
        <v>19.3</v>
      </c>
      <c r="V1798">
        <v>0.3</v>
      </c>
      <c r="W1798">
        <v>0</v>
      </c>
      <c r="X1798">
        <v>3</v>
      </c>
      <c r="Y1798">
        <v>0.3</v>
      </c>
      <c r="Z1798">
        <v>13.6</v>
      </c>
      <c r="AA1798">
        <v>28.8</v>
      </c>
      <c r="AB1798">
        <v>114</v>
      </c>
      <c r="AC1798">
        <v>86</v>
      </c>
      <c r="AD1798">
        <v>22.2</v>
      </c>
      <c r="AE1798">
        <v>10.7</v>
      </c>
      <c r="AF1798">
        <v>30.942</v>
      </c>
      <c r="AG1798">
        <v>52.673999999999999</v>
      </c>
      <c r="AH1798">
        <v>68.808999999999997</v>
      </c>
      <c r="AI1798">
        <v>41.81</v>
      </c>
      <c r="AJ1798">
        <v>42.493000000000002</v>
      </c>
      <c r="AK1798">
        <v>34.615000000000002</v>
      </c>
      <c r="AL1798">
        <v>-7.52</v>
      </c>
      <c r="AM1798">
        <v>68.808999999999997</v>
      </c>
      <c r="AN1798">
        <v>52.673999999999999</v>
      </c>
      <c r="AO1798">
        <v>30.942</v>
      </c>
      <c r="AP1798">
        <v>7.52</v>
      </c>
      <c r="AQ1798">
        <v>57.506999999999998</v>
      </c>
      <c r="AR1798">
        <v>58.19</v>
      </c>
      <c r="AS1798">
        <v>65.385000000000005</v>
      </c>
    </row>
    <row r="1799" spans="1:45" x14ac:dyDescent="0.25">
      <c r="A1799">
        <v>24</v>
      </c>
      <c r="B1799">
        <v>-6</v>
      </c>
      <c r="C1799">
        <v>0</v>
      </c>
      <c r="D1799">
        <v>2024</v>
      </c>
      <c r="E1799">
        <v>15</v>
      </c>
      <c r="F1799" t="str">
        <f>IFERROR(VLOOKUP(G1799, Map!$A$1:$B$33, 2, FALSE),"WAS")</f>
        <v>LV</v>
      </c>
      <c r="G1799" t="s">
        <v>157</v>
      </c>
      <c r="H1799" t="str">
        <f>IFERROR(VLOOKUP(I1799, Map!$A$1:$B$33, 2, FALSE),"WAS")</f>
        <v>ATL</v>
      </c>
      <c r="I1799" t="s">
        <v>167</v>
      </c>
      <c r="J1799" t="s">
        <v>179</v>
      </c>
      <c r="K1799" t="s">
        <v>188</v>
      </c>
      <c r="L1799">
        <v>0</v>
      </c>
      <c r="M1799">
        <v>0</v>
      </c>
      <c r="N1799">
        <v>32.5</v>
      </c>
      <c r="O1799">
        <v>8.5</v>
      </c>
      <c r="P1799">
        <v>5.5</v>
      </c>
      <c r="Q1799">
        <v>21.5</v>
      </c>
      <c r="R1799">
        <v>8.1999999999999993</v>
      </c>
      <c r="S1799">
        <v>18</v>
      </c>
      <c r="T1799">
        <v>2.2999999999999998</v>
      </c>
      <c r="U1799">
        <v>4.7</v>
      </c>
      <c r="V1799">
        <v>0</v>
      </c>
      <c r="W1799">
        <v>0</v>
      </c>
      <c r="X1799">
        <v>0</v>
      </c>
      <c r="Y1799">
        <v>0</v>
      </c>
      <c r="Z1799">
        <v>6.5</v>
      </c>
      <c r="AA1799">
        <v>17.3</v>
      </c>
      <c r="AB1799">
        <v>254</v>
      </c>
      <c r="AC1799">
        <v>35</v>
      </c>
      <c r="AD1799">
        <v>9.5</v>
      </c>
      <c r="AE1799">
        <v>4</v>
      </c>
      <c r="AF1799">
        <v>42.628999999999998</v>
      </c>
      <c r="AG1799">
        <v>32.402999999999999</v>
      </c>
      <c r="AH1799">
        <v>57.029000000000003</v>
      </c>
      <c r="AI1799">
        <v>78.94</v>
      </c>
      <c r="AJ1799">
        <v>7.319</v>
      </c>
      <c r="AK1799">
        <v>28.789000000000001</v>
      </c>
      <c r="AL1799">
        <v>-2.78</v>
      </c>
      <c r="AM1799">
        <v>57.029000000000003</v>
      </c>
      <c r="AN1799">
        <v>32.402999999999999</v>
      </c>
      <c r="AO1799">
        <v>42.628999999999998</v>
      </c>
      <c r="AP1799">
        <v>2.78</v>
      </c>
      <c r="AQ1799">
        <v>92.680999999999997</v>
      </c>
      <c r="AR1799">
        <v>21.06</v>
      </c>
      <c r="AS1799">
        <v>71.210999999999999</v>
      </c>
    </row>
    <row r="1800" spans="1:45" x14ac:dyDescent="0.25">
      <c r="A1800">
        <v>64</v>
      </c>
      <c r="B1800">
        <v>-10</v>
      </c>
      <c r="C1800">
        <v>0</v>
      </c>
      <c r="D1800">
        <v>2024</v>
      </c>
      <c r="E1800">
        <v>15</v>
      </c>
      <c r="F1800" t="str">
        <f>IFERROR(VLOOKUP(G1800, Map!$A$1:$B$33, 2, FALSE),"WAS")</f>
        <v>TEN</v>
      </c>
      <c r="G1800" t="s">
        <v>140</v>
      </c>
      <c r="H1800" t="str">
        <f>IFERROR(VLOOKUP(I1800, Map!$A$1:$B$33, 2, FALSE),"WAS")</f>
        <v>CIN</v>
      </c>
      <c r="I1800" t="s">
        <v>161</v>
      </c>
      <c r="J1800" t="s">
        <v>174</v>
      </c>
      <c r="K1800" t="s">
        <v>176</v>
      </c>
      <c r="L1800">
        <v>0</v>
      </c>
      <c r="M1800">
        <v>0</v>
      </c>
      <c r="N1800">
        <v>51</v>
      </c>
      <c r="O1800">
        <v>10</v>
      </c>
      <c r="P1800">
        <v>6.5</v>
      </c>
      <c r="Q1800">
        <v>46.5</v>
      </c>
      <c r="R1800">
        <v>11.5</v>
      </c>
      <c r="S1800">
        <v>13.5</v>
      </c>
      <c r="T1800">
        <v>9.9</v>
      </c>
      <c r="U1800">
        <v>8.1</v>
      </c>
      <c r="V1800">
        <v>11.8</v>
      </c>
      <c r="W1800">
        <v>0</v>
      </c>
      <c r="X1800">
        <v>18</v>
      </c>
      <c r="Y1800">
        <v>11.8</v>
      </c>
      <c r="Z1800">
        <v>29.1</v>
      </c>
      <c r="AA1800">
        <v>56.2</v>
      </c>
      <c r="AB1800">
        <v>176</v>
      </c>
      <c r="AC1800">
        <v>83</v>
      </c>
      <c r="AD1800">
        <v>44.3</v>
      </c>
      <c r="AE1800">
        <v>21.4</v>
      </c>
      <c r="AF1800">
        <v>38.378999999999998</v>
      </c>
      <c r="AG1800">
        <v>35.295999999999999</v>
      </c>
      <c r="AH1800">
        <v>61.313000000000002</v>
      </c>
      <c r="AI1800">
        <v>31.638999999999999</v>
      </c>
      <c r="AJ1800">
        <v>13.87</v>
      </c>
      <c r="AK1800">
        <v>15.348000000000001</v>
      </c>
      <c r="AL1800">
        <v>-4.5279999999999996</v>
      </c>
      <c r="AM1800">
        <v>61.313000000000002</v>
      </c>
      <c r="AN1800">
        <v>35.295999999999999</v>
      </c>
      <c r="AO1800">
        <v>38.378999999999998</v>
      </c>
      <c r="AP1800">
        <v>4.5279999999999996</v>
      </c>
      <c r="AQ1800">
        <v>86.13</v>
      </c>
      <c r="AR1800">
        <v>68.361000000000004</v>
      </c>
      <c r="AS1800">
        <v>84.652000000000001</v>
      </c>
    </row>
    <row r="1801" spans="1:45" x14ac:dyDescent="0.25">
      <c r="A1801">
        <v>44</v>
      </c>
      <c r="B1801">
        <v>18</v>
      </c>
      <c r="C1801">
        <v>1</v>
      </c>
      <c r="D1801">
        <v>2024</v>
      </c>
      <c r="E1801">
        <v>15</v>
      </c>
      <c r="F1801" t="str">
        <f>IFERROR(VLOOKUP(G1801, Map!$A$1:$B$33, 2, FALSE),"WAS")</f>
        <v>DEN</v>
      </c>
      <c r="G1801" t="s">
        <v>159</v>
      </c>
      <c r="H1801" t="str">
        <f>IFERROR(VLOOKUP(I1801, Map!$A$1:$B$33, 2, FALSE),"WAS")</f>
        <v>IND</v>
      </c>
      <c r="I1801" t="s">
        <v>138</v>
      </c>
      <c r="J1801" t="s">
        <v>183</v>
      </c>
      <c r="K1801" t="s">
        <v>177</v>
      </c>
      <c r="L1801">
        <v>1</v>
      </c>
      <c r="M1801">
        <v>0</v>
      </c>
      <c r="N1801">
        <v>47</v>
      </c>
      <c r="O1801">
        <v>-10.5</v>
      </c>
      <c r="P1801">
        <v>-3.5</v>
      </c>
      <c r="Q1801">
        <v>43.5</v>
      </c>
      <c r="R1801">
        <v>2.5</v>
      </c>
      <c r="S1801">
        <v>10.5</v>
      </c>
      <c r="T1801">
        <v>-1.2</v>
      </c>
      <c r="U1801">
        <v>-0.8</v>
      </c>
      <c r="V1801">
        <v>0</v>
      </c>
      <c r="W1801">
        <v>0</v>
      </c>
      <c r="X1801">
        <v>0</v>
      </c>
      <c r="Y1801">
        <v>0</v>
      </c>
      <c r="Z1801">
        <v>8.4</v>
      </c>
      <c r="AA1801">
        <v>21.2</v>
      </c>
      <c r="AB1801">
        <v>203</v>
      </c>
      <c r="AC1801">
        <v>64</v>
      </c>
      <c r="AD1801">
        <v>11.5</v>
      </c>
      <c r="AE1801">
        <v>4.5</v>
      </c>
      <c r="AF1801">
        <v>56.761000000000003</v>
      </c>
      <c r="AG1801">
        <v>38.039000000000001</v>
      </c>
      <c r="AH1801">
        <v>42.893999999999998</v>
      </c>
      <c r="AI1801">
        <v>98.808000000000007</v>
      </c>
      <c r="AJ1801">
        <v>8.4169999999999998</v>
      </c>
      <c r="AK1801">
        <v>78.177999999999997</v>
      </c>
      <c r="AL1801">
        <v>2.327</v>
      </c>
      <c r="AM1801">
        <v>42.893999999999998</v>
      </c>
      <c r="AN1801">
        <v>38.039000000000001</v>
      </c>
      <c r="AO1801">
        <v>56.761000000000003</v>
      </c>
      <c r="AP1801">
        <v>-2.327</v>
      </c>
      <c r="AQ1801">
        <v>91.582999999999998</v>
      </c>
      <c r="AR1801">
        <v>1.1919999999999999</v>
      </c>
      <c r="AS1801">
        <v>21.821999999999999</v>
      </c>
    </row>
    <row r="1802" spans="1:45" x14ac:dyDescent="0.25">
      <c r="A1802">
        <v>28</v>
      </c>
      <c r="B1802">
        <v>-14</v>
      </c>
      <c r="C1802">
        <v>0</v>
      </c>
      <c r="D1802">
        <v>2024</v>
      </c>
      <c r="E1802">
        <v>15</v>
      </c>
      <c r="F1802" t="str">
        <f>IFERROR(VLOOKUP(G1802, Map!$A$1:$B$33, 2, FALSE),"WAS")</f>
        <v>CLE</v>
      </c>
      <c r="G1802" t="s">
        <v>162</v>
      </c>
      <c r="H1802" t="str">
        <f>IFERROR(VLOOKUP(I1802, Map!$A$1:$B$33, 2, FALSE),"WAS")</f>
        <v>KC</v>
      </c>
      <c r="I1802" t="s">
        <v>158</v>
      </c>
      <c r="J1802" t="s">
        <v>171</v>
      </c>
      <c r="K1802" t="s">
        <v>202</v>
      </c>
      <c r="L1802">
        <v>0</v>
      </c>
      <c r="M1802">
        <v>0</v>
      </c>
      <c r="N1802">
        <v>35.5</v>
      </c>
      <c r="O1802">
        <v>8.5</v>
      </c>
      <c r="P1802">
        <v>3.5</v>
      </c>
      <c r="Q1802">
        <v>29.5</v>
      </c>
      <c r="R1802">
        <v>2.6</v>
      </c>
      <c r="S1802">
        <v>4.8</v>
      </c>
      <c r="T1802">
        <v>1.2</v>
      </c>
      <c r="U1802">
        <v>-2.9</v>
      </c>
      <c r="V1802">
        <v>11.2</v>
      </c>
      <c r="W1802">
        <v>0</v>
      </c>
      <c r="X1802">
        <v>13</v>
      </c>
      <c r="Y1802">
        <v>11.2</v>
      </c>
      <c r="Z1802">
        <v>33.799999999999997</v>
      </c>
      <c r="AA1802">
        <v>45.7</v>
      </c>
      <c r="AB1802">
        <v>148</v>
      </c>
      <c r="AC1802">
        <v>80</v>
      </c>
      <c r="AD1802">
        <v>32.799999999999997</v>
      </c>
      <c r="AE1802">
        <v>23.3</v>
      </c>
      <c r="AF1802">
        <v>39.573999999999998</v>
      </c>
      <c r="AG1802">
        <v>50.293999999999997</v>
      </c>
      <c r="AH1802">
        <v>60.107999999999997</v>
      </c>
      <c r="AI1802">
        <v>60.917999999999999</v>
      </c>
      <c r="AJ1802">
        <v>0.96299999999999997</v>
      </c>
      <c r="AK1802">
        <v>10.099</v>
      </c>
      <c r="AL1802">
        <v>-3.6269999999999998</v>
      </c>
      <c r="AM1802">
        <v>60.107999999999997</v>
      </c>
      <c r="AN1802">
        <v>50.293999999999997</v>
      </c>
      <c r="AO1802">
        <v>39.573999999999998</v>
      </c>
      <c r="AP1802">
        <v>3.6269999999999998</v>
      </c>
      <c r="AQ1802">
        <v>99.037000000000006</v>
      </c>
      <c r="AR1802">
        <v>39.082000000000001</v>
      </c>
      <c r="AS1802">
        <v>89.900999999999996</v>
      </c>
    </row>
    <row r="1803" spans="1:45" x14ac:dyDescent="0.25">
      <c r="A1803">
        <v>57</v>
      </c>
      <c r="B1803">
        <v>-23</v>
      </c>
      <c r="C1803">
        <v>0</v>
      </c>
      <c r="D1803">
        <v>2024</v>
      </c>
      <c r="E1803">
        <v>15</v>
      </c>
      <c r="F1803" t="str">
        <f>IFERROR(VLOOKUP(G1803, Map!$A$1:$B$33, 2, FALSE),"WAS")</f>
        <v>LAC</v>
      </c>
      <c r="G1803" t="s">
        <v>160</v>
      </c>
      <c r="H1803" t="str">
        <f>IFERROR(VLOOKUP(I1803, Map!$A$1:$B$33, 2, FALSE),"WAS")</f>
        <v>TB</v>
      </c>
      <c r="I1803" t="s">
        <v>141</v>
      </c>
      <c r="J1803" t="s">
        <v>210</v>
      </c>
      <c r="K1803" t="s">
        <v>186</v>
      </c>
      <c r="L1803">
        <v>0</v>
      </c>
      <c r="M1803">
        <v>0</v>
      </c>
      <c r="N1803">
        <v>51</v>
      </c>
      <c r="O1803">
        <v>8.75</v>
      </c>
      <c r="P1803">
        <v>-3</v>
      </c>
      <c r="Q1803">
        <v>45.5</v>
      </c>
      <c r="R1803">
        <v>12.1</v>
      </c>
      <c r="S1803">
        <v>19.600000000000001</v>
      </c>
      <c r="T1803">
        <v>6.1</v>
      </c>
      <c r="U1803">
        <v>11</v>
      </c>
      <c r="V1803">
        <v>0</v>
      </c>
      <c r="W1803">
        <v>0</v>
      </c>
      <c r="X1803">
        <v>0</v>
      </c>
      <c r="Y1803">
        <v>0</v>
      </c>
      <c r="Z1803">
        <v>9.4</v>
      </c>
      <c r="AA1803">
        <v>23</v>
      </c>
      <c r="AB1803">
        <v>322</v>
      </c>
      <c r="AC1803">
        <v>78</v>
      </c>
      <c r="AD1803">
        <v>13.3</v>
      </c>
      <c r="AE1803">
        <v>4.4000000000000004</v>
      </c>
      <c r="AF1803">
        <v>51.273000000000003</v>
      </c>
      <c r="AG1803">
        <v>63.963000000000001</v>
      </c>
      <c r="AH1803">
        <v>48.338999999999999</v>
      </c>
      <c r="AI1803">
        <v>26.209</v>
      </c>
      <c r="AJ1803">
        <v>27.699000000000002</v>
      </c>
      <c r="AK1803">
        <v>14.41</v>
      </c>
      <c r="AL1803">
        <v>0.42199999999999999</v>
      </c>
      <c r="AM1803">
        <v>48.338999999999999</v>
      </c>
      <c r="AN1803">
        <v>63.963000000000001</v>
      </c>
      <c r="AO1803">
        <v>51.273000000000003</v>
      </c>
      <c r="AP1803">
        <v>-0.42199999999999999</v>
      </c>
      <c r="AQ1803">
        <v>72.301000000000002</v>
      </c>
      <c r="AR1803">
        <v>73.790999999999997</v>
      </c>
      <c r="AS1803">
        <v>85.59</v>
      </c>
    </row>
    <row r="1804" spans="1:45" x14ac:dyDescent="0.25">
      <c r="A1804">
        <v>49</v>
      </c>
      <c r="B1804">
        <v>-21</v>
      </c>
      <c r="C1804">
        <v>0</v>
      </c>
      <c r="D1804">
        <v>2024</v>
      </c>
      <c r="E1804">
        <v>15</v>
      </c>
      <c r="F1804" t="str">
        <f>IFERROR(VLOOKUP(G1804, Map!$A$1:$B$33, 2, FALSE),"WAS")</f>
        <v>NYG</v>
      </c>
      <c r="G1804" t="s">
        <v>149</v>
      </c>
      <c r="H1804" t="str">
        <f>IFERROR(VLOOKUP(I1804, Map!$A$1:$B$33, 2, FALSE),"WAS")</f>
        <v>BAL</v>
      </c>
      <c r="I1804" t="s">
        <v>146</v>
      </c>
      <c r="J1804" t="s">
        <v>219</v>
      </c>
      <c r="K1804" t="s">
        <v>181</v>
      </c>
      <c r="L1804">
        <v>0</v>
      </c>
      <c r="M1804">
        <v>0</v>
      </c>
      <c r="N1804">
        <v>46.5</v>
      </c>
      <c r="O1804">
        <v>17</v>
      </c>
      <c r="P1804">
        <v>16.5</v>
      </c>
      <c r="Q1804">
        <v>43.5</v>
      </c>
      <c r="R1804">
        <v>-1.9</v>
      </c>
      <c r="S1804">
        <v>2.7</v>
      </c>
      <c r="T1804">
        <v>-4.7</v>
      </c>
      <c r="U1804">
        <v>-5.8</v>
      </c>
      <c r="V1804">
        <v>0</v>
      </c>
      <c r="W1804">
        <v>0</v>
      </c>
      <c r="X1804">
        <v>0</v>
      </c>
      <c r="Y1804">
        <v>0</v>
      </c>
      <c r="Z1804">
        <v>8</v>
      </c>
      <c r="AA1804">
        <v>22.3</v>
      </c>
      <c r="AB1804">
        <v>43</v>
      </c>
      <c r="AC1804">
        <v>59</v>
      </c>
      <c r="AD1804">
        <v>13.7</v>
      </c>
      <c r="AE1804">
        <v>5.6</v>
      </c>
      <c r="AF1804">
        <v>18.193999999999999</v>
      </c>
      <c r="AG1804">
        <v>55.771000000000001</v>
      </c>
      <c r="AH1804">
        <v>81.66</v>
      </c>
      <c r="AI1804">
        <v>6.7880000000000003</v>
      </c>
      <c r="AJ1804">
        <v>35.731000000000002</v>
      </c>
      <c r="AK1804">
        <v>6.2629999999999999</v>
      </c>
      <c r="AL1804">
        <v>-13.705</v>
      </c>
      <c r="AM1804">
        <v>81.66</v>
      </c>
      <c r="AN1804">
        <v>55.771000000000001</v>
      </c>
      <c r="AO1804">
        <v>18.193999999999999</v>
      </c>
      <c r="AP1804">
        <v>13.705</v>
      </c>
      <c r="AQ1804">
        <v>64.269000000000005</v>
      </c>
      <c r="AR1804">
        <v>93.212000000000003</v>
      </c>
      <c r="AS1804">
        <v>93.736999999999995</v>
      </c>
    </row>
    <row r="1805" spans="1:45" x14ac:dyDescent="0.25">
      <c r="A1805">
        <v>42</v>
      </c>
      <c r="B1805">
        <v>18</v>
      </c>
      <c r="C1805">
        <v>1</v>
      </c>
      <c r="D1805">
        <v>2024</v>
      </c>
      <c r="E1805">
        <v>15</v>
      </c>
      <c r="F1805" t="str">
        <f>IFERROR(VLOOKUP(G1805, Map!$A$1:$B$33, 2, FALSE),"WAS")</f>
        <v>MIN</v>
      </c>
      <c r="G1805" t="s">
        <v>153</v>
      </c>
      <c r="H1805" t="str">
        <f>IFERROR(VLOOKUP(I1805, Map!$A$1:$B$33, 2, FALSE),"WAS")</f>
        <v>CHI</v>
      </c>
      <c r="I1805" t="s">
        <v>163</v>
      </c>
      <c r="J1805" t="s">
        <v>214</v>
      </c>
      <c r="K1805" t="s">
        <v>216</v>
      </c>
      <c r="L1805">
        <v>1</v>
      </c>
      <c r="M1805">
        <v>0</v>
      </c>
      <c r="N1805">
        <v>38.5</v>
      </c>
      <c r="O1805">
        <v>-13.5</v>
      </c>
      <c r="P1805">
        <v>-6.5</v>
      </c>
      <c r="Q1805">
        <v>33.5</v>
      </c>
      <c r="R1805">
        <v>-1.9</v>
      </c>
      <c r="S1805">
        <v>0.2</v>
      </c>
      <c r="T1805">
        <v>-3.1</v>
      </c>
      <c r="U1805">
        <v>-6.7</v>
      </c>
      <c r="V1805">
        <v>0</v>
      </c>
      <c r="W1805">
        <v>0</v>
      </c>
      <c r="X1805">
        <v>0</v>
      </c>
      <c r="Y1805">
        <v>0</v>
      </c>
      <c r="Z1805">
        <v>19.399999999999999</v>
      </c>
      <c r="AA1805">
        <v>40.700000000000003</v>
      </c>
      <c r="AB1805">
        <v>286</v>
      </c>
      <c r="AC1805">
        <v>71</v>
      </c>
      <c r="AD1805">
        <v>30.3</v>
      </c>
      <c r="AE1805">
        <v>13</v>
      </c>
      <c r="AF1805">
        <v>65.394999999999996</v>
      </c>
      <c r="AG1805">
        <v>60.014000000000003</v>
      </c>
      <c r="AH1805">
        <v>34.329000000000001</v>
      </c>
      <c r="AI1805">
        <v>94.236999999999995</v>
      </c>
      <c r="AJ1805">
        <v>58.74</v>
      </c>
      <c r="AK1805">
        <v>87.774000000000001</v>
      </c>
      <c r="AL1805">
        <v>5.8470000000000004</v>
      </c>
      <c r="AM1805">
        <v>34.329000000000001</v>
      </c>
      <c r="AN1805">
        <v>60.014000000000003</v>
      </c>
      <c r="AO1805">
        <v>65.394999999999996</v>
      </c>
      <c r="AP1805">
        <v>-5.8470000000000004</v>
      </c>
      <c r="AQ1805">
        <v>41.26</v>
      </c>
      <c r="AR1805">
        <v>5.7629999999999999</v>
      </c>
      <c r="AS1805">
        <v>12.226000000000001</v>
      </c>
    </row>
    <row r="1806" spans="1:45" x14ac:dyDescent="0.25">
      <c r="A1806">
        <v>57</v>
      </c>
      <c r="B1806">
        <v>-7</v>
      </c>
      <c r="C1806">
        <v>0</v>
      </c>
      <c r="D1806">
        <v>2024</v>
      </c>
      <c r="E1806">
        <v>15</v>
      </c>
      <c r="F1806" t="str">
        <f>IFERROR(VLOOKUP(G1806, Map!$A$1:$B$33, 2, FALSE),"WAS")</f>
        <v>JAX</v>
      </c>
      <c r="G1806" t="s">
        <v>139</v>
      </c>
      <c r="H1806" t="str">
        <f>IFERROR(VLOOKUP(I1806, Map!$A$1:$B$33, 2, FALSE),"WAS")</f>
        <v>NYJ</v>
      </c>
      <c r="I1806" t="s">
        <v>166</v>
      </c>
      <c r="J1806" t="s">
        <v>220</v>
      </c>
      <c r="K1806" t="s">
        <v>172</v>
      </c>
      <c r="L1806">
        <v>0</v>
      </c>
      <c r="M1806">
        <v>0</v>
      </c>
      <c r="N1806">
        <v>40.5</v>
      </c>
      <c r="O1806">
        <v>-0.5</v>
      </c>
      <c r="P1806">
        <v>3.5</v>
      </c>
      <c r="Q1806">
        <v>39.5</v>
      </c>
      <c r="R1806">
        <v>17.899999999999999</v>
      </c>
      <c r="S1806">
        <v>21.8</v>
      </c>
      <c r="T1806">
        <v>15.3</v>
      </c>
      <c r="U1806">
        <v>17.8</v>
      </c>
      <c r="V1806">
        <v>0.6</v>
      </c>
      <c r="W1806">
        <v>0</v>
      </c>
      <c r="X1806">
        <v>4</v>
      </c>
      <c r="Y1806">
        <v>0.6</v>
      </c>
      <c r="Z1806">
        <v>17.100000000000001</v>
      </c>
      <c r="AA1806">
        <v>36.700000000000003</v>
      </c>
      <c r="AB1806">
        <v>39</v>
      </c>
      <c r="AC1806">
        <v>86</v>
      </c>
      <c r="AD1806">
        <v>28.5</v>
      </c>
      <c r="AE1806">
        <v>13.7</v>
      </c>
      <c r="AF1806">
        <v>37.847999999999999</v>
      </c>
      <c r="AG1806">
        <v>38.164000000000001</v>
      </c>
      <c r="AH1806">
        <v>61.847999999999999</v>
      </c>
      <c r="AI1806">
        <v>8.6270000000000007</v>
      </c>
      <c r="AJ1806">
        <v>63.999000000000002</v>
      </c>
      <c r="AK1806">
        <v>36.725000000000001</v>
      </c>
      <c r="AL1806">
        <v>-4.835</v>
      </c>
      <c r="AM1806">
        <v>61.847999999999999</v>
      </c>
      <c r="AN1806">
        <v>38.164000000000001</v>
      </c>
      <c r="AO1806">
        <v>37.847999999999999</v>
      </c>
      <c r="AP1806">
        <v>4.835</v>
      </c>
      <c r="AQ1806">
        <v>36.000999999999998</v>
      </c>
      <c r="AR1806">
        <v>91.373000000000005</v>
      </c>
      <c r="AS1806">
        <v>63.274999999999999</v>
      </c>
    </row>
    <row r="1807" spans="1:45" x14ac:dyDescent="0.25">
      <c r="A1807">
        <v>40</v>
      </c>
      <c r="B1807">
        <v>14</v>
      </c>
      <c r="C1807">
        <v>1</v>
      </c>
      <c r="D1807">
        <v>2024</v>
      </c>
      <c r="E1807">
        <v>15</v>
      </c>
      <c r="F1807" t="str">
        <f>IFERROR(VLOOKUP(G1807, Map!$A$1:$B$33, 2, FALSE),"WAS")</f>
        <v>PHI</v>
      </c>
      <c r="G1807" t="s">
        <v>147</v>
      </c>
      <c r="H1807" t="str">
        <f>IFERROR(VLOOKUP(I1807, Map!$A$1:$B$33, 2, FALSE),"WAS")</f>
        <v>PIT</v>
      </c>
      <c r="I1807" t="s">
        <v>145</v>
      </c>
      <c r="J1807" t="s">
        <v>206</v>
      </c>
      <c r="K1807" t="s">
        <v>170</v>
      </c>
      <c r="L1807">
        <v>1</v>
      </c>
      <c r="M1807">
        <v>0</v>
      </c>
      <c r="N1807">
        <v>45</v>
      </c>
      <c r="O1807">
        <v>-11</v>
      </c>
      <c r="P1807">
        <v>-5.5</v>
      </c>
      <c r="Q1807">
        <v>43.5</v>
      </c>
      <c r="R1807">
        <v>-0.7</v>
      </c>
      <c r="S1807">
        <v>3.5</v>
      </c>
      <c r="T1807">
        <v>-3</v>
      </c>
      <c r="U1807">
        <v>-4.7</v>
      </c>
      <c r="V1807">
        <v>0</v>
      </c>
      <c r="W1807">
        <v>0</v>
      </c>
      <c r="X1807">
        <v>0</v>
      </c>
      <c r="Y1807">
        <v>0</v>
      </c>
      <c r="Z1807">
        <v>9.5</v>
      </c>
      <c r="AA1807">
        <v>20.5</v>
      </c>
      <c r="AB1807">
        <v>51</v>
      </c>
      <c r="AC1807">
        <v>63</v>
      </c>
      <c r="AD1807">
        <v>17</v>
      </c>
      <c r="AE1807">
        <v>7.4</v>
      </c>
      <c r="AF1807">
        <v>61.512999999999998</v>
      </c>
      <c r="AG1807">
        <v>76.569000000000003</v>
      </c>
      <c r="AH1807">
        <v>38.18</v>
      </c>
      <c r="AI1807">
        <v>92.266999999999996</v>
      </c>
      <c r="AJ1807">
        <v>65.495999999999995</v>
      </c>
      <c r="AK1807">
        <v>82.040999999999997</v>
      </c>
      <c r="AL1807">
        <v>4.2009999999999996</v>
      </c>
      <c r="AM1807">
        <v>38.18</v>
      </c>
      <c r="AN1807">
        <v>76.569000000000003</v>
      </c>
      <c r="AO1807">
        <v>61.512999999999998</v>
      </c>
      <c r="AP1807">
        <v>-4.2009999999999996</v>
      </c>
      <c r="AQ1807">
        <v>34.503999999999998</v>
      </c>
      <c r="AR1807">
        <v>7.7329999999999997</v>
      </c>
      <c r="AS1807">
        <v>17.959</v>
      </c>
    </row>
    <row r="1808" spans="1:45" x14ac:dyDescent="0.25">
      <c r="A1808">
        <v>18</v>
      </c>
      <c r="B1808">
        <v>-6</v>
      </c>
      <c r="C1808">
        <v>0</v>
      </c>
      <c r="D1808">
        <v>2024</v>
      </c>
      <c r="E1808">
        <v>15</v>
      </c>
      <c r="F1808" t="str">
        <f>IFERROR(VLOOKUP(G1808, Map!$A$1:$B$33, 2, FALSE),"WAS")</f>
        <v>SF</v>
      </c>
      <c r="G1808" t="s">
        <v>143</v>
      </c>
      <c r="H1808" t="str">
        <f>IFERROR(VLOOKUP(I1808, Map!$A$1:$B$33, 2, FALSE),"WAS")</f>
        <v>LA</v>
      </c>
      <c r="I1808" t="s">
        <v>155</v>
      </c>
      <c r="J1808" t="s">
        <v>197</v>
      </c>
      <c r="K1808" t="s">
        <v>178</v>
      </c>
      <c r="L1808">
        <v>0</v>
      </c>
      <c r="M1808">
        <v>0</v>
      </c>
      <c r="N1808">
        <v>32</v>
      </c>
      <c r="O1808">
        <v>0.5</v>
      </c>
      <c r="P1808">
        <v>-2.5</v>
      </c>
      <c r="Q1808">
        <v>15.5</v>
      </c>
      <c r="R1808">
        <v>11.8</v>
      </c>
      <c r="S1808">
        <v>15.4</v>
      </c>
      <c r="T1808">
        <v>10.5</v>
      </c>
      <c r="U1808">
        <v>10.4</v>
      </c>
      <c r="V1808">
        <v>3</v>
      </c>
      <c r="W1808">
        <v>0</v>
      </c>
      <c r="X1808">
        <v>9</v>
      </c>
      <c r="Y1808">
        <v>3</v>
      </c>
      <c r="Z1808">
        <v>16.899999999999999</v>
      </c>
      <c r="AA1808">
        <v>40.299999999999997</v>
      </c>
      <c r="AB1808">
        <v>134</v>
      </c>
      <c r="AC1808">
        <v>85</v>
      </c>
      <c r="AD1808">
        <v>19.399999999999999</v>
      </c>
      <c r="AE1808">
        <v>8.1999999999999993</v>
      </c>
      <c r="AF1808">
        <v>60.777000000000001</v>
      </c>
      <c r="AG1808">
        <v>68.635000000000005</v>
      </c>
      <c r="AH1808">
        <v>38.909999999999997</v>
      </c>
      <c r="AI1808">
        <v>68.549000000000007</v>
      </c>
      <c r="AJ1808">
        <v>11.372</v>
      </c>
      <c r="AK1808">
        <v>37.173000000000002</v>
      </c>
      <c r="AL1808">
        <v>4.0199999999999996</v>
      </c>
      <c r="AM1808">
        <v>38.909999999999997</v>
      </c>
      <c r="AN1808">
        <v>68.635000000000005</v>
      </c>
      <c r="AO1808">
        <v>60.777000000000001</v>
      </c>
      <c r="AP1808">
        <v>-4.0199999999999996</v>
      </c>
      <c r="AQ1808">
        <v>88.628</v>
      </c>
      <c r="AR1808">
        <v>31.451000000000001</v>
      </c>
      <c r="AS1808">
        <v>62.826999999999998</v>
      </c>
    </row>
    <row r="1809" spans="1:45" x14ac:dyDescent="0.25">
      <c r="A1809">
        <v>90</v>
      </c>
      <c r="B1809">
        <v>-6</v>
      </c>
      <c r="C1809">
        <v>0</v>
      </c>
      <c r="D1809">
        <v>2024</v>
      </c>
      <c r="E1809">
        <v>15</v>
      </c>
      <c r="F1809" t="str">
        <f>IFERROR(VLOOKUP(G1809, Map!$A$1:$B$33, 2, FALSE),"WAS")</f>
        <v>DET</v>
      </c>
      <c r="G1809" t="s">
        <v>164</v>
      </c>
      <c r="H1809" t="str">
        <f>IFERROR(VLOOKUP(I1809, Map!$A$1:$B$33, 2, FALSE),"WAS")</f>
        <v>BUF</v>
      </c>
      <c r="I1809" t="s">
        <v>165</v>
      </c>
      <c r="J1809" t="s">
        <v>173</v>
      </c>
      <c r="K1809" t="s">
        <v>180</v>
      </c>
      <c r="L1809">
        <v>0</v>
      </c>
      <c r="M1809">
        <v>0</v>
      </c>
      <c r="N1809">
        <v>72.5</v>
      </c>
      <c r="O1809">
        <v>4</v>
      </c>
      <c r="P1809">
        <v>-2.5</v>
      </c>
      <c r="Q1809">
        <v>55.5</v>
      </c>
      <c r="R1809">
        <v>2.2999999999999998</v>
      </c>
      <c r="S1809">
        <v>5.7</v>
      </c>
      <c r="T1809">
        <v>-0.7</v>
      </c>
      <c r="U1809">
        <v>-1.9</v>
      </c>
      <c r="V1809">
        <v>10</v>
      </c>
      <c r="W1809">
        <v>0</v>
      </c>
      <c r="X1809">
        <v>11</v>
      </c>
      <c r="Y1809">
        <v>10</v>
      </c>
      <c r="Z1809">
        <v>19.600000000000001</v>
      </c>
      <c r="AA1809">
        <v>42.5</v>
      </c>
      <c r="AB1809">
        <v>130</v>
      </c>
      <c r="AC1809">
        <v>88</v>
      </c>
      <c r="AD1809">
        <v>30.6</v>
      </c>
      <c r="AE1809">
        <v>15.4</v>
      </c>
      <c r="AF1809">
        <v>57.23</v>
      </c>
      <c r="AG1809">
        <v>94.849000000000004</v>
      </c>
      <c r="AH1809">
        <v>42.43</v>
      </c>
      <c r="AI1809">
        <v>2.7210000000000001</v>
      </c>
      <c r="AJ1809">
        <v>78.903000000000006</v>
      </c>
      <c r="AK1809">
        <v>17.324999999999999</v>
      </c>
      <c r="AL1809">
        <v>2.6619999999999999</v>
      </c>
      <c r="AM1809">
        <v>42.43</v>
      </c>
      <c r="AN1809">
        <v>94.849000000000004</v>
      </c>
      <c r="AO1809">
        <v>57.23</v>
      </c>
      <c r="AP1809">
        <v>-2.6619999999999999</v>
      </c>
      <c r="AQ1809">
        <v>21.097000000000001</v>
      </c>
      <c r="AR1809">
        <v>97.278999999999996</v>
      </c>
      <c r="AS1809">
        <v>82.674999999999997</v>
      </c>
    </row>
    <row r="1810" spans="1:45" x14ac:dyDescent="0.25">
      <c r="A1810">
        <v>28</v>
      </c>
      <c r="B1810">
        <v>-10</v>
      </c>
      <c r="C1810">
        <v>0</v>
      </c>
      <c r="D1810">
        <v>2024</v>
      </c>
      <c r="E1810">
        <v>16</v>
      </c>
      <c r="F1810" t="str">
        <f>IFERROR(VLOOKUP(G1810, Map!$A$1:$B$33, 2, FALSE),"WAS")</f>
        <v>NYJ</v>
      </c>
      <c r="G1810" t="s">
        <v>166</v>
      </c>
      <c r="H1810" t="str">
        <f>IFERROR(VLOOKUP(I1810, Map!$A$1:$B$33, 2, FALSE),"WAS")</f>
        <v>LA</v>
      </c>
      <c r="I1810" t="s">
        <v>155</v>
      </c>
      <c r="J1810" t="s">
        <v>172</v>
      </c>
      <c r="K1810" t="s">
        <v>178</v>
      </c>
      <c r="L1810">
        <v>0</v>
      </c>
      <c r="M1810">
        <v>0</v>
      </c>
      <c r="N1810">
        <v>39</v>
      </c>
      <c r="O1810">
        <v>5</v>
      </c>
      <c r="P1810">
        <v>2.5</v>
      </c>
      <c r="Q1810">
        <v>31.5</v>
      </c>
      <c r="R1810">
        <v>-8.1</v>
      </c>
      <c r="S1810">
        <v>-5.3</v>
      </c>
      <c r="T1810">
        <v>-10.199999999999999</v>
      </c>
      <c r="U1810">
        <v>-13.5</v>
      </c>
      <c r="V1810">
        <v>0</v>
      </c>
      <c r="W1810">
        <v>0</v>
      </c>
      <c r="X1810">
        <v>0</v>
      </c>
      <c r="Y1810">
        <v>0</v>
      </c>
      <c r="Z1810">
        <v>15.7</v>
      </c>
      <c r="AA1810">
        <v>35.6</v>
      </c>
      <c r="AB1810">
        <v>321</v>
      </c>
      <c r="AC1810">
        <v>60</v>
      </c>
      <c r="AD1810">
        <v>29</v>
      </c>
      <c r="AE1810">
        <v>12.1</v>
      </c>
      <c r="AF1810">
        <v>49.07</v>
      </c>
      <c r="AG1810">
        <v>55.548999999999999</v>
      </c>
      <c r="AH1810">
        <v>50.536000000000001</v>
      </c>
      <c r="AI1810">
        <v>42.673999999999999</v>
      </c>
      <c r="AJ1810">
        <v>21.713999999999999</v>
      </c>
      <c r="AK1810">
        <v>26.047000000000001</v>
      </c>
      <c r="AL1810">
        <v>-0.63400000000000001</v>
      </c>
      <c r="AM1810">
        <v>50.536000000000001</v>
      </c>
      <c r="AN1810">
        <v>55.548999999999999</v>
      </c>
      <c r="AO1810">
        <v>49.07</v>
      </c>
      <c r="AP1810">
        <v>0.63400000000000001</v>
      </c>
      <c r="AQ1810">
        <v>78.286000000000001</v>
      </c>
      <c r="AR1810">
        <v>57.326000000000001</v>
      </c>
      <c r="AS1810">
        <v>73.953000000000003</v>
      </c>
    </row>
    <row r="1811" spans="1:45" x14ac:dyDescent="0.25">
      <c r="A1811">
        <v>41</v>
      </c>
      <c r="B1811">
        <v>27</v>
      </c>
      <c r="C1811">
        <v>1</v>
      </c>
      <c r="D1811">
        <v>2024</v>
      </c>
      <c r="E1811">
        <v>16</v>
      </c>
      <c r="F1811" t="str">
        <f>IFERROR(VLOOKUP(G1811, Map!$A$1:$B$33, 2, FALSE),"WAS")</f>
        <v>ATL</v>
      </c>
      <c r="G1811" t="s">
        <v>167</v>
      </c>
      <c r="H1811" t="str">
        <f>IFERROR(VLOOKUP(I1811, Map!$A$1:$B$33, 2, FALSE),"WAS")</f>
        <v>NYG</v>
      </c>
      <c r="I1811" t="s">
        <v>149</v>
      </c>
      <c r="J1811" t="s">
        <v>188</v>
      </c>
      <c r="K1811" t="s">
        <v>219</v>
      </c>
      <c r="L1811">
        <v>1</v>
      </c>
      <c r="M1811">
        <v>0</v>
      </c>
      <c r="N1811">
        <v>43.5</v>
      </c>
      <c r="O1811">
        <v>-16.5</v>
      </c>
      <c r="P1811">
        <v>-9.5</v>
      </c>
      <c r="Q1811">
        <v>43.5</v>
      </c>
      <c r="R1811">
        <v>1.4</v>
      </c>
      <c r="S1811">
        <v>6.8</v>
      </c>
      <c r="T1811">
        <v>-2.2000000000000002</v>
      </c>
      <c r="U1811">
        <v>-2.4</v>
      </c>
      <c r="V1811">
        <v>0</v>
      </c>
      <c r="W1811">
        <v>0</v>
      </c>
      <c r="X1811">
        <v>0</v>
      </c>
      <c r="Y1811">
        <v>0</v>
      </c>
      <c r="Z1811">
        <v>12.5</v>
      </c>
      <c r="AA1811">
        <v>28.4</v>
      </c>
      <c r="AB1811">
        <v>42</v>
      </c>
      <c r="AC1811">
        <v>69</v>
      </c>
      <c r="AD1811">
        <v>18.3</v>
      </c>
      <c r="AE1811">
        <v>7.8</v>
      </c>
      <c r="AF1811">
        <v>63.186999999999998</v>
      </c>
      <c r="AG1811">
        <v>33.786000000000001</v>
      </c>
      <c r="AH1811">
        <v>36.520000000000003</v>
      </c>
      <c r="AI1811">
        <v>99.043999999999997</v>
      </c>
      <c r="AJ1811">
        <v>70.683999999999997</v>
      </c>
      <c r="AK1811">
        <v>95.415999999999997</v>
      </c>
      <c r="AL1811">
        <v>5.03</v>
      </c>
      <c r="AM1811">
        <v>36.520000000000003</v>
      </c>
      <c r="AN1811">
        <v>33.786000000000001</v>
      </c>
      <c r="AO1811">
        <v>63.186999999999998</v>
      </c>
      <c r="AP1811">
        <v>-5.03</v>
      </c>
      <c r="AQ1811">
        <v>29.315999999999999</v>
      </c>
      <c r="AR1811">
        <v>0.95599999999999996</v>
      </c>
      <c r="AS1811">
        <v>4.5839999999999996</v>
      </c>
    </row>
    <row r="1812" spans="1:45" x14ac:dyDescent="0.25">
      <c r="A1812">
        <v>66</v>
      </c>
      <c r="B1812">
        <v>6</v>
      </c>
      <c r="C1812">
        <v>1</v>
      </c>
      <c r="D1812">
        <v>2024</v>
      </c>
      <c r="E1812">
        <v>16</v>
      </c>
      <c r="F1812" t="str">
        <f>IFERROR(VLOOKUP(G1812, Map!$A$1:$B$33, 2, FALSE),"WAS")</f>
        <v>CAR</v>
      </c>
      <c r="G1812" t="s">
        <v>142</v>
      </c>
      <c r="H1812" t="str">
        <f>IFERROR(VLOOKUP(I1812, Map!$A$1:$B$33, 2, FALSE),"WAS")</f>
        <v>ARI</v>
      </c>
      <c r="I1812" t="s">
        <v>156</v>
      </c>
      <c r="J1812" t="s">
        <v>185</v>
      </c>
      <c r="K1812" t="s">
        <v>190</v>
      </c>
      <c r="L1812">
        <v>1</v>
      </c>
      <c r="M1812">
        <v>0</v>
      </c>
      <c r="N1812">
        <v>55.5</v>
      </c>
      <c r="O1812">
        <v>1.5</v>
      </c>
      <c r="P1812">
        <v>-2.5</v>
      </c>
      <c r="Q1812">
        <v>47.5</v>
      </c>
      <c r="R1812">
        <v>-0.5</v>
      </c>
      <c r="S1812">
        <v>3.3</v>
      </c>
      <c r="T1812">
        <v>-4.5</v>
      </c>
      <c r="U1812">
        <v>-5.0999999999999996</v>
      </c>
      <c r="V1812">
        <v>0</v>
      </c>
      <c r="W1812">
        <v>0</v>
      </c>
      <c r="X1812">
        <v>0</v>
      </c>
      <c r="Y1812">
        <v>0</v>
      </c>
      <c r="Z1812">
        <v>15.6</v>
      </c>
      <c r="AA1812">
        <v>31.3</v>
      </c>
      <c r="AB1812">
        <v>30</v>
      </c>
      <c r="AC1812">
        <v>57</v>
      </c>
      <c r="AD1812">
        <v>23.6</v>
      </c>
      <c r="AE1812">
        <v>10.199999999999999</v>
      </c>
      <c r="AF1812">
        <v>26.029</v>
      </c>
      <c r="AG1812">
        <v>30.308</v>
      </c>
      <c r="AH1812">
        <v>73.762</v>
      </c>
      <c r="AI1812">
        <v>46.953000000000003</v>
      </c>
      <c r="AJ1812">
        <v>81.457999999999998</v>
      </c>
      <c r="AK1812">
        <v>63.667000000000002</v>
      </c>
      <c r="AL1812">
        <v>-9.5670000000000002</v>
      </c>
      <c r="AM1812">
        <v>73.762</v>
      </c>
      <c r="AN1812">
        <v>30.308</v>
      </c>
      <c r="AO1812">
        <v>26.029</v>
      </c>
      <c r="AP1812">
        <v>9.5670000000000002</v>
      </c>
      <c r="AQ1812">
        <v>18.542000000000002</v>
      </c>
      <c r="AR1812">
        <v>53.046999999999997</v>
      </c>
      <c r="AS1812">
        <v>36.332999999999998</v>
      </c>
    </row>
    <row r="1813" spans="1:45" x14ac:dyDescent="0.25">
      <c r="A1813">
        <v>34</v>
      </c>
      <c r="B1813">
        <v>34</v>
      </c>
      <c r="C1813">
        <v>1</v>
      </c>
      <c r="D1813">
        <v>2024</v>
      </c>
      <c r="E1813">
        <v>16</v>
      </c>
      <c r="F1813" t="str">
        <f>IFERROR(VLOOKUP(G1813, Map!$A$1:$B$33, 2, FALSE),"WAS")</f>
        <v>GB</v>
      </c>
      <c r="G1813" t="s">
        <v>154</v>
      </c>
      <c r="H1813" t="str">
        <f>IFERROR(VLOOKUP(I1813, Map!$A$1:$B$33, 2, FALSE),"WAS")</f>
        <v>NO</v>
      </c>
      <c r="I1813" t="s">
        <v>168</v>
      </c>
      <c r="J1813" t="s">
        <v>200</v>
      </c>
      <c r="K1813" t="s">
        <v>192</v>
      </c>
      <c r="L1813">
        <v>1</v>
      </c>
      <c r="M1813">
        <v>0</v>
      </c>
      <c r="N1813">
        <v>38.5</v>
      </c>
      <c r="O1813">
        <v>-22</v>
      </c>
      <c r="P1813">
        <v>-14.5</v>
      </c>
      <c r="Q1813">
        <v>33.5</v>
      </c>
      <c r="R1813">
        <v>-2.8</v>
      </c>
      <c r="S1813">
        <v>0.8</v>
      </c>
      <c r="T1813">
        <v>-5</v>
      </c>
      <c r="U1813">
        <v>-6.9</v>
      </c>
      <c r="V1813">
        <v>0</v>
      </c>
      <c r="W1813">
        <v>0</v>
      </c>
      <c r="X1813">
        <v>0</v>
      </c>
      <c r="Y1813">
        <v>0</v>
      </c>
      <c r="Z1813">
        <v>15.8</v>
      </c>
      <c r="AA1813">
        <v>30.2</v>
      </c>
      <c r="AB1813">
        <v>1</v>
      </c>
      <c r="AC1813">
        <v>82</v>
      </c>
      <c r="AD1813">
        <v>19.399999999999999</v>
      </c>
      <c r="AE1813">
        <v>9.1</v>
      </c>
      <c r="AF1813">
        <v>82.664000000000001</v>
      </c>
      <c r="AG1813">
        <v>68.489999999999995</v>
      </c>
      <c r="AH1813">
        <v>17.198</v>
      </c>
      <c r="AI1813">
        <v>94.367000000000004</v>
      </c>
      <c r="AJ1813">
        <v>92.518000000000001</v>
      </c>
      <c r="AK1813">
        <v>98.525000000000006</v>
      </c>
      <c r="AL1813">
        <v>14.52</v>
      </c>
      <c r="AM1813">
        <v>17.198</v>
      </c>
      <c r="AN1813">
        <v>68.489999999999995</v>
      </c>
      <c r="AO1813">
        <v>82.664000000000001</v>
      </c>
      <c r="AP1813">
        <v>-14.52</v>
      </c>
      <c r="AQ1813">
        <v>7.4820000000000002</v>
      </c>
      <c r="AR1813">
        <v>5.633</v>
      </c>
      <c r="AS1813">
        <v>1.4750000000000001</v>
      </c>
    </row>
    <row r="1814" spans="1:45" x14ac:dyDescent="0.25">
      <c r="A1814">
        <v>45</v>
      </c>
      <c r="B1814">
        <v>3</v>
      </c>
      <c r="C1814">
        <v>1</v>
      </c>
      <c r="D1814">
        <v>2024</v>
      </c>
      <c r="E1814">
        <v>16</v>
      </c>
      <c r="F1814" t="str">
        <f>IFERROR(VLOOKUP(G1814, Map!$A$1:$B$33, 2, FALSE),"WAS")</f>
        <v>BUF</v>
      </c>
      <c r="G1814" t="s">
        <v>165</v>
      </c>
      <c r="H1814" t="str">
        <f>IFERROR(VLOOKUP(I1814, Map!$A$1:$B$33, 2, FALSE),"WAS")</f>
        <v>NE</v>
      </c>
      <c r="I1814" t="s">
        <v>151</v>
      </c>
      <c r="J1814" t="s">
        <v>180</v>
      </c>
      <c r="K1814" t="s">
        <v>187</v>
      </c>
      <c r="L1814">
        <v>1</v>
      </c>
      <c r="M1814">
        <v>0</v>
      </c>
      <c r="N1814">
        <v>43</v>
      </c>
      <c r="O1814">
        <v>-11.5</v>
      </c>
      <c r="P1814">
        <v>-8.5</v>
      </c>
      <c r="Q1814">
        <v>38.5</v>
      </c>
      <c r="R1814">
        <v>-0.4</v>
      </c>
      <c r="S1814">
        <v>3.3</v>
      </c>
      <c r="T1814">
        <v>-4.2</v>
      </c>
      <c r="U1814">
        <v>-4.9000000000000004</v>
      </c>
      <c r="V1814">
        <v>0</v>
      </c>
      <c r="W1814">
        <v>0</v>
      </c>
      <c r="X1814">
        <v>0</v>
      </c>
      <c r="Y1814">
        <v>0</v>
      </c>
      <c r="Z1814">
        <v>15.5</v>
      </c>
      <c r="AA1814">
        <v>28.1</v>
      </c>
      <c r="AB1814">
        <v>30</v>
      </c>
      <c r="AC1814">
        <v>57</v>
      </c>
      <c r="AD1814">
        <v>21.7</v>
      </c>
      <c r="AE1814">
        <v>10.3</v>
      </c>
      <c r="AF1814">
        <v>82.397000000000006</v>
      </c>
      <c r="AG1814">
        <v>53.220999999999997</v>
      </c>
      <c r="AH1814">
        <v>17.463000000000001</v>
      </c>
      <c r="AI1814">
        <v>74.516999999999996</v>
      </c>
      <c r="AJ1814">
        <v>55.953000000000003</v>
      </c>
      <c r="AK1814">
        <v>69.998000000000005</v>
      </c>
      <c r="AL1814">
        <v>14.095000000000001</v>
      </c>
      <c r="AM1814">
        <v>17.463000000000001</v>
      </c>
      <c r="AN1814">
        <v>53.220999999999997</v>
      </c>
      <c r="AO1814">
        <v>82.397000000000006</v>
      </c>
      <c r="AP1814">
        <v>-14.095000000000001</v>
      </c>
      <c r="AQ1814">
        <v>44.046999999999997</v>
      </c>
      <c r="AR1814">
        <v>25.483000000000001</v>
      </c>
      <c r="AS1814">
        <v>30.001999999999999</v>
      </c>
    </row>
    <row r="1815" spans="1:45" x14ac:dyDescent="0.25">
      <c r="A1815">
        <v>46</v>
      </c>
      <c r="B1815">
        <v>8</v>
      </c>
      <c r="C1815">
        <v>1</v>
      </c>
      <c r="D1815">
        <v>2024</v>
      </c>
      <c r="E1815">
        <v>16</v>
      </c>
      <c r="F1815" t="str">
        <f>IFERROR(VLOOKUP(G1815, Map!$A$1:$B$33, 2, FALSE),"WAS")</f>
        <v>KC</v>
      </c>
      <c r="G1815" t="s">
        <v>158</v>
      </c>
      <c r="H1815" t="str">
        <f>IFERROR(VLOOKUP(I1815, Map!$A$1:$B$33, 2, FALSE),"WAS")</f>
        <v>HOU</v>
      </c>
      <c r="I1815" t="s">
        <v>137</v>
      </c>
      <c r="J1815" t="s">
        <v>202</v>
      </c>
      <c r="K1815" t="s">
        <v>209</v>
      </c>
      <c r="L1815">
        <v>1</v>
      </c>
      <c r="M1815">
        <v>0</v>
      </c>
      <c r="N1815">
        <v>44.5</v>
      </c>
      <c r="O1815">
        <v>-5.5</v>
      </c>
      <c r="P1815">
        <v>-3.5</v>
      </c>
      <c r="Q1815">
        <v>42.5</v>
      </c>
      <c r="R1815">
        <v>-3.5</v>
      </c>
      <c r="S1815">
        <v>1</v>
      </c>
      <c r="T1815">
        <v>-7.8</v>
      </c>
      <c r="U1815">
        <v>-7.3</v>
      </c>
      <c r="V1815">
        <v>0</v>
      </c>
      <c r="W1815">
        <v>0</v>
      </c>
      <c r="X1815">
        <v>0</v>
      </c>
      <c r="Y1815">
        <v>0</v>
      </c>
      <c r="Z1815">
        <v>6.5</v>
      </c>
      <c r="AA1815">
        <v>16.899999999999999</v>
      </c>
      <c r="AB1815">
        <v>94</v>
      </c>
      <c r="AC1815">
        <v>69</v>
      </c>
      <c r="AD1815">
        <v>13.2</v>
      </c>
      <c r="AE1815">
        <v>4.5999999999999996</v>
      </c>
      <c r="AF1815">
        <v>61.045000000000002</v>
      </c>
      <c r="AG1815">
        <v>70.319000000000003</v>
      </c>
      <c r="AH1815">
        <v>38.645000000000003</v>
      </c>
      <c r="AI1815">
        <v>48.259</v>
      </c>
      <c r="AJ1815">
        <v>72.531999999999996</v>
      </c>
      <c r="AK1815">
        <v>67.92</v>
      </c>
      <c r="AL1815">
        <v>4.1859999999999999</v>
      </c>
      <c r="AM1815">
        <v>38.645000000000003</v>
      </c>
      <c r="AN1815">
        <v>70.319000000000003</v>
      </c>
      <c r="AO1815">
        <v>61.045000000000002</v>
      </c>
      <c r="AP1815">
        <v>-4.1859999999999999</v>
      </c>
      <c r="AQ1815">
        <v>27.468</v>
      </c>
      <c r="AR1815">
        <v>51.741</v>
      </c>
      <c r="AS1815">
        <v>32.08</v>
      </c>
    </row>
    <row r="1816" spans="1:45" x14ac:dyDescent="0.25">
      <c r="A1816">
        <v>51</v>
      </c>
      <c r="B1816">
        <v>-17</v>
      </c>
      <c r="C1816">
        <v>0</v>
      </c>
      <c r="D1816">
        <v>2024</v>
      </c>
      <c r="E1816">
        <v>16</v>
      </c>
      <c r="F1816" t="str">
        <f>IFERROR(VLOOKUP(G1816, Map!$A$1:$B$33, 2, FALSE),"WAS")</f>
        <v>CHI</v>
      </c>
      <c r="G1816" t="s">
        <v>163</v>
      </c>
      <c r="H1816" t="str">
        <f>IFERROR(VLOOKUP(I1816, Map!$A$1:$B$33, 2, FALSE),"WAS")</f>
        <v>DET</v>
      </c>
      <c r="I1816" t="s">
        <v>164</v>
      </c>
      <c r="J1816" t="s">
        <v>216</v>
      </c>
      <c r="K1816" t="s">
        <v>173</v>
      </c>
      <c r="L1816">
        <v>0</v>
      </c>
      <c r="M1816">
        <v>0</v>
      </c>
      <c r="N1816">
        <v>52.5</v>
      </c>
      <c r="O1816">
        <v>8.5</v>
      </c>
      <c r="P1816">
        <v>6.5</v>
      </c>
      <c r="Q1816">
        <v>47.5</v>
      </c>
      <c r="R1816">
        <v>-5.6</v>
      </c>
      <c r="S1816">
        <v>-0.3</v>
      </c>
      <c r="T1816">
        <v>-9.8000000000000007</v>
      </c>
      <c r="U1816">
        <v>-10</v>
      </c>
      <c r="V1816">
        <v>0</v>
      </c>
      <c r="W1816">
        <v>0</v>
      </c>
      <c r="X1816">
        <v>0</v>
      </c>
      <c r="Y1816">
        <v>0</v>
      </c>
      <c r="Z1816">
        <v>16.100000000000001</v>
      </c>
      <c r="AA1816">
        <v>34.9</v>
      </c>
      <c r="AB1816">
        <v>187</v>
      </c>
      <c r="AC1816">
        <v>74</v>
      </c>
      <c r="AD1816">
        <v>18.600000000000001</v>
      </c>
      <c r="AE1816">
        <v>8.3000000000000007</v>
      </c>
      <c r="AF1816">
        <v>27.754999999999999</v>
      </c>
      <c r="AG1816">
        <v>68.456999999999994</v>
      </c>
      <c r="AH1816">
        <v>72.022000000000006</v>
      </c>
      <c r="AI1816">
        <v>4.78</v>
      </c>
      <c r="AJ1816">
        <v>23.483000000000001</v>
      </c>
      <c r="AK1816">
        <v>6.766</v>
      </c>
      <c r="AL1816">
        <v>-8.8140000000000001</v>
      </c>
      <c r="AM1816">
        <v>72.022000000000006</v>
      </c>
      <c r="AN1816">
        <v>68.456999999999994</v>
      </c>
      <c r="AO1816">
        <v>27.754999999999999</v>
      </c>
      <c r="AP1816">
        <v>8.8140000000000001</v>
      </c>
      <c r="AQ1816">
        <v>76.516999999999996</v>
      </c>
      <c r="AR1816">
        <v>95.22</v>
      </c>
      <c r="AS1816">
        <v>93.233999999999995</v>
      </c>
    </row>
    <row r="1817" spans="1:45" x14ac:dyDescent="0.25">
      <c r="A1817">
        <v>33</v>
      </c>
      <c r="B1817">
        <v>5</v>
      </c>
      <c r="C1817">
        <v>1</v>
      </c>
      <c r="D1817">
        <v>2024</v>
      </c>
      <c r="E1817">
        <v>16</v>
      </c>
      <c r="F1817" t="str">
        <f>IFERROR(VLOOKUP(G1817, Map!$A$1:$B$33, 2, FALSE),"WAS")</f>
        <v>LV</v>
      </c>
      <c r="G1817" t="s">
        <v>157</v>
      </c>
      <c r="H1817" t="str">
        <f>IFERROR(VLOOKUP(I1817, Map!$A$1:$B$33, 2, FALSE),"WAS")</f>
        <v>JAX</v>
      </c>
      <c r="I1817" t="s">
        <v>139</v>
      </c>
      <c r="J1817" t="s">
        <v>179</v>
      </c>
      <c r="K1817" t="s">
        <v>220</v>
      </c>
      <c r="L1817">
        <v>1</v>
      </c>
      <c r="M1817">
        <v>0</v>
      </c>
      <c r="N1817">
        <v>37.5</v>
      </c>
      <c r="O1817">
        <v>-4</v>
      </c>
      <c r="P1817">
        <v>-2.5</v>
      </c>
      <c r="Q1817">
        <v>33.5</v>
      </c>
      <c r="R1817">
        <v>11.3</v>
      </c>
      <c r="S1817">
        <v>18</v>
      </c>
      <c r="T1817">
        <v>7.2</v>
      </c>
      <c r="U1817">
        <v>7.9</v>
      </c>
      <c r="V1817">
        <v>0</v>
      </c>
      <c r="W1817">
        <v>0</v>
      </c>
      <c r="X1817">
        <v>0</v>
      </c>
      <c r="Y1817">
        <v>0</v>
      </c>
      <c r="Z1817">
        <v>4.5</v>
      </c>
      <c r="AA1817">
        <v>13.3</v>
      </c>
      <c r="AB1817">
        <v>259</v>
      </c>
      <c r="AC1817">
        <v>27</v>
      </c>
      <c r="AD1817">
        <v>7</v>
      </c>
      <c r="AE1817">
        <v>2.7</v>
      </c>
      <c r="AF1817">
        <v>58.366999999999997</v>
      </c>
      <c r="AG1817">
        <v>24.358000000000001</v>
      </c>
      <c r="AH1817">
        <v>41.301000000000002</v>
      </c>
      <c r="AI1817">
        <v>77.972999999999999</v>
      </c>
      <c r="AJ1817">
        <v>41.5</v>
      </c>
      <c r="AK1817">
        <v>60.098999999999997</v>
      </c>
      <c r="AL1817">
        <v>3.0369999999999999</v>
      </c>
      <c r="AM1817">
        <v>41.301000000000002</v>
      </c>
      <c r="AN1817">
        <v>24.358000000000001</v>
      </c>
      <c r="AO1817">
        <v>58.366999999999997</v>
      </c>
      <c r="AP1817">
        <v>-3.0369999999999999</v>
      </c>
      <c r="AQ1817">
        <v>58.5</v>
      </c>
      <c r="AR1817">
        <v>22.027000000000001</v>
      </c>
      <c r="AS1817">
        <v>39.901000000000003</v>
      </c>
    </row>
    <row r="1818" spans="1:45" x14ac:dyDescent="0.25">
      <c r="A1818">
        <v>68</v>
      </c>
      <c r="B1818">
        <v>8</v>
      </c>
      <c r="C1818">
        <v>1</v>
      </c>
      <c r="D1818">
        <v>2024</v>
      </c>
      <c r="E1818">
        <v>16</v>
      </c>
      <c r="F1818" t="str">
        <f>IFERROR(VLOOKUP(G1818, Map!$A$1:$B$33, 2, FALSE),"WAS")</f>
        <v>IND</v>
      </c>
      <c r="G1818" t="s">
        <v>138</v>
      </c>
      <c r="H1818" t="str">
        <f>IFERROR(VLOOKUP(I1818, Map!$A$1:$B$33, 2, FALSE),"WAS")</f>
        <v>TEN</v>
      </c>
      <c r="I1818" t="s">
        <v>140</v>
      </c>
      <c r="J1818" t="s">
        <v>177</v>
      </c>
      <c r="K1818" t="s">
        <v>174</v>
      </c>
      <c r="L1818">
        <v>1</v>
      </c>
      <c r="M1818">
        <v>0</v>
      </c>
      <c r="N1818">
        <v>56</v>
      </c>
      <c r="O1818">
        <v>-6.5</v>
      </c>
      <c r="P1818">
        <v>-4.5</v>
      </c>
      <c r="Q1818">
        <v>43.5</v>
      </c>
      <c r="R1818">
        <v>-2.5</v>
      </c>
      <c r="S1818">
        <v>0.8</v>
      </c>
      <c r="T1818">
        <v>-6.6</v>
      </c>
      <c r="U1818">
        <v>-6.7</v>
      </c>
      <c r="V1818">
        <v>0</v>
      </c>
      <c r="W1818">
        <v>0</v>
      </c>
      <c r="X1818">
        <v>0</v>
      </c>
      <c r="Y1818">
        <v>0</v>
      </c>
      <c r="Z1818">
        <v>11.2</v>
      </c>
      <c r="AA1818">
        <v>27</v>
      </c>
      <c r="AB1818">
        <v>132</v>
      </c>
      <c r="AC1818">
        <v>66</v>
      </c>
      <c r="AD1818">
        <v>16.100000000000001</v>
      </c>
      <c r="AE1818">
        <v>7.2</v>
      </c>
      <c r="AF1818">
        <v>50.134999999999998</v>
      </c>
      <c r="AG1818">
        <v>22.402000000000001</v>
      </c>
      <c r="AH1818">
        <v>49.468000000000004</v>
      </c>
      <c r="AI1818">
        <v>57.723999999999997</v>
      </c>
      <c r="AJ1818">
        <v>91.474999999999994</v>
      </c>
      <c r="AK1818">
        <v>89.302999999999997</v>
      </c>
      <c r="AL1818">
        <v>-3.9E-2</v>
      </c>
      <c r="AM1818">
        <v>49.468000000000004</v>
      </c>
      <c r="AN1818">
        <v>22.402000000000001</v>
      </c>
      <c r="AO1818">
        <v>50.134999999999998</v>
      </c>
      <c r="AP1818">
        <v>3.9E-2</v>
      </c>
      <c r="AQ1818">
        <v>8.5250000000000004</v>
      </c>
      <c r="AR1818">
        <v>42.276000000000003</v>
      </c>
      <c r="AS1818">
        <v>10.696999999999999</v>
      </c>
    </row>
    <row r="1819" spans="1:45" x14ac:dyDescent="0.25">
      <c r="A1819">
        <v>51</v>
      </c>
      <c r="B1819">
        <v>-3</v>
      </c>
      <c r="C1819">
        <v>0</v>
      </c>
      <c r="D1819">
        <v>2024</v>
      </c>
      <c r="E1819">
        <v>16</v>
      </c>
      <c r="F1819" t="str">
        <f>IFERROR(VLOOKUP(G1819, Map!$A$1:$B$33, 2, FALSE),"WAS")</f>
        <v>SEA</v>
      </c>
      <c r="G1819" t="s">
        <v>144</v>
      </c>
      <c r="H1819" t="str">
        <f>IFERROR(VLOOKUP(I1819, Map!$A$1:$B$33, 2, FALSE),"WAS")</f>
        <v>MIN</v>
      </c>
      <c r="I1819" t="s">
        <v>153</v>
      </c>
      <c r="J1819" t="s">
        <v>182</v>
      </c>
      <c r="K1819" t="s">
        <v>214</v>
      </c>
      <c r="L1819">
        <v>0</v>
      </c>
      <c r="M1819">
        <v>0</v>
      </c>
      <c r="N1819">
        <v>45.5</v>
      </c>
      <c r="O1819">
        <v>0.5</v>
      </c>
      <c r="P1819">
        <v>-1.5</v>
      </c>
      <c r="Q1819">
        <v>43.5</v>
      </c>
      <c r="R1819">
        <v>7.2</v>
      </c>
      <c r="S1819">
        <v>9.3000000000000007</v>
      </c>
      <c r="T1819">
        <v>4.8</v>
      </c>
      <c r="U1819">
        <v>4.5999999999999996</v>
      </c>
      <c r="V1819">
        <v>7.1</v>
      </c>
      <c r="W1819">
        <v>0</v>
      </c>
      <c r="X1819">
        <v>9</v>
      </c>
      <c r="Y1819">
        <v>7.1</v>
      </c>
      <c r="Z1819">
        <v>23</v>
      </c>
      <c r="AA1819">
        <v>43.6</v>
      </c>
      <c r="AB1819">
        <v>141</v>
      </c>
      <c r="AC1819">
        <v>87</v>
      </c>
      <c r="AD1819">
        <v>21</v>
      </c>
      <c r="AE1819">
        <v>10</v>
      </c>
      <c r="AF1819">
        <v>41.898000000000003</v>
      </c>
      <c r="AG1819">
        <v>64.138999999999996</v>
      </c>
      <c r="AH1819">
        <v>57.765000000000001</v>
      </c>
      <c r="AI1819">
        <v>39.866999999999997</v>
      </c>
      <c r="AJ1819">
        <v>52.308</v>
      </c>
      <c r="AK1819">
        <v>42.207000000000001</v>
      </c>
      <c r="AL1819">
        <v>-3.238</v>
      </c>
      <c r="AM1819">
        <v>57.765000000000001</v>
      </c>
      <c r="AN1819">
        <v>64.138999999999996</v>
      </c>
      <c r="AO1819">
        <v>41.898000000000003</v>
      </c>
      <c r="AP1819">
        <v>3.238</v>
      </c>
      <c r="AQ1819">
        <v>47.692</v>
      </c>
      <c r="AR1819">
        <v>60.133000000000003</v>
      </c>
      <c r="AS1819">
        <v>57.792999999999999</v>
      </c>
    </row>
    <row r="1820" spans="1:45" x14ac:dyDescent="0.25">
      <c r="A1820">
        <v>51</v>
      </c>
      <c r="B1820">
        <v>17</v>
      </c>
      <c r="C1820">
        <v>1</v>
      </c>
      <c r="D1820">
        <v>2024</v>
      </c>
      <c r="E1820">
        <v>16</v>
      </c>
      <c r="F1820" t="str">
        <f>IFERROR(VLOOKUP(G1820, Map!$A$1:$B$33, 2, FALSE),"WAS")</f>
        <v>BAL</v>
      </c>
      <c r="G1820" t="s">
        <v>146</v>
      </c>
      <c r="H1820" t="str">
        <f>IFERROR(VLOOKUP(I1820, Map!$A$1:$B$33, 2, FALSE),"WAS")</f>
        <v>PIT</v>
      </c>
      <c r="I1820" t="s">
        <v>145</v>
      </c>
      <c r="J1820" t="s">
        <v>181</v>
      </c>
      <c r="K1820" t="s">
        <v>170</v>
      </c>
      <c r="L1820">
        <v>1</v>
      </c>
      <c r="M1820">
        <v>0</v>
      </c>
      <c r="N1820">
        <v>50</v>
      </c>
      <c r="O1820">
        <v>-14</v>
      </c>
      <c r="P1820">
        <v>-7.5</v>
      </c>
      <c r="Q1820">
        <v>45.5</v>
      </c>
      <c r="R1820">
        <v>0.7</v>
      </c>
      <c r="S1820">
        <v>2.6</v>
      </c>
      <c r="T1820">
        <v>-1.2</v>
      </c>
      <c r="U1820">
        <v>-4.3</v>
      </c>
      <c r="V1820">
        <v>0.3</v>
      </c>
      <c r="W1820">
        <v>7.0000000000000007E-2</v>
      </c>
      <c r="X1820">
        <v>2</v>
      </c>
      <c r="Y1820">
        <v>0.2</v>
      </c>
      <c r="Z1820">
        <v>21.5</v>
      </c>
      <c r="AA1820">
        <v>55.8</v>
      </c>
      <c r="AB1820">
        <v>316</v>
      </c>
      <c r="AC1820">
        <v>70</v>
      </c>
      <c r="AD1820">
        <v>35.5</v>
      </c>
      <c r="AE1820">
        <v>15.9</v>
      </c>
      <c r="AF1820">
        <v>66.599999999999994</v>
      </c>
      <c r="AG1820">
        <v>77.17</v>
      </c>
      <c r="AH1820">
        <v>33.134</v>
      </c>
      <c r="AI1820">
        <v>80.884</v>
      </c>
      <c r="AJ1820">
        <v>79.122</v>
      </c>
      <c r="AK1820">
        <v>85.433999999999997</v>
      </c>
      <c r="AL1820">
        <v>6.5810000000000004</v>
      </c>
      <c r="AM1820">
        <v>33.134</v>
      </c>
      <c r="AN1820">
        <v>77.17</v>
      </c>
      <c r="AO1820">
        <v>66.599999999999994</v>
      </c>
      <c r="AP1820">
        <v>-6.5810000000000004</v>
      </c>
      <c r="AQ1820">
        <v>20.878</v>
      </c>
      <c r="AR1820">
        <v>19.116</v>
      </c>
      <c r="AS1820">
        <v>14.566000000000001</v>
      </c>
    </row>
    <row r="1821" spans="1:45" x14ac:dyDescent="0.25">
      <c r="A1821">
        <v>69</v>
      </c>
      <c r="B1821">
        <v>3</v>
      </c>
      <c r="C1821">
        <v>1</v>
      </c>
      <c r="D1821">
        <v>2024</v>
      </c>
      <c r="E1821">
        <v>16</v>
      </c>
      <c r="F1821" t="str">
        <f>IFERROR(VLOOKUP(G1821, Map!$A$1:$B$33, 2, FALSE),"WAS")</f>
        <v>WAS</v>
      </c>
      <c r="G1821" t="s">
        <v>148</v>
      </c>
      <c r="H1821" t="str">
        <f>IFERROR(VLOOKUP(I1821, Map!$A$1:$B$33, 2, FALSE),"WAS")</f>
        <v>PHI</v>
      </c>
      <c r="I1821" t="s">
        <v>147</v>
      </c>
      <c r="J1821" t="s">
        <v>205</v>
      </c>
      <c r="K1821" t="s">
        <v>206</v>
      </c>
      <c r="L1821">
        <v>1</v>
      </c>
      <c r="M1821">
        <v>0</v>
      </c>
      <c r="N1821">
        <v>53</v>
      </c>
      <c r="O1821">
        <v>3</v>
      </c>
      <c r="P1821">
        <v>1.5</v>
      </c>
      <c r="Q1821">
        <v>47.5</v>
      </c>
      <c r="R1821">
        <v>-2.5</v>
      </c>
      <c r="S1821">
        <v>-0.7</v>
      </c>
      <c r="T1821">
        <v>-4.5</v>
      </c>
      <c r="U1821">
        <v>-7.3</v>
      </c>
      <c r="V1821">
        <v>0</v>
      </c>
      <c r="W1821">
        <v>0</v>
      </c>
      <c r="X1821">
        <v>0</v>
      </c>
      <c r="Y1821">
        <v>0</v>
      </c>
      <c r="Z1821">
        <v>15.9</v>
      </c>
      <c r="AA1821">
        <v>38.200000000000003</v>
      </c>
      <c r="AB1821">
        <v>340</v>
      </c>
      <c r="AC1821">
        <v>47</v>
      </c>
      <c r="AD1821">
        <v>22.8</v>
      </c>
      <c r="AE1821">
        <v>9.1</v>
      </c>
      <c r="AF1821">
        <v>40.57</v>
      </c>
      <c r="AG1821">
        <v>71.617999999999995</v>
      </c>
      <c r="AH1821">
        <v>59.103999999999999</v>
      </c>
      <c r="AI1821">
        <v>41.822000000000003</v>
      </c>
      <c r="AJ1821">
        <v>40.261000000000003</v>
      </c>
      <c r="AK1821">
        <v>50.357999999999997</v>
      </c>
      <c r="AL1821">
        <v>-3.21</v>
      </c>
      <c r="AM1821">
        <v>59.103999999999999</v>
      </c>
      <c r="AN1821">
        <v>71.617999999999995</v>
      </c>
      <c r="AO1821">
        <v>40.57</v>
      </c>
      <c r="AP1821">
        <v>3.21</v>
      </c>
      <c r="AQ1821">
        <v>59.738999999999997</v>
      </c>
      <c r="AR1821">
        <v>58.177999999999997</v>
      </c>
      <c r="AS1821">
        <v>49.642000000000003</v>
      </c>
    </row>
    <row r="1822" spans="1:45" x14ac:dyDescent="0.25">
      <c r="A1822">
        <v>61</v>
      </c>
      <c r="B1822">
        <v>7</v>
      </c>
      <c r="C1822">
        <v>1</v>
      </c>
      <c r="D1822">
        <v>2024</v>
      </c>
      <c r="E1822">
        <v>16</v>
      </c>
      <c r="F1822" t="str">
        <f>IFERROR(VLOOKUP(G1822, Map!$A$1:$B$33, 2, FALSE),"WAS")</f>
        <v>LAC</v>
      </c>
      <c r="G1822" t="s">
        <v>160</v>
      </c>
      <c r="H1822" t="str">
        <f>IFERROR(VLOOKUP(I1822, Map!$A$1:$B$33, 2, FALSE),"WAS")</f>
        <v>DEN</v>
      </c>
      <c r="I1822" t="s">
        <v>159</v>
      </c>
      <c r="J1822" t="s">
        <v>210</v>
      </c>
      <c r="K1822" t="s">
        <v>183</v>
      </c>
      <c r="L1822">
        <v>1</v>
      </c>
      <c r="M1822">
        <v>0</v>
      </c>
      <c r="N1822">
        <v>49</v>
      </c>
      <c r="O1822">
        <v>-3.5</v>
      </c>
      <c r="P1822">
        <v>-2.5</v>
      </c>
      <c r="Q1822">
        <v>41.5</v>
      </c>
      <c r="R1822">
        <v>14.1</v>
      </c>
      <c r="S1822">
        <v>23.2</v>
      </c>
      <c r="T1822">
        <v>8.6</v>
      </c>
      <c r="U1822">
        <v>13.3</v>
      </c>
      <c r="V1822">
        <v>0</v>
      </c>
      <c r="W1822">
        <v>0</v>
      </c>
      <c r="X1822">
        <v>0</v>
      </c>
      <c r="Y1822">
        <v>0</v>
      </c>
      <c r="Z1822">
        <v>6.6</v>
      </c>
      <c r="AA1822">
        <v>19.8</v>
      </c>
      <c r="AB1822">
        <v>213</v>
      </c>
      <c r="AC1822">
        <v>74</v>
      </c>
      <c r="AD1822">
        <v>9.4</v>
      </c>
      <c r="AE1822">
        <v>2.6</v>
      </c>
      <c r="AF1822">
        <v>57.698</v>
      </c>
      <c r="AG1822">
        <v>49.179000000000002</v>
      </c>
      <c r="AH1822">
        <v>41.965000000000003</v>
      </c>
      <c r="AI1822">
        <v>26.295000000000002</v>
      </c>
      <c r="AJ1822">
        <v>87.353999999999999</v>
      </c>
      <c r="AK1822">
        <v>68.117999999999995</v>
      </c>
      <c r="AL1822">
        <v>2.7909999999999999</v>
      </c>
      <c r="AM1822">
        <v>41.965000000000003</v>
      </c>
      <c r="AN1822">
        <v>49.179000000000002</v>
      </c>
      <c r="AO1822">
        <v>57.698</v>
      </c>
      <c r="AP1822">
        <v>-2.7909999999999999</v>
      </c>
      <c r="AQ1822">
        <v>12.646000000000001</v>
      </c>
      <c r="AR1822">
        <v>73.704999999999998</v>
      </c>
      <c r="AS1822">
        <v>31.882000000000001</v>
      </c>
    </row>
    <row r="1823" spans="1:45" x14ac:dyDescent="0.25">
      <c r="A1823">
        <v>50</v>
      </c>
      <c r="B1823">
        <v>2</v>
      </c>
      <c r="C1823">
        <v>1</v>
      </c>
      <c r="D1823">
        <v>2024</v>
      </c>
      <c r="E1823">
        <v>16</v>
      </c>
      <c r="F1823" t="str">
        <f>IFERROR(VLOOKUP(G1823, Map!$A$1:$B$33, 2, FALSE),"WAS")</f>
        <v>DAL</v>
      </c>
      <c r="G1823" t="s">
        <v>150</v>
      </c>
      <c r="H1823" t="str">
        <f>IFERROR(VLOOKUP(I1823, Map!$A$1:$B$33, 2, FALSE),"WAS")</f>
        <v>TB</v>
      </c>
      <c r="I1823" t="s">
        <v>141</v>
      </c>
      <c r="J1823" t="s">
        <v>184</v>
      </c>
      <c r="K1823" t="s">
        <v>186</v>
      </c>
      <c r="L1823">
        <v>1</v>
      </c>
      <c r="M1823">
        <v>0</v>
      </c>
      <c r="N1823">
        <v>47</v>
      </c>
      <c r="O1823">
        <v>-0.5</v>
      </c>
      <c r="P1823">
        <v>4.5</v>
      </c>
      <c r="Q1823">
        <v>46.5</v>
      </c>
      <c r="R1823">
        <v>14.6</v>
      </c>
      <c r="S1823">
        <v>19</v>
      </c>
      <c r="T1823">
        <v>11.9</v>
      </c>
      <c r="U1823">
        <v>12</v>
      </c>
      <c r="V1823">
        <v>0</v>
      </c>
      <c r="W1823">
        <v>0</v>
      </c>
      <c r="X1823">
        <v>0</v>
      </c>
      <c r="Y1823">
        <v>0</v>
      </c>
      <c r="Z1823">
        <v>24.5</v>
      </c>
      <c r="AA1823">
        <v>52.9</v>
      </c>
      <c r="AB1823">
        <v>166</v>
      </c>
      <c r="AC1823">
        <v>73</v>
      </c>
      <c r="AD1823">
        <v>37.799999999999997</v>
      </c>
      <c r="AE1823">
        <v>17.5</v>
      </c>
      <c r="AF1823">
        <v>29.814</v>
      </c>
      <c r="AG1823">
        <v>58.5</v>
      </c>
      <c r="AH1823">
        <v>69.947000000000003</v>
      </c>
      <c r="AI1823">
        <v>51.66</v>
      </c>
      <c r="AJ1823">
        <v>53.387</v>
      </c>
      <c r="AK1823">
        <v>67.209000000000003</v>
      </c>
      <c r="AL1823">
        <v>-7.633</v>
      </c>
      <c r="AM1823">
        <v>69.947000000000003</v>
      </c>
      <c r="AN1823">
        <v>58.5</v>
      </c>
      <c r="AO1823">
        <v>29.814</v>
      </c>
      <c r="AP1823">
        <v>7.633</v>
      </c>
      <c r="AQ1823">
        <v>46.613</v>
      </c>
      <c r="AR1823">
        <v>48.34</v>
      </c>
      <c r="AS1823">
        <v>32.790999999999997</v>
      </c>
    </row>
    <row r="1824" spans="1:45" x14ac:dyDescent="0.25">
      <c r="A1824">
        <v>30</v>
      </c>
      <c r="B1824">
        <v>18</v>
      </c>
      <c r="C1824">
        <v>1</v>
      </c>
      <c r="D1824">
        <v>2024</v>
      </c>
      <c r="E1824">
        <v>16</v>
      </c>
      <c r="F1824" t="str">
        <f>IFERROR(VLOOKUP(G1824, Map!$A$1:$B$33, 2, FALSE),"WAS")</f>
        <v>CIN</v>
      </c>
      <c r="G1824" t="s">
        <v>161</v>
      </c>
      <c r="H1824" t="str">
        <f>IFERROR(VLOOKUP(I1824, Map!$A$1:$B$33, 2, FALSE),"WAS")</f>
        <v>CLE</v>
      </c>
      <c r="I1824" t="s">
        <v>162</v>
      </c>
      <c r="J1824" t="s">
        <v>176</v>
      </c>
      <c r="K1824" t="s">
        <v>171</v>
      </c>
      <c r="L1824">
        <v>1</v>
      </c>
      <c r="M1824">
        <v>0</v>
      </c>
      <c r="N1824">
        <v>37.5</v>
      </c>
      <c r="O1824">
        <v>-10.5</v>
      </c>
      <c r="P1824">
        <v>-10.5</v>
      </c>
      <c r="Q1824">
        <v>28.5</v>
      </c>
      <c r="R1824">
        <v>-2</v>
      </c>
      <c r="S1824">
        <v>0.4</v>
      </c>
      <c r="T1824">
        <v>-4.9000000000000004</v>
      </c>
      <c r="U1824">
        <v>-5.9</v>
      </c>
      <c r="V1824">
        <v>0</v>
      </c>
      <c r="W1824">
        <v>0</v>
      </c>
      <c r="X1824">
        <v>0</v>
      </c>
      <c r="Y1824">
        <v>0</v>
      </c>
      <c r="Z1824">
        <v>7.8</v>
      </c>
      <c r="AA1824">
        <v>20.2</v>
      </c>
      <c r="AB1824">
        <v>75</v>
      </c>
      <c r="AC1824">
        <v>59</v>
      </c>
      <c r="AD1824">
        <v>13.3</v>
      </c>
      <c r="AE1824">
        <v>4.5</v>
      </c>
      <c r="AF1824">
        <v>68.406999999999996</v>
      </c>
      <c r="AG1824">
        <v>34.491999999999997</v>
      </c>
      <c r="AH1824">
        <v>31.341000000000001</v>
      </c>
      <c r="AI1824">
        <v>88.021000000000001</v>
      </c>
      <c r="AJ1824">
        <v>70.745999999999995</v>
      </c>
      <c r="AK1824">
        <v>88.739000000000004</v>
      </c>
      <c r="AL1824">
        <v>7.2080000000000002</v>
      </c>
      <c r="AM1824">
        <v>31.341000000000001</v>
      </c>
      <c r="AN1824">
        <v>34.491999999999997</v>
      </c>
      <c r="AO1824">
        <v>68.406999999999996</v>
      </c>
      <c r="AP1824">
        <v>-7.2080000000000002</v>
      </c>
      <c r="AQ1824">
        <v>29.254000000000001</v>
      </c>
      <c r="AR1824">
        <v>11.978999999999999</v>
      </c>
      <c r="AS1824">
        <v>11.260999999999999</v>
      </c>
    </row>
    <row r="1825" spans="1:45" x14ac:dyDescent="0.25">
      <c r="A1825">
        <v>46</v>
      </c>
      <c r="B1825">
        <v>12</v>
      </c>
      <c r="C1825">
        <v>1</v>
      </c>
      <c r="D1825">
        <v>2024</v>
      </c>
      <c r="E1825">
        <v>16</v>
      </c>
      <c r="F1825" t="str">
        <f>IFERROR(VLOOKUP(G1825, Map!$A$1:$B$33, 2, FALSE),"WAS")</f>
        <v>MIA</v>
      </c>
      <c r="G1825" t="s">
        <v>152</v>
      </c>
      <c r="H1825" t="str">
        <f>IFERROR(VLOOKUP(I1825, Map!$A$1:$B$33, 2, FALSE),"WAS")</f>
        <v>SF</v>
      </c>
      <c r="I1825" t="s">
        <v>143</v>
      </c>
      <c r="J1825" t="s">
        <v>175</v>
      </c>
      <c r="K1825" t="s">
        <v>197</v>
      </c>
      <c r="L1825">
        <v>1</v>
      </c>
      <c r="M1825">
        <v>0</v>
      </c>
      <c r="N1825">
        <v>42</v>
      </c>
      <c r="O1825">
        <v>-1.5</v>
      </c>
      <c r="P1825">
        <v>1.5</v>
      </c>
      <c r="Q1825">
        <v>39.5</v>
      </c>
      <c r="R1825">
        <v>16.100000000000001</v>
      </c>
      <c r="S1825">
        <v>23.4</v>
      </c>
      <c r="T1825">
        <v>11</v>
      </c>
      <c r="U1825">
        <v>15.1</v>
      </c>
      <c r="V1825">
        <v>0</v>
      </c>
      <c r="W1825">
        <v>0</v>
      </c>
      <c r="X1825">
        <v>0</v>
      </c>
      <c r="Y1825">
        <v>0</v>
      </c>
      <c r="Z1825">
        <v>10.199999999999999</v>
      </c>
      <c r="AA1825">
        <v>23.8</v>
      </c>
      <c r="AB1825">
        <v>351</v>
      </c>
      <c r="AC1825">
        <v>70</v>
      </c>
      <c r="AD1825">
        <v>18.600000000000001</v>
      </c>
      <c r="AE1825">
        <v>7.8</v>
      </c>
      <c r="AF1825">
        <v>45.816000000000003</v>
      </c>
      <c r="AG1825">
        <v>65.441999999999993</v>
      </c>
      <c r="AH1825">
        <v>53.816000000000003</v>
      </c>
      <c r="AI1825">
        <v>45.334000000000003</v>
      </c>
      <c r="AJ1825">
        <v>63.499000000000002</v>
      </c>
      <c r="AK1825">
        <v>65.921999999999997</v>
      </c>
      <c r="AL1825">
        <v>-1.5409999999999999</v>
      </c>
      <c r="AM1825">
        <v>53.816000000000003</v>
      </c>
      <c r="AN1825">
        <v>65.441999999999993</v>
      </c>
      <c r="AO1825">
        <v>45.816000000000003</v>
      </c>
      <c r="AP1825">
        <v>1.5409999999999999</v>
      </c>
      <c r="AQ1825">
        <v>36.500999999999998</v>
      </c>
      <c r="AR1825">
        <v>54.665999999999997</v>
      </c>
      <c r="AS1825">
        <v>34.078000000000003</v>
      </c>
    </row>
    <row r="1826" spans="1:45" x14ac:dyDescent="0.25">
      <c r="A1826">
        <v>74</v>
      </c>
      <c r="B1826">
        <v>-6</v>
      </c>
      <c r="C1826">
        <v>0</v>
      </c>
      <c r="D1826">
        <v>2024</v>
      </c>
      <c r="E1826">
        <v>17</v>
      </c>
      <c r="F1826" t="str">
        <f>IFERROR(VLOOKUP(G1826, Map!$A$1:$B$33, 2, FALSE),"WAS")</f>
        <v>SF</v>
      </c>
      <c r="G1826" t="s">
        <v>143</v>
      </c>
      <c r="H1826" t="str">
        <f>IFERROR(VLOOKUP(I1826, Map!$A$1:$B$33, 2, FALSE),"WAS")</f>
        <v>DET</v>
      </c>
      <c r="I1826" t="s">
        <v>164</v>
      </c>
      <c r="J1826" t="s">
        <v>197</v>
      </c>
      <c r="K1826" t="s">
        <v>173</v>
      </c>
      <c r="L1826">
        <v>0</v>
      </c>
      <c r="M1826">
        <v>0</v>
      </c>
      <c r="N1826">
        <v>61</v>
      </c>
      <c r="O1826">
        <v>4.5</v>
      </c>
      <c r="P1826">
        <v>3.5</v>
      </c>
      <c r="Q1826">
        <v>50.5</v>
      </c>
      <c r="R1826">
        <v>7.7</v>
      </c>
      <c r="S1826">
        <v>13.2</v>
      </c>
      <c r="T1826">
        <v>2</v>
      </c>
      <c r="U1826">
        <v>5.7</v>
      </c>
      <c r="V1826">
        <v>0</v>
      </c>
      <c r="W1826">
        <v>0</v>
      </c>
      <c r="X1826">
        <v>0</v>
      </c>
      <c r="Y1826">
        <v>0</v>
      </c>
      <c r="Z1826">
        <v>7.2</v>
      </c>
      <c r="AA1826">
        <v>21.2</v>
      </c>
      <c r="AB1826">
        <v>252</v>
      </c>
      <c r="AC1826">
        <v>77</v>
      </c>
      <c r="AD1826">
        <v>10.1</v>
      </c>
      <c r="AE1826">
        <v>3.5</v>
      </c>
      <c r="AF1826">
        <v>38.844000000000001</v>
      </c>
      <c r="AG1826">
        <v>85.144999999999996</v>
      </c>
      <c r="AH1826">
        <v>60.844000000000001</v>
      </c>
      <c r="AI1826">
        <v>11.201000000000001</v>
      </c>
      <c r="AJ1826">
        <v>87.061000000000007</v>
      </c>
      <c r="AK1826">
        <v>32.71</v>
      </c>
      <c r="AL1826">
        <v>-4.45</v>
      </c>
      <c r="AM1826">
        <v>60.844000000000001</v>
      </c>
      <c r="AN1826">
        <v>85.144999999999996</v>
      </c>
      <c r="AO1826">
        <v>38.844000000000001</v>
      </c>
      <c r="AP1826">
        <v>4.45</v>
      </c>
      <c r="AQ1826">
        <v>12.939</v>
      </c>
      <c r="AR1826">
        <v>88.799000000000007</v>
      </c>
      <c r="AS1826">
        <v>67.290000000000006</v>
      </c>
    </row>
    <row r="1827" spans="1:45" x14ac:dyDescent="0.25">
      <c r="A1827">
        <v>47</v>
      </c>
      <c r="B1827">
        <v>-33</v>
      </c>
      <c r="C1827">
        <v>0</v>
      </c>
      <c r="D1827">
        <v>2024</v>
      </c>
      <c r="E1827">
        <v>17</v>
      </c>
      <c r="F1827" t="str">
        <f>IFERROR(VLOOKUP(G1827, Map!$A$1:$B$33, 2, FALSE),"WAS")</f>
        <v>NE</v>
      </c>
      <c r="G1827" t="s">
        <v>151</v>
      </c>
      <c r="H1827" t="str">
        <f>IFERROR(VLOOKUP(I1827, Map!$A$1:$B$33, 2, FALSE),"WAS")</f>
        <v>LAC</v>
      </c>
      <c r="I1827" t="s">
        <v>160</v>
      </c>
      <c r="J1827" t="s">
        <v>187</v>
      </c>
      <c r="K1827" t="s">
        <v>210</v>
      </c>
      <c r="L1827">
        <v>0</v>
      </c>
      <c r="M1827">
        <v>0</v>
      </c>
      <c r="N1827">
        <v>43</v>
      </c>
      <c r="O1827">
        <v>18</v>
      </c>
      <c r="P1827">
        <v>5.5</v>
      </c>
      <c r="Q1827">
        <v>41.5</v>
      </c>
      <c r="R1827">
        <v>1.3</v>
      </c>
      <c r="S1827">
        <v>4.5999999999999996</v>
      </c>
      <c r="T1827">
        <v>-1.9</v>
      </c>
      <c r="U1827">
        <v>-2.2000000000000002</v>
      </c>
      <c r="V1827">
        <v>2.2000000000000002</v>
      </c>
      <c r="W1827">
        <v>0</v>
      </c>
      <c r="X1827">
        <v>9</v>
      </c>
      <c r="Y1827">
        <v>2.2000000000000002</v>
      </c>
      <c r="Z1827">
        <v>11.4</v>
      </c>
      <c r="AA1827">
        <v>22</v>
      </c>
      <c r="AB1827">
        <v>220</v>
      </c>
      <c r="AC1827">
        <v>89</v>
      </c>
      <c r="AD1827">
        <v>18.899999999999999</v>
      </c>
      <c r="AE1827">
        <v>9.9</v>
      </c>
      <c r="AF1827">
        <v>39.11</v>
      </c>
      <c r="AG1827">
        <v>37.253999999999998</v>
      </c>
      <c r="AH1827">
        <v>60.576000000000001</v>
      </c>
      <c r="AI1827">
        <v>10.782999999999999</v>
      </c>
      <c r="AJ1827">
        <v>2.2610000000000001</v>
      </c>
      <c r="AK1827">
        <v>3.2829999999999999</v>
      </c>
      <c r="AL1827">
        <v>-4.0670000000000002</v>
      </c>
      <c r="AM1827">
        <v>60.576000000000001</v>
      </c>
      <c r="AN1827">
        <v>37.253999999999998</v>
      </c>
      <c r="AO1827">
        <v>39.11</v>
      </c>
      <c r="AP1827">
        <v>4.0670000000000002</v>
      </c>
      <c r="AQ1827">
        <v>97.739000000000004</v>
      </c>
      <c r="AR1827">
        <v>89.216999999999999</v>
      </c>
      <c r="AS1827">
        <v>96.716999999999999</v>
      </c>
    </row>
    <row r="1828" spans="1:45" x14ac:dyDescent="0.25">
      <c r="A1828">
        <v>62</v>
      </c>
      <c r="B1828">
        <v>34</v>
      </c>
      <c r="C1828">
        <v>1</v>
      </c>
      <c r="D1828">
        <v>2024</v>
      </c>
      <c r="E1828">
        <v>17</v>
      </c>
      <c r="F1828" t="str">
        <f>IFERROR(VLOOKUP(G1828, Map!$A$1:$B$33, 2, FALSE),"WAS")</f>
        <v>TB</v>
      </c>
      <c r="G1828" t="s">
        <v>141</v>
      </c>
      <c r="H1828" t="str">
        <f>IFERROR(VLOOKUP(I1828, Map!$A$1:$B$33, 2, FALSE),"WAS")</f>
        <v>CAR</v>
      </c>
      <c r="I1828" t="s">
        <v>142</v>
      </c>
      <c r="J1828" t="s">
        <v>186</v>
      </c>
      <c r="K1828" t="s">
        <v>185</v>
      </c>
      <c r="L1828">
        <v>1</v>
      </c>
      <c r="M1828">
        <v>0</v>
      </c>
      <c r="N1828">
        <v>58</v>
      </c>
      <c r="O1828">
        <v>-23.5</v>
      </c>
      <c r="P1828">
        <v>-9.5</v>
      </c>
      <c r="Q1828">
        <v>47.5</v>
      </c>
      <c r="R1828">
        <v>21.5</v>
      </c>
      <c r="S1828">
        <v>24.2</v>
      </c>
      <c r="T1828">
        <v>20.100000000000001</v>
      </c>
      <c r="U1828">
        <v>22.8</v>
      </c>
      <c r="V1828">
        <v>8.5</v>
      </c>
      <c r="W1828">
        <v>0</v>
      </c>
      <c r="X1828">
        <v>8</v>
      </c>
      <c r="Y1828">
        <v>8.5</v>
      </c>
      <c r="Z1828">
        <v>20</v>
      </c>
      <c r="AA1828">
        <v>43.6</v>
      </c>
      <c r="AB1828">
        <v>156</v>
      </c>
      <c r="AC1828">
        <v>89</v>
      </c>
      <c r="AD1828">
        <v>33.200000000000003</v>
      </c>
      <c r="AE1828">
        <v>15.5</v>
      </c>
      <c r="AF1828">
        <v>80.120999999999995</v>
      </c>
      <c r="AG1828">
        <v>36.692999999999998</v>
      </c>
      <c r="AH1828">
        <v>19.721</v>
      </c>
      <c r="AI1828">
        <v>56.981999999999999</v>
      </c>
      <c r="AJ1828">
        <v>95.629000000000005</v>
      </c>
      <c r="AK1828">
        <v>96.194000000000003</v>
      </c>
      <c r="AL1828">
        <v>12.760999999999999</v>
      </c>
      <c r="AM1828">
        <v>19.721</v>
      </c>
      <c r="AN1828">
        <v>36.692999999999998</v>
      </c>
      <c r="AO1828">
        <v>80.120999999999995</v>
      </c>
      <c r="AP1828">
        <v>-12.760999999999999</v>
      </c>
      <c r="AQ1828">
        <v>4.3710000000000004</v>
      </c>
      <c r="AR1828">
        <v>43.018000000000001</v>
      </c>
      <c r="AS1828">
        <v>3.806</v>
      </c>
    </row>
    <row r="1829" spans="1:45" x14ac:dyDescent="0.25">
      <c r="A1829">
        <v>52</v>
      </c>
      <c r="B1829">
        <v>2</v>
      </c>
      <c r="C1829">
        <v>1</v>
      </c>
      <c r="D1829">
        <v>2024</v>
      </c>
      <c r="E1829">
        <v>17</v>
      </c>
      <c r="F1829" t="str">
        <f>IFERROR(VLOOKUP(G1829, Map!$A$1:$B$33, 2, FALSE),"WAS")</f>
        <v>MIN</v>
      </c>
      <c r="G1829" t="s">
        <v>153</v>
      </c>
      <c r="H1829" t="str">
        <f>IFERROR(VLOOKUP(I1829, Map!$A$1:$B$33, 2, FALSE),"WAS")</f>
        <v>GB</v>
      </c>
      <c r="I1829" t="s">
        <v>154</v>
      </c>
      <c r="J1829" t="s">
        <v>214</v>
      </c>
      <c r="K1829" t="s">
        <v>200</v>
      </c>
      <c r="L1829">
        <v>1</v>
      </c>
      <c r="M1829">
        <v>0</v>
      </c>
      <c r="N1829">
        <v>50</v>
      </c>
      <c r="O1829">
        <v>-1</v>
      </c>
      <c r="P1829">
        <v>0.5</v>
      </c>
      <c r="Q1829">
        <v>48.5</v>
      </c>
      <c r="R1829">
        <v>0.4</v>
      </c>
      <c r="S1829">
        <v>1.7</v>
      </c>
      <c r="T1829">
        <v>-0.7</v>
      </c>
      <c r="U1829">
        <v>-2.5</v>
      </c>
      <c r="V1829">
        <v>0</v>
      </c>
      <c r="W1829">
        <v>0</v>
      </c>
      <c r="X1829">
        <v>0</v>
      </c>
      <c r="Y1829">
        <v>0</v>
      </c>
      <c r="Z1829">
        <v>9.4</v>
      </c>
      <c r="AA1829">
        <v>17.3</v>
      </c>
      <c r="AB1829">
        <v>115</v>
      </c>
      <c r="AC1829">
        <v>97</v>
      </c>
      <c r="AD1829">
        <v>11.9</v>
      </c>
      <c r="AE1829">
        <v>5.3</v>
      </c>
      <c r="AF1829">
        <v>44.289000000000001</v>
      </c>
      <c r="AG1829">
        <v>84.363</v>
      </c>
      <c r="AH1829">
        <v>55.354999999999997</v>
      </c>
      <c r="AI1829">
        <v>64.070999999999998</v>
      </c>
      <c r="AJ1829">
        <v>73.141999999999996</v>
      </c>
      <c r="AK1829">
        <v>69.852999999999994</v>
      </c>
      <c r="AL1829">
        <v>-2.1789999999999998</v>
      </c>
      <c r="AM1829">
        <v>55.354999999999997</v>
      </c>
      <c r="AN1829">
        <v>84.363</v>
      </c>
      <c r="AO1829">
        <v>44.289000000000001</v>
      </c>
      <c r="AP1829">
        <v>2.1789999999999998</v>
      </c>
      <c r="AQ1829">
        <v>26.858000000000001</v>
      </c>
      <c r="AR1829">
        <v>35.929000000000002</v>
      </c>
      <c r="AS1829">
        <v>30.146999999999998</v>
      </c>
    </row>
    <row r="1830" spans="1:45" x14ac:dyDescent="0.25">
      <c r="A1830">
        <v>78</v>
      </c>
      <c r="B1830">
        <v>12</v>
      </c>
      <c r="C1830">
        <v>1</v>
      </c>
      <c r="D1830">
        <v>2024</v>
      </c>
      <c r="E1830">
        <v>17</v>
      </c>
      <c r="F1830" t="str">
        <f>IFERROR(VLOOKUP(G1830, Map!$A$1:$B$33, 2, FALSE),"WAS")</f>
        <v>NYG</v>
      </c>
      <c r="G1830" t="s">
        <v>149</v>
      </c>
      <c r="H1830" t="str">
        <f>IFERROR(VLOOKUP(I1830, Map!$A$1:$B$33, 2, FALSE),"WAS")</f>
        <v>IND</v>
      </c>
      <c r="I1830" t="s">
        <v>138</v>
      </c>
      <c r="J1830" t="s">
        <v>219</v>
      </c>
      <c r="K1830" t="s">
        <v>177</v>
      </c>
      <c r="L1830">
        <v>1</v>
      </c>
      <c r="M1830">
        <v>0</v>
      </c>
      <c r="N1830">
        <v>57.5</v>
      </c>
      <c r="O1830">
        <v>1.5</v>
      </c>
      <c r="P1830">
        <v>-4.5</v>
      </c>
      <c r="Q1830">
        <v>40.5</v>
      </c>
      <c r="R1830">
        <v>8.1999999999999993</v>
      </c>
      <c r="S1830">
        <v>16.600000000000001</v>
      </c>
      <c r="T1830">
        <v>4.5</v>
      </c>
      <c r="U1830">
        <v>6.5</v>
      </c>
      <c r="V1830">
        <v>1.7</v>
      </c>
      <c r="W1830">
        <v>0</v>
      </c>
      <c r="X1830">
        <v>8</v>
      </c>
      <c r="Y1830">
        <v>1.7</v>
      </c>
      <c r="Z1830">
        <v>16.8</v>
      </c>
      <c r="AA1830">
        <v>37.4</v>
      </c>
      <c r="AB1830">
        <v>178</v>
      </c>
      <c r="AC1830">
        <v>95</v>
      </c>
      <c r="AD1830">
        <v>15.7</v>
      </c>
      <c r="AE1830">
        <v>7.5</v>
      </c>
      <c r="AF1830">
        <v>29.15</v>
      </c>
      <c r="AG1830">
        <v>22.805</v>
      </c>
      <c r="AH1830">
        <v>70.616</v>
      </c>
      <c r="AI1830">
        <v>31.536000000000001</v>
      </c>
      <c r="AJ1830">
        <v>85.328999999999994</v>
      </c>
      <c r="AK1830">
        <v>74.881</v>
      </c>
      <c r="AL1830">
        <v>-8.3290000000000006</v>
      </c>
      <c r="AM1830">
        <v>70.616</v>
      </c>
      <c r="AN1830">
        <v>22.805</v>
      </c>
      <c r="AO1830">
        <v>29.15</v>
      </c>
      <c r="AP1830">
        <v>8.3290000000000006</v>
      </c>
      <c r="AQ1830">
        <v>14.670999999999999</v>
      </c>
      <c r="AR1830">
        <v>68.463999999999999</v>
      </c>
      <c r="AS1830">
        <v>25.119</v>
      </c>
    </row>
    <row r="1831" spans="1:45" x14ac:dyDescent="0.25">
      <c r="A1831">
        <v>54</v>
      </c>
      <c r="B1831">
        <v>6</v>
      </c>
      <c r="C1831">
        <v>1</v>
      </c>
      <c r="D1831">
        <v>2024</v>
      </c>
      <c r="E1831">
        <v>17</v>
      </c>
      <c r="F1831" t="str">
        <f>IFERROR(VLOOKUP(G1831, Map!$A$1:$B$33, 2, FALSE),"WAS")</f>
        <v>WAS</v>
      </c>
      <c r="G1831" t="s">
        <v>148</v>
      </c>
      <c r="H1831" t="str">
        <f>IFERROR(VLOOKUP(I1831, Map!$A$1:$B$33, 2, FALSE),"WAS")</f>
        <v>ATL</v>
      </c>
      <c r="I1831" t="s">
        <v>167</v>
      </c>
      <c r="J1831" t="s">
        <v>205</v>
      </c>
      <c r="K1831" t="s">
        <v>188</v>
      </c>
      <c r="L1831">
        <v>1</v>
      </c>
      <c r="M1831">
        <v>0</v>
      </c>
      <c r="N1831">
        <v>44</v>
      </c>
      <c r="O1831">
        <v>-5</v>
      </c>
      <c r="P1831">
        <v>-3.5</v>
      </c>
      <c r="Q1831">
        <v>41.5</v>
      </c>
      <c r="R1831">
        <v>13.2</v>
      </c>
      <c r="S1831">
        <v>16.899999999999999</v>
      </c>
      <c r="T1831">
        <v>10.3</v>
      </c>
      <c r="U1831">
        <v>10.5</v>
      </c>
      <c r="V1831">
        <v>1.4</v>
      </c>
      <c r="W1831">
        <v>0</v>
      </c>
      <c r="X1831">
        <v>6</v>
      </c>
      <c r="Y1831">
        <v>1.4</v>
      </c>
      <c r="Z1831">
        <v>23.3</v>
      </c>
      <c r="AA1831">
        <v>50.8</v>
      </c>
      <c r="AB1831">
        <v>232</v>
      </c>
      <c r="AC1831">
        <v>71</v>
      </c>
      <c r="AD1831">
        <v>35.700000000000003</v>
      </c>
      <c r="AE1831">
        <v>15.5</v>
      </c>
      <c r="AF1831">
        <v>58.835999999999999</v>
      </c>
      <c r="AG1831">
        <v>54.936999999999998</v>
      </c>
      <c r="AH1831">
        <v>40.835999999999999</v>
      </c>
      <c r="AI1831">
        <v>40.22</v>
      </c>
      <c r="AJ1831">
        <v>71.459999999999994</v>
      </c>
      <c r="AK1831">
        <v>64.248000000000005</v>
      </c>
      <c r="AL1831">
        <v>3.597</v>
      </c>
      <c r="AM1831">
        <v>40.835999999999999</v>
      </c>
      <c r="AN1831">
        <v>54.936999999999998</v>
      </c>
      <c r="AO1831">
        <v>58.835999999999999</v>
      </c>
      <c r="AP1831">
        <v>-3.597</v>
      </c>
      <c r="AQ1831">
        <v>28.54</v>
      </c>
      <c r="AR1831">
        <v>59.78</v>
      </c>
      <c r="AS1831">
        <v>35.752000000000002</v>
      </c>
    </row>
    <row r="1832" spans="1:45" x14ac:dyDescent="0.25">
      <c r="A1832">
        <v>9</v>
      </c>
      <c r="B1832">
        <v>-3</v>
      </c>
      <c r="C1832">
        <v>0</v>
      </c>
      <c r="D1832">
        <v>2024</v>
      </c>
      <c r="E1832">
        <v>17</v>
      </c>
      <c r="F1832" t="str">
        <f>IFERROR(VLOOKUP(G1832, Map!$A$1:$B$33, 2, FALSE),"WAS")</f>
        <v>CHI</v>
      </c>
      <c r="G1832" t="s">
        <v>163</v>
      </c>
      <c r="H1832" t="str">
        <f>IFERROR(VLOOKUP(I1832, Map!$A$1:$B$33, 2, FALSE),"WAS")</f>
        <v>SEA</v>
      </c>
      <c r="I1832" t="s">
        <v>144</v>
      </c>
      <c r="J1832" t="s">
        <v>216</v>
      </c>
      <c r="K1832" t="s">
        <v>182</v>
      </c>
      <c r="L1832">
        <v>0</v>
      </c>
      <c r="M1832">
        <v>0</v>
      </c>
      <c r="N1832">
        <v>27</v>
      </c>
      <c r="O1832">
        <v>4</v>
      </c>
      <c r="P1832">
        <v>3.5</v>
      </c>
      <c r="Q1832">
        <v>11.5</v>
      </c>
      <c r="R1832">
        <v>6.4</v>
      </c>
      <c r="S1832">
        <v>8.4</v>
      </c>
      <c r="T1832">
        <v>5.2</v>
      </c>
      <c r="U1832">
        <v>3.2</v>
      </c>
      <c r="V1832">
        <v>5.3</v>
      </c>
      <c r="W1832">
        <v>0</v>
      </c>
      <c r="X1832">
        <v>16</v>
      </c>
      <c r="Y1832">
        <v>5.3</v>
      </c>
      <c r="Z1832">
        <v>16.7</v>
      </c>
      <c r="AA1832">
        <v>30.6</v>
      </c>
      <c r="AB1832">
        <v>142</v>
      </c>
      <c r="AC1832">
        <v>94</v>
      </c>
      <c r="AD1832">
        <v>26.7</v>
      </c>
      <c r="AE1832">
        <v>14.5</v>
      </c>
      <c r="AF1832">
        <v>48.670999999999999</v>
      </c>
      <c r="AG1832">
        <v>46.430999999999997</v>
      </c>
      <c r="AH1832">
        <v>50.938000000000002</v>
      </c>
      <c r="AI1832">
        <v>79.67</v>
      </c>
      <c r="AJ1832">
        <v>16.637</v>
      </c>
      <c r="AK1832">
        <v>42.021000000000001</v>
      </c>
      <c r="AL1832">
        <v>-0.23599999999999999</v>
      </c>
      <c r="AM1832">
        <v>50.938000000000002</v>
      </c>
      <c r="AN1832">
        <v>46.430999999999997</v>
      </c>
      <c r="AO1832">
        <v>48.670999999999999</v>
      </c>
      <c r="AP1832">
        <v>0.23599999999999999</v>
      </c>
      <c r="AQ1832">
        <v>83.363</v>
      </c>
      <c r="AR1832">
        <v>20.329999999999998</v>
      </c>
      <c r="AS1832">
        <v>57.978999999999999</v>
      </c>
    </row>
    <row r="1833" spans="1:45" x14ac:dyDescent="0.25">
      <c r="A1833">
        <v>54</v>
      </c>
      <c r="B1833">
        <v>6</v>
      </c>
      <c r="C1833">
        <v>1</v>
      </c>
      <c r="D1833">
        <v>2024</v>
      </c>
      <c r="E1833">
        <v>17</v>
      </c>
      <c r="F1833" t="str">
        <f>IFERROR(VLOOKUP(G1833, Map!$A$1:$B$33, 2, FALSE),"WAS")</f>
        <v>CIN</v>
      </c>
      <c r="G1833" t="s">
        <v>161</v>
      </c>
      <c r="H1833" t="str">
        <f>IFERROR(VLOOKUP(I1833, Map!$A$1:$B$33, 2, FALSE),"WAS")</f>
        <v>DEN</v>
      </c>
      <c r="I1833" t="s">
        <v>159</v>
      </c>
      <c r="J1833" t="s">
        <v>176</v>
      </c>
      <c r="K1833" t="s">
        <v>183</v>
      </c>
      <c r="L1833">
        <v>1</v>
      </c>
      <c r="M1833">
        <v>0</v>
      </c>
      <c r="N1833">
        <v>45.5</v>
      </c>
      <c r="O1833">
        <v>-3</v>
      </c>
      <c r="P1833">
        <v>-2.5</v>
      </c>
      <c r="Q1833">
        <v>40.5</v>
      </c>
      <c r="R1833">
        <v>13.3</v>
      </c>
      <c r="S1833">
        <v>16.3</v>
      </c>
      <c r="T1833">
        <v>10.7</v>
      </c>
      <c r="U1833">
        <v>11.3</v>
      </c>
      <c r="V1833">
        <v>0.9</v>
      </c>
      <c r="W1833">
        <v>0</v>
      </c>
      <c r="X1833">
        <v>6</v>
      </c>
      <c r="Y1833">
        <v>0.9</v>
      </c>
      <c r="Z1833">
        <v>19.8</v>
      </c>
      <c r="AA1833">
        <v>42.8</v>
      </c>
      <c r="AB1833">
        <v>197</v>
      </c>
      <c r="AC1833">
        <v>87</v>
      </c>
      <c r="AD1833">
        <v>34.9</v>
      </c>
      <c r="AE1833">
        <v>15.4</v>
      </c>
      <c r="AF1833">
        <v>56.56</v>
      </c>
      <c r="AG1833">
        <v>50.091000000000001</v>
      </c>
      <c r="AH1833">
        <v>43.094000000000001</v>
      </c>
      <c r="AI1833">
        <v>35.685000000000002</v>
      </c>
      <c r="AJ1833">
        <v>75.822999999999993</v>
      </c>
      <c r="AK1833">
        <v>67.114999999999995</v>
      </c>
      <c r="AL1833">
        <v>2.8029999999999999</v>
      </c>
      <c r="AM1833">
        <v>43.094000000000001</v>
      </c>
      <c r="AN1833">
        <v>50.091000000000001</v>
      </c>
      <c r="AO1833">
        <v>56.56</v>
      </c>
      <c r="AP1833">
        <v>-2.8029999999999999</v>
      </c>
      <c r="AQ1833">
        <v>24.177</v>
      </c>
      <c r="AR1833">
        <v>64.314999999999998</v>
      </c>
      <c r="AS1833">
        <v>32.884999999999998</v>
      </c>
    </row>
    <row r="1834" spans="1:45" x14ac:dyDescent="0.25">
      <c r="A1834">
        <v>22</v>
      </c>
      <c r="B1834">
        <v>4</v>
      </c>
      <c r="C1834">
        <v>1</v>
      </c>
      <c r="D1834">
        <v>2024</v>
      </c>
      <c r="E1834">
        <v>17</v>
      </c>
      <c r="F1834" t="str">
        <f>IFERROR(VLOOKUP(G1834, Map!$A$1:$B$33, 2, FALSE),"WAS")</f>
        <v>LA</v>
      </c>
      <c r="G1834" t="s">
        <v>155</v>
      </c>
      <c r="H1834" t="str">
        <f>IFERROR(VLOOKUP(I1834, Map!$A$1:$B$33, 2, FALSE),"WAS")</f>
        <v>ARI</v>
      </c>
      <c r="I1834" t="s">
        <v>156</v>
      </c>
      <c r="J1834" t="s">
        <v>178</v>
      </c>
      <c r="K1834" t="s">
        <v>190</v>
      </c>
      <c r="L1834">
        <v>1</v>
      </c>
      <c r="M1834">
        <v>0</v>
      </c>
      <c r="N1834">
        <v>35.5</v>
      </c>
      <c r="O1834">
        <v>-5</v>
      </c>
      <c r="P1834">
        <v>-3.5</v>
      </c>
      <c r="Q1834">
        <v>22.5</v>
      </c>
      <c r="R1834">
        <v>11.7</v>
      </c>
      <c r="S1834">
        <v>17</v>
      </c>
      <c r="T1834">
        <v>7.7</v>
      </c>
      <c r="U1834">
        <v>11.3</v>
      </c>
      <c r="V1834">
        <v>0</v>
      </c>
      <c r="W1834">
        <v>0</v>
      </c>
      <c r="X1834">
        <v>0</v>
      </c>
      <c r="Y1834">
        <v>0</v>
      </c>
      <c r="Z1834">
        <v>7.8</v>
      </c>
      <c r="AA1834">
        <v>24.8</v>
      </c>
      <c r="AB1834">
        <v>235</v>
      </c>
      <c r="AC1834">
        <v>88</v>
      </c>
      <c r="AD1834">
        <v>10.3</v>
      </c>
      <c r="AE1834">
        <v>2.7</v>
      </c>
      <c r="AF1834">
        <v>55.890999999999998</v>
      </c>
      <c r="AG1834">
        <v>59.914999999999999</v>
      </c>
      <c r="AH1834">
        <v>43.758000000000003</v>
      </c>
      <c r="AI1834">
        <v>59.805</v>
      </c>
      <c r="AJ1834">
        <v>37.029000000000003</v>
      </c>
      <c r="AK1834">
        <v>58.808</v>
      </c>
      <c r="AL1834">
        <v>1.9510000000000001</v>
      </c>
      <c r="AM1834">
        <v>43.758000000000003</v>
      </c>
      <c r="AN1834">
        <v>59.914999999999999</v>
      </c>
      <c r="AO1834">
        <v>55.890999999999998</v>
      </c>
      <c r="AP1834">
        <v>-1.9510000000000001</v>
      </c>
      <c r="AQ1834">
        <v>62.970999999999997</v>
      </c>
      <c r="AR1834">
        <v>40.195</v>
      </c>
      <c r="AS1834">
        <v>41.192</v>
      </c>
    </row>
    <row r="1835" spans="1:45" x14ac:dyDescent="0.25">
      <c r="A1835">
        <v>54</v>
      </c>
      <c r="B1835">
        <v>26</v>
      </c>
      <c r="C1835">
        <v>1</v>
      </c>
      <c r="D1835">
        <v>2024</v>
      </c>
      <c r="E1835">
        <v>17</v>
      </c>
      <c r="F1835" t="str">
        <f>IFERROR(VLOOKUP(G1835, Map!$A$1:$B$33, 2, FALSE),"WAS")</f>
        <v>BUF</v>
      </c>
      <c r="G1835" t="s">
        <v>165</v>
      </c>
      <c r="H1835" t="str">
        <f>IFERROR(VLOOKUP(I1835, Map!$A$1:$B$33, 2, FALSE),"WAS")</f>
        <v>NYJ</v>
      </c>
      <c r="I1835" t="s">
        <v>166</v>
      </c>
      <c r="J1835" t="s">
        <v>180</v>
      </c>
      <c r="K1835" t="s">
        <v>172</v>
      </c>
      <c r="L1835">
        <v>1</v>
      </c>
      <c r="M1835">
        <v>0</v>
      </c>
      <c r="N1835">
        <v>46.5</v>
      </c>
      <c r="O1835">
        <v>-21</v>
      </c>
      <c r="P1835">
        <v>-10.5</v>
      </c>
      <c r="Q1835">
        <v>44.5</v>
      </c>
      <c r="R1835">
        <v>14.9</v>
      </c>
      <c r="S1835">
        <v>17.100000000000001</v>
      </c>
      <c r="T1835">
        <v>10.6</v>
      </c>
      <c r="U1835">
        <v>13.6</v>
      </c>
      <c r="V1835">
        <v>6.2</v>
      </c>
      <c r="W1835">
        <v>0</v>
      </c>
      <c r="X1835">
        <v>11</v>
      </c>
      <c r="Y1835">
        <v>6.2</v>
      </c>
      <c r="Z1835">
        <v>35.5</v>
      </c>
      <c r="AA1835">
        <v>69.8</v>
      </c>
      <c r="AB1835">
        <v>168</v>
      </c>
      <c r="AC1835">
        <v>96</v>
      </c>
      <c r="AD1835">
        <v>35</v>
      </c>
      <c r="AE1835">
        <v>18.399999999999999</v>
      </c>
      <c r="AF1835">
        <v>70.481999999999999</v>
      </c>
      <c r="AG1835">
        <v>69.533000000000001</v>
      </c>
      <c r="AH1835">
        <v>29.282</v>
      </c>
      <c r="AI1835">
        <v>96.313999999999993</v>
      </c>
      <c r="AJ1835">
        <v>67.805000000000007</v>
      </c>
      <c r="AK1835">
        <v>92.983999999999995</v>
      </c>
      <c r="AL1835">
        <v>8.3019999999999996</v>
      </c>
      <c r="AM1835">
        <v>29.282</v>
      </c>
      <c r="AN1835">
        <v>69.533000000000001</v>
      </c>
      <c r="AO1835">
        <v>70.481999999999999</v>
      </c>
      <c r="AP1835">
        <v>-8.3019999999999996</v>
      </c>
      <c r="AQ1835">
        <v>32.195</v>
      </c>
      <c r="AR1835">
        <v>3.6859999999999999</v>
      </c>
      <c r="AS1835">
        <v>7.016</v>
      </c>
    </row>
    <row r="1836" spans="1:45" x14ac:dyDescent="0.25">
      <c r="A1836">
        <v>23</v>
      </c>
      <c r="B1836">
        <v>-17</v>
      </c>
      <c r="C1836">
        <v>0</v>
      </c>
      <c r="D1836">
        <v>2024</v>
      </c>
      <c r="E1836">
        <v>17</v>
      </c>
      <c r="F1836" t="str">
        <f>IFERROR(VLOOKUP(G1836, Map!$A$1:$B$33, 2, FALSE),"WAS")</f>
        <v>CLE</v>
      </c>
      <c r="G1836" t="s">
        <v>162</v>
      </c>
      <c r="H1836" t="str">
        <f>IFERROR(VLOOKUP(I1836, Map!$A$1:$B$33, 2, FALSE),"WAS")</f>
        <v>MIA</v>
      </c>
      <c r="I1836" t="s">
        <v>152</v>
      </c>
      <c r="J1836" t="s">
        <v>171</v>
      </c>
      <c r="K1836" t="s">
        <v>175</v>
      </c>
      <c r="L1836">
        <v>0</v>
      </c>
      <c r="M1836">
        <v>0</v>
      </c>
      <c r="N1836">
        <v>26</v>
      </c>
      <c r="O1836">
        <v>8.5</v>
      </c>
      <c r="P1836">
        <v>3.5</v>
      </c>
      <c r="Q1836">
        <v>19.5</v>
      </c>
      <c r="R1836">
        <v>8.5</v>
      </c>
      <c r="S1836">
        <v>10.8</v>
      </c>
      <c r="T1836">
        <v>6.2</v>
      </c>
      <c r="U1836">
        <v>5.4</v>
      </c>
      <c r="V1836">
        <v>28.7</v>
      </c>
      <c r="W1836">
        <v>0</v>
      </c>
      <c r="X1836">
        <v>15</v>
      </c>
      <c r="Y1836">
        <v>28.7</v>
      </c>
      <c r="Z1836">
        <v>29.6</v>
      </c>
      <c r="AA1836">
        <v>38.200000000000003</v>
      </c>
      <c r="AB1836">
        <v>149</v>
      </c>
      <c r="AC1836">
        <v>95</v>
      </c>
      <c r="AD1836">
        <v>21.6</v>
      </c>
      <c r="AE1836">
        <v>17.2</v>
      </c>
      <c r="AF1836">
        <v>42.363</v>
      </c>
      <c r="AG1836">
        <v>37.777999999999999</v>
      </c>
      <c r="AH1836">
        <v>57.296999999999997</v>
      </c>
      <c r="AI1836">
        <v>73.397000000000006</v>
      </c>
      <c r="AJ1836">
        <v>5.8520000000000003</v>
      </c>
      <c r="AK1836">
        <v>21.887</v>
      </c>
      <c r="AL1836">
        <v>-2.61</v>
      </c>
      <c r="AM1836">
        <v>57.296999999999997</v>
      </c>
      <c r="AN1836">
        <v>37.777999999999999</v>
      </c>
      <c r="AO1836">
        <v>42.363</v>
      </c>
      <c r="AP1836">
        <v>2.61</v>
      </c>
      <c r="AQ1836">
        <v>94.147999999999996</v>
      </c>
      <c r="AR1836">
        <v>26.603000000000002</v>
      </c>
      <c r="AS1836">
        <v>78.113</v>
      </c>
    </row>
    <row r="1837" spans="1:45" x14ac:dyDescent="0.25">
      <c r="A1837">
        <v>33</v>
      </c>
      <c r="B1837">
        <v>-29</v>
      </c>
      <c r="C1837">
        <v>0</v>
      </c>
      <c r="D1837">
        <v>2024</v>
      </c>
      <c r="E1837">
        <v>17</v>
      </c>
      <c r="F1837" t="str">
        <f>IFERROR(VLOOKUP(G1837, Map!$A$1:$B$33, 2, FALSE),"WAS")</f>
        <v>HOU</v>
      </c>
      <c r="G1837" t="s">
        <v>137</v>
      </c>
      <c r="H1837" t="str">
        <f>IFERROR(VLOOKUP(I1837, Map!$A$1:$B$33, 2, FALSE),"WAS")</f>
        <v>BAL</v>
      </c>
      <c r="I1837" t="s">
        <v>146</v>
      </c>
      <c r="J1837" t="s">
        <v>209</v>
      </c>
      <c r="K1837" t="s">
        <v>181</v>
      </c>
      <c r="L1837">
        <v>0</v>
      </c>
      <c r="M1837">
        <v>0</v>
      </c>
      <c r="N1837">
        <v>27</v>
      </c>
      <c r="O1837">
        <v>12</v>
      </c>
      <c r="P1837">
        <v>6.5</v>
      </c>
      <c r="Q1837">
        <v>33.5</v>
      </c>
      <c r="R1837">
        <v>17.5</v>
      </c>
      <c r="S1837">
        <v>20.6</v>
      </c>
      <c r="T1837">
        <v>14.5</v>
      </c>
      <c r="U1837">
        <v>18.2</v>
      </c>
      <c r="V1837">
        <v>26.5</v>
      </c>
      <c r="W1837">
        <v>0</v>
      </c>
      <c r="X1837">
        <v>11</v>
      </c>
      <c r="Y1837">
        <v>26.5</v>
      </c>
      <c r="Z1837">
        <v>18</v>
      </c>
      <c r="AA1837">
        <v>38.200000000000003</v>
      </c>
      <c r="AB1837">
        <v>154</v>
      </c>
      <c r="AC1837">
        <v>90</v>
      </c>
      <c r="AD1837">
        <v>25.1</v>
      </c>
      <c r="AE1837">
        <v>8.3000000000000007</v>
      </c>
      <c r="AF1837">
        <v>37.051000000000002</v>
      </c>
      <c r="AG1837">
        <v>77.489999999999995</v>
      </c>
      <c r="AH1837">
        <v>62.651000000000003</v>
      </c>
      <c r="AI1837">
        <v>10.997</v>
      </c>
      <c r="AJ1837">
        <v>6.3940000000000001</v>
      </c>
      <c r="AK1837">
        <v>3.0259999999999998</v>
      </c>
      <c r="AL1837">
        <v>-4.8380000000000001</v>
      </c>
      <c r="AM1837">
        <v>62.651000000000003</v>
      </c>
      <c r="AN1837">
        <v>77.489999999999995</v>
      </c>
      <c r="AO1837">
        <v>37.051000000000002</v>
      </c>
      <c r="AP1837">
        <v>4.8380000000000001</v>
      </c>
      <c r="AQ1837">
        <v>93.605999999999995</v>
      </c>
      <c r="AR1837">
        <v>89.003</v>
      </c>
      <c r="AS1837">
        <v>96.974000000000004</v>
      </c>
    </row>
    <row r="1838" spans="1:45" x14ac:dyDescent="0.25">
      <c r="A1838">
        <v>48</v>
      </c>
      <c r="B1838">
        <v>34</v>
      </c>
      <c r="C1838">
        <v>1</v>
      </c>
      <c r="D1838">
        <v>2024</v>
      </c>
      <c r="E1838">
        <v>17</v>
      </c>
      <c r="F1838" t="str">
        <f>IFERROR(VLOOKUP(G1838, Map!$A$1:$B$33, 2, FALSE),"WAS")</f>
        <v>PHI</v>
      </c>
      <c r="G1838" t="s">
        <v>147</v>
      </c>
      <c r="H1838" t="str">
        <f>IFERROR(VLOOKUP(I1838, Map!$A$1:$B$33, 2, FALSE),"WAS")</f>
        <v>DAL</v>
      </c>
      <c r="I1838" t="s">
        <v>150</v>
      </c>
      <c r="J1838" t="s">
        <v>206</v>
      </c>
      <c r="K1838" t="s">
        <v>184</v>
      </c>
      <c r="L1838">
        <v>1</v>
      </c>
      <c r="M1838">
        <v>0</v>
      </c>
      <c r="N1838">
        <v>43</v>
      </c>
      <c r="O1838">
        <v>-20.5</v>
      </c>
      <c r="P1838">
        <v>-7.5</v>
      </c>
      <c r="Q1838">
        <v>37.5</v>
      </c>
      <c r="R1838">
        <v>12.5</v>
      </c>
      <c r="S1838">
        <v>18.100000000000001</v>
      </c>
      <c r="T1838">
        <v>9.1</v>
      </c>
      <c r="U1838">
        <v>11.2</v>
      </c>
      <c r="V1838">
        <v>1.7</v>
      </c>
      <c r="W1838">
        <v>0</v>
      </c>
      <c r="X1838">
        <v>7</v>
      </c>
      <c r="Y1838">
        <v>1.7</v>
      </c>
      <c r="Z1838">
        <v>22.4</v>
      </c>
      <c r="AA1838">
        <v>50.8</v>
      </c>
      <c r="AB1838">
        <v>178</v>
      </c>
      <c r="AC1838">
        <v>90</v>
      </c>
      <c r="AD1838">
        <v>23.3</v>
      </c>
      <c r="AE1838">
        <v>10.9</v>
      </c>
      <c r="AF1838">
        <v>61.58</v>
      </c>
      <c r="AG1838">
        <v>65.36</v>
      </c>
      <c r="AH1838">
        <v>38.113999999999997</v>
      </c>
      <c r="AI1838">
        <v>93.683000000000007</v>
      </c>
      <c r="AJ1838">
        <v>83.034000000000006</v>
      </c>
      <c r="AK1838">
        <v>95.349000000000004</v>
      </c>
      <c r="AL1838">
        <v>4.7480000000000002</v>
      </c>
      <c r="AM1838">
        <v>38.113999999999997</v>
      </c>
      <c r="AN1838">
        <v>65.36</v>
      </c>
      <c r="AO1838">
        <v>61.58</v>
      </c>
      <c r="AP1838">
        <v>-4.7480000000000002</v>
      </c>
      <c r="AQ1838">
        <v>16.966000000000001</v>
      </c>
      <c r="AR1838">
        <v>6.3170000000000002</v>
      </c>
      <c r="AS1838">
        <v>4.6509999999999998</v>
      </c>
    </row>
    <row r="1839" spans="1:45" x14ac:dyDescent="0.25">
      <c r="A1839">
        <v>35</v>
      </c>
      <c r="B1839">
        <v>-15</v>
      </c>
      <c r="C1839">
        <v>0</v>
      </c>
      <c r="D1839">
        <v>2024</v>
      </c>
      <c r="E1839">
        <v>17</v>
      </c>
      <c r="F1839" t="str">
        <f>IFERROR(VLOOKUP(G1839, Map!$A$1:$B$33, 2, FALSE),"WAS")</f>
        <v>NO</v>
      </c>
      <c r="G1839" t="s">
        <v>168</v>
      </c>
      <c r="H1839" t="str">
        <f>IFERROR(VLOOKUP(I1839, Map!$A$1:$B$33, 2, FALSE),"WAS")</f>
        <v>LV</v>
      </c>
      <c r="I1839" t="s">
        <v>157</v>
      </c>
      <c r="J1839" t="s">
        <v>192</v>
      </c>
      <c r="K1839" t="s">
        <v>179</v>
      </c>
      <c r="L1839">
        <v>0</v>
      </c>
      <c r="M1839">
        <v>0</v>
      </c>
      <c r="N1839">
        <v>36.5</v>
      </c>
      <c r="O1839">
        <v>9</v>
      </c>
      <c r="P1839">
        <v>2.5</v>
      </c>
      <c r="Q1839">
        <v>35.5</v>
      </c>
      <c r="R1839">
        <v>17.399999999999999</v>
      </c>
      <c r="S1839">
        <v>21.7</v>
      </c>
      <c r="T1839">
        <v>14.6</v>
      </c>
      <c r="U1839">
        <v>17.5</v>
      </c>
      <c r="V1839">
        <v>16.7</v>
      </c>
      <c r="W1839">
        <v>0</v>
      </c>
      <c r="X1839">
        <v>4</v>
      </c>
      <c r="Y1839">
        <v>16.7</v>
      </c>
      <c r="Z1839">
        <v>23.1</v>
      </c>
      <c r="AA1839">
        <v>49</v>
      </c>
      <c r="AB1839">
        <v>248</v>
      </c>
      <c r="AC1839">
        <v>87</v>
      </c>
      <c r="AD1839">
        <v>28.5</v>
      </c>
      <c r="AE1839">
        <v>11.8</v>
      </c>
      <c r="AF1839">
        <v>41.898000000000003</v>
      </c>
      <c r="AG1839">
        <v>29.527999999999999</v>
      </c>
      <c r="AH1839">
        <v>57.765000000000001</v>
      </c>
      <c r="AI1839">
        <v>31.847000000000001</v>
      </c>
      <c r="AJ1839">
        <v>17.594000000000001</v>
      </c>
      <c r="AK1839">
        <v>19.885000000000002</v>
      </c>
      <c r="AL1839">
        <v>-2.9319999999999999</v>
      </c>
      <c r="AM1839">
        <v>57.765000000000001</v>
      </c>
      <c r="AN1839">
        <v>29.527999999999999</v>
      </c>
      <c r="AO1839">
        <v>41.898000000000003</v>
      </c>
      <c r="AP1839">
        <v>2.9319999999999999</v>
      </c>
      <c r="AQ1839">
        <v>82.406000000000006</v>
      </c>
      <c r="AR1839">
        <v>68.153000000000006</v>
      </c>
      <c r="AS1839">
        <v>80.114999999999995</v>
      </c>
    </row>
    <row r="1840" spans="1:45" x14ac:dyDescent="0.25">
      <c r="A1840">
        <v>33</v>
      </c>
      <c r="B1840">
        <v>7</v>
      </c>
      <c r="C1840">
        <v>1</v>
      </c>
      <c r="D1840">
        <v>2024</v>
      </c>
      <c r="E1840">
        <v>17</v>
      </c>
      <c r="F1840" t="str">
        <f>IFERROR(VLOOKUP(G1840, Map!$A$1:$B$33, 2, FALSE),"WAS")</f>
        <v>JAX</v>
      </c>
      <c r="G1840" t="s">
        <v>139</v>
      </c>
      <c r="H1840" t="str">
        <f>IFERROR(VLOOKUP(I1840, Map!$A$1:$B$33, 2, FALSE),"WAS")</f>
        <v>TEN</v>
      </c>
      <c r="I1840" t="s">
        <v>140</v>
      </c>
      <c r="J1840" t="s">
        <v>220</v>
      </c>
      <c r="K1840" t="s">
        <v>174</v>
      </c>
      <c r="L1840">
        <v>1</v>
      </c>
      <c r="M1840">
        <v>0</v>
      </c>
      <c r="N1840">
        <v>36</v>
      </c>
      <c r="O1840">
        <v>-2.5</v>
      </c>
      <c r="P1840">
        <v>1.5</v>
      </c>
      <c r="Q1840">
        <v>33.5</v>
      </c>
      <c r="R1840">
        <v>20.399999999999999</v>
      </c>
      <c r="S1840">
        <v>23.2</v>
      </c>
      <c r="T1840">
        <v>18.899999999999999</v>
      </c>
      <c r="U1840">
        <v>21.2</v>
      </c>
      <c r="V1840">
        <v>1.4</v>
      </c>
      <c r="W1840">
        <v>0</v>
      </c>
      <c r="X1840">
        <v>8</v>
      </c>
      <c r="Y1840">
        <v>1.4</v>
      </c>
      <c r="Z1840">
        <v>17.399999999999999</v>
      </c>
      <c r="AA1840">
        <v>33.799999999999997</v>
      </c>
      <c r="AB1840">
        <v>169</v>
      </c>
      <c r="AC1840">
        <v>86</v>
      </c>
      <c r="AD1840">
        <v>29.9</v>
      </c>
      <c r="AE1840">
        <v>14.5</v>
      </c>
      <c r="AF1840">
        <v>41.301000000000002</v>
      </c>
      <c r="AG1840">
        <v>21.175999999999998</v>
      </c>
      <c r="AH1840">
        <v>58.366999999999997</v>
      </c>
      <c r="AI1840">
        <v>54.081000000000003</v>
      </c>
      <c r="AJ1840">
        <v>68.108999999999995</v>
      </c>
      <c r="AK1840">
        <v>68.506</v>
      </c>
      <c r="AL1840">
        <v>-3.3290000000000002</v>
      </c>
      <c r="AM1840">
        <v>58.366999999999997</v>
      </c>
      <c r="AN1840">
        <v>21.175999999999998</v>
      </c>
      <c r="AO1840">
        <v>41.301000000000002</v>
      </c>
      <c r="AP1840">
        <v>3.3290000000000002</v>
      </c>
      <c r="AQ1840">
        <v>31.890999999999998</v>
      </c>
      <c r="AR1840">
        <v>45.918999999999997</v>
      </c>
      <c r="AS1840">
        <v>31.494</v>
      </c>
    </row>
    <row r="1841" spans="1:45" x14ac:dyDescent="0.25">
      <c r="A1841">
        <v>39</v>
      </c>
      <c r="B1841">
        <v>-19</v>
      </c>
      <c r="C1841">
        <v>0</v>
      </c>
      <c r="D1841">
        <v>2024</v>
      </c>
      <c r="E1841">
        <v>17</v>
      </c>
      <c r="F1841" t="str">
        <f>IFERROR(VLOOKUP(G1841, Map!$A$1:$B$33, 2, FALSE),"WAS")</f>
        <v>PIT</v>
      </c>
      <c r="G1841" t="s">
        <v>145</v>
      </c>
      <c r="H1841" t="str">
        <f>IFERROR(VLOOKUP(I1841, Map!$A$1:$B$33, 2, FALSE),"WAS")</f>
        <v>KC</v>
      </c>
      <c r="I1841" t="s">
        <v>158</v>
      </c>
      <c r="J1841" t="s">
        <v>170</v>
      </c>
      <c r="K1841" t="s">
        <v>202</v>
      </c>
      <c r="L1841">
        <v>0</v>
      </c>
      <c r="M1841">
        <v>0</v>
      </c>
      <c r="N1841">
        <v>29</v>
      </c>
      <c r="O1841">
        <v>7</v>
      </c>
      <c r="P1841">
        <v>1.5</v>
      </c>
      <c r="Q1841">
        <v>41.5</v>
      </c>
      <c r="R1841">
        <v>1.6</v>
      </c>
      <c r="S1841">
        <v>3.5</v>
      </c>
      <c r="T1841">
        <v>0</v>
      </c>
      <c r="U1841">
        <v>-1.2</v>
      </c>
      <c r="V1841">
        <v>0</v>
      </c>
      <c r="W1841">
        <v>0</v>
      </c>
      <c r="X1841">
        <v>0</v>
      </c>
      <c r="Y1841">
        <v>0</v>
      </c>
      <c r="Z1841">
        <v>7.3</v>
      </c>
      <c r="AA1841">
        <v>16.600000000000001</v>
      </c>
      <c r="AB1841">
        <v>56</v>
      </c>
      <c r="AC1841">
        <v>89</v>
      </c>
      <c r="AD1841">
        <v>10.4</v>
      </c>
      <c r="AE1841">
        <v>4.5999999999999996</v>
      </c>
      <c r="AF1841">
        <v>44.289000000000001</v>
      </c>
      <c r="AG1841">
        <v>69.412999999999997</v>
      </c>
      <c r="AH1841">
        <v>55.354999999999997</v>
      </c>
      <c r="AI1841">
        <v>18.724</v>
      </c>
      <c r="AJ1841">
        <v>19.628</v>
      </c>
      <c r="AK1841">
        <v>16.071000000000002</v>
      </c>
      <c r="AL1841">
        <v>-2.2450000000000001</v>
      </c>
      <c r="AM1841">
        <v>55.354999999999997</v>
      </c>
      <c r="AN1841">
        <v>69.412999999999997</v>
      </c>
      <c r="AO1841">
        <v>44.289000000000001</v>
      </c>
      <c r="AP1841">
        <v>2.2450000000000001</v>
      </c>
      <c r="AQ1841">
        <v>80.372</v>
      </c>
      <c r="AR1841">
        <v>81.275999999999996</v>
      </c>
      <c r="AS1841">
        <v>83.929000000000002</v>
      </c>
    </row>
    <row r="1842" spans="1:45" x14ac:dyDescent="0.25">
      <c r="A1842">
        <v>49</v>
      </c>
      <c r="B1842">
        <v>3</v>
      </c>
      <c r="C1842">
        <v>1</v>
      </c>
      <c r="D1842">
        <v>2024</v>
      </c>
      <c r="E1842">
        <v>18</v>
      </c>
      <c r="F1842" t="str">
        <f>IFERROR(VLOOKUP(G1842, Map!$A$1:$B$33, 2, FALSE),"WAS")</f>
        <v>IND</v>
      </c>
      <c r="G1842" t="s">
        <v>138</v>
      </c>
      <c r="H1842" t="str">
        <f>IFERROR(VLOOKUP(I1842, Map!$A$1:$B$33, 2, FALSE),"WAS")</f>
        <v>JAX</v>
      </c>
      <c r="I1842" t="s">
        <v>139</v>
      </c>
      <c r="J1842" t="s">
        <v>177</v>
      </c>
      <c r="K1842" t="s">
        <v>220</v>
      </c>
      <c r="L1842">
        <v>1</v>
      </c>
      <c r="M1842">
        <v>0</v>
      </c>
      <c r="N1842">
        <v>47.5</v>
      </c>
      <c r="O1842">
        <v>-3</v>
      </c>
      <c r="P1842">
        <v>-2.5</v>
      </c>
      <c r="Q1842">
        <v>45.5</v>
      </c>
      <c r="R1842">
        <v>-5.8</v>
      </c>
      <c r="S1842">
        <v>-4.5999999999999996</v>
      </c>
      <c r="T1842">
        <v>-6.8</v>
      </c>
      <c r="U1842">
        <v>-10.1</v>
      </c>
      <c r="V1842">
        <v>3.7</v>
      </c>
      <c r="W1842">
        <v>2.52</v>
      </c>
      <c r="X1842">
        <v>10</v>
      </c>
      <c r="Y1842">
        <v>0.1</v>
      </c>
      <c r="Z1842">
        <v>13.5</v>
      </c>
      <c r="AA1842">
        <v>29.5</v>
      </c>
      <c r="AB1842">
        <v>32</v>
      </c>
      <c r="AC1842">
        <v>63</v>
      </c>
      <c r="AD1842">
        <v>15.4</v>
      </c>
      <c r="AE1842">
        <v>6.3</v>
      </c>
      <c r="AF1842">
        <v>62.784999999999997</v>
      </c>
      <c r="AG1842">
        <v>32.613999999999997</v>
      </c>
      <c r="AH1842">
        <v>36.917999999999999</v>
      </c>
      <c r="AI1842">
        <v>61.097000000000001</v>
      </c>
      <c r="AJ1842">
        <v>55.634999999999998</v>
      </c>
      <c r="AK1842">
        <v>56.155000000000001</v>
      </c>
      <c r="AL1842">
        <v>4.7949999999999999</v>
      </c>
      <c r="AM1842">
        <v>36.917999999999999</v>
      </c>
      <c r="AN1842">
        <v>32.613999999999997</v>
      </c>
      <c r="AO1842">
        <v>62.784999999999997</v>
      </c>
      <c r="AP1842">
        <v>-4.7949999999999999</v>
      </c>
      <c r="AQ1842">
        <v>44.365000000000002</v>
      </c>
      <c r="AR1842">
        <v>38.902999999999999</v>
      </c>
      <c r="AS1842">
        <v>43.844999999999999</v>
      </c>
    </row>
    <row r="1843" spans="1:45" x14ac:dyDescent="0.25">
      <c r="A1843">
        <v>71</v>
      </c>
      <c r="B1843">
        <v>23</v>
      </c>
      <c r="C1843">
        <v>1</v>
      </c>
      <c r="D1843">
        <v>2024</v>
      </c>
      <c r="E1843">
        <v>18</v>
      </c>
      <c r="F1843" t="str">
        <f>IFERROR(VLOOKUP(G1843, Map!$A$1:$B$33, 2, FALSE),"WAS")</f>
        <v>ARI</v>
      </c>
      <c r="G1843" t="s">
        <v>156</v>
      </c>
      <c r="H1843" t="str">
        <f>IFERROR(VLOOKUP(I1843, Map!$A$1:$B$33, 2, FALSE),"WAS")</f>
        <v>SF</v>
      </c>
      <c r="I1843" t="s">
        <v>143</v>
      </c>
      <c r="J1843" t="s">
        <v>190</v>
      </c>
      <c r="K1843" t="s">
        <v>197</v>
      </c>
      <c r="L1843">
        <v>1</v>
      </c>
      <c r="M1843">
        <v>0</v>
      </c>
      <c r="N1843">
        <v>53</v>
      </c>
      <c r="O1843">
        <v>-6.5</v>
      </c>
      <c r="P1843">
        <v>-4.5</v>
      </c>
      <c r="Q1843">
        <v>42.5</v>
      </c>
      <c r="R1843">
        <v>13.1</v>
      </c>
      <c r="S1843">
        <v>23.1</v>
      </c>
      <c r="T1843">
        <v>6.8</v>
      </c>
      <c r="U1843">
        <v>10.3</v>
      </c>
      <c r="V1843">
        <v>0</v>
      </c>
      <c r="W1843">
        <v>0</v>
      </c>
      <c r="X1843">
        <v>0</v>
      </c>
      <c r="Y1843">
        <v>0</v>
      </c>
      <c r="Z1843">
        <v>9.9</v>
      </c>
      <c r="AA1843">
        <v>24.8</v>
      </c>
      <c r="AB1843">
        <v>208</v>
      </c>
      <c r="AC1843">
        <v>38</v>
      </c>
      <c r="AD1843">
        <v>11.7</v>
      </c>
      <c r="AE1843">
        <v>3.2</v>
      </c>
      <c r="AF1843">
        <v>60.686999999999998</v>
      </c>
      <c r="AG1843">
        <v>64.698999999999998</v>
      </c>
      <c r="AH1843">
        <v>39</v>
      </c>
      <c r="AI1843">
        <v>44.405000000000001</v>
      </c>
      <c r="AJ1843">
        <v>80.304000000000002</v>
      </c>
      <c r="AK1843">
        <v>75.832999999999998</v>
      </c>
      <c r="AL1843">
        <v>4.0679999999999996</v>
      </c>
      <c r="AM1843">
        <v>39</v>
      </c>
      <c r="AN1843">
        <v>64.698999999999998</v>
      </c>
      <c r="AO1843">
        <v>60.686999999999998</v>
      </c>
      <c r="AP1843">
        <v>-4.0679999999999996</v>
      </c>
      <c r="AQ1843">
        <v>19.696000000000002</v>
      </c>
      <c r="AR1843">
        <v>55.594999999999999</v>
      </c>
      <c r="AS1843">
        <v>24.167000000000002</v>
      </c>
    </row>
    <row r="1844" spans="1:45" x14ac:dyDescent="0.25">
      <c r="A1844">
        <v>55</v>
      </c>
      <c r="B1844">
        <v>-5</v>
      </c>
      <c r="C1844">
        <v>0</v>
      </c>
      <c r="D1844">
        <v>2024</v>
      </c>
      <c r="E1844">
        <v>18</v>
      </c>
      <c r="F1844" t="str">
        <f>IFERROR(VLOOKUP(G1844, Map!$A$1:$B$33, 2, FALSE),"WAS")</f>
        <v>LA</v>
      </c>
      <c r="G1844" t="s">
        <v>155</v>
      </c>
      <c r="H1844" t="str">
        <f>IFERROR(VLOOKUP(I1844, Map!$A$1:$B$33, 2, FALSE),"WAS")</f>
        <v>SEA</v>
      </c>
      <c r="I1844" t="s">
        <v>144</v>
      </c>
      <c r="J1844" t="s">
        <v>178</v>
      </c>
      <c r="K1844" t="s">
        <v>182</v>
      </c>
      <c r="L1844">
        <v>0</v>
      </c>
      <c r="M1844">
        <v>0</v>
      </c>
      <c r="N1844">
        <v>47</v>
      </c>
      <c r="O1844">
        <v>6</v>
      </c>
      <c r="P1844">
        <v>4.5</v>
      </c>
      <c r="Q1844">
        <v>38.5</v>
      </c>
      <c r="R1844">
        <v>13.2</v>
      </c>
      <c r="S1844">
        <v>24.3</v>
      </c>
      <c r="T1844">
        <v>6.7</v>
      </c>
      <c r="U1844">
        <v>10.8</v>
      </c>
      <c r="V1844">
        <v>0</v>
      </c>
      <c r="W1844">
        <v>0</v>
      </c>
      <c r="X1844">
        <v>0</v>
      </c>
      <c r="Y1844">
        <v>0</v>
      </c>
      <c r="Z1844">
        <v>6.7</v>
      </c>
      <c r="AA1844">
        <v>19.100000000000001</v>
      </c>
      <c r="AB1844">
        <v>311</v>
      </c>
      <c r="AC1844">
        <v>49</v>
      </c>
      <c r="AD1844">
        <v>10.6</v>
      </c>
      <c r="AE1844">
        <v>3.5</v>
      </c>
      <c r="AF1844">
        <v>51.808</v>
      </c>
      <c r="AG1844">
        <v>55.198999999999998</v>
      </c>
      <c r="AH1844">
        <v>47.808</v>
      </c>
      <c r="AI1844">
        <v>20.960999999999999</v>
      </c>
      <c r="AJ1844">
        <v>53.107999999999997</v>
      </c>
      <c r="AK1844">
        <v>39.74</v>
      </c>
      <c r="AL1844">
        <v>0.55800000000000005</v>
      </c>
      <c r="AM1844">
        <v>47.808</v>
      </c>
      <c r="AN1844">
        <v>55.198999999999998</v>
      </c>
      <c r="AO1844">
        <v>51.808</v>
      </c>
      <c r="AP1844">
        <v>-0.55800000000000005</v>
      </c>
      <c r="AQ1844">
        <v>46.892000000000003</v>
      </c>
      <c r="AR1844">
        <v>79.039000000000001</v>
      </c>
      <c r="AS1844">
        <v>60.26</v>
      </c>
    </row>
    <row r="1845" spans="1:45" x14ac:dyDescent="0.25">
      <c r="A1845">
        <v>45</v>
      </c>
      <c r="B1845">
        <v>25</v>
      </c>
      <c r="C1845">
        <v>1</v>
      </c>
      <c r="D1845">
        <v>2024</v>
      </c>
      <c r="E1845">
        <v>18</v>
      </c>
      <c r="F1845" t="str">
        <f>IFERROR(VLOOKUP(G1845, Map!$A$1:$B$33, 2, FALSE),"WAS")</f>
        <v>BAL</v>
      </c>
      <c r="G1845" t="s">
        <v>146</v>
      </c>
      <c r="H1845" t="str">
        <f>IFERROR(VLOOKUP(I1845, Map!$A$1:$B$33, 2, FALSE),"WAS")</f>
        <v>CLE</v>
      </c>
      <c r="I1845" t="s">
        <v>162</v>
      </c>
      <c r="J1845" t="s">
        <v>181</v>
      </c>
      <c r="K1845" t="s">
        <v>171</v>
      </c>
      <c r="L1845">
        <v>1</v>
      </c>
      <c r="M1845">
        <v>0</v>
      </c>
      <c r="N1845">
        <v>40</v>
      </c>
      <c r="O1845">
        <v>-19.5</v>
      </c>
      <c r="P1845">
        <v>-18.5</v>
      </c>
      <c r="Q1845">
        <v>38.5</v>
      </c>
      <c r="R1845">
        <v>-1.7</v>
      </c>
      <c r="S1845">
        <v>0.9</v>
      </c>
      <c r="T1845">
        <v>-3</v>
      </c>
      <c r="U1845">
        <v>-8.1999999999999993</v>
      </c>
      <c r="V1845">
        <v>0.1</v>
      </c>
      <c r="W1845">
        <v>7.0000000000000007E-2</v>
      </c>
      <c r="X1845">
        <v>1</v>
      </c>
      <c r="Y1845">
        <v>0</v>
      </c>
      <c r="Z1845">
        <v>29.5</v>
      </c>
      <c r="AA1845">
        <v>65.5</v>
      </c>
      <c r="AB1845">
        <v>294</v>
      </c>
      <c r="AC1845">
        <v>54</v>
      </c>
      <c r="AD1845">
        <v>50.6</v>
      </c>
      <c r="AE1845">
        <v>22</v>
      </c>
      <c r="AF1845">
        <v>80.991</v>
      </c>
      <c r="AG1845">
        <v>55.079000000000001</v>
      </c>
      <c r="AH1845">
        <v>18.858000000000001</v>
      </c>
      <c r="AI1845">
        <v>98.162000000000006</v>
      </c>
      <c r="AJ1845">
        <v>60.076999999999998</v>
      </c>
      <c r="AK1845">
        <v>94.150999999999996</v>
      </c>
      <c r="AL1845">
        <v>13.332000000000001</v>
      </c>
      <c r="AM1845">
        <v>18.858000000000001</v>
      </c>
      <c r="AN1845">
        <v>55.079000000000001</v>
      </c>
      <c r="AO1845">
        <v>80.991</v>
      </c>
      <c r="AP1845">
        <v>-13.332000000000001</v>
      </c>
      <c r="AQ1845">
        <v>39.923000000000002</v>
      </c>
      <c r="AR1845">
        <v>1.8380000000000001</v>
      </c>
      <c r="AS1845">
        <v>5.8490000000000002</v>
      </c>
    </row>
    <row r="1846" spans="1:45" x14ac:dyDescent="0.25">
      <c r="A1846">
        <v>33</v>
      </c>
      <c r="B1846">
        <v>7</v>
      </c>
      <c r="C1846">
        <v>1</v>
      </c>
      <c r="D1846">
        <v>2024</v>
      </c>
      <c r="E1846">
        <v>18</v>
      </c>
      <c r="F1846" t="str">
        <f>IFERROR(VLOOKUP(G1846, Map!$A$1:$B$33, 2, FALSE),"WAS")</f>
        <v>PHI</v>
      </c>
      <c r="G1846" t="s">
        <v>147</v>
      </c>
      <c r="H1846" t="str">
        <f>IFERROR(VLOOKUP(I1846, Map!$A$1:$B$33, 2, FALSE),"WAS")</f>
        <v>NYG</v>
      </c>
      <c r="I1846" t="s">
        <v>149</v>
      </c>
      <c r="J1846" t="s">
        <v>206</v>
      </c>
      <c r="K1846" t="s">
        <v>219</v>
      </c>
      <c r="L1846">
        <v>1</v>
      </c>
      <c r="M1846">
        <v>0</v>
      </c>
      <c r="N1846">
        <v>33</v>
      </c>
      <c r="O1846">
        <v>-3.5</v>
      </c>
      <c r="P1846">
        <v>-2.5</v>
      </c>
      <c r="Q1846">
        <v>30.5</v>
      </c>
      <c r="R1846">
        <v>-2.8</v>
      </c>
      <c r="S1846">
        <v>-0.4</v>
      </c>
      <c r="T1846">
        <v>-4.7</v>
      </c>
      <c r="U1846">
        <v>-8.6999999999999993</v>
      </c>
      <c r="V1846">
        <v>0</v>
      </c>
      <c r="W1846">
        <v>0</v>
      </c>
      <c r="X1846">
        <v>0</v>
      </c>
      <c r="Y1846">
        <v>0</v>
      </c>
      <c r="Z1846">
        <v>20.3</v>
      </c>
      <c r="AA1846">
        <v>51.1</v>
      </c>
      <c r="AB1846">
        <v>277</v>
      </c>
      <c r="AC1846">
        <v>48</v>
      </c>
      <c r="AD1846">
        <v>39.6</v>
      </c>
      <c r="AE1846">
        <v>16.8</v>
      </c>
      <c r="AF1846">
        <v>70.816999999999993</v>
      </c>
      <c r="AG1846">
        <v>52.375</v>
      </c>
      <c r="AH1846">
        <v>28.95</v>
      </c>
      <c r="AI1846">
        <v>89.832999999999998</v>
      </c>
      <c r="AJ1846">
        <v>54.737000000000002</v>
      </c>
      <c r="AK1846">
        <v>72.093000000000004</v>
      </c>
      <c r="AL1846">
        <v>8.3940000000000001</v>
      </c>
      <c r="AM1846">
        <v>28.95</v>
      </c>
      <c r="AN1846">
        <v>52.375</v>
      </c>
      <c r="AO1846">
        <v>70.816999999999993</v>
      </c>
      <c r="AP1846">
        <v>-8.3940000000000001</v>
      </c>
      <c r="AQ1846">
        <v>45.262999999999998</v>
      </c>
      <c r="AR1846">
        <v>10.167</v>
      </c>
      <c r="AS1846">
        <v>27.907</v>
      </c>
    </row>
    <row r="1847" spans="1:45" x14ac:dyDescent="0.25">
      <c r="A1847">
        <v>46</v>
      </c>
      <c r="B1847">
        <v>8</v>
      </c>
      <c r="C1847">
        <v>1</v>
      </c>
      <c r="D1847">
        <v>2024</v>
      </c>
      <c r="E1847">
        <v>18</v>
      </c>
      <c r="F1847" t="str">
        <f>IFERROR(VLOOKUP(G1847, Map!$A$1:$B$33, 2, FALSE),"WAS")</f>
        <v>TB</v>
      </c>
      <c r="G1847" t="s">
        <v>141</v>
      </c>
      <c r="H1847" t="str">
        <f>IFERROR(VLOOKUP(I1847, Map!$A$1:$B$33, 2, FALSE),"WAS")</f>
        <v>NO</v>
      </c>
      <c r="I1847" t="s">
        <v>168</v>
      </c>
      <c r="J1847" t="s">
        <v>186</v>
      </c>
      <c r="K1847" t="s">
        <v>192</v>
      </c>
      <c r="L1847">
        <v>1</v>
      </c>
      <c r="M1847">
        <v>0</v>
      </c>
      <c r="N1847">
        <v>43.5</v>
      </c>
      <c r="O1847">
        <v>-10</v>
      </c>
      <c r="P1847">
        <v>-5.5</v>
      </c>
      <c r="Q1847">
        <v>42.5</v>
      </c>
      <c r="R1847">
        <v>13.2</v>
      </c>
      <c r="S1847">
        <v>21.3</v>
      </c>
      <c r="T1847">
        <v>8.1</v>
      </c>
      <c r="U1847">
        <v>10.3</v>
      </c>
      <c r="V1847">
        <v>0</v>
      </c>
      <c r="W1847">
        <v>0</v>
      </c>
      <c r="X1847">
        <v>0</v>
      </c>
      <c r="Y1847">
        <v>0</v>
      </c>
      <c r="Z1847">
        <v>10.9</v>
      </c>
      <c r="AA1847">
        <v>27.4</v>
      </c>
      <c r="AB1847">
        <v>76</v>
      </c>
      <c r="AC1847">
        <v>52</v>
      </c>
      <c r="AD1847">
        <v>20</v>
      </c>
      <c r="AE1847">
        <v>9</v>
      </c>
      <c r="AF1847">
        <v>78.581000000000003</v>
      </c>
      <c r="AG1847">
        <v>57.5</v>
      </c>
      <c r="AH1847">
        <v>21.248000000000001</v>
      </c>
      <c r="AI1847">
        <v>52.756999999999998</v>
      </c>
      <c r="AJ1847">
        <v>67.602999999999994</v>
      </c>
      <c r="AK1847">
        <v>62.179000000000002</v>
      </c>
      <c r="AL1847">
        <v>12.273999999999999</v>
      </c>
      <c r="AM1847">
        <v>21.248000000000001</v>
      </c>
      <c r="AN1847">
        <v>57.5</v>
      </c>
      <c r="AO1847">
        <v>78.581000000000003</v>
      </c>
      <c r="AP1847">
        <v>-12.273999999999999</v>
      </c>
      <c r="AQ1847">
        <v>32.396999999999998</v>
      </c>
      <c r="AR1847">
        <v>47.243000000000002</v>
      </c>
      <c r="AS1847">
        <v>37.820999999999998</v>
      </c>
    </row>
    <row r="1848" spans="1:45" x14ac:dyDescent="0.25">
      <c r="A1848">
        <v>82</v>
      </c>
      <c r="B1848">
        <v>-6</v>
      </c>
      <c r="C1848">
        <v>0</v>
      </c>
      <c r="D1848">
        <v>2024</v>
      </c>
      <c r="E1848">
        <v>18</v>
      </c>
      <c r="F1848" t="str">
        <f>IFERROR(VLOOKUP(G1848, Map!$A$1:$B$33, 2, FALSE),"WAS")</f>
        <v>ATL</v>
      </c>
      <c r="G1848" t="s">
        <v>167</v>
      </c>
      <c r="H1848" t="str">
        <f>IFERROR(VLOOKUP(I1848, Map!$A$1:$B$33, 2, FALSE),"WAS")</f>
        <v>CAR</v>
      </c>
      <c r="I1848" t="s">
        <v>142</v>
      </c>
      <c r="J1848" t="s">
        <v>188</v>
      </c>
      <c r="K1848" t="s">
        <v>185</v>
      </c>
      <c r="L1848">
        <v>0</v>
      </c>
      <c r="M1848">
        <v>0</v>
      </c>
      <c r="N1848">
        <v>60</v>
      </c>
      <c r="O1848">
        <v>-2.5</v>
      </c>
      <c r="P1848">
        <v>2.5</v>
      </c>
      <c r="Q1848">
        <v>48.5</v>
      </c>
      <c r="R1848">
        <v>3.7</v>
      </c>
      <c r="S1848">
        <v>10</v>
      </c>
      <c r="T1848">
        <v>-0.9</v>
      </c>
      <c r="U1848">
        <v>0.3</v>
      </c>
      <c r="V1848">
        <v>0.5</v>
      </c>
      <c r="W1848">
        <v>0</v>
      </c>
      <c r="X1848">
        <v>1</v>
      </c>
      <c r="Y1848">
        <v>0.5</v>
      </c>
      <c r="Z1848">
        <v>14.4</v>
      </c>
      <c r="AA1848">
        <v>30.2</v>
      </c>
      <c r="AB1848">
        <v>136</v>
      </c>
      <c r="AC1848">
        <v>64</v>
      </c>
      <c r="AD1848">
        <v>14.1</v>
      </c>
      <c r="AE1848">
        <v>6.1</v>
      </c>
      <c r="AF1848">
        <v>73.561000000000007</v>
      </c>
      <c r="AG1848">
        <v>26.791</v>
      </c>
      <c r="AH1848">
        <v>26.228000000000002</v>
      </c>
      <c r="AI1848">
        <v>5.99</v>
      </c>
      <c r="AJ1848">
        <v>87.572999999999993</v>
      </c>
      <c r="AK1848">
        <v>39.284999999999997</v>
      </c>
      <c r="AL1848">
        <v>9.3529999999999998</v>
      </c>
      <c r="AM1848">
        <v>26.228000000000002</v>
      </c>
      <c r="AN1848">
        <v>26.791</v>
      </c>
      <c r="AO1848">
        <v>73.561000000000007</v>
      </c>
      <c r="AP1848">
        <v>-9.3529999999999998</v>
      </c>
      <c r="AQ1848">
        <v>12.427</v>
      </c>
      <c r="AR1848">
        <v>94.01</v>
      </c>
      <c r="AS1848">
        <v>60.715000000000003</v>
      </c>
    </row>
    <row r="1849" spans="1:45" x14ac:dyDescent="0.25">
      <c r="A1849">
        <v>39</v>
      </c>
      <c r="B1849">
        <v>7</v>
      </c>
      <c r="C1849">
        <v>1</v>
      </c>
      <c r="D1849">
        <v>2024</v>
      </c>
      <c r="E1849">
        <v>18</v>
      </c>
      <c r="F1849" t="str">
        <f>IFERROR(VLOOKUP(G1849, Map!$A$1:$B$33, 2, FALSE),"WAS")</f>
        <v>NE</v>
      </c>
      <c r="G1849" t="s">
        <v>151</v>
      </c>
      <c r="H1849" t="str">
        <f>IFERROR(VLOOKUP(I1849, Map!$A$1:$B$33, 2, FALSE),"WAS")</f>
        <v>BUF</v>
      </c>
      <c r="I1849" t="s">
        <v>165</v>
      </c>
      <c r="J1849" t="s">
        <v>187</v>
      </c>
      <c r="K1849" t="s">
        <v>180</v>
      </c>
      <c r="L1849">
        <v>1</v>
      </c>
      <c r="M1849">
        <v>0</v>
      </c>
      <c r="N1849">
        <v>36.5</v>
      </c>
      <c r="O1849">
        <v>0</v>
      </c>
      <c r="P1849">
        <v>3.5</v>
      </c>
      <c r="Q1849">
        <v>36.5</v>
      </c>
      <c r="R1849">
        <v>-2.4</v>
      </c>
      <c r="S1849">
        <v>-0.4</v>
      </c>
      <c r="T1849">
        <v>-4</v>
      </c>
      <c r="U1849">
        <v>-8.6</v>
      </c>
      <c r="V1849">
        <v>0</v>
      </c>
      <c r="W1849">
        <v>0</v>
      </c>
      <c r="X1849">
        <v>0</v>
      </c>
      <c r="Y1849">
        <v>0</v>
      </c>
      <c r="Z1849">
        <v>28.6</v>
      </c>
      <c r="AA1849">
        <v>61.9</v>
      </c>
      <c r="AB1849">
        <v>282</v>
      </c>
      <c r="AC1849">
        <v>56</v>
      </c>
      <c r="AD1849">
        <v>44.3</v>
      </c>
      <c r="AE1849">
        <v>20.7</v>
      </c>
      <c r="AF1849">
        <v>34.633000000000003</v>
      </c>
      <c r="AG1849">
        <v>50.83</v>
      </c>
      <c r="AH1849">
        <v>65.088999999999999</v>
      </c>
      <c r="AI1849">
        <v>70.959999999999994</v>
      </c>
      <c r="AJ1849">
        <v>42.243000000000002</v>
      </c>
      <c r="AK1849">
        <v>65.557000000000002</v>
      </c>
      <c r="AL1849">
        <v>-5.81</v>
      </c>
      <c r="AM1849">
        <v>65.088999999999999</v>
      </c>
      <c r="AN1849">
        <v>50.83</v>
      </c>
      <c r="AO1849">
        <v>34.633000000000003</v>
      </c>
      <c r="AP1849">
        <v>5.81</v>
      </c>
      <c r="AQ1849">
        <v>57.756999999999998</v>
      </c>
      <c r="AR1849">
        <v>29.04</v>
      </c>
      <c r="AS1849">
        <v>34.442999999999998</v>
      </c>
    </row>
    <row r="1850" spans="1:45" x14ac:dyDescent="0.25">
      <c r="A1850">
        <v>52</v>
      </c>
      <c r="B1850">
        <v>12</v>
      </c>
      <c r="C1850">
        <v>1</v>
      </c>
      <c r="D1850">
        <v>2024</v>
      </c>
      <c r="E1850">
        <v>18</v>
      </c>
      <c r="F1850" t="str">
        <f>IFERROR(VLOOKUP(G1850, Map!$A$1:$B$33, 2, FALSE),"WAS")</f>
        <v>NYJ</v>
      </c>
      <c r="G1850" t="s">
        <v>166</v>
      </c>
      <c r="H1850" t="str">
        <f>IFERROR(VLOOKUP(I1850, Map!$A$1:$B$33, 2, FALSE),"WAS")</f>
        <v>MIA</v>
      </c>
      <c r="I1850" t="s">
        <v>152</v>
      </c>
      <c r="J1850" t="s">
        <v>172</v>
      </c>
      <c r="K1850" t="s">
        <v>175</v>
      </c>
      <c r="L1850">
        <v>1</v>
      </c>
      <c r="M1850">
        <v>0</v>
      </c>
      <c r="N1850">
        <v>44</v>
      </c>
      <c r="O1850">
        <v>-4</v>
      </c>
      <c r="P1850">
        <v>-2.5</v>
      </c>
      <c r="Q1850">
        <v>39.5</v>
      </c>
      <c r="R1850">
        <v>-2.1</v>
      </c>
      <c r="S1850">
        <v>0.3</v>
      </c>
      <c r="T1850">
        <v>-3.5</v>
      </c>
      <c r="U1850">
        <v>-7.7</v>
      </c>
      <c r="V1850">
        <v>0</v>
      </c>
      <c r="W1850">
        <v>0</v>
      </c>
      <c r="X1850">
        <v>0</v>
      </c>
      <c r="Y1850">
        <v>0</v>
      </c>
      <c r="Z1850">
        <v>19.5</v>
      </c>
      <c r="AA1850">
        <v>46.8</v>
      </c>
      <c r="AB1850">
        <v>280</v>
      </c>
      <c r="AC1850">
        <v>49</v>
      </c>
      <c r="AD1850">
        <v>37.200000000000003</v>
      </c>
      <c r="AE1850">
        <v>15.6</v>
      </c>
      <c r="AF1850">
        <v>62.183</v>
      </c>
      <c r="AG1850">
        <v>51.8</v>
      </c>
      <c r="AH1850">
        <v>37.515999999999998</v>
      </c>
      <c r="AI1850">
        <v>84.822000000000003</v>
      </c>
      <c r="AJ1850">
        <v>66.021000000000001</v>
      </c>
      <c r="AK1850">
        <v>76.703999999999994</v>
      </c>
      <c r="AL1850">
        <v>4.383</v>
      </c>
      <c r="AM1850">
        <v>37.515999999999998</v>
      </c>
      <c r="AN1850">
        <v>51.8</v>
      </c>
      <c r="AO1850">
        <v>62.183</v>
      </c>
      <c r="AP1850">
        <v>-4.383</v>
      </c>
      <c r="AQ1850">
        <v>33.978999999999999</v>
      </c>
      <c r="AR1850">
        <v>15.178000000000001</v>
      </c>
      <c r="AS1850">
        <v>23.295999999999999</v>
      </c>
    </row>
    <row r="1851" spans="1:45" x14ac:dyDescent="0.25">
      <c r="A1851">
        <v>36</v>
      </c>
      <c r="B1851">
        <v>-2</v>
      </c>
      <c r="C1851">
        <v>0</v>
      </c>
      <c r="D1851">
        <v>2024</v>
      </c>
      <c r="E1851">
        <v>18</v>
      </c>
      <c r="F1851" t="str">
        <f>IFERROR(VLOOKUP(G1851, Map!$A$1:$B$33, 2, FALSE),"WAS")</f>
        <v>PIT</v>
      </c>
      <c r="G1851" t="s">
        <v>145</v>
      </c>
      <c r="H1851" t="str">
        <f>IFERROR(VLOOKUP(I1851, Map!$A$1:$B$33, 2, FALSE),"WAS")</f>
        <v>CIN</v>
      </c>
      <c r="I1851" t="s">
        <v>161</v>
      </c>
      <c r="J1851" t="s">
        <v>170</v>
      </c>
      <c r="K1851" t="s">
        <v>176</v>
      </c>
      <c r="L1851">
        <v>0</v>
      </c>
      <c r="M1851">
        <v>0</v>
      </c>
      <c r="N1851">
        <v>41</v>
      </c>
      <c r="O1851">
        <v>3.5</v>
      </c>
      <c r="P1851">
        <v>2.5</v>
      </c>
      <c r="Q1851">
        <v>33.5</v>
      </c>
      <c r="R1851">
        <v>-8.1999999999999993</v>
      </c>
      <c r="S1851">
        <v>-5.5</v>
      </c>
      <c r="T1851">
        <v>-11.5</v>
      </c>
      <c r="U1851">
        <v>-13.3</v>
      </c>
      <c r="V1851">
        <v>0</v>
      </c>
      <c r="W1851">
        <v>0</v>
      </c>
      <c r="X1851">
        <v>0</v>
      </c>
      <c r="Y1851">
        <v>0</v>
      </c>
      <c r="Z1851">
        <v>18.2</v>
      </c>
      <c r="AA1851">
        <v>37.799999999999997</v>
      </c>
      <c r="AB1851">
        <v>258</v>
      </c>
      <c r="AC1851">
        <v>76</v>
      </c>
      <c r="AD1851">
        <v>27.6</v>
      </c>
      <c r="AE1851">
        <v>11.8</v>
      </c>
      <c r="AF1851">
        <v>53.183999999999997</v>
      </c>
      <c r="AG1851">
        <v>57.417999999999999</v>
      </c>
      <c r="AH1851">
        <v>46.442999999999998</v>
      </c>
      <c r="AI1851">
        <v>66.936999999999998</v>
      </c>
      <c r="AJ1851">
        <v>27.004999999999999</v>
      </c>
      <c r="AK1851">
        <v>42.359000000000002</v>
      </c>
      <c r="AL1851">
        <v>1.044</v>
      </c>
      <c r="AM1851">
        <v>46.442999999999998</v>
      </c>
      <c r="AN1851">
        <v>57.417999999999999</v>
      </c>
      <c r="AO1851">
        <v>53.183999999999997</v>
      </c>
      <c r="AP1851">
        <v>-1.044</v>
      </c>
      <c r="AQ1851">
        <v>72.995000000000005</v>
      </c>
      <c r="AR1851">
        <v>33.063000000000002</v>
      </c>
      <c r="AS1851">
        <v>57.640999999999998</v>
      </c>
    </row>
    <row r="1852" spans="1:45" x14ac:dyDescent="0.25">
      <c r="A1852">
        <v>42</v>
      </c>
      <c r="B1852">
        <v>-4</v>
      </c>
      <c r="C1852">
        <v>0</v>
      </c>
      <c r="D1852">
        <v>2024</v>
      </c>
      <c r="E1852">
        <v>18</v>
      </c>
      <c r="F1852" t="str">
        <f>IFERROR(VLOOKUP(G1852, Map!$A$1:$B$33, 2, FALSE),"WAS")</f>
        <v>DAL</v>
      </c>
      <c r="G1852" t="s">
        <v>150</v>
      </c>
      <c r="H1852" t="str">
        <f>IFERROR(VLOOKUP(I1852, Map!$A$1:$B$33, 2, FALSE),"WAS")</f>
        <v>WAS</v>
      </c>
      <c r="I1852" t="s">
        <v>148</v>
      </c>
      <c r="J1852" t="s">
        <v>184</v>
      </c>
      <c r="K1852" t="s">
        <v>205</v>
      </c>
      <c r="L1852">
        <v>0</v>
      </c>
      <c r="M1852">
        <v>0</v>
      </c>
      <c r="N1852">
        <v>41</v>
      </c>
      <c r="O1852">
        <v>1.5</v>
      </c>
      <c r="P1852">
        <v>-4.5</v>
      </c>
      <c r="Q1852">
        <v>38.5</v>
      </c>
      <c r="R1852">
        <v>13</v>
      </c>
      <c r="S1852">
        <v>18.899999999999999</v>
      </c>
      <c r="T1852">
        <v>2.9</v>
      </c>
      <c r="U1852">
        <v>9.6</v>
      </c>
      <c r="V1852">
        <v>2</v>
      </c>
      <c r="W1852">
        <v>0</v>
      </c>
      <c r="X1852">
        <v>4</v>
      </c>
      <c r="Y1852">
        <v>2</v>
      </c>
      <c r="Z1852">
        <v>32.9</v>
      </c>
      <c r="AA1852">
        <v>69.099999999999994</v>
      </c>
      <c r="AB1852">
        <v>243</v>
      </c>
      <c r="AC1852">
        <v>69</v>
      </c>
      <c r="AD1852">
        <v>52.5</v>
      </c>
      <c r="AE1852">
        <v>23.7</v>
      </c>
      <c r="AF1852">
        <v>33.863999999999997</v>
      </c>
      <c r="AG1852">
        <v>52.975000000000001</v>
      </c>
      <c r="AH1852">
        <v>65.864000000000004</v>
      </c>
      <c r="AI1852">
        <v>34.177</v>
      </c>
      <c r="AJ1852">
        <v>42.972999999999999</v>
      </c>
      <c r="AK1852">
        <v>40.097000000000001</v>
      </c>
      <c r="AL1852">
        <v>-5.8819999999999997</v>
      </c>
      <c r="AM1852">
        <v>65.864000000000004</v>
      </c>
      <c r="AN1852">
        <v>52.975000000000001</v>
      </c>
      <c r="AO1852">
        <v>33.863999999999997</v>
      </c>
      <c r="AP1852">
        <v>5.8819999999999997</v>
      </c>
      <c r="AQ1852">
        <v>57.027000000000001</v>
      </c>
      <c r="AR1852">
        <v>65.822999999999993</v>
      </c>
      <c r="AS1852">
        <v>59.902999999999999</v>
      </c>
    </row>
    <row r="1853" spans="1:45" x14ac:dyDescent="0.25">
      <c r="A1853">
        <v>46</v>
      </c>
      <c r="B1853">
        <v>-2</v>
      </c>
      <c r="C1853">
        <v>0</v>
      </c>
      <c r="D1853">
        <v>2024</v>
      </c>
      <c r="E1853">
        <v>18</v>
      </c>
      <c r="F1853" t="str">
        <f>IFERROR(VLOOKUP(G1853, Map!$A$1:$B$33, 2, FALSE),"WAS")</f>
        <v>GB</v>
      </c>
      <c r="G1853" t="s">
        <v>154</v>
      </c>
      <c r="H1853" t="str">
        <f>IFERROR(VLOOKUP(I1853, Map!$A$1:$B$33, 2, FALSE),"WAS")</f>
        <v>CHI</v>
      </c>
      <c r="I1853" t="s">
        <v>163</v>
      </c>
      <c r="J1853" t="s">
        <v>200</v>
      </c>
      <c r="K1853" t="s">
        <v>216</v>
      </c>
      <c r="L1853">
        <v>0</v>
      </c>
      <c r="M1853">
        <v>0</v>
      </c>
      <c r="N1853">
        <v>38</v>
      </c>
      <c r="O1853">
        <v>-1.5</v>
      </c>
      <c r="P1853">
        <v>7.5</v>
      </c>
      <c r="Q1853">
        <v>34.5</v>
      </c>
      <c r="R1853">
        <v>-11.5</v>
      </c>
      <c r="S1853">
        <v>-7.5</v>
      </c>
      <c r="T1853">
        <v>-14.8</v>
      </c>
      <c r="U1853">
        <v>-17.2</v>
      </c>
      <c r="V1853">
        <v>0</v>
      </c>
      <c r="W1853">
        <v>0</v>
      </c>
      <c r="X1853">
        <v>0</v>
      </c>
      <c r="Y1853">
        <v>0</v>
      </c>
      <c r="Z1853">
        <v>20.100000000000001</v>
      </c>
      <c r="AA1853">
        <v>43.2</v>
      </c>
      <c r="AB1853">
        <v>314</v>
      </c>
      <c r="AC1853">
        <v>46</v>
      </c>
      <c r="AD1853">
        <v>26.8</v>
      </c>
      <c r="AE1853">
        <v>12.4</v>
      </c>
      <c r="AF1853">
        <v>74.430999999999997</v>
      </c>
      <c r="AG1853">
        <v>63.962000000000003</v>
      </c>
      <c r="AH1853">
        <v>25.364999999999998</v>
      </c>
      <c r="AI1853">
        <v>81.278000000000006</v>
      </c>
      <c r="AJ1853">
        <v>22.661999999999999</v>
      </c>
      <c r="AK1853">
        <v>44.268000000000001</v>
      </c>
      <c r="AL1853">
        <v>9.8209999999999997</v>
      </c>
      <c r="AM1853">
        <v>25.364999999999998</v>
      </c>
      <c r="AN1853">
        <v>63.962000000000003</v>
      </c>
      <c r="AO1853">
        <v>74.430999999999997</v>
      </c>
      <c r="AP1853">
        <v>-9.8209999999999997</v>
      </c>
      <c r="AQ1853">
        <v>77.337999999999994</v>
      </c>
      <c r="AR1853">
        <v>18.722000000000001</v>
      </c>
      <c r="AS1853">
        <v>55.731999999999999</v>
      </c>
    </row>
    <row r="1854" spans="1:45" x14ac:dyDescent="0.25">
      <c r="A1854">
        <v>54</v>
      </c>
      <c r="B1854">
        <v>-14</v>
      </c>
      <c r="C1854">
        <v>0</v>
      </c>
      <c r="D1854">
        <v>2024</v>
      </c>
      <c r="E1854">
        <v>18</v>
      </c>
      <c r="F1854" t="str">
        <f>IFERROR(VLOOKUP(G1854, Map!$A$1:$B$33, 2, FALSE),"WAS")</f>
        <v>LV</v>
      </c>
      <c r="G1854" t="s">
        <v>157</v>
      </c>
      <c r="H1854" t="str">
        <f>IFERROR(VLOOKUP(I1854, Map!$A$1:$B$33, 2, FALSE),"WAS")</f>
        <v>LAC</v>
      </c>
      <c r="I1854" t="s">
        <v>160</v>
      </c>
      <c r="J1854" t="s">
        <v>179</v>
      </c>
      <c r="K1854" t="s">
        <v>210</v>
      </c>
      <c r="L1854">
        <v>0</v>
      </c>
      <c r="M1854">
        <v>0</v>
      </c>
      <c r="N1854">
        <v>44.5</v>
      </c>
      <c r="O1854">
        <v>13</v>
      </c>
      <c r="P1854">
        <v>6.5</v>
      </c>
      <c r="Q1854">
        <v>41.5</v>
      </c>
      <c r="R1854">
        <v>8.9</v>
      </c>
      <c r="S1854">
        <v>15.8</v>
      </c>
      <c r="T1854">
        <v>3.5</v>
      </c>
      <c r="U1854">
        <v>5.0999999999999996</v>
      </c>
      <c r="V1854">
        <v>0</v>
      </c>
      <c r="W1854">
        <v>0</v>
      </c>
      <c r="X1854">
        <v>0</v>
      </c>
      <c r="Y1854">
        <v>0</v>
      </c>
      <c r="Z1854">
        <v>9.8000000000000007</v>
      </c>
      <c r="AA1854">
        <v>29.9</v>
      </c>
      <c r="AB1854">
        <v>292</v>
      </c>
      <c r="AC1854">
        <v>24</v>
      </c>
      <c r="AD1854">
        <v>8.6</v>
      </c>
      <c r="AE1854">
        <v>3</v>
      </c>
      <c r="AF1854">
        <v>43.773000000000003</v>
      </c>
      <c r="AG1854">
        <v>43.039000000000001</v>
      </c>
      <c r="AH1854">
        <v>55.875</v>
      </c>
      <c r="AI1854">
        <v>13.667999999999999</v>
      </c>
      <c r="AJ1854">
        <v>34.69</v>
      </c>
      <c r="AK1854">
        <v>18.274000000000001</v>
      </c>
      <c r="AL1854">
        <v>-2.214</v>
      </c>
      <c r="AM1854">
        <v>55.875</v>
      </c>
      <c r="AN1854">
        <v>43.039000000000001</v>
      </c>
      <c r="AO1854">
        <v>43.773000000000003</v>
      </c>
      <c r="AP1854">
        <v>2.214</v>
      </c>
      <c r="AQ1854">
        <v>65.31</v>
      </c>
      <c r="AR1854">
        <v>86.331999999999994</v>
      </c>
      <c r="AS1854">
        <v>81.725999999999999</v>
      </c>
    </row>
    <row r="1855" spans="1:45" x14ac:dyDescent="0.25">
      <c r="A1855">
        <v>40</v>
      </c>
      <c r="B1855">
        <v>22</v>
      </c>
      <c r="C1855">
        <v>1</v>
      </c>
      <c r="D1855">
        <v>2024</v>
      </c>
      <c r="E1855">
        <v>18</v>
      </c>
      <c r="F1855" t="str">
        <f>IFERROR(VLOOKUP(G1855, Map!$A$1:$B$33, 2, FALSE),"WAS")</f>
        <v>DET</v>
      </c>
      <c r="G1855" t="s">
        <v>164</v>
      </c>
      <c r="H1855" t="str">
        <f>IFERROR(VLOOKUP(I1855, Map!$A$1:$B$33, 2, FALSE),"WAS")</f>
        <v>MIN</v>
      </c>
      <c r="I1855" t="s">
        <v>153</v>
      </c>
      <c r="J1855" t="s">
        <v>173</v>
      </c>
      <c r="K1855" t="s">
        <v>214</v>
      </c>
      <c r="L1855">
        <v>1</v>
      </c>
      <c r="M1855">
        <v>0</v>
      </c>
      <c r="N1855">
        <v>50</v>
      </c>
      <c r="O1855">
        <v>-12</v>
      </c>
      <c r="P1855">
        <v>-2.5</v>
      </c>
      <c r="Q1855">
        <v>43.5</v>
      </c>
      <c r="R1855">
        <v>-4.9000000000000004</v>
      </c>
      <c r="S1855">
        <v>-3.1</v>
      </c>
      <c r="T1855">
        <v>-6.4</v>
      </c>
      <c r="U1855">
        <v>-10.199999999999999</v>
      </c>
      <c r="V1855">
        <v>0.6</v>
      </c>
      <c r="W1855">
        <v>0.42</v>
      </c>
      <c r="X1855">
        <v>5</v>
      </c>
      <c r="Y1855">
        <v>0</v>
      </c>
      <c r="Z1855">
        <v>24.4</v>
      </c>
      <c r="AA1855">
        <v>55.1</v>
      </c>
      <c r="AB1855">
        <v>13</v>
      </c>
      <c r="AC1855">
        <v>77</v>
      </c>
      <c r="AD1855">
        <v>32.299999999999997</v>
      </c>
      <c r="AE1855">
        <v>14.6</v>
      </c>
      <c r="AF1855">
        <v>64.457999999999998</v>
      </c>
      <c r="AG1855">
        <v>88.647000000000006</v>
      </c>
      <c r="AH1855">
        <v>35.258000000000003</v>
      </c>
      <c r="AI1855">
        <v>86.016999999999996</v>
      </c>
      <c r="AJ1855">
        <v>52.337000000000003</v>
      </c>
      <c r="AK1855">
        <v>83.641000000000005</v>
      </c>
      <c r="AL1855">
        <v>5.5839999999999996</v>
      </c>
      <c r="AM1855">
        <v>35.258000000000003</v>
      </c>
      <c r="AN1855">
        <v>88.647000000000006</v>
      </c>
      <c r="AO1855">
        <v>64.457999999999998</v>
      </c>
      <c r="AP1855">
        <v>-5.5839999999999996</v>
      </c>
      <c r="AQ1855">
        <v>47.662999999999997</v>
      </c>
      <c r="AR1855">
        <v>13.983000000000001</v>
      </c>
      <c r="AS1855">
        <v>16.359000000000002</v>
      </c>
    </row>
    <row r="1856" spans="1:45" x14ac:dyDescent="0.25">
      <c r="A1856">
        <v>37</v>
      </c>
      <c r="B1856">
        <v>-9</v>
      </c>
      <c r="C1856">
        <v>0</v>
      </c>
      <c r="D1856">
        <v>2024</v>
      </c>
      <c r="E1856">
        <v>18</v>
      </c>
      <c r="F1856" t="str">
        <f>IFERROR(VLOOKUP(G1856, Map!$A$1:$B$33, 2, FALSE),"WAS")</f>
        <v>TEN</v>
      </c>
      <c r="G1856" t="s">
        <v>140</v>
      </c>
      <c r="H1856" t="str">
        <f>IFERROR(VLOOKUP(I1856, Map!$A$1:$B$33, 2, FALSE),"WAS")</f>
        <v>HOU</v>
      </c>
      <c r="I1856" t="s">
        <v>137</v>
      </c>
      <c r="J1856" t="s">
        <v>174</v>
      </c>
      <c r="K1856" t="s">
        <v>209</v>
      </c>
      <c r="L1856">
        <v>0</v>
      </c>
      <c r="M1856">
        <v>0</v>
      </c>
      <c r="N1856">
        <v>33</v>
      </c>
      <c r="O1856">
        <v>2.5</v>
      </c>
      <c r="P1856">
        <v>-2.5</v>
      </c>
      <c r="Q1856">
        <v>29.5</v>
      </c>
      <c r="R1856">
        <v>3.8</v>
      </c>
      <c r="S1856">
        <v>10.9</v>
      </c>
      <c r="T1856">
        <v>1.2</v>
      </c>
      <c r="U1856">
        <v>0.2</v>
      </c>
      <c r="V1856">
        <v>14.7</v>
      </c>
      <c r="W1856">
        <v>0.49</v>
      </c>
      <c r="X1856">
        <v>11</v>
      </c>
      <c r="Y1856">
        <v>14</v>
      </c>
      <c r="Z1856">
        <v>20</v>
      </c>
      <c r="AA1856">
        <v>44.3</v>
      </c>
      <c r="AB1856">
        <v>102</v>
      </c>
      <c r="AC1856">
        <v>74</v>
      </c>
      <c r="AD1856">
        <v>22.1</v>
      </c>
      <c r="AE1856">
        <v>10.8</v>
      </c>
      <c r="AF1856">
        <v>42.628999999999998</v>
      </c>
      <c r="AG1856">
        <v>32.616</v>
      </c>
      <c r="AH1856">
        <v>57.029000000000003</v>
      </c>
      <c r="AI1856">
        <v>25.902999999999999</v>
      </c>
      <c r="AJ1856">
        <v>7.0990000000000002</v>
      </c>
      <c r="AK1856">
        <v>8.2810000000000006</v>
      </c>
      <c r="AL1856">
        <v>-2.7610000000000001</v>
      </c>
      <c r="AM1856">
        <v>57.029000000000003</v>
      </c>
      <c r="AN1856">
        <v>32.616</v>
      </c>
      <c r="AO1856">
        <v>42.628999999999998</v>
      </c>
      <c r="AP1856">
        <v>2.7610000000000001</v>
      </c>
      <c r="AQ1856">
        <v>92.900999999999996</v>
      </c>
      <c r="AR1856">
        <v>74.096999999999994</v>
      </c>
      <c r="AS1856">
        <v>91.718999999999994</v>
      </c>
    </row>
    <row r="1857" spans="1:45" x14ac:dyDescent="0.25">
      <c r="A1857">
        <v>38</v>
      </c>
      <c r="B1857">
        <v>38</v>
      </c>
      <c r="C1857">
        <v>1</v>
      </c>
      <c r="D1857">
        <v>2024</v>
      </c>
      <c r="E1857">
        <v>18</v>
      </c>
      <c r="F1857" t="str">
        <f>IFERROR(VLOOKUP(G1857, Map!$A$1:$B$33, 2, FALSE),"WAS")</f>
        <v>DEN</v>
      </c>
      <c r="G1857" t="s">
        <v>159</v>
      </c>
      <c r="H1857" t="str">
        <f>IFERROR(VLOOKUP(I1857, Map!$A$1:$B$33, 2, FALSE),"WAS")</f>
        <v>KC</v>
      </c>
      <c r="I1857" t="s">
        <v>158</v>
      </c>
      <c r="J1857" t="s">
        <v>183</v>
      </c>
      <c r="K1857" t="s">
        <v>202</v>
      </c>
      <c r="L1857">
        <v>1</v>
      </c>
      <c r="M1857">
        <v>0</v>
      </c>
      <c r="N1857">
        <v>39.5</v>
      </c>
      <c r="O1857">
        <v>-25</v>
      </c>
      <c r="P1857">
        <v>-11.5</v>
      </c>
      <c r="Q1857">
        <v>38.5</v>
      </c>
      <c r="R1857">
        <v>-5.2</v>
      </c>
      <c r="S1857">
        <v>-2</v>
      </c>
      <c r="T1857">
        <v>-8.6</v>
      </c>
      <c r="U1857">
        <v>-9</v>
      </c>
      <c r="V1857">
        <v>0.6</v>
      </c>
      <c r="W1857">
        <v>0.42</v>
      </c>
      <c r="X1857">
        <v>3</v>
      </c>
      <c r="Y1857">
        <v>0</v>
      </c>
      <c r="Z1857">
        <v>10.6</v>
      </c>
      <c r="AA1857">
        <v>30.6</v>
      </c>
      <c r="AB1857">
        <v>10</v>
      </c>
      <c r="AC1857">
        <v>73</v>
      </c>
      <c r="AD1857">
        <v>15.1</v>
      </c>
      <c r="AE1857">
        <v>3.8</v>
      </c>
      <c r="AF1857">
        <v>51.640999999999998</v>
      </c>
      <c r="AG1857">
        <v>64.994</v>
      </c>
      <c r="AH1857">
        <v>47.972999999999999</v>
      </c>
      <c r="AI1857">
        <v>95.132999999999996</v>
      </c>
      <c r="AJ1857">
        <v>97.316999999999993</v>
      </c>
      <c r="AK1857">
        <v>99.424000000000007</v>
      </c>
      <c r="AL1857">
        <v>0.81100000000000005</v>
      </c>
      <c r="AM1857">
        <v>47.972999999999999</v>
      </c>
      <c r="AN1857">
        <v>64.994</v>
      </c>
      <c r="AO1857">
        <v>51.640999999999998</v>
      </c>
      <c r="AP1857">
        <v>-0.81100000000000005</v>
      </c>
      <c r="AQ1857">
        <v>2.6829999999999998</v>
      </c>
      <c r="AR1857">
        <v>4.867</v>
      </c>
      <c r="AS1857">
        <v>0.57599999999999996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Year_2025</vt:lpstr>
      <vt:lpstr>Map</vt:lpstr>
      <vt:lpstr>Range_2018_2024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cooper meekins</cp:lastModifiedBy>
  <dcterms:created xsi:type="dcterms:W3CDTF">2025-10-29T00:08:50Z</dcterms:created>
  <dcterms:modified xsi:type="dcterms:W3CDTF">2025-11-21T23:19:41Z</dcterms:modified>
</cp:coreProperties>
</file>